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none" codeName="현재_통합_문서"/>
  <mc:AlternateContent xmlns:mc="http://schemas.openxmlformats.org/markup-compatibility/2006">
    <mc:Choice Requires="x15">
      <x15ac:absPath xmlns:x15ac="http://schemas.microsoft.com/office/spreadsheetml/2010/11/ac" url="M:\영업팀\김예랑\"/>
    </mc:Choice>
  </mc:AlternateContent>
  <xr:revisionPtr revIDLastSave="0" documentId="13_ncr:1_{6513ADDA-0074-48FC-BCB7-405784377E84}" xr6:coauthVersionLast="47" xr6:coauthVersionMax="47" xr10:uidLastSave="{00000000-0000-0000-0000-000000000000}"/>
  <bookViews>
    <workbookView xWindow="-120" yWindow="-120" windowWidth="29040" windowHeight="15720" tabRatio="722" firstSheet="120" activeTab="135" xr2:uid="{00000000-000D-0000-FFFF-FFFF00000000}"/>
  </bookViews>
  <sheets>
    <sheet name="0102" sheetId="161" r:id="rId1"/>
    <sheet name="0105" sheetId="162" r:id="rId2"/>
    <sheet name="0106" sheetId="163" r:id="rId3"/>
    <sheet name="0107" sheetId="164" r:id="rId4"/>
    <sheet name="0107 W12" sheetId="165" r:id="rId5"/>
    <sheet name="0108" sheetId="166" r:id="rId6"/>
    <sheet name="0109" sheetId="167" r:id="rId7"/>
    <sheet name="0112" sheetId="168" r:id="rId8"/>
    <sheet name="0113" sheetId="169" r:id="rId9"/>
    <sheet name="0114" sheetId="170" r:id="rId10"/>
    <sheet name="0114 W12" sheetId="171" r:id="rId11"/>
    <sheet name="0115" sheetId="172" r:id="rId12"/>
    <sheet name="0116" sheetId="173" r:id="rId13"/>
    <sheet name="0119" sheetId="174" r:id="rId14"/>
    <sheet name="0120" sheetId="175" r:id="rId15"/>
    <sheet name="0121" sheetId="176" r:id="rId16"/>
    <sheet name="0121 W12" sheetId="177" r:id="rId17"/>
    <sheet name="0122" sheetId="178" r:id="rId18"/>
    <sheet name="0123" sheetId="179" r:id="rId19"/>
    <sheet name="0126" sheetId="180" r:id="rId20"/>
    <sheet name="0127" sheetId="181" r:id="rId21"/>
    <sheet name="0128" sheetId="182" r:id="rId22"/>
    <sheet name="0128 W12" sheetId="183" r:id="rId23"/>
    <sheet name="0129" sheetId="184" r:id="rId24"/>
    <sheet name="0130" sheetId="185" r:id="rId25"/>
    <sheet name="0202" sheetId="186" r:id="rId26"/>
    <sheet name="0203" sheetId="187" r:id="rId27"/>
    <sheet name="0204" sheetId="188" r:id="rId28"/>
    <sheet name="0204 W12" sheetId="189" r:id="rId29"/>
    <sheet name="0205" sheetId="190" r:id="rId30"/>
    <sheet name="0206" sheetId="191" r:id="rId31"/>
    <sheet name="0209" sheetId="192" r:id="rId32"/>
    <sheet name="0210-1" sheetId="193" r:id="rId33"/>
    <sheet name="0211" sheetId="194" r:id="rId34"/>
    <sheet name="0211 W12" sheetId="195" r:id="rId35"/>
    <sheet name="0212" sheetId="196" r:id="rId36"/>
    <sheet name="0212 0223" sheetId="197" r:id="rId37"/>
    <sheet name="0213" sheetId="198" r:id="rId38"/>
    <sheet name="0219" sheetId="199" r:id="rId39"/>
    <sheet name="0219 W12" sheetId="200" r:id="rId40"/>
    <sheet name="0220" sheetId="201" r:id="rId41"/>
    <sheet name="0223" sheetId="202" r:id="rId42"/>
    <sheet name="0224" sheetId="203" r:id="rId43"/>
    <sheet name="0225" sheetId="204" r:id="rId44"/>
    <sheet name="0225 W12" sheetId="205" r:id="rId45"/>
    <sheet name="0226" sheetId="206" r:id="rId46"/>
    <sheet name="0227" sheetId="207" r:id="rId47"/>
    <sheet name="0303" sheetId="208" r:id="rId48"/>
    <sheet name="0304" sheetId="209" r:id="rId49"/>
    <sheet name="0304 W12" sheetId="210" r:id="rId50"/>
    <sheet name="0305" sheetId="211" r:id="rId51"/>
    <sheet name="0306" sheetId="212" r:id="rId52"/>
    <sheet name="0309" sheetId="213" r:id="rId53"/>
    <sheet name="0310" sheetId="214" r:id="rId54"/>
    <sheet name="0310 W12" sheetId="215" r:id="rId55"/>
    <sheet name="0311" sheetId="216" r:id="rId56"/>
    <sheet name="0312" sheetId="217" r:id="rId57"/>
    <sheet name="0313" sheetId="218" r:id="rId58"/>
    <sheet name="0316" sheetId="219" r:id="rId59"/>
    <sheet name="0317" sheetId="220" r:id="rId60"/>
    <sheet name="0318" sheetId="221" r:id="rId61"/>
    <sheet name="0318 W12" sheetId="222" r:id="rId62"/>
    <sheet name="0319" sheetId="223" r:id="rId63"/>
    <sheet name="0320" sheetId="224" r:id="rId64"/>
    <sheet name="0323" sheetId="225" r:id="rId65"/>
    <sheet name="0324" sheetId="226" r:id="rId66"/>
    <sheet name="0325" sheetId="228" r:id="rId67"/>
    <sheet name="0325 W12" sheetId="227" r:id="rId68"/>
    <sheet name="0326" sheetId="229" r:id="rId69"/>
    <sheet name="0327" sheetId="230" r:id="rId70"/>
    <sheet name="0330" sheetId="231" r:id="rId71"/>
    <sheet name="0331" sheetId="232" r:id="rId72"/>
    <sheet name="0401" sheetId="233" r:id="rId73"/>
    <sheet name="0401 W12" sheetId="234" r:id="rId74"/>
    <sheet name="0402" sheetId="235" r:id="rId75"/>
    <sheet name="0403" sheetId="236" r:id="rId76"/>
    <sheet name="0406" sheetId="237" r:id="rId77"/>
    <sheet name="0407" sheetId="238" r:id="rId78"/>
    <sheet name="0408" sheetId="239" r:id="rId79"/>
    <sheet name="0408 W12" sheetId="240" r:id="rId80"/>
    <sheet name="0409" sheetId="241" r:id="rId81"/>
    <sheet name="0410" sheetId="242" r:id="rId82"/>
    <sheet name="0413" sheetId="243" r:id="rId83"/>
    <sheet name="0414" sheetId="244" r:id="rId84"/>
    <sheet name="0415" sheetId="245" r:id="rId85"/>
    <sheet name="0415 W12" sheetId="247" r:id="rId86"/>
    <sheet name="0416" sheetId="248" r:id="rId87"/>
    <sheet name="0420" sheetId="249" r:id="rId88"/>
    <sheet name="0427" sheetId="250" r:id="rId89"/>
    <sheet name="0428" sheetId="251" r:id="rId90"/>
    <sheet name="0429" sheetId="253" r:id="rId91"/>
    <sheet name="0429 W12" sheetId="254" r:id="rId92"/>
    <sheet name="0430" sheetId="255" r:id="rId93"/>
    <sheet name="0506" sheetId="256" r:id="rId94"/>
    <sheet name="0507" sheetId="257" r:id="rId95"/>
    <sheet name="0507 W12" sheetId="258" r:id="rId96"/>
    <sheet name="0508" sheetId="259" r:id="rId97"/>
    <sheet name="0511" sheetId="260" r:id="rId98"/>
    <sheet name="0512" sheetId="261" r:id="rId99"/>
    <sheet name="0513 W12" sheetId="263" r:id="rId100"/>
    <sheet name="0513" sheetId="264" r:id="rId101"/>
    <sheet name="0514" sheetId="265" r:id="rId102"/>
    <sheet name="0515" sheetId="266" r:id="rId103"/>
    <sheet name="0518" sheetId="267" r:id="rId104"/>
    <sheet name="0519" sheetId="268" r:id="rId105"/>
    <sheet name="0520" sheetId="269" r:id="rId106"/>
    <sheet name="0520 W12" sheetId="270" r:id="rId107"/>
    <sheet name="0521" sheetId="271" r:id="rId108"/>
    <sheet name="0522" sheetId="272" r:id="rId109"/>
    <sheet name="0526" sheetId="273" r:id="rId110"/>
    <sheet name="0527" sheetId="274" r:id="rId111"/>
    <sheet name="0527 W12" sheetId="275" r:id="rId112"/>
    <sheet name="0528" sheetId="276" r:id="rId113"/>
    <sheet name="0529" sheetId="277" r:id="rId114"/>
    <sheet name="0601" sheetId="278" r:id="rId115"/>
    <sheet name="0602" sheetId="280" r:id="rId116"/>
    <sheet name="0604" sheetId="281" r:id="rId117"/>
    <sheet name="0605" sheetId="283" r:id="rId118"/>
    <sheet name="0604 W12" sheetId="282" r:id="rId119"/>
    <sheet name="0608" sheetId="284" r:id="rId120"/>
    <sheet name="0609" sheetId="285" r:id="rId121"/>
    <sheet name="0609 W12" sheetId="286" r:id="rId122"/>
    <sheet name="0610" sheetId="287" r:id="rId123"/>
    <sheet name="0610 W12" sheetId="288" r:id="rId124"/>
    <sheet name="0611" sheetId="289" r:id="rId125"/>
    <sheet name="0612" sheetId="290" r:id="rId126"/>
    <sheet name="0615" sheetId="291" r:id="rId127"/>
    <sheet name="0616" sheetId="292" r:id="rId128"/>
    <sheet name="0618" sheetId="293" r:id="rId129"/>
    <sheet name="0618 W12" sheetId="294" r:id="rId130"/>
    <sheet name="0619" sheetId="295" r:id="rId131"/>
    <sheet name="0622" sheetId="296" r:id="rId132"/>
    <sheet name="0623" sheetId="297" r:id="rId133"/>
    <sheet name="0624" sheetId="298" r:id="rId134"/>
    <sheet name="0624 W12" sheetId="299" r:id="rId135"/>
    <sheet name="0625" sheetId="300" r:id="rId136"/>
    <sheet name="모델명" sheetId="99" r:id="rId137"/>
  </sheets>
  <externalReferences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</externalReferences>
  <definedNames>
    <definedName name="_xlnm._FilterDatabase" localSheetId="0" hidden="1">'0102'!$A$1:$R$24</definedName>
    <definedName name="_xlnm._FilterDatabase" localSheetId="1" hidden="1">'0105'!$A$1:$O$24</definedName>
    <definedName name="_xlnm._FilterDatabase" localSheetId="2" hidden="1">'0106'!$A$1:$U$22</definedName>
    <definedName name="_xlnm._FilterDatabase" localSheetId="3" hidden="1">'0107'!$A$1:$T$19</definedName>
    <definedName name="_xlnm._FilterDatabase" localSheetId="5" hidden="1">'0108'!$A$1:$S$19</definedName>
    <definedName name="_xlnm._FilterDatabase" localSheetId="6" hidden="1">'0109'!$A$1:$R$18</definedName>
    <definedName name="_xlnm._FilterDatabase" localSheetId="7" hidden="1">'0112'!$A$1:$O$18</definedName>
    <definedName name="_xlnm._FilterDatabase" localSheetId="8" hidden="1">'0113'!$A$1:$U$17</definedName>
    <definedName name="_xlnm._FilterDatabase" localSheetId="9" hidden="1">'0114'!$A$1:$T$17</definedName>
    <definedName name="_xlnm._FilterDatabase" localSheetId="11" hidden="1">'0115'!$A$1:$S$13</definedName>
    <definedName name="_xlnm._FilterDatabase" localSheetId="12" hidden="1">'0116'!$A$1:$R$13</definedName>
    <definedName name="_xlnm._FilterDatabase" localSheetId="13" hidden="1">'0119'!$A$1:$O$13</definedName>
    <definedName name="_xlnm._FilterDatabase" localSheetId="14" hidden="1">'0120'!$A$1:$U$20</definedName>
    <definedName name="_xlnm._FilterDatabase" localSheetId="15" hidden="1">'0121'!$A$1:$S$19</definedName>
    <definedName name="_xlnm._FilterDatabase" localSheetId="17" hidden="1">'0122'!$A$1:$S$19</definedName>
    <definedName name="_xlnm._FilterDatabase" localSheetId="18" hidden="1">'0123'!$A$1:$R$19</definedName>
    <definedName name="_xlnm._FilterDatabase" localSheetId="19" hidden="1">'0126'!$A$1:$O$19</definedName>
    <definedName name="_xlnm._FilterDatabase" localSheetId="20" hidden="1">'0127'!$A$1:$U$19</definedName>
    <definedName name="_xlnm._FilterDatabase" localSheetId="21" hidden="1">'0128'!$A$1:$S$21</definedName>
    <definedName name="_xlnm._FilterDatabase" localSheetId="23" hidden="1">'0129'!$A$1:$S$21</definedName>
    <definedName name="_xlnm._FilterDatabase" localSheetId="24" hidden="1">'0130'!$A$1:$R$20</definedName>
    <definedName name="_xlnm._FilterDatabase" localSheetId="25" hidden="1">'0202'!$A$1:$O$20</definedName>
    <definedName name="_xlnm._FilterDatabase" localSheetId="26" hidden="1">'0203'!$A$1:$U$19</definedName>
    <definedName name="_xlnm._FilterDatabase" localSheetId="27" hidden="1">'0204'!$A$1:$T$18</definedName>
    <definedName name="_xlnm._FilterDatabase" localSheetId="29" hidden="1">'0205'!$A$1:$S$17</definedName>
    <definedName name="_xlnm._FilterDatabase" localSheetId="30" hidden="1">'0206'!$A$1:$R$15</definedName>
    <definedName name="_xlnm._FilterDatabase" localSheetId="31" hidden="1">'0209'!$A$1:$O$15</definedName>
    <definedName name="_xlnm._FilterDatabase" localSheetId="32" hidden="1">'0210-1'!$A$1:$U$17</definedName>
    <definedName name="_xlnm._FilterDatabase" localSheetId="33" hidden="1">'0211'!$A$1:$T$17</definedName>
    <definedName name="_xlnm._FilterDatabase" localSheetId="35" hidden="1">'0212'!$A$1:$R$17</definedName>
    <definedName name="_xlnm._FilterDatabase" localSheetId="37" hidden="1">'0213'!$A$1:$R$15</definedName>
    <definedName name="_xlnm._FilterDatabase" localSheetId="38" hidden="1">'0219'!$A$1:$S$14</definedName>
    <definedName name="_xlnm._FilterDatabase" localSheetId="40" hidden="1">'0220'!$A$1:$R$16</definedName>
    <definedName name="_xlnm._FilterDatabase" localSheetId="41" hidden="1">'0223'!$A$1:$O$16</definedName>
    <definedName name="_xlnm._FilterDatabase" localSheetId="42" hidden="1">'0224'!$A$1:$U$19</definedName>
    <definedName name="_xlnm._FilterDatabase" localSheetId="43" hidden="1">'0225'!$A$1:$T$18</definedName>
    <definedName name="_xlnm._FilterDatabase" localSheetId="45" hidden="1">'0226'!$A$1:$S$17</definedName>
    <definedName name="_xlnm._FilterDatabase" localSheetId="46" hidden="1">'0227'!$A$1:$R$18</definedName>
    <definedName name="_xlnm._FilterDatabase" localSheetId="47" hidden="1">'0303'!$A$1:$U$18</definedName>
    <definedName name="_xlnm._FilterDatabase" localSheetId="48" hidden="1">'0304'!$A$1:$T$20</definedName>
    <definedName name="_xlnm._FilterDatabase" localSheetId="50" hidden="1">'0305'!$A$1:$S$20</definedName>
    <definedName name="_xlnm._FilterDatabase" localSheetId="51" hidden="1">'0306'!$A$1:$R$20</definedName>
    <definedName name="_xlnm._FilterDatabase" localSheetId="52" hidden="1">'0309'!$A$1:$O$20</definedName>
    <definedName name="_xlnm._FilterDatabase" localSheetId="53" hidden="1">'0310'!$A$1:$U$20</definedName>
    <definedName name="_xlnm._FilterDatabase" localSheetId="55" hidden="1">'0311'!$A$1:$S$20</definedName>
    <definedName name="_xlnm._FilterDatabase" localSheetId="56" hidden="1">'0312'!$A$1:$S$20</definedName>
    <definedName name="_xlnm._FilterDatabase" localSheetId="57" hidden="1">'0313'!$A$1:$R$18</definedName>
    <definedName name="_xlnm._FilterDatabase" localSheetId="58" hidden="1">'0316'!$A$1:$O$18</definedName>
    <definedName name="_xlnm._FilterDatabase" localSheetId="59" hidden="1">'0317'!$A$1:$U$20</definedName>
    <definedName name="_xlnm._FilterDatabase" localSheetId="60" hidden="1">'0318'!$A$1:$T$20</definedName>
    <definedName name="_xlnm._FilterDatabase" localSheetId="62" hidden="1">'0319'!$A$1:$S$19</definedName>
    <definedName name="_xlnm._FilterDatabase" localSheetId="63" hidden="1">'0320'!$A$1:$R$19</definedName>
    <definedName name="_xlnm._FilterDatabase" localSheetId="64" hidden="1">'0323'!$A$1:$O$18</definedName>
    <definedName name="_xlnm._FilterDatabase" localSheetId="65" hidden="1">'0324'!$A$1:$U$21</definedName>
    <definedName name="_xlnm._FilterDatabase" localSheetId="66" hidden="1">'0325'!$A$1:$T$21</definedName>
    <definedName name="_xlnm._FilterDatabase" localSheetId="68" hidden="1">'0326'!$A$1:$S$21</definedName>
    <definedName name="_xlnm._FilterDatabase" localSheetId="69" hidden="1">'0327'!$A$1:$R$21</definedName>
    <definedName name="_xlnm._FilterDatabase" localSheetId="70" hidden="1">'0330'!$A$1:$O$21</definedName>
    <definedName name="_xlnm._FilterDatabase" localSheetId="71" hidden="1">'0331'!$A$1:$U$20</definedName>
    <definedName name="_xlnm._FilterDatabase" localSheetId="72" hidden="1">'0401'!$A$1:$T$19</definedName>
    <definedName name="_xlnm._FilterDatabase" localSheetId="74" hidden="1">'0402'!$A$1:$S$15</definedName>
    <definedName name="_xlnm._FilterDatabase" localSheetId="75" hidden="1">'0403'!$A$1:$R$15</definedName>
    <definedName name="_xlnm._FilterDatabase" localSheetId="76" hidden="1">'0406'!$A$1:$O$15</definedName>
    <definedName name="_xlnm._FilterDatabase" localSheetId="77" hidden="1">'0407'!$A$1:$U$17</definedName>
    <definedName name="_xlnm._FilterDatabase" localSheetId="78" hidden="1">'0408'!$A$1:$T$17</definedName>
    <definedName name="_xlnm._FilterDatabase" localSheetId="80" hidden="1">'0409'!$A$1:$S$16</definedName>
    <definedName name="_xlnm._FilterDatabase" localSheetId="81" hidden="1">'0410'!$A$1:$R$16</definedName>
    <definedName name="_xlnm._FilterDatabase" localSheetId="82" hidden="1">'0413'!$A$1:$O$16</definedName>
    <definedName name="_xlnm._FilterDatabase" localSheetId="83" hidden="1">'0414'!$A$1:$U$16</definedName>
    <definedName name="_xlnm._FilterDatabase" localSheetId="84" hidden="1">'0415'!$A$1:$T$15</definedName>
    <definedName name="_xlnm._FilterDatabase" localSheetId="86" hidden="1">'0416'!$A$1:$S$15</definedName>
    <definedName name="_xlnm._FilterDatabase" localSheetId="87" hidden="1">'0420'!$A$1:$O$12</definedName>
    <definedName name="_xlnm._FilterDatabase" localSheetId="89" hidden="1">'0428'!$A$1:$U$21</definedName>
    <definedName name="_xlnm._FilterDatabase" localSheetId="90" hidden="1">'0429'!$A$1:$T$21</definedName>
    <definedName name="_xlnm._FilterDatabase" localSheetId="92" hidden="1">'0430'!$A$1:$S$20</definedName>
    <definedName name="_xlnm._FilterDatabase" localSheetId="100" hidden="1">'0513'!$A$1:$T$24</definedName>
    <definedName name="_xlnm._FilterDatabase" localSheetId="104" hidden="1">'0519'!$A$1:$U$24</definedName>
    <definedName name="_xlnm._FilterDatabase" localSheetId="110" hidden="1">'0527'!$A$1:$T$23</definedName>
    <definedName name="_xlnm._FilterDatabase" localSheetId="132" hidden="1">'0623'!$A$1:$U$27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288" l="1"/>
  <c r="N42" i="288"/>
  <c r="N43" i="288"/>
  <c r="N44" i="288"/>
  <c r="N45" i="288"/>
  <c r="N46" i="288"/>
  <c r="N47" i="288"/>
  <c r="P47" i="288" s="1"/>
  <c r="N48" i="288"/>
  <c r="N49" i="288"/>
  <c r="P49" i="288" s="1"/>
  <c r="N50" i="288"/>
  <c r="P50" i="288" s="1"/>
  <c r="N51" i="288"/>
  <c r="P51" i="288" s="1"/>
  <c r="N52" i="288"/>
  <c r="P52" i="288" s="1"/>
  <c r="N53" i="288"/>
  <c r="N54" i="288"/>
  <c r="N55" i="288"/>
  <c r="N56" i="288"/>
  <c r="N57" i="288"/>
  <c r="N58" i="288"/>
  <c r="N59" i="288"/>
  <c r="N60" i="288"/>
  <c r="N61" i="288"/>
  <c r="P61" i="288" s="1"/>
  <c r="N62" i="288"/>
  <c r="P62" i="288" s="1"/>
  <c r="N63" i="288"/>
  <c r="P63" i="288" s="1"/>
  <c r="N64" i="288"/>
  <c r="P64" i="288" s="1"/>
  <c r="N65" i="288"/>
  <c r="N66" i="288"/>
  <c r="N67" i="288"/>
  <c r="N68" i="288"/>
  <c r="N69" i="288"/>
  <c r="N70" i="288"/>
  <c r="N71" i="288"/>
  <c r="P71" i="288" s="1"/>
  <c r="N72" i="288"/>
  <c r="N73" i="288"/>
  <c r="N74" i="288"/>
  <c r="P74" i="288" s="1"/>
  <c r="N75" i="288"/>
  <c r="P75" i="288" s="1"/>
  <c r="N76" i="288"/>
  <c r="P76" i="288" s="1"/>
  <c r="N77" i="288"/>
  <c r="N78" i="288"/>
  <c r="N79" i="288"/>
  <c r="N80" i="288"/>
  <c r="N81" i="288"/>
  <c r="N82" i="288"/>
  <c r="N83" i="288"/>
  <c r="N84" i="288"/>
  <c r="N85" i="288"/>
  <c r="N86" i="288"/>
  <c r="N87" i="288"/>
  <c r="P87" i="288" s="1"/>
  <c r="N88" i="288"/>
  <c r="P88" i="288" s="1"/>
  <c r="N89" i="288"/>
  <c r="N90" i="288"/>
  <c r="N91" i="288"/>
  <c r="N92" i="288"/>
  <c r="N93" i="288"/>
  <c r="N94" i="288"/>
  <c r="N95" i="288"/>
  <c r="N101" i="288"/>
  <c r="P100" i="288"/>
  <c r="P99" i="288"/>
  <c r="P98" i="288"/>
  <c r="P97" i="288"/>
  <c r="P41" i="288"/>
  <c r="P25" i="288"/>
  <c r="P24" i="288"/>
  <c r="P23" i="288"/>
  <c r="P22" i="288"/>
  <c r="P13" i="288"/>
  <c r="O100" i="288"/>
  <c r="O99" i="288"/>
  <c r="O98" i="288"/>
  <c r="O97" i="288"/>
  <c r="O96" i="288"/>
  <c r="O95" i="288"/>
  <c r="O94" i="288"/>
  <c r="P94" i="288" s="1"/>
  <c r="O93" i="288"/>
  <c r="P93" i="288" s="1"/>
  <c r="O92" i="288"/>
  <c r="O91" i="288"/>
  <c r="O90" i="288"/>
  <c r="P90" i="288" s="1"/>
  <c r="O89" i="288"/>
  <c r="P89" i="288" s="1"/>
  <c r="O88" i="288"/>
  <c r="O87" i="288"/>
  <c r="O86" i="288"/>
  <c r="O85" i="288"/>
  <c r="O84" i="288"/>
  <c r="O83" i="288"/>
  <c r="O82" i="288"/>
  <c r="P82" i="288" s="1"/>
  <c r="O81" i="288"/>
  <c r="P81" i="288" s="1"/>
  <c r="O80" i="288"/>
  <c r="P80" i="288" s="1"/>
  <c r="O79" i="288"/>
  <c r="O78" i="288"/>
  <c r="P78" i="288" s="1"/>
  <c r="O77" i="288"/>
  <c r="P77" i="288" s="1"/>
  <c r="O76" i="288"/>
  <c r="O75" i="288"/>
  <c r="O74" i="288"/>
  <c r="O73" i="288"/>
  <c r="O72" i="288"/>
  <c r="O71" i="288"/>
  <c r="O70" i="288"/>
  <c r="P70" i="288" s="1"/>
  <c r="O69" i="288"/>
  <c r="P69" i="288" s="1"/>
  <c r="O68" i="288"/>
  <c r="P68" i="288" s="1"/>
  <c r="O67" i="288"/>
  <c r="O66" i="288"/>
  <c r="P66" i="288" s="1"/>
  <c r="O65" i="288"/>
  <c r="P65" i="288" s="1"/>
  <c r="O64" i="288"/>
  <c r="O63" i="288"/>
  <c r="O62" i="288"/>
  <c r="O61" i="288"/>
  <c r="O60" i="288"/>
  <c r="O59" i="288"/>
  <c r="O58" i="288"/>
  <c r="P58" i="288" s="1"/>
  <c r="O57" i="288"/>
  <c r="P57" i="288" s="1"/>
  <c r="O56" i="288"/>
  <c r="O55" i="288"/>
  <c r="O54" i="288"/>
  <c r="P54" i="288" s="1"/>
  <c r="O53" i="288"/>
  <c r="P53" i="288" s="1"/>
  <c r="O52" i="288"/>
  <c r="O51" i="288"/>
  <c r="O50" i="288"/>
  <c r="O49" i="288"/>
  <c r="O48" i="288"/>
  <c r="O47" i="288"/>
  <c r="O46" i="288"/>
  <c r="P46" i="288" s="1"/>
  <c r="O45" i="288"/>
  <c r="P45" i="288" s="1"/>
  <c r="O44" i="288"/>
  <c r="P44" i="288" s="1"/>
  <c r="O43" i="288"/>
  <c r="O42" i="288"/>
  <c r="P42" i="288" s="1"/>
  <c r="O41" i="288"/>
  <c r="O36" i="288"/>
  <c r="O35" i="288"/>
  <c r="O34" i="288"/>
  <c r="O33" i="288"/>
  <c r="O32" i="288"/>
  <c r="O31" i="288"/>
  <c r="O30" i="288"/>
  <c r="O29" i="288"/>
  <c r="O28" i="288"/>
  <c r="P28" i="288" s="1"/>
  <c r="O27" i="288"/>
  <c r="O26" i="288"/>
  <c r="O25" i="288"/>
  <c r="O24" i="288"/>
  <c r="O23" i="288"/>
  <c r="O22" i="288"/>
  <c r="O21" i="288"/>
  <c r="O20" i="288"/>
  <c r="O19" i="288"/>
  <c r="O18" i="288"/>
  <c r="O17" i="288"/>
  <c r="O16" i="288"/>
  <c r="P16" i="288" s="1"/>
  <c r="O15" i="288"/>
  <c r="O14" i="288"/>
  <c r="O13" i="288"/>
  <c r="O12" i="288"/>
  <c r="O11" i="288"/>
  <c r="O10" i="288"/>
  <c r="O9" i="288"/>
  <c r="L5" i="288"/>
  <c r="K5" i="288"/>
  <c r="J5" i="288"/>
  <c r="I5" i="288"/>
  <c r="H5" i="288"/>
  <c r="G5" i="288"/>
  <c r="F5" i="288"/>
  <c r="E5" i="288"/>
  <c r="D5" i="288"/>
  <c r="L4" i="288"/>
  <c r="K4" i="288"/>
  <c r="J4" i="288"/>
  <c r="I4" i="288"/>
  <c r="H4" i="288"/>
  <c r="G4" i="288"/>
  <c r="F4" i="288"/>
  <c r="E4" i="288"/>
  <c r="D4" i="288"/>
  <c r="C5" i="288"/>
  <c r="C4" i="288"/>
  <c r="N102" i="288"/>
  <c r="N100" i="288"/>
  <c r="N99" i="288"/>
  <c r="N98" i="288"/>
  <c r="N97" i="288"/>
  <c r="N96" i="288"/>
  <c r="P96" i="288" s="1"/>
  <c r="P95" i="288"/>
  <c r="P86" i="288"/>
  <c r="P85" i="288"/>
  <c r="N36" i="288"/>
  <c r="P36" i="288" s="1"/>
  <c r="N35" i="288"/>
  <c r="P35" i="288" s="1"/>
  <c r="N34" i="288"/>
  <c r="P34" i="288" s="1"/>
  <c r="N33" i="288"/>
  <c r="P33" i="288" s="1"/>
  <c r="N32" i="288"/>
  <c r="P32" i="288" s="1"/>
  <c r="N31" i="288"/>
  <c r="N30" i="288"/>
  <c r="N29" i="288"/>
  <c r="N28" i="288"/>
  <c r="N27" i="288"/>
  <c r="N26" i="288"/>
  <c r="N25" i="288"/>
  <c r="N24" i="288"/>
  <c r="N23" i="288"/>
  <c r="N22" i="288"/>
  <c r="N21" i="288"/>
  <c r="P21" i="288" s="1"/>
  <c r="N20" i="288"/>
  <c r="P20" i="288" s="1"/>
  <c r="N19" i="288"/>
  <c r="N18" i="288"/>
  <c r="N17" i="288"/>
  <c r="N16" i="288"/>
  <c r="N15" i="288"/>
  <c r="N14" i="288"/>
  <c r="N13" i="288"/>
  <c r="N12" i="288"/>
  <c r="P12" i="288" s="1"/>
  <c r="N11" i="288"/>
  <c r="P11" i="288" s="1"/>
  <c r="N10" i="288"/>
  <c r="P10" i="288" s="1"/>
  <c r="N9" i="288"/>
  <c r="P9" i="288" s="1"/>
  <c r="P17" i="288" l="1"/>
  <c r="P30" i="288"/>
  <c r="P31" i="288"/>
  <c r="P73" i="288"/>
  <c r="P84" i="288"/>
  <c r="P48" i="288"/>
  <c r="P83" i="288"/>
  <c r="P92" i="288"/>
  <c r="P56" i="288"/>
  <c r="P14" i="288"/>
  <c r="P26" i="288"/>
  <c r="P29" i="288"/>
  <c r="P18" i="288"/>
  <c r="P19" i="288"/>
  <c r="P72" i="288"/>
  <c r="P60" i="288"/>
  <c r="P59" i="288"/>
  <c r="P15" i="288"/>
  <c r="P27" i="288"/>
  <c r="P43" i="288"/>
  <c r="P55" i="288"/>
  <c r="P67" i="288"/>
  <c r="P79" i="288"/>
  <c r="P91" i="288"/>
  <c r="I3" i="288"/>
  <c r="I1" i="288" s="1"/>
  <c r="K3" i="288"/>
  <c r="K1" i="288" s="1"/>
  <c r="J3" i="288"/>
  <c r="J1" i="288" s="1"/>
  <c r="C3" i="288"/>
  <c r="L3" i="288"/>
  <c r="L1" i="288" s="1"/>
  <c r="F3" i="288"/>
  <c r="F1" i="288" s="1"/>
  <c r="G3" i="288"/>
  <c r="G1" i="288" s="1"/>
  <c r="D3" i="288"/>
  <c r="D1" i="288" s="1"/>
  <c r="H3" i="288"/>
  <c r="H1" i="288" s="1"/>
  <c r="E3" i="288"/>
  <c r="E1" i="288" s="1"/>
  <c r="C1" i="288"/>
  <c r="N3" i="288" l="1"/>
  <c r="N96" i="286" l="1"/>
  <c r="N37" i="286"/>
  <c r="N3" i="286"/>
  <c r="L5" i="286" l="1"/>
  <c r="K5" i="286"/>
  <c r="J5" i="286"/>
  <c r="I5" i="286"/>
  <c r="H5" i="286"/>
  <c r="H3" i="286" s="1"/>
  <c r="H1" i="286" s="1"/>
  <c r="G5" i="286"/>
  <c r="G3" i="286" s="1"/>
  <c r="G1" i="286" s="1"/>
  <c r="F5" i="286"/>
  <c r="F3" i="286" s="1"/>
  <c r="F1" i="286" s="1"/>
  <c r="E5" i="286"/>
  <c r="D5" i="286"/>
  <c r="L4" i="286"/>
  <c r="L3" i="286" s="1"/>
  <c r="L1" i="286" s="1"/>
  <c r="K4" i="286"/>
  <c r="K3" i="286" s="1"/>
  <c r="K1" i="286" s="1"/>
  <c r="J4" i="286"/>
  <c r="J3" i="286" s="1"/>
  <c r="J1" i="286" s="1"/>
  <c r="I4" i="286"/>
  <c r="H4" i="286"/>
  <c r="G4" i="286"/>
  <c r="F4" i="286"/>
  <c r="E4" i="286"/>
  <c r="E3" i="286" s="1"/>
  <c r="E1" i="286" s="1"/>
  <c r="D4" i="286"/>
  <c r="D3" i="286" s="1"/>
  <c r="D1" i="286" s="1"/>
  <c r="C5" i="286"/>
  <c r="C4" i="286"/>
  <c r="I3" i="286"/>
  <c r="I1" i="286" s="1"/>
  <c r="C3" i="286" l="1"/>
  <c r="C1" i="286" s="1"/>
  <c r="L5" i="282" l="1"/>
  <c r="K5" i="282"/>
  <c r="J5" i="282"/>
  <c r="I5" i="282"/>
  <c r="H5" i="282"/>
  <c r="G5" i="282"/>
  <c r="F5" i="282"/>
  <c r="E5" i="282"/>
  <c r="D5" i="282"/>
  <c r="L4" i="282"/>
  <c r="K4" i="282"/>
  <c r="J4" i="282"/>
  <c r="I4" i="282"/>
  <c r="H4" i="282"/>
  <c r="G4" i="282"/>
  <c r="F4" i="282"/>
  <c r="E4" i="282"/>
  <c r="D4" i="282"/>
  <c r="C5" i="282"/>
  <c r="C4" i="282"/>
  <c r="N104" i="282"/>
  <c r="N103" i="282"/>
  <c r="N102" i="282"/>
  <c r="N101" i="282"/>
  <c r="N100" i="282"/>
  <c r="N99" i="282"/>
  <c r="N98" i="282"/>
  <c r="N97" i="282"/>
  <c r="N96" i="282"/>
  <c r="N95" i="282"/>
  <c r="N94" i="282"/>
  <c r="N93" i="282"/>
  <c r="N92" i="282"/>
  <c r="N91" i="282"/>
  <c r="N90" i="282"/>
  <c r="N89" i="282"/>
  <c r="N88" i="282"/>
  <c r="N87" i="282"/>
  <c r="N86" i="282"/>
  <c r="N85" i="282"/>
  <c r="N84" i="282"/>
  <c r="N83" i="282"/>
  <c r="N82" i="282"/>
  <c r="N81" i="282"/>
  <c r="N80" i="282"/>
  <c r="N79" i="282"/>
  <c r="N78" i="282"/>
  <c r="N77" i="282"/>
  <c r="N76" i="282"/>
  <c r="N75" i="282"/>
  <c r="N74" i="282"/>
  <c r="N73" i="282"/>
  <c r="N72" i="282"/>
  <c r="N71" i="282"/>
  <c r="N70" i="282"/>
  <c r="N69" i="282"/>
  <c r="N68" i="282"/>
  <c r="N67" i="282"/>
  <c r="N66" i="282"/>
  <c r="N65" i="282"/>
  <c r="N64" i="282"/>
  <c r="N63" i="282"/>
  <c r="N62" i="282"/>
  <c r="N61" i="282"/>
  <c r="N60" i="282"/>
  <c r="N59" i="282"/>
  <c r="N58" i="282"/>
  <c r="N57" i="282"/>
  <c r="N56" i="282"/>
  <c r="N55" i="282"/>
  <c r="N54" i="282"/>
  <c r="N53" i="282"/>
  <c r="N52" i="282"/>
  <c r="N51" i="282"/>
  <c r="N50" i="282"/>
  <c r="N49" i="282"/>
  <c r="N48" i="282"/>
  <c r="N47" i="282"/>
  <c r="N41" i="282"/>
  <c r="N40" i="282"/>
  <c r="N39" i="282"/>
  <c r="N38" i="282"/>
  <c r="N37" i="282"/>
  <c r="N36" i="282"/>
  <c r="N35" i="282"/>
  <c r="N34" i="282"/>
  <c r="N33" i="282"/>
  <c r="N32" i="282"/>
  <c r="N31" i="282"/>
  <c r="N30" i="282"/>
  <c r="N29" i="282"/>
  <c r="N28" i="282"/>
  <c r="N27" i="282"/>
  <c r="N26" i="282"/>
  <c r="N25" i="282"/>
  <c r="N24" i="282"/>
  <c r="N23" i="282"/>
  <c r="N22" i="282"/>
  <c r="N21" i="282"/>
  <c r="N20" i="282"/>
  <c r="N19" i="282"/>
  <c r="N18" i="282"/>
  <c r="N17" i="282"/>
  <c r="N16" i="282"/>
  <c r="N15" i="282"/>
  <c r="N14" i="282"/>
  <c r="N13" i="282"/>
  <c r="N12" i="282"/>
  <c r="N11" i="282"/>
  <c r="N10" i="282"/>
  <c r="N9" i="282"/>
  <c r="J3" i="282" l="1"/>
  <c r="J1" i="282" s="1"/>
  <c r="G3" i="282"/>
  <c r="G1" i="282" s="1"/>
  <c r="H3" i="282"/>
  <c r="H1" i="282" s="1"/>
  <c r="K3" i="282"/>
  <c r="K1" i="282" s="1"/>
  <c r="L3" i="282"/>
  <c r="L1" i="282" s="1"/>
  <c r="I3" i="282"/>
  <c r="I1" i="282" s="1"/>
  <c r="C3" i="282"/>
  <c r="C1" i="282" s="1"/>
  <c r="D3" i="282"/>
  <c r="D1" i="282" s="1"/>
  <c r="E3" i="282"/>
  <c r="E1" i="282" s="1"/>
  <c r="F3" i="282"/>
  <c r="F1" i="282" s="1"/>
  <c r="T21" i="272" l="1"/>
  <c r="T20" i="272"/>
  <c r="T19" i="272"/>
  <c r="T18" i="272"/>
  <c r="T17" i="272"/>
  <c r="T16" i="272"/>
  <c r="T15" i="272"/>
  <c r="T14" i="272"/>
  <c r="T13" i="272"/>
  <c r="T12" i="272"/>
  <c r="T11" i="272"/>
  <c r="T10" i="272"/>
  <c r="T9" i="272"/>
  <c r="T8" i="272"/>
  <c r="T7" i="272"/>
  <c r="T6" i="272"/>
  <c r="T5" i="272"/>
  <c r="T4" i="272"/>
  <c r="T3" i="272"/>
  <c r="T2" i="272"/>
  <c r="R23" i="272"/>
  <c r="R25" i="272" s="1"/>
  <c r="Q23" i="272"/>
  <c r="Q25" i="272" s="1"/>
  <c r="P23" i="272"/>
  <c r="P25" i="272" s="1"/>
  <c r="O23" i="272"/>
  <c r="O25" i="272" s="1"/>
  <c r="N23" i="272"/>
  <c r="N25" i="272" s="1"/>
  <c r="M23" i="272"/>
  <c r="M25" i="272" s="1"/>
  <c r="L23" i="272"/>
  <c r="L25" i="272" s="1"/>
  <c r="K23" i="272"/>
  <c r="K25" i="272" s="1"/>
  <c r="J23" i="272"/>
  <c r="J25" i="272" s="1"/>
  <c r="I23" i="272"/>
  <c r="I25" i="272" s="1"/>
  <c r="H23" i="272"/>
  <c r="H25" i="272" s="1"/>
  <c r="G23" i="272"/>
  <c r="G25" i="272" s="1"/>
  <c r="F23" i="272"/>
  <c r="F25" i="272" s="1"/>
  <c r="E23" i="272"/>
  <c r="E25" i="272" s="1"/>
  <c r="D23" i="272"/>
  <c r="D25" i="272" s="1"/>
  <c r="C23" i="272"/>
  <c r="C25" i="272" s="1"/>
  <c r="B23" i="272"/>
  <c r="B25" i="272" s="1"/>
  <c r="S21" i="272"/>
  <c r="S20" i="272"/>
  <c r="S19" i="272"/>
  <c r="S18" i="272"/>
  <c r="S17" i="272"/>
  <c r="S16" i="272"/>
  <c r="S15" i="272"/>
  <c r="S14" i="272"/>
  <c r="S13" i="272"/>
  <c r="U13" i="272" s="1"/>
  <c r="S12" i="272"/>
  <c r="S11" i="272"/>
  <c r="S10" i="272"/>
  <c r="S9" i="272"/>
  <c r="S8" i="272"/>
  <c r="S7" i="272"/>
  <c r="S6" i="272"/>
  <c r="S5" i="272"/>
  <c r="S4" i="272"/>
  <c r="S3" i="272"/>
  <c r="S2" i="272"/>
  <c r="V23" i="271"/>
  <c r="V22" i="271"/>
  <c r="V21" i="271"/>
  <c r="V20" i="271"/>
  <c r="V19" i="271"/>
  <c r="V18" i="271"/>
  <c r="V17" i="271"/>
  <c r="V16" i="271"/>
  <c r="V15" i="271"/>
  <c r="V14" i="271"/>
  <c r="V13" i="271"/>
  <c r="V12" i="271"/>
  <c r="V11" i="271"/>
  <c r="V10" i="271"/>
  <c r="V9" i="271"/>
  <c r="V8" i="271"/>
  <c r="V7" i="271"/>
  <c r="V6" i="271"/>
  <c r="V5" i="271"/>
  <c r="V4" i="271"/>
  <c r="V3" i="271"/>
  <c r="V2" i="271"/>
  <c r="S25" i="271"/>
  <c r="R25" i="271"/>
  <c r="Q25" i="271"/>
  <c r="P25" i="271"/>
  <c r="O25" i="271"/>
  <c r="N25" i="271"/>
  <c r="M25" i="271"/>
  <c r="L25" i="271"/>
  <c r="K25" i="271"/>
  <c r="J25" i="271"/>
  <c r="I25" i="271"/>
  <c r="H25" i="271"/>
  <c r="G25" i="271"/>
  <c r="F25" i="271"/>
  <c r="E25" i="271"/>
  <c r="D25" i="271"/>
  <c r="C25" i="271"/>
  <c r="B25" i="271"/>
  <c r="U23" i="271"/>
  <c r="U22" i="271"/>
  <c r="W22" i="271" s="1"/>
  <c r="U21" i="271"/>
  <c r="U20" i="271"/>
  <c r="U19" i="271"/>
  <c r="W19" i="271" s="1"/>
  <c r="U18" i="271"/>
  <c r="U17" i="271"/>
  <c r="W17" i="271" s="1"/>
  <c r="U16" i="271"/>
  <c r="U15" i="271"/>
  <c r="W15" i="271" s="1"/>
  <c r="U14" i="271"/>
  <c r="U13" i="271"/>
  <c r="U12" i="271"/>
  <c r="W12" i="271" s="1"/>
  <c r="U11" i="271"/>
  <c r="U10" i="271"/>
  <c r="W10" i="271" s="1"/>
  <c r="U9" i="271"/>
  <c r="U8" i="271"/>
  <c r="U7" i="271"/>
  <c r="U6" i="271"/>
  <c r="U5" i="271"/>
  <c r="W5" i="271" s="1"/>
  <c r="U4" i="271"/>
  <c r="U3" i="271"/>
  <c r="W3" i="271" s="1"/>
  <c r="U2" i="271"/>
  <c r="W24" i="269"/>
  <c r="W23" i="269"/>
  <c r="W22" i="269"/>
  <c r="W21" i="269"/>
  <c r="W20" i="269"/>
  <c r="W19" i="269"/>
  <c r="W18" i="269"/>
  <c r="W17" i="269"/>
  <c r="W16" i="269"/>
  <c r="W15" i="269"/>
  <c r="W14" i="269"/>
  <c r="W13" i="269"/>
  <c r="W12" i="269"/>
  <c r="W11" i="269"/>
  <c r="W10" i="269"/>
  <c r="W9" i="269"/>
  <c r="W8" i="269"/>
  <c r="W7" i="269"/>
  <c r="W6" i="269"/>
  <c r="W5" i="269"/>
  <c r="W4" i="269"/>
  <c r="W3" i="269"/>
  <c r="W2" i="269"/>
  <c r="T26" i="269"/>
  <c r="T28" i="269" s="1"/>
  <c r="S26" i="269"/>
  <c r="S28" i="269" s="1"/>
  <c r="R26" i="269"/>
  <c r="R28" i="269" s="1"/>
  <c r="Q26" i="269"/>
  <c r="Q28" i="269" s="1"/>
  <c r="P26" i="269"/>
  <c r="P28" i="269" s="1"/>
  <c r="O26" i="269"/>
  <c r="O28" i="269" s="1"/>
  <c r="N26" i="269"/>
  <c r="N28" i="269" s="1"/>
  <c r="M26" i="269"/>
  <c r="M28" i="269" s="1"/>
  <c r="L26" i="269"/>
  <c r="L28" i="269" s="1"/>
  <c r="K26" i="269"/>
  <c r="K28" i="269" s="1"/>
  <c r="J26" i="269"/>
  <c r="J28" i="269" s="1"/>
  <c r="I26" i="269"/>
  <c r="I28" i="269" s="1"/>
  <c r="H26" i="269"/>
  <c r="H28" i="269" s="1"/>
  <c r="G26" i="269"/>
  <c r="G28" i="269" s="1"/>
  <c r="F26" i="269"/>
  <c r="F28" i="269" s="1"/>
  <c r="E26" i="269"/>
  <c r="E28" i="269" s="1"/>
  <c r="D26" i="269"/>
  <c r="D28" i="269" s="1"/>
  <c r="C26" i="269"/>
  <c r="C28" i="269" s="1"/>
  <c r="B26" i="269"/>
  <c r="B28" i="269" s="1"/>
  <c r="V24" i="269"/>
  <c r="V23" i="269"/>
  <c r="V22" i="269"/>
  <c r="X22" i="269" s="1"/>
  <c r="V21" i="269"/>
  <c r="X21" i="269" s="1"/>
  <c r="V20" i="269"/>
  <c r="X20" i="269" s="1"/>
  <c r="V19" i="269"/>
  <c r="V18" i="269"/>
  <c r="X18" i="269" s="1"/>
  <c r="V17" i="269"/>
  <c r="X17" i="269" s="1"/>
  <c r="V16" i="269"/>
  <c r="V15" i="269"/>
  <c r="X15" i="269" s="1"/>
  <c r="V14" i="269"/>
  <c r="V13" i="269"/>
  <c r="X13" i="269" s="1"/>
  <c r="V12" i="269"/>
  <c r="V11" i="269"/>
  <c r="V10" i="269"/>
  <c r="X10" i="269" s="1"/>
  <c r="V9" i="269"/>
  <c r="X9" i="269" s="1"/>
  <c r="V8" i="269"/>
  <c r="X8" i="269" s="1"/>
  <c r="V7" i="269"/>
  <c r="V6" i="269"/>
  <c r="X6" i="269" s="1"/>
  <c r="V5" i="269"/>
  <c r="X5" i="269" s="1"/>
  <c r="V4" i="269"/>
  <c r="V3" i="269"/>
  <c r="X3" i="269" s="1"/>
  <c r="V2" i="269"/>
  <c r="W4" i="271" l="1"/>
  <c r="W16" i="271"/>
  <c r="X12" i="269"/>
  <c r="X24" i="269"/>
  <c r="W9" i="271"/>
  <c r="W21" i="271"/>
  <c r="X16" i="269"/>
  <c r="X4" i="269"/>
  <c r="U12" i="272"/>
  <c r="X2" i="269"/>
  <c r="X14" i="269"/>
  <c r="W11" i="271"/>
  <c r="W23" i="271"/>
  <c r="X7" i="269"/>
  <c r="W6" i="271"/>
  <c r="W18" i="271"/>
  <c r="W8" i="271"/>
  <c r="W20" i="271"/>
  <c r="W13" i="271"/>
  <c r="W2" i="271"/>
  <c r="W14" i="271"/>
  <c r="X19" i="269"/>
  <c r="X11" i="269"/>
  <c r="X23" i="269"/>
  <c r="U2" i="272"/>
  <c r="U14" i="272"/>
  <c r="U3" i="272"/>
  <c r="U4" i="272"/>
  <c r="U16" i="272"/>
  <c r="U5" i="272"/>
  <c r="U17" i="272"/>
  <c r="U18" i="272"/>
  <c r="U7" i="272"/>
  <c r="W7" i="271"/>
  <c r="U8" i="272"/>
  <c r="U9" i="272"/>
  <c r="U11" i="272"/>
  <c r="U21" i="272"/>
  <c r="U19" i="272"/>
  <c r="U20" i="272"/>
  <c r="U15" i="272"/>
  <c r="U10" i="272"/>
  <c r="U6" i="272"/>
  <c r="X23" i="268"/>
  <c r="X21" i="268"/>
  <c r="X20" i="268"/>
  <c r="X19" i="268"/>
  <c r="X18" i="268"/>
  <c r="X17" i="268"/>
  <c r="X16" i="268"/>
  <c r="X15" i="268"/>
  <c r="X14" i="268"/>
  <c r="Y14" i="268" s="1"/>
  <c r="X13" i="268"/>
  <c r="X11" i="268"/>
  <c r="X9" i="268"/>
  <c r="X8" i="268"/>
  <c r="X7" i="268"/>
  <c r="X6" i="268"/>
  <c r="X5" i="268"/>
  <c r="X4" i="268"/>
  <c r="X3" i="268"/>
  <c r="X2" i="268"/>
  <c r="X24" i="268"/>
  <c r="X22" i="268"/>
  <c r="X12" i="268"/>
  <c r="X10" i="268"/>
  <c r="U26" i="268"/>
  <c r="U28" i="268" s="1"/>
  <c r="T26" i="268"/>
  <c r="T28" i="268" s="1"/>
  <c r="S26" i="268"/>
  <c r="S28" i="268" s="1"/>
  <c r="R26" i="268"/>
  <c r="R28" i="268" s="1"/>
  <c r="Q26" i="268"/>
  <c r="Q28" i="268" s="1"/>
  <c r="P26" i="268"/>
  <c r="P28" i="268" s="1"/>
  <c r="O26" i="268"/>
  <c r="O28" i="268" s="1"/>
  <c r="N26" i="268"/>
  <c r="N28" i="268" s="1"/>
  <c r="M26" i="268"/>
  <c r="M28" i="268" s="1"/>
  <c r="L26" i="268"/>
  <c r="L28" i="268" s="1"/>
  <c r="K26" i="268"/>
  <c r="K28" i="268" s="1"/>
  <c r="J26" i="268"/>
  <c r="J28" i="268" s="1"/>
  <c r="I26" i="268"/>
  <c r="I28" i="268" s="1"/>
  <c r="H26" i="268"/>
  <c r="H28" i="268" s="1"/>
  <c r="G26" i="268"/>
  <c r="G28" i="268" s="1"/>
  <c r="F26" i="268"/>
  <c r="F28" i="268" s="1"/>
  <c r="E26" i="268"/>
  <c r="E28" i="268" s="1"/>
  <c r="D26" i="268"/>
  <c r="D28" i="268" s="1"/>
  <c r="C26" i="268"/>
  <c r="C28" i="268" s="1"/>
  <c r="B26" i="268"/>
  <c r="B28" i="268" s="1"/>
  <c r="W24" i="268"/>
  <c r="W23" i="268"/>
  <c r="W22" i="268"/>
  <c r="W21" i="268"/>
  <c r="W20" i="268"/>
  <c r="W19" i="268"/>
  <c r="W18" i="268"/>
  <c r="W17" i="268"/>
  <c r="W16" i="268"/>
  <c r="W15" i="268"/>
  <c r="W14" i="268"/>
  <c r="W13" i="268"/>
  <c r="W12" i="268"/>
  <c r="W11" i="268"/>
  <c r="W10" i="268"/>
  <c r="W9" i="268"/>
  <c r="W8" i="268"/>
  <c r="W7" i="268"/>
  <c r="W6" i="268"/>
  <c r="W5" i="268"/>
  <c r="Y5" i="268" s="1"/>
  <c r="W4" i="268"/>
  <c r="W3" i="268"/>
  <c r="W2" i="268"/>
  <c r="Y6" i="268" l="1"/>
  <c r="Y22" i="268"/>
  <c r="Y2" i="268"/>
  <c r="Y4" i="268"/>
  <c r="Y9" i="268"/>
  <c r="Y13" i="268"/>
  <c r="Y7" i="268"/>
  <c r="Y24" i="268"/>
  <c r="Y15" i="268"/>
  <c r="Y10" i="268"/>
  <c r="Y11" i="268"/>
  <c r="Y3" i="268"/>
  <c r="Y17" i="268"/>
  <c r="Y18" i="268"/>
  <c r="Y19" i="268"/>
  <c r="Y20" i="268"/>
  <c r="Y21" i="268"/>
  <c r="Y8" i="268"/>
  <c r="Y23" i="268"/>
  <c r="Y16" i="268"/>
  <c r="Y12" i="268"/>
  <c r="C22" i="267" l="1"/>
  <c r="C24" i="267" s="1"/>
  <c r="D22" i="267"/>
  <c r="D24" i="267" s="1"/>
  <c r="E22" i="267"/>
  <c r="E24" i="267" s="1"/>
  <c r="F22" i="267"/>
  <c r="F24" i="267" s="1"/>
  <c r="G22" i="267"/>
  <c r="G24" i="267" s="1"/>
  <c r="H22" i="267"/>
  <c r="H24" i="267" s="1"/>
  <c r="I22" i="267"/>
  <c r="I24" i="267" s="1"/>
  <c r="J22" i="267"/>
  <c r="J24" i="267" s="1"/>
  <c r="K22" i="267"/>
  <c r="K24" i="267" s="1"/>
  <c r="L22" i="267"/>
  <c r="L24" i="267" s="1"/>
  <c r="M22" i="267"/>
  <c r="M24" i="267" s="1"/>
  <c r="N22" i="267"/>
  <c r="N24" i="267" s="1"/>
  <c r="O22" i="267"/>
  <c r="O24" i="267" s="1"/>
  <c r="B22" i="267"/>
  <c r="B24" i="267" s="1"/>
  <c r="Q3" i="267"/>
  <c r="Q4" i="267"/>
  <c r="Q5" i="267"/>
  <c r="Q6" i="267"/>
  <c r="Q7" i="267"/>
  <c r="Q8" i="267"/>
  <c r="Q9" i="267"/>
  <c r="Q10" i="267"/>
  <c r="Q11" i="267"/>
  <c r="Q12" i="267"/>
  <c r="Q13" i="267"/>
  <c r="Q14" i="267"/>
  <c r="Q15" i="267"/>
  <c r="Q16" i="267"/>
  <c r="Q17" i="267"/>
  <c r="Q18" i="267"/>
  <c r="Q19" i="267"/>
  <c r="Q20" i="267"/>
  <c r="Q21" i="267"/>
  <c r="Q2" i="267"/>
  <c r="V24" i="264"/>
  <c r="W24" i="264" s="1"/>
  <c r="V23" i="264"/>
  <c r="V22" i="264"/>
  <c r="V21" i="264"/>
  <c r="V20" i="264"/>
  <c r="W20" i="264" s="1"/>
  <c r="V19" i="264"/>
  <c r="W19" i="264" s="1"/>
  <c r="V18" i="264"/>
  <c r="W18" i="264" s="1"/>
  <c r="V17" i="264"/>
  <c r="W17" i="264" s="1"/>
  <c r="V16" i="264"/>
  <c r="W16" i="264" s="1"/>
  <c r="V15" i="264"/>
  <c r="W15" i="264" s="1"/>
  <c r="V14" i="264"/>
  <c r="W14" i="264" s="1"/>
  <c r="V13" i="264"/>
  <c r="W13" i="264" s="1"/>
  <c r="V12" i="264"/>
  <c r="W12" i="264" s="1"/>
  <c r="V11" i="264"/>
  <c r="W11" i="264" s="1"/>
  <c r="V10" i="264"/>
  <c r="V9" i="264"/>
  <c r="V8" i="264"/>
  <c r="V7" i="264"/>
  <c r="W7" i="264" s="1"/>
  <c r="V6" i="264"/>
  <c r="W6" i="264" s="1"/>
  <c r="V5" i="264"/>
  <c r="W5" i="264" s="1"/>
  <c r="V4" i="264"/>
  <c r="W4" i="264" s="1"/>
  <c r="V3" i="264"/>
  <c r="W3" i="264" s="1"/>
  <c r="V2" i="264"/>
  <c r="W2" i="264" s="1"/>
  <c r="W25" i="264"/>
  <c r="W23" i="264"/>
  <c r="W22" i="264"/>
  <c r="W21" i="264"/>
  <c r="W10" i="264"/>
  <c r="W9" i="264"/>
  <c r="W8" i="264"/>
  <c r="T28" i="264"/>
  <c r="S26" i="264"/>
  <c r="S28" i="264" s="1"/>
  <c r="R26" i="264"/>
  <c r="R28" i="264" s="1"/>
  <c r="Q26" i="264"/>
  <c r="Q28" i="264" s="1"/>
  <c r="P26" i="264"/>
  <c r="P28" i="264" s="1"/>
  <c r="O26" i="264"/>
  <c r="O28" i="264" s="1"/>
  <c r="N26" i="264"/>
  <c r="N28" i="264" s="1"/>
  <c r="M26" i="264"/>
  <c r="M28" i="264" s="1"/>
  <c r="L26" i="264"/>
  <c r="L28" i="264" s="1"/>
  <c r="K26" i="264"/>
  <c r="K28" i="264" s="1"/>
  <c r="J26" i="264"/>
  <c r="J28" i="264" s="1"/>
  <c r="I26" i="264"/>
  <c r="I28" i="264" s="1"/>
  <c r="H26" i="264"/>
  <c r="H28" i="264" s="1"/>
  <c r="G26" i="264"/>
  <c r="G28" i="264" s="1"/>
  <c r="F26" i="264"/>
  <c r="F28" i="264" s="1"/>
  <c r="E26" i="264"/>
  <c r="E28" i="264" s="1"/>
  <c r="D26" i="264"/>
  <c r="D28" i="264" s="1"/>
  <c r="C26" i="264"/>
  <c r="C28" i="264" s="1"/>
  <c r="B26" i="264"/>
  <c r="B28" i="264" s="1"/>
  <c r="L5" i="263"/>
  <c r="K5" i="263"/>
  <c r="J5" i="263"/>
  <c r="I5" i="263"/>
  <c r="H5" i="263"/>
  <c r="G5" i="263"/>
  <c r="F5" i="263"/>
  <c r="E5" i="263"/>
  <c r="D5" i="263"/>
  <c r="C5" i="263"/>
  <c r="L4" i="263"/>
  <c r="K4" i="263"/>
  <c r="J4" i="263"/>
  <c r="I4" i="263"/>
  <c r="H4" i="263"/>
  <c r="G4" i="263"/>
  <c r="F4" i="263"/>
  <c r="E4" i="263"/>
  <c r="D4" i="263"/>
  <c r="C4" i="263"/>
  <c r="K3" i="263" l="1"/>
  <c r="K1" i="263" s="1"/>
  <c r="F3" i="263"/>
  <c r="F1" i="263" s="1"/>
  <c r="G3" i="263"/>
  <c r="G1" i="263" s="1"/>
  <c r="L3" i="263"/>
  <c r="L1" i="263" s="1"/>
  <c r="D3" i="263"/>
  <c r="D1" i="263" s="1"/>
  <c r="E3" i="263"/>
  <c r="E1" i="263" s="1"/>
  <c r="H3" i="263"/>
  <c r="H1" i="263" s="1"/>
  <c r="I3" i="263"/>
  <c r="I1" i="263" s="1"/>
  <c r="J3" i="263"/>
  <c r="J1" i="263" s="1"/>
  <c r="C3" i="263"/>
  <c r="C1" i="263" s="1"/>
  <c r="U24" i="259" l="1"/>
  <c r="U23" i="259"/>
  <c r="U22" i="259"/>
  <c r="U21" i="259"/>
  <c r="U20" i="259"/>
  <c r="U19" i="259"/>
  <c r="U18" i="259"/>
  <c r="U17" i="259"/>
  <c r="U16" i="259"/>
  <c r="U15" i="259"/>
  <c r="U14" i="259"/>
  <c r="U13" i="259"/>
  <c r="U12" i="259"/>
  <c r="U11" i="259"/>
  <c r="U10" i="259"/>
  <c r="U9" i="259"/>
  <c r="U8" i="259"/>
  <c r="U7" i="259"/>
  <c r="U6" i="259"/>
  <c r="U5" i="259"/>
  <c r="U4" i="259"/>
  <c r="U3" i="259"/>
  <c r="U2" i="259"/>
  <c r="T27" i="259"/>
  <c r="T25" i="259"/>
  <c r="T24" i="259"/>
  <c r="V24" i="259" s="1"/>
  <c r="T23" i="259"/>
  <c r="T22" i="259"/>
  <c r="V22" i="259" s="1"/>
  <c r="T21" i="259"/>
  <c r="V21" i="259" s="1"/>
  <c r="T20" i="259"/>
  <c r="V20" i="259" s="1"/>
  <c r="T19" i="259"/>
  <c r="V19" i="259" s="1"/>
  <c r="T18" i="259"/>
  <c r="V18" i="259" s="1"/>
  <c r="T17" i="259"/>
  <c r="V17" i="259" s="1"/>
  <c r="T16" i="259"/>
  <c r="T15" i="259"/>
  <c r="T14" i="259"/>
  <c r="T13" i="259"/>
  <c r="T12" i="259"/>
  <c r="V12" i="259" s="1"/>
  <c r="T11" i="259"/>
  <c r="V11" i="259" s="1"/>
  <c r="T10" i="259"/>
  <c r="V10" i="259" s="1"/>
  <c r="T9" i="259"/>
  <c r="V9" i="259" s="1"/>
  <c r="T8" i="259"/>
  <c r="V8" i="259" s="1"/>
  <c r="T7" i="259"/>
  <c r="V7" i="259" s="1"/>
  <c r="T6" i="259"/>
  <c r="V6" i="259" s="1"/>
  <c r="T5" i="259"/>
  <c r="T4" i="259"/>
  <c r="V4" i="259" s="1"/>
  <c r="T3" i="259"/>
  <c r="T2" i="259"/>
  <c r="V2" i="259" s="1"/>
  <c r="R26" i="259"/>
  <c r="R28" i="259" s="1"/>
  <c r="Q26" i="259"/>
  <c r="Q28" i="259" s="1"/>
  <c r="P26" i="259"/>
  <c r="P28" i="259" s="1"/>
  <c r="O26" i="259"/>
  <c r="O28" i="259" s="1"/>
  <c r="N26" i="259"/>
  <c r="N28" i="259" s="1"/>
  <c r="M26" i="259"/>
  <c r="M28" i="259" s="1"/>
  <c r="L26" i="259"/>
  <c r="L28" i="259" s="1"/>
  <c r="K26" i="259"/>
  <c r="K28" i="259" s="1"/>
  <c r="J26" i="259"/>
  <c r="J28" i="259" s="1"/>
  <c r="I26" i="259"/>
  <c r="I28" i="259" s="1"/>
  <c r="H26" i="259"/>
  <c r="H28" i="259" s="1"/>
  <c r="G26" i="259"/>
  <c r="G28" i="259" s="1"/>
  <c r="F26" i="259"/>
  <c r="F28" i="259" s="1"/>
  <c r="E26" i="259"/>
  <c r="E28" i="259" s="1"/>
  <c r="D26" i="259"/>
  <c r="D28" i="259" s="1"/>
  <c r="C26" i="259"/>
  <c r="C28" i="259" s="1"/>
  <c r="B26" i="259"/>
  <c r="V3" i="259" l="1"/>
  <c r="V16" i="259"/>
  <c r="V15" i="259"/>
  <c r="V5" i="259"/>
  <c r="V14" i="259"/>
  <c r="V13" i="259"/>
  <c r="T26" i="259"/>
  <c r="V23" i="259"/>
  <c r="B28" i="259"/>
  <c r="T28" i="259" s="1"/>
  <c r="L5" i="258" l="1"/>
  <c r="K5" i="258"/>
  <c r="J5" i="258"/>
  <c r="I5" i="258"/>
  <c r="H5" i="258"/>
  <c r="G5" i="258"/>
  <c r="F5" i="258"/>
  <c r="E5" i="258"/>
  <c r="D5" i="258"/>
  <c r="C5" i="258"/>
  <c r="L4" i="258" l="1"/>
  <c r="L3" i="258" s="1"/>
  <c r="L1" i="258" s="1"/>
  <c r="K4" i="258"/>
  <c r="K3" i="258" s="1"/>
  <c r="K1" i="258" s="1"/>
  <c r="J4" i="258"/>
  <c r="I4" i="258"/>
  <c r="H4" i="258"/>
  <c r="G4" i="258"/>
  <c r="F4" i="258"/>
  <c r="E4" i="258"/>
  <c r="D4" i="258"/>
  <c r="C4" i="258"/>
  <c r="J3" i="258"/>
  <c r="J1" i="258" s="1"/>
  <c r="H3" i="258" l="1"/>
  <c r="H1" i="258" s="1"/>
  <c r="G3" i="258"/>
  <c r="G1" i="258" s="1"/>
  <c r="I3" i="258"/>
  <c r="I1" i="258" s="1"/>
  <c r="E3" i="258"/>
  <c r="E1" i="258" s="1"/>
  <c r="F3" i="258"/>
  <c r="F1" i="258" s="1"/>
  <c r="C3" i="258"/>
  <c r="C1" i="258" s="1"/>
  <c r="D3" i="258"/>
  <c r="D1" i="258" s="1"/>
  <c r="W21" i="251"/>
  <c r="W20" i="251"/>
  <c r="W19" i="251"/>
  <c r="W18" i="251"/>
  <c r="W17" i="251"/>
  <c r="W16" i="251"/>
  <c r="W15" i="251"/>
  <c r="W14" i="251"/>
  <c r="W13" i="251"/>
  <c r="W12" i="251"/>
  <c r="W11" i="251"/>
  <c r="W10" i="251"/>
  <c r="W9" i="251"/>
  <c r="W8" i="251"/>
  <c r="W7" i="251"/>
  <c r="W6" i="251"/>
  <c r="W5" i="251"/>
  <c r="W4" i="251"/>
  <c r="W3" i="251"/>
  <c r="W2" i="251"/>
  <c r="U23" i="251"/>
  <c r="U25" i="251" s="1"/>
  <c r="T23" i="251"/>
  <c r="T25" i="251" s="1"/>
  <c r="S23" i="251"/>
  <c r="S25" i="251" s="1"/>
  <c r="R23" i="251"/>
  <c r="R25" i="251" s="1"/>
  <c r="Q23" i="251"/>
  <c r="Q25" i="251" s="1"/>
  <c r="P23" i="251"/>
  <c r="P25" i="251" s="1"/>
  <c r="O23" i="251"/>
  <c r="O25" i="251" s="1"/>
  <c r="N23" i="251"/>
  <c r="N25" i="251" s="1"/>
  <c r="M23" i="251"/>
  <c r="M25" i="251" s="1"/>
  <c r="L23" i="251"/>
  <c r="L25" i="251" s="1"/>
  <c r="K23" i="251"/>
  <c r="K25" i="251" s="1"/>
  <c r="J23" i="251"/>
  <c r="J25" i="251" s="1"/>
  <c r="I23" i="251"/>
  <c r="I25" i="251" s="1"/>
  <c r="H23" i="251"/>
  <c r="H25" i="251" s="1"/>
  <c r="G23" i="251"/>
  <c r="G25" i="251" s="1"/>
  <c r="F23" i="251"/>
  <c r="F25" i="251" s="1"/>
  <c r="E23" i="251"/>
  <c r="E25" i="251" s="1"/>
  <c r="D23" i="251"/>
  <c r="D25" i="251" s="1"/>
  <c r="C23" i="251"/>
  <c r="C25" i="251" s="1"/>
  <c r="B23" i="251"/>
  <c r="B25" i="251" s="1"/>
  <c r="V21" i="251"/>
  <c r="V20" i="251"/>
  <c r="V19" i="251"/>
  <c r="V18" i="251"/>
  <c r="V17" i="251"/>
  <c r="V16" i="251"/>
  <c r="V15" i="251"/>
  <c r="V14" i="251"/>
  <c r="V13" i="251"/>
  <c r="X13" i="251" s="1"/>
  <c r="V12" i="251"/>
  <c r="V11" i="251"/>
  <c r="V10" i="251"/>
  <c r="V9" i="251"/>
  <c r="V8" i="251"/>
  <c r="V7" i="251"/>
  <c r="V6" i="251"/>
  <c r="V5" i="251"/>
  <c r="V4" i="251"/>
  <c r="V3" i="251"/>
  <c r="V2" i="251"/>
  <c r="X2" i="251" s="1"/>
  <c r="U18" i="244"/>
  <c r="U20" i="244" s="1"/>
  <c r="T18" i="244"/>
  <c r="T20" i="244" s="1"/>
  <c r="S18" i="244"/>
  <c r="S20" i="244" s="1"/>
  <c r="R18" i="244"/>
  <c r="R20" i="244" s="1"/>
  <c r="Q18" i="244"/>
  <c r="Q20" i="244" s="1"/>
  <c r="P18" i="244"/>
  <c r="P20" i="244" s="1"/>
  <c r="O18" i="244"/>
  <c r="O20" i="244" s="1"/>
  <c r="N18" i="244"/>
  <c r="N20" i="244" s="1"/>
  <c r="M18" i="244"/>
  <c r="M20" i="244" s="1"/>
  <c r="L18" i="244"/>
  <c r="L20" i="244" s="1"/>
  <c r="K18" i="244"/>
  <c r="K20" i="244" s="1"/>
  <c r="J18" i="244"/>
  <c r="J20" i="244" s="1"/>
  <c r="I18" i="244"/>
  <c r="I20" i="244" s="1"/>
  <c r="H18" i="244"/>
  <c r="H20" i="244" s="1"/>
  <c r="G18" i="244"/>
  <c r="G20" i="244" s="1"/>
  <c r="F18" i="244"/>
  <c r="F20" i="244" s="1"/>
  <c r="E18" i="244"/>
  <c r="E20" i="244" s="1"/>
  <c r="D18" i="244"/>
  <c r="D20" i="244" s="1"/>
  <c r="C18" i="244"/>
  <c r="C20" i="244" s="1"/>
  <c r="B18" i="244"/>
  <c r="B20" i="244" s="1"/>
  <c r="W3" i="244"/>
  <c r="W4" i="244"/>
  <c r="W5" i="244"/>
  <c r="W6" i="244"/>
  <c r="W7" i="244"/>
  <c r="W8" i="244"/>
  <c r="W9" i="244"/>
  <c r="W10" i="244"/>
  <c r="W11" i="244"/>
  <c r="W12" i="244"/>
  <c r="W13" i="244"/>
  <c r="W14" i="244"/>
  <c r="W15" i="244"/>
  <c r="W16" i="244"/>
  <c r="W2" i="244"/>
  <c r="P7" i="240"/>
  <c r="X5" i="251" l="1"/>
  <c r="X17" i="251"/>
  <c r="X6" i="251"/>
  <c r="X18" i="251"/>
  <c r="X7" i="251"/>
  <c r="X19" i="251"/>
  <c r="X8" i="251"/>
  <c r="X20" i="251"/>
  <c r="X14" i="251"/>
  <c r="X4" i="251"/>
  <c r="X16" i="251"/>
  <c r="X9" i="251"/>
  <c r="X21" i="251"/>
  <c r="X10" i="251"/>
  <c r="X11" i="251"/>
  <c r="X12" i="251"/>
  <c r="X15" i="251"/>
  <c r="X3" i="251"/>
  <c r="L5" i="240"/>
  <c r="L3" i="240" s="1"/>
  <c r="L1" i="240" s="1"/>
  <c r="K5" i="240"/>
  <c r="K3" i="240" s="1"/>
  <c r="K1" i="240" s="1"/>
  <c r="J5" i="240"/>
  <c r="I5" i="240"/>
  <c r="H5" i="240"/>
  <c r="G5" i="240"/>
  <c r="F5" i="240"/>
  <c r="E5" i="240"/>
  <c r="D5" i="240"/>
  <c r="L4" i="240"/>
  <c r="K4" i="240"/>
  <c r="J4" i="240"/>
  <c r="I4" i="240"/>
  <c r="H4" i="240"/>
  <c r="G4" i="240"/>
  <c r="F4" i="240"/>
  <c r="F3" i="240" s="1"/>
  <c r="F1" i="240" s="1"/>
  <c r="E4" i="240"/>
  <c r="D4" i="240"/>
  <c r="C5" i="240"/>
  <c r="C4" i="240"/>
  <c r="G3" i="240" l="1"/>
  <c r="G1" i="240" s="1"/>
  <c r="J3" i="240"/>
  <c r="J1" i="240" s="1"/>
  <c r="I3" i="240"/>
  <c r="I1" i="240" s="1"/>
  <c r="C3" i="240"/>
  <c r="C1" i="240" s="1"/>
  <c r="D3" i="240"/>
  <c r="D1" i="240" s="1"/>
  <c r="E3" i="240"/>
  <c r="E1" i="240" s="1"/>
  <c r="H3" i="240"/>
  <c r="H1" i="240" s="1"/>
  <c r="C64" i="237" l="1"/>
  <c r="C66" i="237" s="1"/>
  <c r="D64" i="237"/>
  <c r="D66" i="237" s="1"/>
  <c r="E64" i="237"/>
  <c r="E66" i="237" s="1"/>
  <c r="F64" i="237"/>
  <c r="F66" i="237" s="1"/>
  <c r="G64" i="237"/>
  <c r="G66" i="237" s="1"/>
  <c r="H64" i="237"/>
  <c r="H66" i="237" s="1"/>
  <c r="I64" i="237"/>
  <c r="I66" i="237" s="1"/>
  <c r="J64" i="237"/>
  <c r="J66" i="237" s="1"/>
  <c r="K64" i="237"/>
  <c r="K66" i="237" s="1"/>
  <c r="L64" i="237"/>
  <c r="L66" i="237" s="1"/>
  <c r="M64" i="237"/>
  <c r="M66" i="237" s="1"/>
  <c r="N64" i="237"/>
  <c r="N66" i="237" s="1"/>
  <c r="O64" i="237"/>
  <c r="O66" i="237" s="1"/>
  <c r="B64" i="237"/>
  <c r="B66" i="237" s="1"/>
  <c r="Q28" i="237"/>
  <c r="Q29" i="237"/>
  <c r="Q30" i="237"/>
  <c r="Q31" i="237"/>
  <c r="Q32" i="237"/>
  <c r="Q33" i="237"/>
  <c r="Q34" i="237"/>
  <c r="Q35" i="237"/>
  <c r="Q36" i="237"/>
  <c r="Q37" i="237"/>
  <c r="Q38" i="237"/>
  <c r="Q39" i="237"/>
  <c r="Q40" i="237"/>
  <c r="Q41" i="237"/>
  <c r="Q42" i="237"/>
  <c r="Q43" i="237"/>
  <c r="Q44" i="237"/>
  <c r="Q45" i="237"/>
  <c r="Q46" i="237"/>
  <c r="Q47" i="237"/>
  <c r="Q48" i="237"/>
  <c r="Q49" i="237"/>
  <c r="Q50" i="237"/>
  <c r="Q51" i="237"/>
  <c r="Q52" i="237"/>
  <c r="Q53" i="237"/>
  <c r="Q54" i="237"/>
  <c r="Q55" i="237"/>
  <c r="Q56" i="237"/>
  <c r="Q57" i="237"/>
  <c r="Q58" i="237"/>
  <c r="Q59" i="237"/>
  <c r="Q60" i="237"/>
  <c r="Q61" i="237"/>
  <c r="Q62" i="237"/>
  <c r="Q27" i="237"/>
  <c r="P3" i="234"/>
  <c r="L5" i="234" l="1"/>
  <c r="K5" i="234"/>
  <c r="J5" i="234"/>
  <c r="I5" i="234"/>
  <c r="H5" i="234"/>
  <c r="G5" i="234"/>
  <c r="F5" i="234"/>
  <c r="E5" i="234"/>
  <c r="D5" i="234"/>
  <c r="L4" i="234"/>
  <c r="K4" i="234"/>
  <c r="J4" i="234"/>
  <c r="I4" i="234"/>
  <c r="H4" i="234"/>
  <c r="G4" i="234"/>
  <c r="F4" i="234"/>
  <c r="E4" i="234"/>
  <c r="D4" i="234"/>
  <c r="C5" i="234"/>
  <c r="F3" i="234"/>
  <c r="F1" i="234" s="1"/>
  <c r="C4" i="234"/>
  <c r="N85" i="227"/>
  <c r="O96" i="227"/>
  <c r="O95" i="227"/>
  <c r="O94" i="227"/>
  <c r="O93" i="227"/>
  <c r="O92" i="227"/>
  <c r="O91" i="227"/>
  <c r="O90" i="227"/>
  <c r="O89" i="227"/>
  <c r="O88" i="227"/>
  <c r="O87" i="227"/>
  <c r="O86" i="227"/>
  <c r="O84" i="227"/>
  <c r="O83" i="227"/>
  <c r="O82" i="227"/>
  <c r="O81" i="227"/>
  <c r="O80" i="227"/>
  <c r="O79" i="227"/>
  <c r="O78" i="227"/>
  <c r="O77" i="227"/>
  <c r="O76" i="227"/>
  <c r="O75" i="227"/>
  <c r="O74" i="227"/>
  <c r="O73" i="227"/>
  <c r="O72" i="227"/>
  <c r="O71" i="227"/>
  <c r="O70" i="227"/>
  <c r="O69" i="227"/>
  <c r="O68" i="227"/>
  <c r="O67" i="227"/>
  <c r="O66" i="227"/>
  <c r="O65" i="227"/>
  <c r="O64" i="227"/>
  <c r="O63" i="227"/>
  <c r="O62" i="227"/>
  <c r="O61" i="227"/>
  <c r="O60" i="227"/>
  <c r="O59" i="227"/>
  <c r="O58" i="227"/>
  <c r="O57" i="227"/>
  <c r="O56" i="227"/>
  <c r="O55" i="227"/>
  <c r="O54" i="227"/>
  <c r="O53" i="227"/>
  <c r="O52" i="227"/>
  <c r="O51" i="227"/>
  <c r="O50" i="227"/>
  <c r="O49" i="227"/>
  <c r="O48" i="227"/>
  <c r="O47" i="227"/>
  <c r="O46" i="227"/>
  <c r="O45" i="227"/>
  <c r="O44" i="227"/>
  <c r="O43" i="227"/>
  <c r="O42" i="227"/>
  <c r="O41" i="227"/>
  <c r="O40" i="227"/>
  <c r="O39" i="227"/>
  <c r="O38" i="227"/>
  <c r="C98" i="227"/>
  <c r="C100" i="227" s="1"/>
  <c r="D98" i="227"/>
  <c r="D100" i="227" s="1"/>
  <c r="E98" i="227"/>
  <c r="E100" i="227" s="1"/>
  <c r="F98" i="227"/>
  <c r="F100" i="227" s="1"/>
  <c r="G98" i="227"/>
  <c r="G100" i="227" s="1"/>
  <c r="H98" i="227"/>
  <c r="H100" i="227" s="1"/>
  <c r="I98" i="227"/>
  <c r="I100" i="227" s="1"/>
  <c r="J98" i="227"/>
  <c r="J100" i="227" s="1"/>
  <c r="K98" i="227"/>
  <c r="K100" i="227" s="1"/>
  <c r="L98" i="227"/>
  <c r="L100" i="227" s="1"/>
  <c r="N96" i="227"/>
  <c r="N95" i="227"/>
  <c r="N94" i="227"/>
  <c r="N93" i="227"/>
  <c r="N92" i="227"/>
  <c r="P92" i="227" s="1"/>
  <c r="N91" i="227"/>
  <c r="N90" i="227"/>
  <c r="P90" i="227" s="1"/>
  <c r="N89" i="227"/>
  <c r="N88" i="227"/>
  <c r="P88" i="227" s="1"/>
  <c r="N87" i="227"/>
  <c r="P87" i="227" s="1"/>
  <c r="N86" i="227"/>
  <c r="N84" i="227"/>
  <c r="N83" i="227"/>
  <c r="N82" i="227"/>
  <c r="N81" i="227"/>
  <c r="N80" i="227"/>
  <c r="N79" i="227"/>
  <c r="N78" i="227"/>
  <c r="N77" i="227"/>
  <c r="N76" i="227"/>
  <c r="N75" i="227"/>
  <c r="N74" i="227"/>
  <c r="N73" i="227"/>
  <c r="N72" i="227"/>
  <c r="N71" i="227"/>
  <c r="N70" i="227"/>
  <c r="N69" i="227"/>
  <c r="N68" i="227"/>
  <c r="N67" i="227"/>
  <c r="N66" i="227"/>
  <c r="N65" i="227"/>
  <c r="N64" i="227"/>
  <c r="N63" i="227"/>
  <c r="N62" i="227"/>
  <c r="N61" i="227"/>
  <c r="N60" i="227"/>
  <c r="N59" i="227"/>
  <c r="N58" i="227"/>
  <c r="N57" i="227"/>
  <c r="N56" i="227"/>
  <c r="N55" i="227"/>
  <c r="N54" i="227"/>
  <c r="N53" i="227"/>
  <c r="N52" i="227"/>
  <c r="N51" i="227"/>
  <c r="N50" i="227"/>
  <c r="N49" i="227"/>
  <c r="N48" i="227"/>
  <c r="N47" i="227"/>
  <c r="N46" i="227"/>
  <c r="N45" i="227"/>
  <c r="N44" i="227"/>
  <c r="N43" i="227"/>
  <c r="N42" i="227"/>
  <c r="N41" i="227"/>
  <c r="N40" i="227"/>
  <c r="N39" i="227"/>
  <c r="N38" i="227"/>
  <c r="P60" i="227" l="1"/>
  <c r="P72" i="227"/>
  <c r="P84" i="227"/>
  <c r="P51" i="227"/>
  <c r="P55" i="227"/>
  <c r="P79" i="227"/>
  <c r="P48" i="227"/>
  <c r="C3" i="234"/>
  <c r="C1" i="234" s="1"/>
  <c r="J3" i="234"/>
  <c r="J1" i="234" s="1"/>
  <c r="I3" i="234"/>
  <c r="I1" i="234" s="1"/>
  <c r="K3" i="234"/>
  <c r="K1" i="234" s="1"/>
  <c r="L3" i="234"/>
  <c r="L1" i="234" s="1"/>
  <c r="G3" i="234"/>
  <c r="G1" i="234" s="1"/>
  <c r="E3" i="234"/>
  <c r="E1" i="234" s="1"/>
  <c r="H3" i="234"/>
  <c r="H1" i="234" s="1"/>
  <c r="D3" i="234"/>
  <c r="D1" i="234" s="1"/>
  <c r="P86" i="227"/>
  <c r="P50" i="227"/>
  <c r="P40" i="227"/>
  <c r="P76" i="227"/>
  <c r="P65" i="227"/>
  <c r="P61" i="227"/>
  <c r="P38" i="227"/>
  <c r="P62" i="227"/>
  <c r="P39" i="227"/>
  <c r="P75" i="227"/>
  <c r="P77" i="227"/>
  <c r="P91" i="227"/>
  <c r="P73" i="227"/>
  <c r="P74" i="227"/>
  <c r="P89" i="227"/>
  <c r="P41" i="227"/>
  <c r="P52" i="227"/>
  <c r="P64" i="227"/>
  <c r="P53" i="227"/>
  <c r="P63" i="227"/>
  <c r="P67" i="227"/>
  <c r="P49" i="227"/>
  <c r="P96" i="227"/>
  <c r="P47" i="227"/>
  <c r="P58" i="227"/>
  <c r="P94" i="227"/>
  <c r="P57" i="227"/>
  <c r="P93" i="227"/>
  <c r="P44" i="227"/>
  <c r="P43" i="227"/>
  <c r="P83" i="227"/>
  <c r="P59" i="227"/>
  <c r="P82" i="227"/>
  <c r="P69" i="227"/>
  <c r="P80" i="227"/>
  <c r="P56" i="227"/>
  <c r="P78" i="227"/>
  <c r="P66" i="227"/>
  <c r="P54" i="227"/>
  <c r="P42" i="227"/>
  <c r="P71" i="227"/>
  <c r="P95" i="227"/>
  <c r="P46" i="227"/>
  <c r="P68" i="227"/>
  <c r="P70" i="227"/>
  <c r="P81" i="227"/>
  <c r="P45" i="227"/>
  <c r="R18" i="225" l="1"/>
  <c r="R17" i="225"/>
  <c r="R16" i="225"/>
  <c r="R15" i="225"/>
  <c r="R14" i="225"/>
  <c r="R13" i="225"/>
  <c r="R12" i="225"/>
  <c r="R11" i="225"/>
  <c r="S11" i="225" s="1"/>
  <c r="R10" i="225"/>
  <c r="R9" i="225"/>
  <c r="R8" i="225"/>
  <c r="R7" i="225"/>
  <c r="R6" i="225"/>
  <c r="R5" i="225"/>
  <c r="R4" i="225"/>
  <c r="R3" i="225"/>
  <c r="R2" i="225"/>
  <c r="Q3" i="225"/>
  <c r="Q4" i="225"/>
  <c r="Q5" i="225"/>
  <c r="Q6" i="225"/>
  <c r="S6" i="225" s="1"/>
  <c r="Q7" i="225"/>
  <c r="Q8" i="225"/>
  <c r="Q9" i="225"/>
  <c r="Q10" i="225"/>
  <c r="Q11" i="225"/>
  <c r="Q12" i="225"/>
  <c r="Q13" i="225"/>
  <c r="Q14" i="225"/>
  <c r="S14" i="225" s="1"/>
  <c r="Q15" i="225"/>
  <c r="Q16" i="225"/>
  <c r="Q17" i="225"/>
  <c r="S17" i="225" s="1"/>
  <c r="Q18" i="225"/>
  <c r="S18" i="225" s="1"/>
  <c r="Q19" i="225"/>
  <c r="Q2" i="225"/>
  <c r="C20" i="225"/>
  <c r="C22" i="225" s="1"/>
  <c r="D20" i="225"/>
  <c r="D22" i="225" s="1"/>
  <c r="E20" i="225"/>
  <c r="E22" i="225" s="1"/>
  <c r="F20" i="225"/>
  <c r="F22" i="225" s="1"/>
  <c r="G20" i="225"/>
  <c r="G22" i="225" s="1"/>
  <c r="H20" i="225"/>
  <c r="H22" i="225" s="1"/>
  <c r="I20" i="225"/>
  <c r="I22" i="225" s="1"/>
  <c r="J20" i="225"/>
  <c r="J22" i="225" s="1"/>
  <c r="K20" i="225"/>
  <c r="K22" i="225" s="1"/>
  <c r="L20" i="225"/>
  <c r="L22" i="225" s="1"/>
  <c r="M20" i="225"/>
  <c r="M22" i="225" s="1"/>
  <c r="N20" i="225"/>
  <c r="N22" i="225" s="1"/>
  <c r="O20" i="225"/>
  <c r="O22" i="225" s="1"/>
  <c r="B20" i="225"/>
  <c r="B22" i="225" s="1"/>
  <c r="BP95" i="222"/>
  <c r="BP94" i="222"/>
  <c r="BP93" i="222"/>
  <c r="BP92" i="222"/>
  <c r="BP91" i="222"/>
  <c r="BP90" i="222"/>
  <c r="BP89" i="222"/>
  <c r="BP88" i="222"/>
  <c r="BP87" i="222"/>
  <c r="BP86" i="222"/>
  <c r="BP85" i="222"/>
  <c r="BP84" i="222"/>
  <c r="BP83" i="222"/>
  <c r="BP82" i="222"/>
  <c r="BP81" i="222"/>
  <c r="BP80" i="222"/>
  <c r="BP79" i="222"/>
  <c r="BP78" i="222"/>
  <c r="BP77" i="222"/>
  <c r="BP76" i="222"/>
  <c r="BP75" i="222"/>
  <c r="BP74" i="222"/>
  <c r="BP73" i="222"/>
  <c r="BP72" i="222"/>
  <c r="BP71" i="222"/>
  <c r="BP70" i="222"/>
  <c r="BP69" i="222"/>
  <c r="BP68" i="222"/>
  <c r="BP67" i="222"/>
  <c r="BP66" i="222"/>
  <c r="BP65" i="222"/>
  <c r="BP64" i="222"/>
  <c r="BP63" i="222"/>
  <c r="BP62" i="222"/>
  <c r="BP61" i="222"/>
  <c r="BP60" i="222"/>
  <c r="BP59" i="222"/>
  <c r="BP58" i="222"/>
  <c r="BP57" i="222"/>
  <c r="BP56" i="222"/>
  <c r="BP55" i="222"/>
  <c r="BP54" i="222"/>
  <c r="BP53" i="222"/>
  <c r="BP52" i="222"/>
  <c r="BP51" i="222"/>
  <c r="BP50" i="222"/>
  <c r="BP49" i="222"/>
  <c r="BP48" i="222"/>
  <c r="BP47" i="222"/>
  <c r="BP46" i="222"/>
  <c r="BP45" i="222"/>
  <c r="BP44" i="222"/>
  <c r="BP43" i="222"/>
  <c r="BP42" i="222"/>
  <c r="BP41" i="222"/>
  <c r="BP40" i="222"/>
  <c r="BP39" i="222"/>
  <c r="BP38" i="222"/>
  <c r="BP37" i="222"/>
  <c r="BP31" i="222"/>
  <c r="BP30" i="222"/>
  <c r="BP28" i="222"/>
  <c r="BP27" i="222"/>
  <c r="BP26" i="222"/>
  <c r="BP25" i="222"/>
  <c r="BP24" i="222"/>
  <c r="BP23" i="222"/>
  <c r="BP22" i="222"/>
  <c r="BP21" i="222"/>
  <c r="BP20" i="222"/>
  <c r="BP19" i="222"/>
  <c r="BP18" i="222"/>
  <c r="BP17" i="222"/>
  <c r="BP16" i="222"/>
  <c r="BP15" i="222"/>
  <c r="BP14" i="222"/>
  <c r="BP13" i="222"/>
  <c r="BP12" i="222"/>
  <c r="BP11" i="222"/>
  <c r="BP10" i="222"/>
  <c r="BP9" i="222"/>
  <c r="BP8" i="222"/>
  <c r="BP7" i="222"/>
  <c r="BP6" i="222"/>
  <c r="BP5" i="222"/>
  <c r="BP4" i="222"/>
  <c r="BP3" i="222"/>
  <c r="BP29" i="222"/>
  <c r="C71" i="221"/>
  <c r="C73" i="221" s="1"/>
  <c r="D71" i="221"/>
  <c r="D73" i="221" s="1"/>
  <c r="E71" i="221"/>
  <c r="E73" i="221" s="1"/>
  <c r="F71" i="221"/>
  <c r="F73" i="221" s="1"/>
  <c r="G71" i="221"/>
  <c r="G73" i="221" s="1"/>
  <c r="H71" i="221"/>
  <c r="H73" i="221" s="1"/>
  <c r="I71" i="221"/>
  <c r="I73" i="221" s="1"/>
  <c r="J71" i="221"/>
  <c r="J73" i="221" s="1"/>
  <c r="K71" i="221"/>
  <c r="K73" i="221" s="1"/>
  <c r="L71" i="221"/>
  <c r="L73" i="221" s="1"/>
  <c r="M71" i="221"/>
  <c r="M73" i="221" s="1"/>
  <c r="N71" i="221"/>
  <c r="N73" i="221" s="1"/>
  <c r="O71" i="221"/>
  <c r="O73" i="221" s="1"/>
  <c r="P71" i="221"/>
  <c r="P73" i="221" s="1"/>
  <c r="Q71" i="221"/>
  <c r="Q73" i="221" s="1"/>
  <c r="R71" i="221"/>
  <c r="R73" i="221" s="1"/>
  <c r="S71" i="221"/>
  <c r="S73" i="221" s="1"/>
  <c r="T71" i="221"/>
  <c r="T73" i="221" s="1"/>
  <c r="B71" i="221"/>
  <c r="B73" i="221" s="1"/>
  <c r="V37" i="221"/>
  <c r="X37" i="221" s="1"/>
  <c r="V38" i="221"/>
  <c r="X38" i="221" s="1"/>
  <c r="V39" i="221"/>
  <c r="X39" i="221" s="1"/>
  <c r="V40" i="221"/>
  <c r="X40" i="221" s="1"/>
  <c r="V41" i="221"/>
  <c r="X41" i="221" s="1"/>
  <c r="V42" i="221"/>
  <c r="X42" i="221" s="1"/>
  <c r="V43" i="221"/>
  <c r="X43" i="221" s="1"/>
  <c r="V44" i="221"/>
  <c r="X44" i="221" s="1"/>
  <c r="V45" i="221"/>
  <c r="X45" i="221" s="1"/>
  <c r="V46" i="221"/>
  <c r="X46" i="221" s="1"/>
  <c r="V47" i="221"/>
  <c r="X47" i="221" s="1"/>
  <c r="V48" i="221"/>
  <c r="X48" i="221" s="1"/>
  <c r="V49" i="221"/>
  <c r="X49" i="221" s="1"/>
  <c r="V50" i="221"/>
  <c r="X50" i="221" s="1"/>
  <c r="V51" i="221"/>
  <c r="X51" i="221" s="1"/>
  <c r="V52" i="221"/>
  <c r="X52" i="221" s="1"/>
  <c r="V53" i="221"/>
  <c r="X53" i="221" s="1"/>
  <c r="V54" i="221"/>
  <c r="X54" i="221" s="1"/>
  <c r="V55" i="221"/>
  <c r="X55" i="221" s="1"/>
  <c r="V56" i="221"/>
  <c r="X56" i="221" s="1"/>
  <c r="V57" i="221"/>
  <c r="X57" i="221" s="1"/>
  <c r="V58" i="221"/>
  <c r="V59" i="221"/>
  <c r="X59" i="221" s="1"/>
  <c r="V60" i="221"/>
  <c r="X60" i="221" s="1"/>
  <c r="V61" i="221"/>
  <c r="X61" i="221" s="1"/>
  <c r="V62" i="221"/>
  <c r="X62" i="221" s="1"/>
  <c r="V63" i="221"/>
  <c r="X63" i="221" s="1"/>
  <c r="V64" i="221"/>
  <c r="X64" i="221" s="1"/>
  <c r="V65" i="221"/>
  <c r="X65" i="221" s="1"/>
  <c r="V66" i="221"/>
  <c r="V67" i="221"/>
  <c r="X67" i="221" s="1"/>
  <c r="V68" i="221"/>
  <c r="X68" i="221" s="1"/>
  <c r="V69" i="221"/>
  <c r="V36" i="221"/>
  <c r="X36" i="221" s="1"/>
  <c r="C22" i="220"/>
  <c r="C24" i="220" s="1"/>
  <c r="D22" i="220"/>
  <c r="D24" i="220" s="1"/>
  <c r="E22" i="220"/>
  <c r="E24" i="220" s="1"/>
  <c r="F22" i="220"/>
  <c r="F24" i="220" s="1"/>
  <c r="G22" i="220"/>
  <c r="G24" i="220" s="1"/>
  <c r="H22" i="220"/>
  <c r="H24" i="220" s="1"/>
  <c r="I22" i="220"/>
  <c r="I24" i="220" s="1"/>
  <c r="J22" i="220"/>
  <c r="J24" i="220" s="1"/>
  <c r="K22" i="220"/>
  <c r="K24" i="220" s="1"/>
  <c r="L22" i="220"/>
  <c r="L24" i="220" s="1"/>
  <c r="M22" i="220"/>
  <c r="M24" i="220" s="1"/>
  <c r="N22" i="220"/>
  <c r="N24" i="220" s="1"/>
  <c r="O22" i="220"/>
  <c r="O24" i="220" s="1"/>
  <c r="P22" i="220"/>
  <c r="P24" i="220" s="1"/>
  <c r="Q22" i="220"/>
  <c r="Q24" i="220" s="1"/>
  <c r="R22" i="220"/>
  <c r="R24" i="220" s="1"/>
  <c r="S22" i="220"/>
  <c r="S24" i="220" s="1"/>
  <c r="T22" i="220"/>
  <c r="T24" i="220" s="1"/>
  <c r="U22" i="220"/>
  <c r="U24" i="220" s="1"/>
  <c r="B22" i="220"/>
  <c r="B24" i="220" s="1"/>
  <c r="W20" i="220"/>
  <c r="W19" i="220"/>
  <c r="W18" i="220"/>
  <c r="W17" i="220"/>
  <c r="W16" i="220"/>
  <c r="W15" i="220"/>
  <c r="W14" i="220"/>
  <c r="W13" i="220"/>
  <c r="W12" i="220"/>
  <c r="W11" i="220"/>
  <c r="W10" i="220"/>
  <c r="W9" i="220"/>
  <c r="W8" i="220"/>
  <c r="W7" i="220"/>
  <c r="W6" i="220"/>
  <c r="W5" i="220"/>
  <c r="W4" i="220"/>
  <c r="W3" i="220"/>
  <c r="W2" i="220"/>
  <c r="C20" i="219"/>
  <c r="C22" i="219" s="1"/>
  <c r="D20" i="219"/>
  <c r="D22" i="219" s="1"/>
  <c r="E20" i="219"/>
  <c r="E22" i="219" s="1"/>
  <c r="F20" i="219"/>
  <c r="F22" i="219" s="1"/>
  <c r="G20" i="219"/>
  <c r="G22" i="219" s="1"/>
  <c r="H20" i="219"/>
  <c r="H22" i="219" s="1"/>
  <c r="I20" i="219"/>
  <c r="I22" i="219" s="1"/>
  <c r="J20" i="219"/>
  <c r="J22" i="219" s="1"/>
  <c r="K20" i="219"/>
  <c r="K22" i="219" s="1"/>
  <c r="L20" i="219"/>
  <c r="L22" i="219" s="1"/>
  <c r="M20" i="219"/>
  <c r="M22" i="219" s="1"/>
  <c r="N20" i="219"/>
  <c r="N22" i="219" s="1"/>
  <c r="O20" i="219"/>
  <c r="O22" i="219" s="1"/>
  <c r="B20" i="219"/>
  <c r="B22" i="219" s="1"/>
  <c r="R3" i="219"/>
  <c r="R4" i="219"/>
  <c r="R5" i="219"/>
  <c r="R6" i="219"/>
  <c r="R7" i="219"/>
  <c r="R8" i="219"/>
  <c r="R9" i="219"/>
  <c r="R10" i="219"/>
  <c r="R11" i="219"/>
  <c r="R12" i="219"/>
  <c r="R13" i="219"/>
  <c r="R14" i="219"/>
  <c r="R15" i="219"/>
  <c r="R16" i="219"/>
  <c r="R17" i="219"/>
  <c r="R18" i="219"/>
  <c r="R2" i="219"/>
  <c r="Q18" i="219"/>
  <c r="Q17" i="219"/>
  <c r="Q16" i="219"/>
  <c r="Q15" i="219"/>
  <c r="Q14" i="219"/>
  <c r="Q13" i="219"/>
  <c r="Q12" i="219"/>
  <c r="Q11" i="219"/>
  <c r="S11" i="219" s="1"/>
  <c r="Q10" i="219"/>
  <c r="S10" i="219" s="1"/>
  <c r="Q9" i="219"/>
  <c r="Q8" i="219"/>
  <c r="Q7" i="219"/>
  <c r="Q6" i="219"/>
  <c r="Q5" i="219"/>
  <c r="Q4" i="219"/>
  <c r="Q3" i="219"/>
  <c r="Q2" i="219"/>
  <c r="S2" i="219" s="1"/>
  <c r="R36" i="219"/>
  <c r="R37" i="219"/>
  <c r="R38" i="219"/>
  <c r="R39" i="219"/>
  <c r="R40" i="219"/>
  <c r="R41" i="219"/>
  <c r="R42" i="219"/>
  <c r="R43" i="219"/>
  <c r="R44" i="219"/>
  <c r="R45" i="219"/>
  <c r="R46" i="219"/>
  <c r="R47" i="219"/>
  <c r="R48" i="219"/>
  <c r="R49" i="219"/>
  <c r="R50" i="219"/>
  <c r="R51" i="219"/>
  <c r="R52" i="219"/>
  <c r="R53" i="219"/>
  <c r="R54" i="219"/>
  <c r="R55" i="219"/>
  <c r="R56" i="219"/>
  <c r="R57" i="219"/>
  <c r="R58" i="219"/>
  <c r="R59" i="219"/>
  <c r="R60" i="219"/>
  <c r="R61" i="219"/>
  <c r="R62" i="219"/>
  <c r="R63" i="219"/>
  <c r="R64" i="219"/>
  <c r="R65" i="219"/>
  <c r="R66" i="219"/>
  <c r="R67" i="219"/>
  <c r="R68" i="219"/>
  <c r="R69" i="219"/>
  <c r="R70" i="219"/>
  <c r="R71" i="219"/>
  <c r="R35" i="219"/>
  <c r="C73" i="219"/>
  <c r="C75" i="219" s="1"/>
  <c r="D73" i="219"/>
  <c r="D75" i="219" s="1"/>
  <c r="E73" i="219"/>
  <c r="E75" i="219" s="1"/>
  <c r="F73" i="219"/>
  <c r="F75" i="219" s="1"/>
  <c r="G73" i="219"/>
  <c r="G75" i="219" s="1"/>
  <c r="H73" i="219"/>
  <c r="H75" i="219" s="1"/>
  <c r="I73" i="219"/>
  <c r="I75" i="219" s="1"/>
  <c r="J73" i="219"/>
  <c r="J75" i="219" s="1"/>
  <c r="K73" i="219"/>
  <c r="K75" i="219" s="1"/>
  <c r="L73" i="219"/>
  <c r="L75" i="219" s="1"/>
  <c r="M73" i="219"/>
  <c r="M75" i="219" s="1"/>
  <c r="N73" i="219"/>
  <c r="N75" i="219" s="1"/>
  <c r="O73" i="219"/>
  <c r="O75" i="219" s="1"/>
  <c r="B73" i="219"/>
  <c r="B75" i="219" s="1"/>
  <c r="Q36" i="219"/>
  <c r="Q37" i="219"/>
  <c r="Q38" i="219"/>
  <c r="Q39" i="219"/>
  <c r="Q40" i="219"/>
  <c r="Q41" i="219"/>
  <c r="Q42" i="219"/>
  <c r="Q43" i="219"/>
  <c r="Q44" i="219"/>
  <c r="Q45" i="219"/>
  <c r="S45" i="219" s="1"/>
  <c r="Q46" i="219"/>
  <c r="S46" i="219" s="1"/>
  <c r="Q47" i="219"/>
  <c r="Q48" i="219"/>
  <c r="Q49" i="219"/>
  <c r="Q50" i="219"/>
  <c r="Q51" i="219"/>
  <c r="Q52" i="219"/>
  <c r="Q53" i="219"/>
  <c r="Q54" i="219"/>
  <c r="Q55" i="219"/>
  <c r="Q56" i="219"/>
  <c r="Q57" i="219"/>
  <c r="S57" i="219" s="1"/>
  <c r="Q58" i="219"/>
  <c r="Q59" i="219"/>
  <c r="Q60" i="219"/>
  <c r="Q61" i="219"/>
  <c r="Q62" i="219"/>
  <c r="Q63" i="219"/>
  <c r="Q64" i="219"/>
  <c r="S64" i="219" s="1"/>
  <c r="Q65" i="219"/>
  <c r="Q66" i="219"/>
  <c r="Q67" i="219"/>
  <c r="Q68" i="219"/>
  <c r="Q69" i="219"/>
  <c r="S69" i="219" s="1"/>
  <c r="Q70" i="219"/>
  <c r="S70" i="219" s="1"/>
  <c r="Q71" i="219"/>
  <c r="Q35" i="219"/>
  <c r="V34" i="217"/>
  <c r="V35" i="217"/>
  <c r="V36" i="217"/>
  <c r="V37" i="217"/>
  <c r="V38" i="217"/>
  <c r="V39" i="217"/>
  <c r="V40" i="217"/>
  <c r="V41" i="217"/>
  <c r="V42" i="217"/>
  <c r="V43" i="217"/>
  <c r="V44" i="217"/>
  <c r="V45" i="217"/>
  <c r="V46" i="217"/>
  <c r="V47" i="217"/>
  <c r="V48" i="217"/>
  <c r="V49" i="217"/>
  <c r="V50" i="217"/>
  <c r="V51" i="217"/>
  <c r="V52" i="217"/>
  <c r="V53" i="217"/>
  <c r="V54" i="217"/>
  <c r="V55" i="217"/>
  <c r="V56" i="217"/>
  <c r="V57" i="217"/>
  <c r="V58" i="217"/>
  <c r="V59" i="217"/>
  <c r="V60" i="217"/>
  <c r="V61" i="217"/>
  <c r="V62" i="217"/>
  <c r="V63" i="217"/>
  <c r="V64" i="217"/>
  <c r="V65" i="217"/>
  <c r="V66" i="217"/>
  <c r="V67" i="217"/>
  <c r="V68" i="217"/>
  <c r="V69" i="217"/>
  <c r="V70" i="217"/>
  <c r="V71" i="217"/>
  <c r="V72" i="217"/>
  <c r="V73" i="217"/>
  <c r="V33" i="217"/>
  <c r="C75" i="217"/>
  <c r="C77" i="217" s="1"/>
  <c r="D75" i="217"/>
  <c r="D77" i="217" s="1"/>
  <c r="E75" i="217"/>
  <c r="E77" i="217" s="1"/>
  <c r="F75" i="217"/>
  <c r="F77" i="217" s="1"/>
  <c r="G75" i="217"/>
  <c r="G77" i="217" s="1"/>
  <c r="H75" i="217"/>
  <c r="H77" i="217" s="1"/>
  <c r="I75" i="217"/>
  <c r="I77" i="217" s="1"/>
  <c r="J75" i="217"/>
  <c r="J77" i="217" s="1"/>
  <c r="K75" i="217"/>
  <c r="K77" i="217" s="1"/>
  <c r="L75" i="217"/>
  <c r="L77" i="217" s="1"/>
  <c r="M75" i="217"/>
  <c r="M77" i="217" s="1"/>
  <c r="N75" i="217"/>
  <c r="N77" i="217" s="1"/>
  <c r="O75" i="217"/>
  <c r="O77" i="217" s="1"/>
  <c r="P75" i="217"/>
  <c r="P77" i="217" s="1"/>
  <c r="Q75" i="217"/>
  <c r="Q77" i="217" s="1"/>
  <c r="R75" i="217"/>
  <c r="R77" i="217" s="1"/>
  <c r="S75" i="217"/>
  <c r="S77" i="217" s="1"/>
  <c r="B75" i="217"/>
  <c r="B77" i="217" s="1"/>
  <c r="U34" i="217"/>
  <c r="W34" i="217" s="1"/>
  <c r="U35" i="217"/>
  <c r="U36" i="217"/>
  <c r="U37" i="217"/>
  <c r="U38" i="217"/>
  <c r="W38" i="217" s="1"/>
  <c r="U39" i="217"/>
  <c r="W39" i="217" s="1"/>
  <c r="U40" i="217"/>
  <c r="W40" i="217" s="1"/>
  <c r="U41" i="217"/>
  <c r="U42" i="217"/>
  <c r="W42" i="217" s="1"/>
  <c r="U43" i="217"/>
  <c r="W43" i="217" s="1"/>
  <c r="U44" i="217"/>
  <c r="W44" i="217" s="1"/>
  <c r="U45" i="217"/>
  <c r="W45" i="217" s="1"/>
  <c r="U46" i="217"/>
  <c r="W46" i="217" s="1"/>
  <c r="U47" i="217"/>
  <c r="U48" i="217"/>
  <c r="U49" i="217"/>
  <c r="U50" i="217"/>
  <c r="W50" i="217" s="1"/>
  <c r="U51" i="217"/>
  <c r="W51" i="217" s="1"/>
  <c r="U52" i="217"/>
  <c r="W52" i="217" s="1"/>
  <c r="U53" i="217"/>
  <c r="U54" i="217"/>
  <c r="W54" i="217" s="1"/>
  <c r="U55" i="217"/>
  <c r="W55" i="217" s="1"/>
  <c r="U56" i="217"/>
  <c r="W56" i="217" s="1"/>
  <c r="U57" i="217"/>
  <c r="W57" i="217" s="1"/>
  <c r="U58" i="217"/>
  <c r="W58" i="217" s="1"/>
  <c r="U59" i="217"/>
  <c r="U60" i="217"/>
  <c r="U61" i="217"/>
  <c r="U62" i="217"/>
  <c r="W62" i="217" s="1"/>
  <c r="U63" i="217"/>
  <c r="U64" i="217"/>
  <c r="W64" i="217" s="1"/>
  <c r="U65" i="217"/>
  <c r="U66" i="217"/>
  <c r="W66" i="217" s="1"/>
  <c r="U67" i="217"/>
  <c r="W67" i="217" s="1"/>
  <c r="U68" i="217"/>
  <c r="W68" i="217" s="1"/>
  <c r="U69" i="217"/>
  <c r="W69" i="217" s="1"/>
  <c r="U70" i="217"/>
  <c r="W70" i="217" s="1"/>
  <c r="U71" i="217"/>
  <c r="U72" i="217"/>
  <c r="U73" i="217"/>
  <c r="U33" i="217"/>
  <c r="W33" i="217" s="1"/>
  <c r="N10" i="215"/>
  <c r="N11" i="215"/>
  <c r="N12" i="215"/>
  <c r="N13" i="215"/>
  <c r="N14" i="215"/>
  <c r="N15" i="215"/>
  <c r="N16" i="215"/>
  <c r="N17" i="215"/>
  <c r="N18" i="215"/>
  <c r="N19" i="215"/>
  <c r="N20" i="215"/>
  <c r="N21" i="215"/>
  <c r="N22" i="215"/>
  <c r="N23" i="215"/>
  <c r="N24" i="215"/>
  <c r="N25" i="215"/>
  <c r="N26" i="215"/>
  <c r="N27" i="215"/>
  <c r="N28" i="215"/>
  <c r="N29" i="215"/>
  <c r="N30" i="215"/>
  <c r="N31" i="215"/>
  <c r="N32" i="215"/>
  <c r="N33" i="215"/>
  <c r="N34" i="215"/>
  <c r="N35" i="215"/>
  <c r="N36" i="215"/>
  <c r="N37" i="215"/>
  <c r="N38" i="215"/>
  <c r="N39" i="215"/>
  <c r="N40" i="215"/>
  <c r="N41" i="215"/>
  <c r="N42" i="215"/>
  <c r="N43" i="215"/>
  <c r="N44" i="215"/>
  <c r="N45" i="215"/>
  <c r="N46" i="215"/>
  <c r="N47" i="215"/>
  <c r="N48" i="215"/>
  <c r="N49" i="215"/>
  <c r="N50" i="215"/>
  <c r="N51" i="215"/>
  <c r="N52" i="215"/>
  <c r="N53" i="215"/>
  <c r="N54" i="215"/>
  <c r="N55" i="215"/>
  <c r="N56" i="215"/>
  <c r="N57" i="215"/>
  <c r="N58" i="215"/>
  <c r="N59" i="215"/>
  <c r="N60" i="215"/>
  <c r="N61" i="215"/>
  <c r="N62" i="215"/>
  <c r="N63" i="215"/>
  <c r="N64" i="215"/>
  <c r="N65" i="215"/>
  <c r="N66" i="215"/>
  <c r="N67" i="215"/>
  <c r="N68" i="215"/>
  <c r="N69" i="215"/>
  <c r="N70" i="215"/>
  <c r="N71" i="215"/>
  <c r="N72" i="215"/>
  <c r="N73" i="215"/>
  <c r="N74" i="215"/>
  <c r="N75" i="215"/>
  <c r="N76" i="215"/>
  <c r="N77" i="215"/>
  <c r="N78" i="215"/>
  <c r="N79" i="215"/>
  <c r="N80" i="215"/>
  <c r="N81" i="215"/>
  <c r="N82" i="215"/>
  <c r="N83" i="215"/>
  <c r="N84" i="215"/>
  <c r="N85" i="215"/>
  <c r="N86" i="215"/>
  <c r="N87" i="215"/>
  <c r="N88" i="215"/>
  <c r="N89" i="215"/>
  <c r="N90" i="215"/>
  <c r="N91" i="215"/>
  <c r="N92" i="215"/>
  <c r="N93" i="215"/>
  <c r="N94" i="215"/>
  <c r="N95" i="215"/>
  <c r="N96" i="215"/>
  <c r="N97" i="215"/>
  <c r="N98" i="215"/>
  <c r="N99" i="215"/>
  <c r="N100" i="215"/>
  <c r="N101" i="215"/>
  <c r="N102" i="215"/>
  <c r="N103" i="215"/>
  <c r="S65" i="219" l="1"/>
  <c r="W71" i="217"/>
  <c r="W59" i="217"/>
  <c r="W47" i="217"/>
  <c r="W35" i="217"/>
  <c r="S9" i="219"/>
  <c r="S47" i="219"/>
  <c r="S67" i="219"/>
  <c r="S55" i="219"/>
  <c r="S61" i="219"/>
  <c r="S48" i="219"/>
  <c r="S14" i="219"/>
  <c r="S12" i="225"/>
  <c r="S4" i="225"/>
  <c r="S3" i="219"/>
  <c r="W63" i="217"/>
  <c r="S12" i="219"/>
  <c r="W73" i="217"/>
  <c r="W61" i="217"/>
  <c r="W49" i="217"/>
  <c r="W37" i="217"/>
  <c r="W72" i="217"/>
  <c r="W60" i="217"/>
  <c r="W48" i="217"/>
  <c r="W36" i="217"/>
  <c r="S8" i="225"/>
  <c r="S63" i="219"/>
  <c r="S13" i="219"/>
  <c r="S2" i="225"/>
  <c r="S18" i="219"/>
  <c r="S6" i="219"/>
  <c r="S3" i="225"/>
  <c r="W65" i="217"/>
  <c r="W53" i="217"/>
  <c r="W41" i="217"/>
  <c r="S5" i="225"/>
  <c r="S13" i="225"/>
  <c r="S15" i="219"/>
  <c r="S15" i="225"/>
  <c r="S4" i="219"/>
  <c r="S16" i="219"/>
  <c r="S7" i="225"/>
  <c r="S9" i="225"/>
  <c r="S62" i="219"/>
  <c r="S16" i="225"/>
  <c r="S10" i="225"/>
  <c r="X66" i="221"/>
  <c r="X69" i="221"/>
  <c r="X58" i="221"/>
  <c r="S41" i="219"/>
  <c r="S5" i="219"/>
  <c r="S51" i="219"/>
  <c r="S7" i="219"/>
  <c r="S37" i="219"/>
  <c r="S56" i="219"/>
  <c r="S35" i="219"/>
  <c r="S53" i="219"/>
  <c r="S68" i="219"/>
  <c r="S8" i="219"/>
  <c r="S49" i="219"/>
  <c r="S71" i="219"/>
  <c r="S59" i="219"/>
  <c r="S43" i="219"/>
  <c r="S17" i="219"/>
  <c r="S52" i="219"/>
  <c r="S40" i="219"/>
  <c r="S39" i="219"/>
  <c r="S66" i="219"/>
  <c r="S58" i="219"/>
  <c r="S54" i="219"/>
  <c r="S60" i="219"/>
  <c r="S38" i="219"/>
  <c r="S44" i="219"/>
  <c r="S36" i="219"/>
  <c r="S50" i="219"/>
  <c r="S42" i="219"/>
  <c r="L6" i="215"/>
  <c r="K6" i="215"/>
  <c r="J6" i="215"/>
  <c r="I6" i="215"/>
  <c r="H6" i="215"/>
  <c r="G6" i="215"/>
  <c r="F6" i="215"/>
  <c r="E6" i="215"/>
  <c r="D6" i="215"/>
  <c r="C6" i="215"/>
  <c r="L5" i="215"/>
  <c r="K5" i="215"/>
  <c r="J5" i="215"/>
  <c r="I5" i="215"/>
  <c r="H5" i="215"/>
  <c r="G5" i="215"/>
  <c r="F5" i="215"/>
  <c r="E5" i="215"/>
  <c r="D5" i="215"/>
  <c r="C5" i="215"/>
  <c r="U20" i="212"/>
  <c r="U19" i="212"/>
  <c r="U18" i="212"/>
  <c r="U17" i="212"/>
  <c r="U16" i="212"/>
  <c r="U15" i="212"/>
  <c r="U14" i="212"/>
  <c r="U13" i="212"/>
  <c r="U12" i="212"/>
  <c r="U11" i="212"/>
  <c r="U10" i="212"/>
  <c r="U9" i="212"/>
  <c r="U8" i="212"/>
  <c r="U7" i="212"/>
  <c r="U6" i="212"/>
  <c r="U5" i="212"/>
  <c r="U4" i="212"/>
  <c r="U3" i="212"/>
  <c r="U2" i="212"/>
  <c r="C21" i="212"/>
  <c r="C23" i="212" s="1"/>
  <c r="D21" i="212"/>
  <c r="D23" i="212" s="1"/>
  <c r="E21" i="212"/>
  <c r="E23" i="212" s="1"/>
  <c r="F21" i="212"/>
  <c r="F23" i="212" s="1"/>
  <c r="G21" i="212"/>
  <c r="G23" i="212" s="1"/>
  <c r="H21" i="212"/>
  <c r="H23" i="212" s="1"/>
  <c r="I21" i="212"/>
  <c r="I23" i="212" s="1"/>
  <c r="J21" i="212"/>
  <c r="J23" i="212" s="1"/>
  <c r="K21" i="212"/>
  <c r="K23" i="212" s="1"/>
  <c r="L21" i="212"/>
  <c r="L23" i="212" s="1"/>
  <c r="M21" i="212"/>
  <c r="M23" i="212" s="1"/>
  <c r="N21" i="212"/>
  <c r="N23" i="212" s="1"/>
  <c r="O21" i="212"/>
  <c r="O23" i="212" s="1"/>
  <c r="P21" i="212"/>
  <c r="P23" i="212" s="1"/>
  <c r="Q21" i="212"/>
  <c r="Q23" i="212" s="1"/>
  <c r="R21" i="212"/>
  <c r="R23" i="212" s="1"/>
  <c r="B21" i="212"/>
  <c r="B23" i="212" s="1"/>
  <c r="T3" i="212"/>
  <c r="T4" i="212"/>
  <c r="T5" i="212"/>
  <c r="T6" i="212"/>
  <c r="T7" i="212"/>
  <c r="T8" i="212"/>
  <c r="T9" i="212"/>
  <c r="T10" i="212"/>
  <c r="T11" i="212"/>
  <c r="V11" i="212" s="1"/>
  <c r="T12" i="212"/>
  <c r="T13" i="212"/>
  <c r="T14" i="212"/>
  <c r="T15" i="212"/>
  <c r="V15" i="212" s="1"/>
  <c r="T16" i="212"/>
  <c r="T17" i="212"/>
  <c r="T18" i="212"/>
  <c r="V18" i="212" s="1"/>
  <c r="T19" i="212"/>
  <c r="T20" i="212"/>
  <c r="T2" i="212"/>
  <c r="V3" i="211"/>
  <c r="V4" i="211"/>
  <c r="V5" i="211"/>
  <c r="V6" i="211"/>
  <c r="V7" i="211"/>
  <c r="V8" i="211"/>
  <c r="V9" i="211"/>
  <c r="V10" i="211"/>
  <c r="V11" i="211"/>
  <c r="V12" i="211"/>
  <c r="V13" i="211"/>
  <c r="V14" i="211"/>
  <c r="V15" i="211"/>
  <c r="V16" i="211"/>
  <c r="V17" i="211"/>
  <c r="V18" i="211"/>
  <c r="V19" i="211"/>
  <c r="V20" i="211"/>
  <c r="V2" i="211"/>
  <c r="U3" i="211"/>
  <c r="U4" i="211"/>
  <c r="U5" i="211"/>
  <c r="U6" i="211"/>
  <c r="U7" i="211"/>
  <c r="U8" i="211"/>
  <c r="U9" i="211"/>
  <c r="U10" i="211"/>
  <c r="U11" i="211"/>
  <c r="U12" i="211"/>
  <c r="U13" i="211"/>
  <c r="U14" i="211"/>
  <c r="U15" i="211"/>
  <c r="U16" i="211"/>
  <c r="U17" i="211"/>
  <c r="U18" i="211"/>
  <c r="U19" i="211"/>
  <c r="U20" i="211"/>
  <c r="U21" i="211"/>
  <c r="U23" i="211"/>
  <c r="U2" i="211"/>
  <c r="J22" i="211"/>
  <c r="J24" i="211" s="1"/>
  <c r="K22" i="211"/>
  <c r="K24" i="211" s="1"/>
  <c r="L22" i="211"/>
  <c r="L24" i="211" s="1"/>
  <c r="M22" i="211"/>
  <c r="M24" i="211" s="1"/>
  <c r="N22" i="211"/>
  <c r="N24" i="211" s="1"/>
  <c r="P22" i="211"/>
  <c r="P24" i="211" s="1"/>
  <c r="R22" i="211"/>
  <c r="R24" i="211" s="1"/>
  <c r="S22" i="211"/>
  <c r="S24" i="211" s="1"/>
  <c r="W8" i="211" l="1"/>
  <c r="W18" i="211"/>
  <c r="W6" i="211"/>
  <c r="V7" i="212"/>
  <c r="V6" i="212"/>
  <c r="W17" i="211"/>
  <c r="W5" i="211"/>
  <c r="W16" i="211"/>
  <c r="W4" i="211"/>
  <c r="W20" i="211"/>
  <c r="D4" i="215"/>
  <c r="D2" i="215" s="1"/>
  <c r="W7" i="211"/>
  <c r="W9" i="211"/>
  <c r="V19" i="212"/>
  <c r="C4" i="215"/>
  <c r="C2" i="215" s="1"/>
  <c r="W3" i="211"/>
  <c r="E4" i="215"/>
  <c r="E2" i="215" s="1"/>
  <c r="W13" i="211"/>
  <c r="V3" i="212"/>
  <c r="G4" i="215"/>
  <c r="W14" i="211"/>
  <c r="W19" i="211"/>
  <c r="W2" i="211"/>
  <c r="W11" i="211"/>
  <c r="V13" i="212"/>
  <c r="V2" i="212"/>
  <c r="W12" i="211"/>
  <c r="V14" i="212"/>
  <c r="W10" i="211"/>
  <c r="V17" i="212"/>
  <c r="V16" i="212"/>
  <c r="V4" i="212"/>
  <c r="F4" i="215"/>
  <c r="F2" i="215" s="1"/>
  <c r="H4" i="215"/>
  <c r="H2" i="215" s="1"/>
  <c r="I4" i="215"/>
  <c r="I2" i="215" s="1"/>
  <c r="V12" i="212"/>
  <c r="J4" i="215"/>
  <c r="J2" i="215" s="1"/>
  <c r="V5" i="212"/>
  <c r="K4" i="215"/>
  <c r="K2" i="215" s="1"/>
  <c r="W15" i="211"/>
  <c r="V10" i="212"/>
  <c r="L4" i="215"/>
  <c r="L2" i="215" s="1"/>
  <c r="V9" i="212"/>
  <c r="V20" i="212"/>
  <c r="V8" i="212"/>
  <c r="G2" i="215"/>
  <c r="U24" i="211"/>
  <c r="U22" i="211"/>
  <c r="L4" i="210" l="1"/>
  <c r="L5" i="210"/>
  <c r="K5" i="210"/>
  <c r="J5" i="210"/>
  <c r="I5" i="210"/>
  <c r="H5" i="210"/>
  <c r="G5" i="210"/>
  <c r="F5" i="210"/>
  <c r="E5" i="210"/>
  <c r="D5" i="210"/>
  <c r="C5" i="210"/>
  <c r="K4" i="210"/>
  <c r="J4" i="210"/>
  <c r="I4" i="210"/>
  <c r="H4" i="210"/>
  <c r="G4" i="210"/>
  <c r="F4" i="210"/>
  <c r="E4" i="210"/>
  <c r="D4" i="210"/>
  <c r="C4" i="210"/>
  <c r="C3" i="210" l="1"/>
  <c r="C1" i="210" s="1"/>
  <c r="E3" i="210"/>
  <c r="E1" i="210" s="1"/>
  <c r="F3" i="210"/>
  <c r="F1" i="210" s="1"/>
  <c r="G3" i="210"/>
  <c r="G1" i="210" s="1"/>
  <c r="H3" i="210"/>
  <c r="H1" i="210" s="1"/>
  <c r="I3" i="210"/>
  <c r="I1" i="210" s="1"/>
  <c r="J3" i="210"/>
  <c r="J1" i="210" s="1"/>
  <c r="D3" i="210"/>
  <c r="D1" i="210" s="1"/>
  <c r="K3" i="210"/>
  <c r="K1" i="210" s="1"/>
  <c r="L3" i="210"/>
  <c r="L1" i="210" s="1"/>
  <c r="C22" i="208"/>
  <c r="C24" i="208" s="1"/>
  <c r="D22" i="208"/>
  <c r="D24" i="208" s="1"/>
  <c r="E22" i="208"/>
  <c r="E24" i="208" s="1"/>
  <c r="F22" i="208"/>
  <c r="F24" i="208" s="1"/>
  <c r="G22" i="208"/>
  <c r="G24" i="208" s="1"/>
  <c r="H22" i="208"/>
  <c r="H24" i="208" s="1"/>
  <c r="I22" i="208"/>
  <c r="I24" i="208" s="1"/>
  <c r="J22" i="208"/>
  <c r="J24" i="208" s="1"/>
  <c r="K22" i="208"/>
  <c r="K24" i="208" s="1"/>
  <c r="L22" i="208"/>
  <c r="L24" i="208" s="1"/>
  <c r="M22" i="208"/>
  <c r="M24" i="208" s="1"/>
  <c r="N22" i="208"/>
  <c r="N24" i="208" s="1"/>
  <c r="O22" i="208"/>
  <c r="O24" i="208" s="1"/>
  <c r="P22" i="208"/>
  <c r="P24" i="208" s="1"/>
  <c r="Q22" i="208"/>
  <c r="Q24" i="208" s="1"/>
  <c r="R22" i="208"/>
  <c r="R24" i="208" s="1"/>
  <c r="S22" i="208"/>
  <c r="S24" i="208" s="1"/>
  <c r="T22" i="208"/>
  <c r="T24" i="208" s="1"/>
  <c r="U22" i="208"/>
  <c r="U24" i="208" s="1"/>
  <c r="B22" i="208"/>
  <c r="B24" i="208" s="1"/>
  <c r="W20" i="208"/>
  <c r="Y20" i="208" s="1"/>
  <c r="Y8" i="208"/>
  <c r="Y5" i="208"/>
  <c r="Y4" i="208"/>
  <c r="W3" i="208"/>
  <c r="Y3" i="208" s="1"/>
  <c r="W4" i="208"/>
  <c r="W5" i="208"/>
  <c r="W6" i="208"/>
  <c r="Y6" i="208" s="1"/>
  <c r="W7" i="208"/>
  <c r="Y7" i="208" s="1"/>
  <c r="W8" i="208"/>
  <c r="W9" i="208"/>
  <c r="Y9" i="208" s="1"/>
  <c r="W10" i="208"/>
  <c r="Y10" i="208" s="1"/>
  <c r="W11" i="208"/>
  <c r="Y11" i="208" s="1"/>
  <c r="W12" i="208"/>
  <c r="Y12" i="208" s="1"/>
  <c r="W13" i="208"/>
  <c r="Y13" i="208" s="1"/>
  <c r="W14" i="208"/>
  <c r="Y14" i="208" s="1"/>
  <c r="W15" i="208"/>
  <c r="Y15" i="208" s="1"/>
  <c r="W16" i="208"/>
  <c r="Y16" i="208" s="1"/>
  <c r="W17" i="208"/>
  <c r="Y17" i="208" s="1"/>
  <c r="W18" i="208"/>
  <c r="Y18" i="208" s="1"/>
  <c r="W19" i="208"/>
  <c r="Y19" i="208" s="1"/>
  <c r="W2" i="208"/>
  <c r="Y2" i="208" s="1"/>
  <c r="U65" i="207"/>
  <c r="U64" i="207"/>
  <c r="U63" i="207"/>
  <c r="U62" i="207"/>
  <c r="U61" i="207"/>
  <c r="U60" i="207"/>
  <c r="U59" i="207"/>
  <c r="U58" i="207"/>
  <c r="U57" i="207"/>
  <c r="U56" i="207"/>
  <c r="U55" i="207"/>
  <c r="U54" i="207"/>
  <c r="U53" i="207"/>
  <c r="U52" i="207"/>
  <c r="U51" i="207"/>
  <c r="U50" i="207"/>
  <c r="U49" i="207"/>
  <c r="V49" i="207" s="1"/>
  <c r="U48" i="207"/>
  <c r="U47" i="207"/>
  <c r="U46" i="207"/>
  <c r="U45" i="207"/>
  <c r="U44" i="207"/>
  <c r="U43" i="207"/>
  <c r="U42" i="207"/>
  <c r="U41" i="207"/>
  <c r="U40" i="207"/>
  <c r="U39" i="207"/>
  <c r="U38" i="207"/>
  <c r="U37" i="207"/>
  <c r="V37" i="207" s="1"/>
  <c r="U36" i="207"/>
  <c r="U35" i="207"/>
  <c r="U34" i="207"/>
  <c r="U33" i="207"/>
  <c r="U32" i="207"/>
  <c r="U31" i="207"/>
  <c r="U30" i="207"/>
  <c r="C67" i="207"/>
  <c r="C69" i="207" s="1"/>
  <c r="D67" i="207"/>
  <c r="D69" i="207" s="1"/>
  <c r="E67" i="207"/>
  <c r="E69" i="207" s="1"/>
  <c r="F67" i="207"/>
  <c r="F69" i="207" s="1"/>
  <c r="G67" i="207"/>
  <c r="G69" i="207" s="1"/>
  <c r="H67" i="207"/>
  <c r="H69" i="207" s="1"/>
  <c r="I67" i="207"/>
  <c r="I69" i="207" s="1"/>
  <c r="J67" i="207"/>
  <c r="J69" i="207" s="1"/>
  <c r="K67" i="207"/>
  <c r="K69" i="207" s="1"/>
  <c r="L67" i="207"/>
  <c r="L69" i="207" s="1"/>
  <c r="M67" i="207"/>
  <c r="M69" i="207" s="1"/>
  <c r="N67" i="207"/>
  <c r="N69" i="207" s="1"/>
  <c r="O67" i="207"/>
  <c r="O69" i="207" s="1"/>
  <c r="P67" i="207"/>
  <c r="P69" i="207" s="1"/>
  <c r="Q67" i="207"/>
  <c r="Q69" i="207" s="1"/>
  <c r="R67" i="207"/>
  <c r="R69" i="207" s="1"/>
  <c r="B67" i="207"/>
  <c r="B69" i="207" s="1"/>
  <c r="T31" i="207"/>
  <c r="T32" i="207"/>
  <c r="T33" i="207"/>
  <c r="T34" i="207"/>
  <c r="T35" i="207"/>
  <c r="T36" i="207"/>
  <c r="T37" i="207"/>
  <c r="T38" i="207"/>
  <c r="T39" i="207"/>
  <c r="T40" i="207"/>
  <c r="T41" i="207"/>
  <c r="T42" i="207"/>
  <c r="T43" i="207"/>
  <c r="T44" i="207"/>
  <c r="T45" i="207"/>
  <c r="T46" i="207"/>
  <c r="T47" i="207"/>
  <c r="T48" i="207"/>
  <c r="T49" i="207"/>
  <c r="T50" i="207"/>
  <c r="T51" i="207"/>
  <c r="T52" i="207"/>
  <c r="T53" i="207"/>
  <c r="T54" i="207"/>
  <c r="T55" i="207"/>
  <c r="T56" i="207"/>
  <c r="T57" i="207"/>
  <c r="T58" i="207"/>
  <c r="T59" i="207"/>
  <c r="T60" i="207"/>
  <c r="T61" i="207"/>
  <c r="T62" i="207"/>
  <c r="T63" i="207"/>
  <c r="T64" i="207"/>
  <c r="T65" i="207"/>
  <c r="T30" i="207"/>
  <c r="N98" i="205"/>
  <c r="N97" i="205"/>
  <c r="N96" i="205"/>
  <c r="N95" i="205"/>
  <c r="N94" i="205"/>
  <c r="N93" i="205"/>
  <c r="N92" i="205"/>
  <c r="N91" i="205"/>
  <c r="N90" i="205"/>
  <c r="N89" i="205"/>
  <c r="N88" i="205"/>
  <c r="N87" i="205"/>
  <c r="N86" i="205"/>
  <c r="N85" i="205"/>
  <c r="N84" i="205"/>
  <c r="N83" i="205"/>
  <c r="N82" i="205"/>
  <c r="N81" i="205"/>
  <c r="N80" i="205"/>
  <c r="N79" i="205"/>
  <c r="N78" i="205"/>
  <c r="N77" i="205"/>
  <c r="N76" i="205"/>
  <c r="N75" i="205"/>
  <c r="N74" i="205"/>
  <c r="N73" i="205"/>
  <c r="N72" i="205"/>
  <c r="N71" i="205"/>
  <c r="N70" i="205"/>
  <c r="N69" i="205"/>
  <c r="N68" i="205"/>
  <c r="N67" i="205"/>
  <c r="N66" i="205"/>
  <c r="N65" i="205"/>
  <c r="N64" i="205"/>
  <c r="N63" i="205"/>
  <c r="N62" i="205"/>
  <c r="N61" i="205"/>
  <c r="N60" i="205"/>
  <c r="N59" i="205"/>
  <c r="N58" i="205"/>
  <c r="N57" i="205"/>
  <c r="N56" i="205"/>
  <c r="N55" i="205"/>
  <c r="N54" i="205"/>
  <c r="N53" i="205"/>
  <c r="N52" i="205"/>
  <c r="N51" i="205"/>
  <c r="N50" i="205"/>
  <c r="N49" i="205"/>
  <c r="N48" i="205"/>
  <c r="N47" i="205"/>
  <c r="N46" i="205"/>
  <c r="N45" i="205"/>
  <c r="N44" i="205"/>
  <c r="N43" i="205"/>
  <c r="N42" i="205"/>
  <c r="N41" i="205"/>
  <c r="N40" i="205"/>
  <c r="N34" i="205"/>
  <c r="N33" i="205"/>
  <c r="N32" i="205"/>
  <c r="N31" i="205"/>
  <c r="N30" i="205"/>
  <c r="N29" i="205"/>
  <c r="N28" i="205"/>
  <c r="N27" i="205"/>
  <c r="N26" i="205"/>
  <c r="N25" i="205"/>
  <c r="N24" i="205"/>
  <c r="N23" i="205"/>
  <c r="N22" i="205"/>
  <c r="N21" i="205"/>
  <c r="N20" i="205"/>
  <c r="N19" i="205"/>
  <c r="N18" i="205"/>
  <c r="N17" i="205"/>
  <c r="N16" i="205"/>
  <c r="N15" i="205"/>
  <c r="N14" i="205"/>
  <c r="N13" i="205"/>
  <c r="N12" i="205"/>
  <c r="N11" i="205"/>
  <c r="N10" i="205"/>
  <c r="N9" i="205"/>
  <c r="N8" i="205"/>
  <c r="N7" i="205"/>
  <c r="N6" i="205"/>
  <c r="N5" i="205"/>
  <c r="W14" i="203"/>
  <c r="B20" i="203"/>
  <c r="C20" i="203"/>
  <c r="D20" i="203"/>
  <c r="E20" i="203"/>
  <c r="F20" i="203"/>
  <c r="G20" i="203"/>
  <c r="H20" i="203"/>
  <c r="I20" i="203"/>
  <c r="J20" i="203"/>
  <c r="K20" i="203"/>
  <c r="L20" i="203"/>
  <c r="M20" i="203"/>
  <c r="N20" i="203"/>
  <c r="O20" i="203"/>
  <c r="P20" i="203"/>
  <c r="Q20" i="203"/>
  <c r="R20" i="203"/>
  <c r="S20" i="203"/>
  <c r="T20" i="203"/>
  <c r="U20" i="203"/>
  <c r="V33" i="207" l="1"/>
  <c r="V45" i="207"/>
  <c r="V36" i="207"/>
  <c r="V61" i="207"/>
  <c r="V40" i="207"/>
  <c r="V52" i="207"/>
  <c r="V41" i="207"/>
  <c r="V48" i="207"/>
  <c r="V60" i="207"/>
  <c r="V38" i="207"/>
  <c r="V50" i="207"/>
  <c r="V62" i="207"/>
  <c r="V39" i="207"/>
  <c r="V51" i="207"/>
  <c r="V63" i="207"/>
  <c r="V64" i="207"/>
  <c r="V53" i="207"/>
  <c r="V65" i="207"/>
  <c r="V30" i="207"/>
  <c r="V42" i="207"/>
  <c r="V54" i="207"/>
  <c r="V31" i="207"/>
  <c r="V43" i="207"/>
  <c r="V55" i="207"/>
  <c r="V32" i="207"/>
  <c r="V44" i="207"/>
  <c r="V56" i="207"/>
  <c r="V57" i="207"/>
  <c r="V34" i="207"/>
  <c r="V46" i="207"/>
  <c r="V58" i="207"/>
  <c r="V35" i="207"/>
  <c r="V47" i="207"/>
  <c r="V59" i="207"/>
  <c r="V82" i="203"/>
  <c r="W80" i="203" l="1"/>
  <c r="W79" i="203"/>
  <c r="W78" i="203"/>
  <c r="W77" i="203"/>
  <c r="W76" i="203"/>
  <c r="W75" i="203"/>
  <c r="W74" i="203"/>
  <c r="W73" i="203"/>
  <c r="W72" i="203"/>
  <c r="W71" i="203"/>
  <c r="W70" i="203"/>
  <c r="W69" i="203"/>
  <c r="W68" i="203"/>
  <c r="W67" i="203"/>
  <c r="W66" i="203"/>
  <c r="W65" i="203"/>
  <c r="W64" i="203"/>
  <c r="W63" i="203"/>
  <c r="W62" i="203"/>
  <c r="W61" i="203"/>
  <c r="W60" i="203"/>
  <c r="W59" i="203"/>
  <c r="W58" i="203"/>
  <c r="W57" i="203"/>
  <c r="W56" i="203"/>
  <c r="W55" i="203"/>
  <c r="W54" i="203"/>
  <c r="W53" i="203"/>
  <c r="W52" i="203"/>
  <c r="W51" i="203"/>
  <c r="W50" i="203"/>
  <c r="W49" i="203"/>
  <c r="W48" i="203"/>
  <c r="W47" i="203"/>
  <c r="W46" i="203"/>
  <c r="W45" i="203"/>
  <c r="W44" i="203"/>
  <c r="W43" i="203"/>
  <c r="W42" i="203"/>
  <c r="W41" i="203"/>
  <c r="W40" i="203"/>
  <c r="W39" i="203"/>
  <c r="W38" i="203"/>
  <c r="W37" i="203"/>
  <c r="W36" i="203"/>
  <c r="W31" i="203"/>
  <c r="W30" i="203"/>
  <c r="W29" i="203"/>
  <c r="W28" i="203"/>
  <c r="W27" i="203"/>
  <c r="W26" i="203"/>
  <c r="W25" i="203"/>
  <c r="W24" i="203"/>
  <c r="W3" i="203"/>
  <c r="Y3" i="203" s="1"/>
  <c r="W4" i="203"/>
  <c r="Y4" i="203" s="1"/>
  <c r="W5" i="203"/>
  <c r="Y5" i="203" s="1"/>
  <c r="W6" i="203"/>
  <c r="Y6" i="203" s="1"/>
  <c r="W7" i="203"/>
  <c r="Y7" i="203" s="1"/>
  <c r="W8" i="203"/>
  <c r="Y8" i="203" s="1"/>
  <c r="W9" i="203"/>
  <c r="Y9" i="203" s="1"/>
  <c r="W10" i="203"/>
  <c r="Y10" i="203" s="1"/>
  <c r="W11" i="203"/>
  <c r="Y11" i="203" s="1"/>
  <c r="W12" i="203"/>
  <c r="Y12" i="203" s="1"/>
  <c r="W13" i="203"/>
  <c r="Y13" i="203" s="1"/>
  <c r="W15" i="203"/>
  <c r="Y15" i="203" s="1"/>
  <c r="W16" i="203"/>
  <c r="Y16" i="203" s="1"/>
  <c r="W17" i="203"/>
  <c r="Y17" i="203" s="1"/>
  <c r="W18" i="203"/>
  <c r="Y18" i="203" s="1"/>
  <c r="W19" i="203"/>
  <c r="Y19" i="203" s="1"/>
  <c r="W2" i="203"/>
  <c r="Y2" i="203" s="1"/>
  <c r="N34" i="195"/>
  <c r="N33" i="195"/>
  <c r="N32" i="195"/>
  <c r="N31" i="195"/>
  <c r="N30" i="195"/>
  <c r="N29" i="195"/>
  <c r="N28" i="195"/>
  <c r="N27" i="195"/>
  <c r="N26" i="195"/>
  <c r="N25" i="195"/>
  <c r="N24" i="195"/>
  <c r="N23" i="195"/>
  <c r="N22" i="195"/>
  <c r="N21" i="195"/>
  <c r="N20" i="195"/>
  <c r="N19" i="195"/>
  <c r="N18" i="195"/>
  <c r="N17" i="195"/>
  <c r="N16" i="195"/>
  <c r="N15" i="195"/>
  <c r="N14" i="195"/>
  <c r="N13" i="195"/>
  <c r="N12" i="195"/>
  <c r="N11" i="195"/>
  <c r="N10" i="195"/>
  <c r="N9" i="195"/>
  <c r="N8" i="195"/>
  <c r="N7" i="195"/>
  <c r="N6" i="195"/>
  <c r="N5" i="195"/>
  <c r="N4" i="195"/>
  <c r="N3" i="195"/>
  <c r="N52" i="195"/>
  <c r="N53" i="195"/>
  <c r="N54" i="195"/>
  <c r="N55" i="195"/>
  <c r="N56" i="195"/>
  <c r="N57" i="195"/>
  <c r="N58" i="195"/>
  <c r="N59" i="195"/>
  <c r="N60" i="195"/>
  <c r="N61" i="195"/>
  <c r="N62" i="195"/>
  <c r="N63" i="195"/>
  <c r="N64" i="195"/>
  <c r="N65" i="195"/>
  <c r="N66" i="195"/>
  <c r="N67" i="195"/>
  <c r="N68" i="195"/>
  <c r="N69" i="195"/>
  <c r="N70" i="195"/>
  <c r="N71" i="195"/>
  <c r="N72" i="195"/>
  <c r="N73" i="195"/>
  <c r="N74" i="195"/>
  <c r="N75" i="195"/>
  <c r="N76" i="195"/>
  <c r="N77" i="195"/>
  <c r="N78" i="195"/>
  <c r="N79" i="195"/>
  <c r="N80" i="195"/>
  <c r="N81" i="195"/>
  <c r="N82" i="195"/>
  <c r="N83" i="195"/>
  <c r="N84" i="195"/>
  <c r="N85" i="195"/>
  <c r="N86" i="195"/>
  <c r="N87" i="195"/>
  <c r="N88" i="195"/>
  <c r="N89" i="195"/>
  <c r="N90" i="195"/>
  <c r="N91" i="195"/>
  <c r="N92" i="195"/>
  <c r="N93" i="195"/>
  <c r="N94" i="195"/>
  <c r="N95" i="195"/>
  <c r="N96" i="195"/>
  <c r="N97" i="195"/>
  <c r="N98" i="195"/>
  <c r="N99" i="195"/>
  <c r="N100" i="195"/>
  <c r="N101" i="195"/>
  <c r="N51" i="195"/>
  <c r="N4" i="200"/>
  <c r="N5" i="200"/>
  <c r="N6" i="200"/>
  <c r="N7" i="200"/>
  <c r="N8" i="200"/>
  <c r="N9" i="200"/>
  <c r="N10" i="200"/>
  <c r="N11" i="200"/>
  <c r="N12" i="200"/>
  <c r="N13" i="200"/>
  <c r="N14" i="200"/>
  <c r="N15" i="200"/>
  <c r="N16" i="200"/>
  <c r="N17" i="200"/>
  <c r="N18" i="200"/>
  <c r="N19" i="200"/>
  <c r="N20" i="200"/>
  <c r="N21" i="200"/>
  <c r="N22" i="200"/>
  <c r="N23" i="200"/>
  <c r="N24" i="200"/>
  <c r="N25" i="200"/>
  <c r="N26" i="200"/>
  <c r="N27" i="200"/>
  <c r="N28" i="200"/>
  <c r="N29" i="200"/>
  <c r="N30" i="200"/>
  <c r="N31" i="200"/>
  <c r="N32" i="200"/>
  <c r="N33" i="200"/>
  <c r="N34" i="200"/>
  <c r="N39" i="200"/>
  <c r="N40" i="200"/>
  <c r="N41" i="200"/>
  <c r="N42" i="200"/>
  <c r="N43" i="200"/>
  <c r="N44" i="200"/>
  <c r="N45" i="200"/>
  <c r="N46" i="200"/>
  <c r="N47" i="200"/>
  <c r="N48" i="200"/>
  <c r="N49" i="200"/>
  <c r="N50" i="200"/>
  <c r="N51" i="200"/>
  <c r="N52" i="200"/>
  <c r="N53" i="200"/>
  <c r="N54" i="200"/>
  <c r="N55" i="200"/>
  <c r="N56" i="200"/>
  <c r="N57" i="200"/>
  <c r="N58" i="200"/>
  <c r="N59" i="200"/>
  <c r="N60" i="200"/>
  <c r="N61" i="200"/>
  <c r="N62" i="200"/>
  <c r="N63" i="200"/>
  <c r="N64" i="200"/>
  <c r="N65" i="200"/>
  <c r="N66" i="200"/>
  <c r="N67" i="200"/>
  <c r="N68" i="200"/>
  <c r="N69" i="200"/>
  <c r="N70" i="200"/>
  <c r="N71" i="200"/>
  <c r="N72" i="200"/>
  <c r="N73" i="200"/>
  <c r="N74" i="200"/>
  <c r="N75" i="200"/>
  <c r="N76" i="200"/>
  <c r="N77" i="200"/>
  <c r="N78" i="200"/>
  <c r="N79" i="200"/>
  <c r="N80" i="200"/>
  <c r="N81" i="200"/>
  <c r="N82" i="200"/>
  <c r="N83" i="200"/>
  <c r="N84" i="200"/>
  <c r="N85" i="200"/>
  <c r="N86" i="200"/>
  <c r="N87" i="200"/>
  <c r="N88" i="200"/>
  <c r="N89" i="200"/>
  <c r="N90" i="200"/>
  <c r="N91" i="200"/>
  <c r="N92" i="200"/>
  <c r="N93" i="200"/>
  <c r="N94" i="200"/>
  <c r="N95" i="200"/>
  <c r="N96" i="200"/>
  <c r="N97" i="200"/>
  <c r="N3" i="200"/>
  <c r="L14" i="198"/>
  <c r="V17" i="194"/>
  <c r="V3" i="194"/>
  <c r="V4" i="194"/>
  <c r="V5" i="194"/>
  <c r="V6" i="194"/>
  <c r="V7" i="194"/>
  <c r="V8" i="194"/>
  <c r="V9" i="194"/>
  <c r="V10" i="194"/>
  <c r="V11" i="194"/>
  <c r="V12" i="194"/>
  <c r="V13" i="194"/>
  <c r="V14" i="194"/>
  <c r="V15" i="194"/>
  <c r="V16" i="194"/>
  <c r="V2" i="194"/>
  <c r="U3" i="194"/>
  <c r="W3" i="194" s="1"/>
  <c r="U4" i="194"/>
  <c r="U5" i="194"/>
  <c r="U6" i="194"/>
  <c r="U7" i="194"/>
  <c r="U8" i="194"/>
  <c r="U9" i="194"/>
  <c r="U10" i="194"/>
  <c r="U11" i="194"/>
  <c r="W11" i="194" s="1"/>
  <c r="U12" i="194"/>
  <c r="U13" i="194"/>
  <c r="W13" i="194" s="1"/>
  <c r="U14" i="194"/>
  <c r="U15" i="194"/>
  <c r="W15" i="194" s="1"/>
  <c r="U16" i="194"/>
  <c r="U17" i="194"/>
  <c r="U2" i="194"/>
  <c r="W14" i="194" l="1"/>
  <c r="W9" i="194"/>
  <c r="W8" i="194"/>
  <c r="W4" i="194"/>
  <c r="W7" i="194"/>
  <c r="W16" i="194"/>
  <c r="W12" i="194"/>
  <c r="W10" i="194"/>
  <c r="W2" i="194"/>
  <c r="W6" i="194"/>
  <c r="W17" i="194"/>
  <c r="W5" i="194"/>
  <c r="V23" i="194"/>
  <c r="V24" i="194"/>
  <c r="V25" i="194"/>
  <c r="V26" i="194"/>
  <c r="V22" i="194"/>
  <c r="U23" i="194"/>
  <c r="U24" i="194"/>
  <c r="U25" i="194"/>
  <c r="U26" i="194"/>
  <c r="U27" i="194"/>
  <c r="U22" i="194"/>
  <c r="N50" i="195"/>
  <c r="N49" i="195"/>
  <c r="N48" i="195"/>
  <c r="N47" i="195"/>
  <c r="N46" i="195"/>
  <c r="N45" i="195"/>
  <c r="N44" i="195"/>
  <c r="N43" i="195"/>
  <c r="N42" i="195"/>
  <c r="N41" i="195"/>
  <c r="N40" i="195"/>
  <c r="N39" i="195"/>
  <c r="Q3" i="192" l="1"/>
  <c r="Q4" i="192"/>
  <c r="Q5" i="192"/>
  <c r="Q6" i="192"/>
  <c r="Q7" i="192"/>
  <c r="Q8" i="192"/>
  <c r="Q9" i="192"/>
  <c r="Q10" i="192"/>
  <c r="Q11" i="192"/>
  <c r="Q12" i="192"/>
  <c r="Q13" i="192"/>
  <c r="Q14" i="192"/>
  <c r="Q15" i="192"/>
  <c r="Q2" i="192"/>
  <c r="P3" i="192"/>
  <c r="R3" i="192" s="1"/>
  <c r="P4" i="192"/>
  <c r="R4" i="192" s="1"/>
  <c r="P5" i="192"/>
  <c r="R5" i="192" s="1"/>
  <c r="P6" i="192"/>
  <c r="R6" i="192" s="1"/>
  <c r="P7" i="192"/>
  <c r="R7" i="192" s="1"/>
  <c r="P8" i="192"/>
  <c r="P9" i="192"/>
  <c r="R9" i="192" s="1"/>
  <c r="P10" i="192"/>
  <c r="R10" i="192" s="1"/>
  <c r="P11" i="192"/>
  <c r="P12" i="192"/>
  <c r="P13" i="192"/>
  <c r="P14" i="192"/>
  <c r="P15" i="192"/>
  <c r="R15" i="192" s="1"/>
  <c r="P2" i="192"/>
  <c r="R2" i="192" s="1"/>
  <c r="N10" i="189"/>
  <c r="N11" i="189"/>
  <c r="N12" i="189"/>
  <c r="N13" i="189"/>
  <c r="N14" i="189"/>
  <c r="N15" i="189"/>
  <c r="N16" i="189"/>
  <c r="N17" i="189"/>
  <c r="N18" i="189"/>
  <c r="N19" i="189"/>
  <c r="N20" i="189"/>
  <c r="N21" i="189"/>
  <c r="N22" i="189"/>
  <c r="N23" i="189"/>
  <c r="N24" i="189"/>
  <c r="N25" i="189"/>
  <c r="N26" i="189"/>
  <c r="N27" i="189"/>
  <c r="N28" i="189"/>
  <c r="N29" i="189"/>
  <c r="N30" i="189"/>
  <c r="N31" i="189"/>
  <c r="N32" i="189"/>
  <c r="N33" i="189"/>
  <c r="N34" i="189"/>
  <c r="N35" i="189"/>
  <c r="N36" i="189"/>
  <c r="N37" i="189"/>
  <c r="N38" i="189"/>
  <c r="N39" i="189"/>
  <c r="N40" i="189"/>
  <c r="N41" i="189"/>
  <c r="P41" i="189" s="1"/>
  <c r="N42" i="189"/>
  <c r="P42" i="189" s="1"/>
  <c r="N43" i="189"/>
  <c r="P43" i="189" s="1"/>
  <c r="N44" i="189"/>
  <c r="P44" i="189" s="1"/>
  <c r="N45" i="189"/>
  <c r="P45" i="189" s="1"/>
  <c r="N46" i="189"/>
  <c r="N47" i="189"/>
  <c r="N48" i="189"/>
  <c r="N49" i="189"/>
  <c r="N50" i="189"/>
  <c r="N51" i="189"/>
  <c r="N52" i="189"/>
  <c r="N53" i="189"/>
  <c r="N54" i="189"/>
  <c r="N55" i="189"/>
  <c r="N56" i="189"/>
  <c r="N57" i="189"/>
  <c r="N58" i="189"/>
  <c r="N59" i="189"/>
  <c r="N60" i="189"/>
  <c r="N61" i="189"/>
  <c r="N62" i="189"/>
  <c r="N63" i="189"/>
  <c r="N64" i="189"/>
  <c r="N65" i="189"/>
  <c r="N66" i="189"/>
  <c r="N67" i="189"/>
  <c r="N68" i="189"/>
  <c r="N69" i="189"/>
  <c r="N70" i="189"/>
  <c r="N71" i="189"/>
  <c r="N72" i="189"/>
  <c r="N73" i="189"/>
  <c r="N74" i="189"/>
  <c r="N75" i="189"/>
  <c r="N76" i="189"/>
  <c r="N77" i="189"/>
  <c r="N78" i="189"/>
  <c r="N79" i="189"/>
  <c r="N80" i="189"/>
  <c r="N81" i="189"/>
  <c r="N82" i="189"/>
  <c r="N83" i="189"/>
  <c r="N84" i="189"/>
  <c r="N85" i="189"/>
  <c r="N86" i="189"/>
  <c r="N87" i="189"/>
  <c r="N88" i="189"/>
  <c r="N89" i="189"/>
  <c r="N90" i="189"/>
  <c r="N91" i="189"/>
  <c r="N92" i="189"/>
  <c r="N93" i="189"/>
  <c r="N94" i="189"/>
  <c r="N95" i="189"/>
  <c r="N96" i="189"/>
  <c r="N97" i="189"/>
  <c r="N98" i="189"/>
  <c r="N99" i="189"/>
  <c r="N100" i="189"/>
  <c r="N101" i="189"/>
  <c r="N102" i="189"/>
  <c r="N103" i="189"/>
  <c r="N104" i="189"/>
  <c r="N105" i="189"/>
  <c r="N106" i="189"/>
  <c r="N107" i="189"/>
  <c r="N108" i="189"/>
  <c r="N109" i="189"/>
  <c r="N9" i="189"/>
  <c r="L5" i="189"/>
  <c r="K5" i="189"/>
  <c r="J5" i="189"/>
  <c r="I5" i="189"/>
  <c r="H5" i="189"/>
  <c r="G5" i="189"/>
  <c r="F5" i="189"/>
  <c r="E5" i="189"/>
  <c r="E1" i="189" s="1"/>
  <c r="D5" i="189"/>
  <c r="L4" i="189"/>
  <c r="L1" i="189" s="1"/>
  <c r="K4" i="189"/>
  <c r="J4" i="189"/>
  <c r="I4" i="189"/>
  <c r="H4" i="189"/>
  <c r="G4" i="189"/>
  <c r="F4" i="189"/>
  <c r="E4" i="189"/>
  <c r="D4" i="189"/>
  <c r="C5" i="189"/>
  <c r="C4" i="189"/>
  <c r="E2" i="186"/>
  <c r="R8" i="192" l="1"/>
  <c r="R12" i="192"/>
  <c r="R14" i="192"/>
  <c r="R13" i="192"/>
  <c r="R11" i="192"/>
  <c r="K1" i="189"/>
  <c r="H1" i="189"/>
  <c r="C1" i="189"/>
  <c r="G1" i="189"/>
  <c r="J1" i="189"/>
  <c r="F1" i="189"/>
  <c r="D1" i="189"/>
  <c r="I1" i="189"/>
  <c r="N4" i="183"/>
  <c r="N5" i="183"/>
  <c r="N6" i="183"/>
  <c r="N7" i="183"/>
  <c r="N8" i="183"/>
  <c r="N9" i="183"/>
  <c r="N10" i="183"/>
  <c r="N11" i="183"/>
  <c r="N12" i="183"/>
  <c r="N13" i="183"/>
  <c r="N14" i="183"/>
  <c r="N15" i="183"/>
  <c r="N16" i="183"/>
  <c r="N17" i="183"/>
  <c r="N18" i="183"/>
  <c r="N19" i="183"/>
  <c r="N20" i="183"/>
  <c r="N21" i="183"/>
  <c r="N22" i="183"/>
  <c r="N23" i="183"/>
  <c r="N24" i="183"/>
  <c r="N25" i="183"/>
  <c r="N26" i="183"/>
  <c r="N27" i="183"/>
  <c r="N28" i="183"/>
  <c r="N29" i="183"/>
  <c r="N30" i="183"/>
  <c r="N31" i="183"/>
  <c r="N32" i="183"/>
  <c r="N33" i="183"/>
  <c r="N34" i="183"/>
  <c r="N35" i="183"/>
  <c r="N36" i="183"/>
  <c r="N37" i="183"/>
  <c r="N38" i="183"/>
  <c r="N39" i="183"/>
  <c r="N43" i="183"/>
  <c r="N44" i="183"/>
  <c r="N45" i="183"/>
  <c r="N46" i="183"/>
  <c r="N47" i="183"/>
  <c r="N48" i="183"/>
  <c r="N49" i="183"/>
  <c r="N50" i="183"/>
  <c r="N51" i="183"/>
  <c r="N52" i="183"/>
  <c r="N53" i="183"/>
  <c r="N54" i="183"/>
  <c r="N55" i="183"/>
  <c r="N56" i="183"/>
  <c r="N57" i="183"/>
  <c r="N58" i="183"/>
  <c r="N59" i="183"/>
  <c r="N60" i="183"/>
  <c r="N61" i="183"/>
  <c r="N62" i="183"/>
  <c r="N63" i="183"/>
  <c r="N64" i="183"/>
  <c r="N65" i="183"/>
  <c r="N66" i="183"/>
  <c r="N67" i="183"/>
  <c r="N68" i="183"/>
  <c r="N69" i="183"/>
  <c r="N70" i="183"/>
  <c r="N71" i="183"/>
  <c r="N72" i="183"/>
  <c r="N73" i="183"/>
  <c r="N74" i="183"/>
  <c r="N75" i="183"/>
  <c r="N76" i="183"/>
  <c r="N77" i="183"/>
  <c r="N78" i="183"/>
  <c r="N79" i="183"/>
  <c r="N80" i="183"/>
  <c r="N81" i="183"/>
  <c r="N82" i="183"/>
  <c r="N83" i="183"/>
  <c r="N84" i="183"/>
  <c r="N85" i="183"/>
  <c r="N86" i="183"/>
  <c r="N87" i="183"/>
  <c r="N88" i="183"/>
  <c r="N89" i="183"/>
  <c r="N90" i="183"/>
  <c r="N91" i="183"/>
  <c r="N92" i="183"/>
  <c r="N93" i="183"/>
  <c r="N94" i="183"/>
  <c r="N95" i="183"/>
  <c r="N96" i="183"/>
  <c r="N97" i="183"/>
  <c r="N98" i="183"/>
  <c r="N99" i="183"/>
  <c r="N100" i="183"/>
  <c r="N101" i="183"/>
  <c r="N102" i="183"/>
  <c r="N103" i="183"/>
  <c r="N104" i="183"/>
  <c r="N3" i="183"/>
  <c r="V3" i="181" l="1"/>
  <c r="V4" i="181"/>
  <c r="V5" i="181"/>
  <c r="V6" i="181"/>
  <c r="V8" i="181"/>
  <c r="V9" i="181"/>
  <c r="V10" i="181"/>
  <c r="V11" i="181"/>
  <c r="V12" i="181"/>
  <c r="V13" i="181"/>
  <c r="V14" i="181"/>
  <c r="V15" i="181"/>
  <c r="V16" i="181"/>
  <c r="V17" i="181"/>
  <c r="V18" i="181"/>
  <c r="V19" i="181"/>
  <c r="V2" i="181"/>
  <c r="R22" i="180"/>
  <c r="O56" i="171"/>
  <c r="R10" i="165"/>
  <c r="O5" i="171" s="1"/>
  <c r="R11" i="165"/>
  <c r="O6" i="171" s="1"/>
  <c r="R12" i="165"/>
  <c r="O7" i="171" s="1"/>
  <c r="R13" i="165"/>
  <c r="O8" i="171" s="1"/>
  <c r="R14" i="165"/>
  <c r="O9" i="171" s="1"/>
  <c r="R15" i="165"/>
  <c r="O10" i="171" s="1"/>
  <c r="R16" i="165"/>
  <c r="O11" i="171" s="1"/>
  <c r="R17" i="165"/>
  <c r="O12" i="171" s="1"/>
  <c r="R18" i="165"/>
  <c r="O13" i="171" s="1"/>
  <c r="R19" i="165"/>
  <c r="R20" i="165"/>
  <c r="R21" i="165"/>
  <c r="O14" i="171" s="1"/>
  <c r="R22" i="165"/>
  <c r="O15" i="171" s="1"/>
  <c r="R23" i="165"/>
  <c r="O16" i="171" s="1"/>
  <c r="R24" i="165"/>
  <c r="R25" i="165"/>
  <c r="O17" i="171" s="1"/>
  <c r="R26" i="165"/>
  <c r="O18" i="171" s="1"/>
  <c r="R27" i="165"/>
  <c r="O19" i="171" s="1"/>
  <c r="R28" i="165"/>
  <c r="O20" i="171" s="1"/>
  <c r="R29" i="165"/>
  <c r="O21" i="171" s="1"/>
  <c r="R30" i="165"/>
  <c r="O22" i="171" s="1"/>
  <c r="R31" i="165"/>
  <c r="O23" i="171" s="1"/>
  <c r="R32" i="165"/>
  <c r="O24" i="171" s="1"/>
  <c r="R33" i="165"/>
  <c r="O25" i="171" s="1"/>
  <c r="R34" i="165"/>
  <c r="O26" i="171" s="1"/>
  <c r="R35" i="165"/>
  <c r="O27" i="171" s="1"/>
  <c r="R36" i="165"/>
  <c r="O28" i="171" s="1"/>
  <c r="R37" i="165"/>
  <c r="O29" i="171" s="1"/>
  <c r="R38" i="165"/>
  <c r="O30" i="171" s="1"/>
  <c r="R39" i="165"/>
  <c r="O31" i="171" s="1"/>
  <c r="R40" i="165"/>
  <c r="O32" i="171" s="1"/>
  <c r="R41" i="165"/>
  <c r="O33" i="171" s="1"/>
  <c r="R42" i="165"/>
  <c r="O34" i="171" s="1"/>
  <c r="R43" i="165"/>
  <c r="O35" i="171" s="1"/>
  <c r="R44" i="165"/>
  <c r="O36" i="171" s="1"/>
  <c r="R45" i="165"/>
  <c r="O37" i="171" s="1"/>
  <c r="R46" i="165"/>
  <c r="O38" i="171" s="1"/>
  <c r="R47" i="165"/>
  <c r="R48" i="165"/>
  <c r="R49" i="165"/>
  <c r="R50" i="165"/>
  <c r="R51" i="165"/>
  <c r="R52" i="165"/>
  <c r="R53" i="165"/>
  <c r="R54" i="165"/>
  <c r="R55" i="165"/>
  <c r="R56" i="165"/>
  <c r="R57" i="165"/>
  <c r="R58" i="165"/>
  <c r="R59" i="165"/>
  <c r="R60" i="165"/>
  <c r="R61" i="165"/>
  <c r="R62" i="165"/>
  <c r="R63" i="165"/>
  <c r="R64" i="165"/>
  <c r="R65" i="165"/>
  <c r="R66" i="165"/>
  <c r="R67" i="165"/>
  <c r="R68" i="165"/>
  <c r="R69" i="165"/>
  <c r="R70" i="165"/>
  <c r="O44" i="171" s="1"/>
  <c r="R71" i="165"/>
  <c r="O45" i="171" s="1"/>
  <c r="R72" i="165"/>
  <c r="O46" i="171" s="1"/>
  <c r="R73" i="165"/>
  <c r="O47" i="171" s="1"/>
  <c r="R74" i="165"/>
  <c r="O48" i="171" s="1"/>
  <c r="R75" i="165"/>
  <c r="O49" i="171" s="1"/>
  <c r="R76" i="165"/>
  <c r="O50" i="171" s="1"/>
  <c r="R77" i="165"/>
  <c r="O51" i="171" s="1"/>
  <c r="R78" i="165"/>
  <c r="O52" i="171" s="1"/>
  <c r="R79" i="165"/>
  <c r="O53" i="171" s="1"/>
  <c r="R80" i="165"/>
  <c r="O54" i="171" s="1"/>
  <c r="R81" i="165"/>
  <c r="O55" i="171" s="1"/>
  <c r="R82" i="165"/>
  <c r="O57" i="171" s="1"/>
  <c r="R83" i="165"/>
  <c r="O58" i="171" s="1"/>
  <c r="R84" i="165"/>
  <c r="O59" i="171" s="1"/>
  <c r="R85" i="165"/>
  <c r="O60" i="171" s="1"/>
  <c r="R86" i="165"/>
  <c r="O61" i="171" s="1"/>
  <c r="R87" i="165"/>
  <c r="O62" i="171" s="1"/>
  <c r="R88" i="165"/>
  <c r="O63" i="171" s="1"/>
  <c r="R89" i="165"/>
  <c r="O64" i="171" s="1"/>
  <c r="R90" i="165"/>
  <c r="O65" i="171" s="1"/>
  <c r="R91" i="165"/>
  <c r="O66" i="171" s="1"/>
  <c r="R92" i="165"/>
  <c r="O67" i="171" s="1"/>
  <c r="R93" i="165"/>
  <c r="O68" i="171" s="1"/>
  <c r="R94" i="165"/>
  <c r="O69" i="171" s="1"/>
  <c r="R95" i="165"/>
  <c r="O70" i="171" s="1"/>
  <c r="R96" i="165"/>
  <c r="O71" i="171" s="1"/>
  <c r="R97" i="165"/>
  <c r="O72" i="171" s="1"/>
  <c r="R98" i="165"/>
  <c r="O73" i="171" s="1"/>
  <c r="R99" i="165"/>
  <c r="O74" i="171" s="1"/>
  <c r="R100" i="165"/>
  <c r="O75" i="171" s="1"/>
  <c r="R101" i="165"/>
  <c r="R102" i="165"/>
  <c r="O76" i="171" s="1"/>
  <c r="R103" i="165"/>
  <c r="O77" i="171" s="1"/>
  <c r="R104" i="165"/>
  <c r="O78" i="171" s="1"/>
  <c r="R105" i="165"/>
  <c r="O79" i="171" s="1"/>
  <c r="R106" i="165"/>
  <c r="O80" i="171" s="1"/>
  <c r="R107" i="165"/>
  <c r="O81" i="171" s="1"/>
  <c r="R108" i="165"/>
  <c r="O82" i="171" s="1"/>
  <c r="R109" i="165"/>
  <c r="R110" i="165"/>
  <c r="O83" i="171" s="1"/>
  <c r="R111" i="165"/>
  <c r="O84" i="171" s="1"/>
  <c r="R112" i="165"/>
  <c r="O85" i="171" s="1"/>
  <c r="R113" i="165"/>
  <c r="O86" i="171" s="1"/>
  <c r="R114" i="165"/>
  <c r="O87" i="171" s="1"/>
  <c r="R115" i="165"/>
  <c r="O88" i="171" s="1"/>
  <c r="R116" i="165"/>
  <c r="O89" i="171" s="1"/>
  <c r="R117" i="165"/>
  <c r="O90" i="171" s="1"/>
  <c r="R118" i="165"/>
  <c r="O91" i="171" s="1"/>
  <c r="P91" i="171" s="1"/>
  <c r="R119" i="165"/>
  <c r="O92" i="171" s="1"/>
  <c r="R120" i="165"/>
  <c r="O93" i="171" s="1"/>
  <c r="R121" i="165"/>
  <c r="O94" i="171" s="1"/>
  <c r="R122" i="165"/>
  <c r="O95" i="171" s="1"/>
  <c r="R123" i="165"/>
  <c r="O96" i="171" s="1"/>
  <c r="R124" i="165"/>
  <c r="O97" i="171" s="1"/>
  <c r="R125" i="165"/>
  <c r="O98" i="171" s="1"/>
  <c r="R126" i="165"/>
  <c r="O99" i="171" s="1"/>
  <c r="R127" i="165"/>
  <c r="O100" i="171" s="1"/>
  <c r="R128" i="165"/>
  <c r="O101" i="171" s="1"/>
  <c r="P101" i="171" s="1"/>
  <c r="R129" i="165"/>
  <c r="O102" i="171" s="1"/>
  <c r="R130" i="165"/>
  <c r="O103" i="171" s="1"/>
  <c r="P103" i="171" s="1"/>
  <c r="R131" i="165"/>
  <c r="O104" i="171" s="1"/>
  <c r="R132" i="165"/>
  <c r="R133" i="165"/>
  <c r="R134" i="165"/>
  <c r="R135" i="165"/>
  <c r="R136" i="165"/>
  <c r="R137" i="165"/>
  <c r="R138" i="165"/>
  <c r="R139" i="165"/>
  <c r="R140" i="165"/>
  <c r="R141" i="165"/>
  <c r="R142" i="165"/>
  <c r="R143" i="165"/>
  <c r="R144" i="165"/>
  <c r="R145" i="165"/>
  <c r="R146" i="165"/>
  <c r="R147" i="165"/>
  <c r="R148" i="165"/>
  <c r="R149" i="165"/>
  <c r="R150" i="165"/>
  <c r="R151" i="165"/>
  <c r="R152" i="165"/>
  <c r="R153" i="165"/>
  <c r="R154" i="165"/>
  <c r="R155" i="165"/>
  <c r="R156" i="165"/>
  <c r="R157" i="165"/>
  <c r="R158" i="165"/>
  <c r="R159" i="165"/>
  <c r="R160" i="165"/>
  <c r="R161" i="165"/>
  <c r="R162" i="165"/>
  <c r="R163" i="165"/>
  <c r="R164" i="165"/>
  <c r="R9" i="165"/>
  <c r="O4" i="171" s="1"/>
  <c r="N5" i="171"/>
  <c r="N6" i="171"/>
  <c r="N7" i="171"/>
  <c r="N8" i="171"/>
  <c r="N9" i="171"/>
  <c r="N10" i="171"/>
  <c r="N11" i="171"/>
  <c r="N12" i="171"/>
  <c r="N13" i="171"/>
  <c r="N14" i="171"/>
  <c r="N15" i="171"/>
  <c r="N16" i="171"/>
  <c r="N17" i="171"/>
  <c r="N18" i="171"/>
  <c r="N19" i="171"/>
  <c r="N20" i="171"/>
  <c r="N21" i="171"/>
  <c r="N22" i="171"/>
  <c r="N23" i="171"/>
  <c r="N24" i="171"/>
  <c r="N25" i="171"/>
  <c r="N26" i="171"/>
  <c r="N27" i="171"/>
  <c r="N28" i="171"/>
  <c r="N29" i="171"/>
  <c r="N30" i="171"/>
  <c r="N31" i="171"/>
  <c r="N32" i="171"/>
  <c r="N33" i="171"/>
  <c r="N34" i="171"/>
  <c r="N35" i="171"/>
  <c r="N36" i="171"/>
  <c r="N37" i="171"/>
  <c r="N38" i="171"/>
  <c r="N44" i="171"/>
  <c r="N45" i="171"/>
  <c r="N46" i="171"/>
  <c r="N47" i="171"/>
  <c r="N48" i="171"/>
  <c r="N49" i="171"/>
  <c r="N50" i="171"/>
  <c r="N51" i="171"/>
  <c r="N52" i="171"/>
  <c r="N53" i="171"/>
  <c r="N54" i="171"/>
  <c r="N55" i="171"/>
  <c r="N56" i="171"/>
  <c r="P56" i="171" s="1"/>
  <c r="N57" i="171"/>
  <c r="N58" i="171"/>
  <c r="N59" i="171"/>
  <c r="N60" i="171"/>
  <c r="N61" i="171"/>
  <c r="N62" i="171"/>
  <c r="N63" i="171"/>
  <c r="N64" i="171"/>
  <c r="N65" i="171"/>
  <c r="N66" i="171"/>
  <c r="N67" i="171"/>
  <c r="N68" i="171"/>
  <c r="N69" i="171"/>
  <c r="N70" i="171"/>
  <c r="N71" i="171"/>
  <c r="N72" i="171"/>
  <c r="N73" i="171"/>
  <c r="N74" i="171"/>
  <c r="N75" i="171"/>
  <c r="N76" i="171"/>
  <c r="N77" i="171"/>
  <c r="N78" i="171"/>
  <c r="N79" i="171"/>
  <c r="N80" i="171"/>
  <c r="N81" i="171"/>
  <c r="N82" i="171"/>
  <c r="N83" i="171"/>
  <c r="N84" i="171"/>
  <c r="N85" i="171"/>
  <c r="N86" i="171"/>
  <c r="N87" i="171"/>
  <c r="N88" i="171"/>
  <c r="N89" i="171"/>
  <c r="N90" i="171"/>
  <c r="N91" i="171"/>
  <c r="N92" i="171"/>
  <c r="N93" i="171"/>
  <c r="N94" i="171"/>
  <c r="N95" i="171"/>
  <c r="N96" i="171"/>
  <c r="N97" i="171"/>
  <c r="N98" i="171"/>
  <c r="N99" i="171"/>
  <c r="N100" i="171"/>
  <c r="N101" i="171"/>
  <c r="N102" i="171"/>
  <c r="N103" i="171"/>
  <c r="N104" i="171"/>
  <c r="N4" i="171"/>
  <c r="P38" i="171" l="1"/>
  <c r="P26" i="171"/>
  <c r="P102" i="171"/>
  <c r="P90" i="171"/>
  <c r="P79" i="171"/>
  <c r="P89" i="171"/>
  <c r="P78" i="171"/>
  <c r="P67" i="171"/>
  <c r="P54" i="171"/>
  <c r="P36" i="171"/>
  <c r="P72" i="171"/>
  <c r="P60" i="171"/>
  <c r="P95" i="171"/>
  <c r="P55" i="171"/>
  <c r="P37" i="171"/>
  <c r="P25" i="171"/>
  <c r="P14" i="171"/>
  <c r="P24" i="171"/>
  <c r="P99" i="171"/>
  <c r="P87" i="171"/>
  <c r="P13" i="171"/>
  <c r="P12" i="171"/>
  <c r="P11" i="171"/>
  <c r="P48" i="171"/>
  <c r="P71" i="171"/>
  <c r="P59" i="171"/>
  <c r="P7" i="171"/>
  <c r="P6" i="171"/>
  <c r="P100" i="171"/>
  <c r="P88" i="171"/>
  <c r="P77" i="171"/>
  <c r="P66" i="171"/>
  <c r="P53" i="171"/>
  <c r="P35" i="171"/>
  <c r="P23" i="171"/>
  <c r="P76" i="171"/>
  <c r="P65" i="171"/>
  <c r="P52" i="171"/>
  <c r="P34" i="171"/>
  <c r="P22" i="171"/>
  <c r="P98" i="171"/>
  <c r="P86" i="171"/>
  <c r="P64" i="171"/>
  <c r="P51" i="171"/>
  <c r="P33" i="171"/>
  <c r="P21" i="171"/>
  <c r="P97" i="171"/>
  <c r="P85" i="171"/>
  <c r="P75" i="171"/>
  <c r="P63" i="171"/>
  <c r="P32" i="171"/>
  <c r="P20" i="171"/>
  <c r="P96" i="171"/>
  <c r="P84" i="171"/>
  <c r="P74" i="171"/>
  <c r="P62" i="171"/>
  <c r="P49" i="171"/>
  <c r="P31" i="171"/>
  <c r="P19" i="171"/>
  <c r="P10" i="171"/>
  <c r="P83" i="171"/>
  <c r="P73" i="171"/>
  <c r="P61" i="171"/>
  <c r="P30" i="171"/>
  <c r="P18" i="171"/>
  <c r="P9" i="171"/>
  <c r="P47" i="171"/>
  <c r="P8" i="171"/>
  <c r="P50" i="171"/>
  <c r="P104" i="171"/>
  <c r="P80" i="171"/>
  <c r="P68" i="171"/>
  <c r="P15" i="171"/>
  <c r="P27" i="171"/>
  <c r="P92" i="171"/>
  <c r="P44" i="171"/>
  <c r="P94" i="171"/>
  <c r="P82" i="171"/>
  <c r="P70" i="171"/>
  <c r="P58" i="171"/>
  <c r="P46" i="171"/>
  <c r="P29" i="171"/>
  <c r="P17" i="171"/>
  <c r="P5" i="171"/>
  <c r="P4" i="171"/>
  <c r="P93" i="171"/>
  <c r="P81" i="171"/>
  <c r="P69" i="171"/>
  <c r="P57" i="171"/>
  <c r="P45" i="171"/>
  <c r="P28" i="171"/>
  <c r="P16" i="171"/>
  <c r="N46" i="165"/>
  <c r="N45" i="165"/>
  <c r="N44" i="165"/>
  <c r="N43" i="165"/>
  <c r="N42" i="165"/>
  <c r="N41" i="165"/>
  <c r="N40" i="165"/>
  <c r="N39" i="165"/>
  <c r="N38" i="165"/>
  <c r="N37" i="165"/>
  <c r="N36" i="165"/>
  <c r="N35" i="165"/>
  <c r="N34" i="165"/>
  <c r="N33" i="165"/>
  <c r="N32" i="165"/>
  <c r="N31" i="165"/>
  <c r="N30" i="165"/>
  <c r="N29" i="165"/>
  <c r="N28" i="165"/>
  <c r="N27" i="165"/>
  <c r="N26" i="165"/>
  <c r="N25" i="165"/>
  <c r="N24" i="165"/>
  <c r="N23" i="165"/>
  <c r="N22" i="165"/>
  <c r="N21" i="165"/>
  <c r="N20" i="165"/>
  <c r="N19" i="165"/>
  <c r="N18" i="165"/>
  <c r="N17" i="165"/>
  <c r="N16" i="165"/>
  <c r="N15" i="165"/>
  <c r="N14" i="165"/>
  <c r="N13" i="165"/>
  <c r="N12" i="165"/>
  <c r="N11" i="165"/>
  <c r="N10" i="165"/>
  <c r="N9" i="165"/>
  <c r="N91" i="165"/>
  <c r="N90" i="165"/>
  <c r="N89" i="165"/>
  <c r="N88" i="165"/>
  <c r="N87" i="165"/>
  <c r="N86" i="165"/>
  <c r="N85" i="165"/>
  <c r="N84" i="165"/>
  <c r="N83" i="165"/>
  <c r="N82" i="165"/>
  <c r="N81" i="165"/>
  <c r="N80" i="165"/>
  <c r="N79" i="165"/>
  <c r="N78" i="165"/>
  <c r="N77" i="165"/>
  <c r="N76" i="165"/>
  <c r="N75" i="165"/>
  <c r="N74" i="165"/>
  <c r="N73" i="165"/>
  <c r="N72" i="165"/>
  <c r="N71" i="165"/>
  <c r="N70" i="165"/>
  <c r="N93" i="165"/>
  <c r="N94" i="165"/>
  <c r="N95" i="165"/>
  <c r="N96" i="165"/>
  <c r="N97" i="165"/>
  <c r="N98" i="165"/>
  <c r="N99" i="165"/>
  <c r="N100" i="165"/>
  <c r="N101" i="165"/>
  <c r="N102" i="165"/>
  <c r="N103" i="165"/>
  <c r="N104" i="165"/>
  <c r="N105" i="165"/>
  <c r="N106" i="165"/>
  <c r="N107" i="165"/>
  <c r="N108" i="165"/>
  <c r="N109" i="165"/>
  <c r="N110" i="165"/>
  <c r="N111" i="165"/>
  <c r="N112" i="165"/>
  <c r="N113" i="165"/>
  <c r="N114" i="165"/>
  <c r="N115" i="165"/>
  <c r="N116" i="165"/>
  <c r="N117" i="165"/>
  <c r="N118" i="165"/>
  <c r="N119" i="165"/>
  <c r="N120" i="165"/>
  <c r="N121" i="165"/>
  <c r="N122" i="165"/>
  <c r="N123" i="165"/>
  <c r="N124" i="165"/>
  <c r="N125" i="165"/>
  <c r="N126" i="165"/>
  <c r="N127" i="165"/>
  <c r="N128" i="165"/>
  <c r="N129" i="165"/>
  <c r="N130" i="165"/>
  <c r="N131" i="165"/>
  <c r="N92" i="165"/>
  <c r="C5" i="165" l="1"/>
  <c r="C4" i="165"/>
  <c r="C3" i="165"/>
  <c r="O47" i="165" l="1"/>
  <c r="O48" i="165"/>
  <c r="O49" i="165"/>
  <c r="O50" i="165"/>
  <c r="O51" i="165"/>
  <c r="O52" i="165"/>
  <c r="O53" i="165"/>
  <c r="O54" i="165"/>
  <c r="O55" i="165"/>
  <c r="O56" i="165"/>
  <c r="O57" i="165"/>
  <c r="O58" i="165"/>
  <c r="O59" i="165"/>
  <c r="P59" i="165" s="1"/>
  <c r="O60" i="165"/>
  <c r="P60" i="165" s="1"/>
  <c r="O61" i="165"/>
  <c r="P61" i="165" s="1"/>
  <c r="O62" i="165"/>
  <c r="P62" i="165" s="1"/>
  <c r="O63" i="165"/>
  <c r="P63" i="165" s="1"/>
  <c r="O64" i="165"/>
  <c r="P64" i="165" s="1"/>
  <c r="O65" i="165"/>
  <c r="P65" i="165" s="1"/>
  <c r="N47" i="165"/>
  <c r="N48" i="165"/>
  <c r="N49" i="165"/>
  <c r="N50" i="165"/>
  <c r="N51" i="165"/>
  <c r="N52" i="165"/>
  <c r="N53" i="165"/>
  <c r="N54" i="165"/>
  <c r="N55" i="165"/>
  <c r="N56" i="165"/>
  <c r="N57" i="165"/>
  <c r="N58" i="165"/>
  <c r="N59" i="165"/>
  <c r="N60" i="165"/>
  <c r="N61" i="165"/>
  <c r="N62" i="165"/>
  <c r="N63" i="165"/>
  <c r="N64" i="165"/>
  <c r="N65" i="165"/>
  <c r="P58" i="165" l="1"/>
  <c r="P57" i="165"/>
  <c r="P56" i="165"/>
  <c r="P55" i="165"/>
  <c r="P54" i="165"/>
  <c r="P53" i="165"/>
  <c r="P52" i="165"/>
  <c r="P51" i="165"/>
  <c r="P50" i="165"/>
  <c r="P49" i="165"/>
  <c r="P48" i="165"/>
  <c r="P47" i="165"/>
  <c r="L5" i="165"/>
  <c r="K5" i="165"/>
  <c r="J5" i="165"/>
  <c r="I5" i="165"/>
  <c r="H5" i="165"/>
  <c r="G5" i="165"/>
  <c r="F5" i="165"/>
  <c r="E5" i="165"/>
  <c r="D5" i="165"/>
  <c r="L4" i="165"/>
  <c r="K4" i="165"/>
  <c r="J4" i="165"/>
  <c r="I4" i="165"/>
  <c r="H4" i="165"/>
  <c r="G4" i="165"/>
  <c r="F4" i="165"/>
  <c r="E4" i="165"/>
  <c r="D4" i="165"/>
  <c r="G3" i="165"/>
  <c r="G1" i="165" s="1"/>
  <c r="H3" i="165" l="1"/>
  <c r="H1" i="165" s="1"/>
  <c r="L3" i="165"/>
  <c r="L1" i="165" s="1"/>
  <c r="K3" i="165"/>
  <c r="K1" i="165" s="1"/>
  <c r="D3" i="165"/>
  <c r="D1" i="165" s="1"/>
  <c r="F3" i="165"/>
  <c r="F1" i="165" s="1"/>
  <c r="I3" i="165"/>
  <c r="I1" i="165" s="1"/>
  <c r="J3" i="165"/>
  <c r="J1" i="165" s="1"/>
  <c r="C1" i="165"/>
  <c r="E3" i="165"/>
  <c r="E1" i="165" s="1"/>
  <c r="V3" i="163" l="1"/>
  <c r="V4" i="163"/>
  <c r="V5" i="163"/>
  <c r="V6" i="163"/>
  <c r="V7" i="163"/>
  <c r="V8" i="163"/>
  <c r="V9" i="163"/>
  <c r="V10" i="163"/>
  <c r="V11" i="163"/>
  <c r="V12" i="163"/>
  <c r="V13" i="163"/>
  <c r="V14" i="163"/>
  <c r="V15" i="163"/>
  <c r="V16" i="163"/>
  <c r="V17" i="163"/>
  <c r="V18" i="163"/>
  <c r="V19" i="163"/>
  <c r="V20" i="163"/>
  <c r="V21" i="163"/>
  <c r="V22" i="163"/>
  <c r="V2" i="163"/>
  <c r="F469" i="99" l="1"/>
  <c r="F468" i="99"/>
  <c r="F467" i="99"/>
  <c r="F466" i="99"/>
  <c r="F465" i="99"/>
  <c r="F464" i="99"/>
  <c r="F463" i="99"/>
  <c r="F462" i="99"/>
  <c r="F461" i="99"/>
  <c r="F460" i="99"/>
  <c r="F459" i="99"/>
  <c r="F458" i="99"/>
  <c r="F457" i="99"/>
  <c r="F456" i="99"/>
  <c r="F455" i="99"/>
  <c r="F454" i="99"/>
  <c r="F453" i="99"/>
  <c r="F452" i="99"/>
  <c r="F451" i="99"/>
  <c r="F450" i="99"/>
  <c r="F449" i="99"/>
  <c r="F448" i="99"/>
  <c r="F447" i="99"/>
  <c r="F446" i="99"/>
  <c r="F445" i="99"/>
  <c r="F444" i="99"/>
  <c r="F3" i="99"/>
  <c r="O99" i="165" l="1"/>
  <c r="P99" i="165" s="1"/>
  <c r="O100" i="165"/>
  <c r="P100" i="165" s="1"/>
  <c r="O93" i="165"/>
  <c r="P93" i="165" s="1"/>
  <c r="O98" i="165"/>
  <c r="P98" i="165" s="1"/>
  <c r="O23" i="165"/>
  <c r="P23" i="165" s="1"/>
  <c r="O22" i="165"/>
  <c r="P22" i="165" s="1"/>
  <c r="O21" i="165"/>
  <c r="P21" i="165" s="1"/>
  <c r="O26" i="165"/>
  <c r="P26" i="165" s="1"/>
  <c r="O84" i="165"/>
  <c r="P84" i="165" s="1"/>
  <c r="O77" i="165"/>
  <c r="P77" i="165" s="1"/>
  <c r="O122" i="165"/>
  <c r="P122" i="165" s="1"/>
  <c r="O96" i="165"/>
  <c r="P96" i="165" s="1"/>
  <c r="O89" i="165"/>
  <c r="P89" i="165" s="1"/>
  <c r="O79" i="165"/>
  <c r="P79" i="165" s="1"/>
  <c r="O73" i="165"/>
  <c r="P73" i="165" s="1"/>
  <c r="O70" i="165"/>
  <c r="P70" i="165" s="1"/>
  <c r="O81" i="165"/>
  <c r="P81" i="165" s="1"/>
  <c r="O110" i="165"/>
  <c r="P110" i="165" s="1"/>
  <c r="O105" i="165"/>
  <c r="P105" i="165" s="1"/>
  <c r="O17" i="165"/>
  <c r="P17" i="165" s="1"/>
  <c r="O44" i="165"/>
  <c r="P44" i="165" s="1"/>
  <c r="O34" i="165"/>
  <c r="P34" i="165" s="1"/>
  <c r="O25" i="165"/>
  <c r="P25" i="165" s="1"/>
  <c r="O40" i="165"/>
  <c r="P40" i="165" s="1"/>
  <c r="O35" i="165"/>
  <c r="P35" i="165" s="1"/>
  <c r="O31" i="165"/>
  <c r="P31" i="165" s="1"/>
  <c r="O18" i="165"/>
  <c r="P18" i="165" s="1"/>
  <c r="O36" i="165"/>
  <c r="P36" i="165" s="1"/>
  <c r="O12" i="165"/>
  <c r="P12" i="165" s="1"/>
  <c r="O10" i="165"/>
  <c r="P10" i="165" s="1"/>
  <c r="O11" i="165"/>
  <c r="P11" i="165" s="1"/>
  <c r="O9" i="165"/>
  <c r="P9" i="165" s="1"/>
  <c r="O16" i="165"/>
  <c r="P16" i="165" s="1"/>
  <c r="O13" i="165"/>
  <c r="P13" i="165" s="1"/>
  <c r="O104" i="165"/>
  <c r="P104" i="165" s="1"/>
  <c r="O102" i="165"/>
  <c r="P102" i="165" s="1"/>
  <c r="O38" i="165"/>
  <c r="P38" i="165" s="1"/>
  <c r="O37" i="165"/>
  <c r="P37" i="165" s="1"/>
  <c r="O30" i="165"/>
  <c r="P30" i="165" s="1"/>
  <c r="O29" i="165"/>
  <c r="P29" i="165" s="1"/>
  <c r="O28" i="165"/>
  <c r="P28" i="165" s="1"/>
  <c r="O103" i="165"/>
  <c r="P103" i="165" s="1"/>
  <c r="O119" i="165"/>
  <c r="P119" i="165" s="1"/>
  <c r="O117" i="165"/>
  <c r="P117" i="165" s="1"/>
  <c r="O41" i="165"/>
  <c r="P41" i="165" s="1"/>
  <c r="O131" i="165"/>
  <c r="P131" i="165" s="1"/>
  <c r="O128" i="165"/>
  <c r="P128" i="165" s="1"/>
  <c r="O46" i="165"/>
  <c r="P46" i="165" s="1"/>
  <c r="O127" i="165"/>
  <c r="P127" i="165" s="1"/>
  <c r="O107" i="165"/>
  <c r="P107" i="165" s="1"/>
  <c r="O24" i="165"/>
  <c r="P24" i="165" s="1"/>
  <c r="O90" i="165"/>
  <c r="P90" i="165" s="1"/>
  <c r="O91" i="165"/>
  <c r="P91" i="165" s="1"/>
  <c r="O92" i="165"/>
  <c r="P92" i="165" s="1"/>
  <c r="O87" i="165"/>
  <c r="P87" i="165" s="1"/>
  <c r="O108" i="165"/>
  <c r="P108" i="165" s="1"/>
  <c r="O85" i="165"/>
  <c r="P85" i="165" s="1"/>
  <c r="O130" i="165"/>
  <c r="P130" i="165" s="1"/>
  <c r="O121" i="165"/>
  <c r="P121" i="165" s="1"/>
  <c r="O114" i="165"/>
  <c r="P114" i="165" s="1"/>
  <c r="O109" i="165"/>
  <c r="P109" i="165" s="1"/>
  <c r="O120" i="165"/>
  <c r="P120" i="165" s="1"/>
  <c r="O116" i="165"/>
  <c r="P116" i="165" s="1"/>
  <c r="O75" i="165"/>
  <c r="P75" i="165" s="1"/>
  <c r="O76" i="165"/>
  <c r="P76" i="165" s="1"/>
  <c r="O74" i="165"/>
  <c r="P74" i="165" s="1"/>
  <c r="O106" i="165"/>
  <c r="P106" i="165" s="1"/>
  <c r="O39" i="165"/>
  <c r="P39" i="165" s="1"/>
  <c r="O129" i="165"/>
  <c r="P129" i="165" s="1"/>
  <c r="O118" i="165"/>
  <c r="P118" i="165" s="1"/>
  <c r="O33" i="165"/>
  <c r="P33" i="165" s="1"/>
  <c r="O32" i="165"/>
  <c r="P32" i="165" s="1"/>
  <c r="O115" i="165"/>
  <c r="P115" i="165" s="1"/>
  <c r="O112" i="165"/>
  <c r="P112" i="165" s="1"/>
  <c r="O111" i="165"/>
  <c r="P111" i="165" s="1"/>
  <c r="O113" i="165"/>
  <c r="P113" i="165" s="1"/>
  <c r="O86" i="165"/>
  <c r="P86" i="165" s="1"/>
  <c r="O27" i="165"/>
  <c r="P27" i="165" s="1"/>
  <c r="O94" i="165"/>
  <c r="P94" i="165" s="1"/>
  <c r="O83" i="165"/>
  <c r="P83" i="165" s="1"/>
  <c r="O78" i="165"/>
  <c r="P78" i="165" s="1"/>
  <c r="O82" i="165"/>
  <c r="P82" i="165" s="1"/>
  <c r="O72" i="165"/>
  <c r="P72" i="165" s="1"/>
  <c r="O101" i="165"/>
  <c r="P101" i="165" s="1"/>
  <c r="O15" i="165"/>
  <c r="P15" i="165" s="1"/>
  <c r="O71" i="165"/>
  <c r="P71" i="165" s="1"/>
  <c r="O97" i="165"/>
  <c r="P97" i="165" s="1"/>
  <c r="O88" i="165" l="1"/>
  <c r="P88" i="165" s="1"/>
  <c r="O19" i="165"/>
  <c r="P19" i="165" s="1"/>
  <c r="O45" i="165"/>
  <c r="P45" i="165" s="1"/>
  <c r="O123" i="165"/>
  <c r="P123" i="165" s="1"/>
  <c r="O124" i="165"/>
  <c r="P124" i="165" s="1"/>
  <c r="O20" i="165"/>
  <c r="P20" i="165" s="1"/>
  <c r="O95" i="165"/>
  <c r="P95" i="165" s="1"/>
  <c r="O80" i="165"/>
  <c r="P80" i="165" s="1"/>
  <c r="O14" i="165"/>
  <c r="P14" i="165" s="1"/>
  <c r="O43" i="165" l="1"/>
  <c r="P43" i="165" s="1"/>
  <c r="O126" i="165"/>
  <c r="P126" i="165" s="1"/>
  <c r="O42" i="165"/>
  <c r="P42" i="165" s="1"/>
  <c r="O125" i="165"/>
  <c r="P125" i="165" s="1"/>
  <c r="O105" i="189" l="1"/>
  <c r="P105" i="189" s="1"/>
  <c r="O78" i="189"/>
  <c r="P78" i="189" s="1"/>
  <c r="P18" i="189"/>
  <c r="O106" i="189"/>
  <c r="P106" i="189" s="1"/>
  <c r="O76" i="189"/>
  <c r="P76" i="189" s="1"/>
  <c r="P36" i="189"/>
  <c r="O103" i="189"/>
  <c r="P103" i="189" s="1"/>
  <c r="O75" i="189"/>
  <c r="P75" i="189" s="1"/>
  <c r="O109" i="189"/>
  <c r="P109" i="189" s="1"/>
  <c r="O70" i="189"/>
  <c r="P70" i="189" s="1"/>
  <c r="O104" i="189"/>
  <c r="P104" i="189" s="1"/>
  <c r="P37" i="189"/>
  <c r="O69" i="189" l="1"/>
  <c r="P69" i="189" s="1"/>
  <c r="O57" i="189"/>
  <c r="P57" i="189" s="1"/>
  <c r="P26" i="189"/>
  <c r="P16" i="189"/>
  <c r="P38" i="189"/>
  <c r="P19" i="189"/>
  <c r="O102" i="189"/>
  <c r="P102" i="189" s="1"/>
  <c r="O99" i="189"/>
  <c r="P99" i="189" s="1"/>
  <c r="O100" i="189"/>
  <c r="P100" i="189" s="1"/>
  <c r="O77" i="189"/>
  <c r="P77" i="189" s="1"/>
  <c r="O101" i="189"/>
  <c r="P101" i="189" s="1"/>
  <c r="O66" i="189"/>
  <c r="P66" i="189" s="1"/>
  <c r="P17" i="189"/>
  <c r="P40" i="189"/>
  <c r="O59" i="189"/>
  <c r="P59" i="189" s="1"/>
  <c r="O80" i="189" l="1"/>
  <c r="P80" i="189" s="1"/>
  <c r="O84" i="189"/>
  <c r="P84" i="189" s="1"/>
  <c r="O73" i="189"/>
  <c r="P73" i="189" s="1"/>
  <c r="P30" i="189"/>
  <c r="O91" i="189"/>
  <c r="P91" i="189" s="1"/>
  <c r="O88" i="189"/>
  <c r="P88" i="189" s="1"/>
  <c r="O63" i="189"/>
  <c r="P63" i="189" s="1"/>
  <c r="O83" i="189"/>
  <c r="P83" i="189" s="1"/>
  <c r="O94" i="189"/>
  <c r="P94" i="189" s="1"/>
  <c r="P32" i="189"/>
  <c r="O49" i="189"/>
  <c r="P49" i="189" s="1"/>
  <c r="O65" i="189"/>
  <c r="P65" i="189" s="1"/>
  <c r="O61" i="189"/>
  <c r="P61" i="189" s="1"/>
  <c r="O58" i="189"/>
  <c r="P58" i="189" s="1"/>
  <c r="O81" i="189"/>
  <c r="P81" i="189" s="1"/>
  <c r="O64" i="189"/>
  <c r="P64" i="189" s="1"/>
  <c r="P9" i="189"/>
  <c r="O53" i="189"/>
  <c r="P53" i="189" s="1"/>
  <c r="O47" i="189"/>
  <c r="P47" i="189" s="1"/>
  <c r="P13" i="189"/>
  <c r="O98" i="189"/>
  <c r="P98" i="189" s="1"/>
  <c r="O71" i="189"/>
  <c r="P71" i="189" s="1"/>
  <c r="P28" i="189"/>
  <c r="P21" i="189"/>
  <c r="O82" i="189"/>
  <c r="P82" i="189" s="1"/>
  <c r="O87" i="189"/>
  <c r="P87" i="189" s="1"/>
  <c r="O46" i="189"/>
  <c r="P46" i="189" s="1"/>
  <c r="O54" i="189"/>
  <c r="P54" i="189" s="1"/>
  <c r="O55" i="189"/>
  <c r="P55" i="189" s="1"/>
  <c r="O60" i="189"/>
  <c r="P60" i="189" s="1"/>
  <c r="O108" i="189"/>
  <c r="P108" i="189" s="1"/>
  <c r="P15" i="189"/>
  <c r="P20" i="189"/>
  <c r="P31" i="189"/>
  <c r="O93" i="189"/>
  <c r="P93" i="189" s="1"/>
  <c r="P39" i="189"/>
  <c r="P10" i="189"/>
  <c r="P29" i="189"/>
  <c r="P34" i="189"/>
  <c r="P33" i="189"/>
  <c r="O107" i="189"/>
  <c r="P107" i="189" s="1"/>
  <c r="O79" i="189"/>
  <c r="P79" i="189" s="1"/>
  <c r="P23" i="189"/>
  <c r="O72" i="189"/>
  <c r="P72" i="189" s="1"/>
  <c r="O96" i="189"/>
  <c r="P96" i="189" s="1"/>
  <c r="O95" i="189"/>
  <c r="P95" i="189" s="1"/>
  <c r="O51" i="189"/>
  <c r="P51" i="189" s="1"/>
  <c r="O97" i="189"/>
  <c r="P97" i="189" s="1"/>
  <c r="O67" i="189"/>
  <c r="P67" i="189" s="1"/>
  <c r="P35" i="189"/>
  <c r="O68" i="189" l="1"/>
  <c r="P68" i="189" s="1"/>
  <c r="P25" i="189"/>
  <c r="P11" i="189"/>
  <c r="P14" i="189"/>
  <c r="O86" i="189"/>
  <c r="P86" i="189" s="1"/>
  <c r="P27" i="189"/>
  <c r="O89" i="189"/>
  <c r="P89" i="189" s="1"/>
  <c r="O52" i="189"/>
  <c r="P52" i="189" s="1"/>
  <c r="P24" i="189"/>
  <c r="O90" i="189"/>
  <c r="P90" i="189" s="1"/>
  <c r="O50" i="189"/>
  <c r="P50" i="189" s="1"/>
  <c r="O62" i="189"/>
  <c r="P62" i="189" s="1"/>
  <c r="O92" i="189"/>
  <c r="P92" i="189" s="1"/>
  <c r="O48" i="189"/>
  <c r="P48" i="189" s="1"/>
  <c r="O74" i="189"/>
  <c r="P74" i="189" s="1"/>
  <c r="P22" i="189"/>
  <c r="O85" i="189"/>
  <c r="P85" i="189" s="1"/>
  <c r="P12" i="189" l="1"/>
  <c r="O56" i="189"/>
  <c r="P56" i="18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J17" authorId="0" shapeId="0" xr:uid="{3A1F5666-A175-46E9-8916-9DB023E8CE6F}">
      <text>
        <r>
          <rPr>
            <b/>
            <sz val="9"/>
            <color indexed="81"/>
            <rFont val="돋움"/>
            <family val="3"/>
            <charset val="129"/>
          </rPr>
          <t xml:space="preserve">434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J16" authorId="0" shapeId="0" xr:uid="{617A2BB7-5DEF-4042-B600-7C8B2F6C474F}">
      <text>
        <r>
          <rPr>
            <b/>
            <sz val="9"/>
            <color indexed="81"/>
            <rFont val="Tahoma"/>
            <family val="2"/>
          </rPr>
          <t xml:space="preserve">D-1
</t>
        </r>
      </text>
    </comment>
  </commentList>
</comments>
</file>

<file path=xl/sharedStrings.xml><?xml version="1.0" encoding="utf-8"?>
<sst xmlns="http://schemas.openxmlformats.org/spreadsheetml/2006/main" count="8482" uniqueCount="1323">
  <si>
    <t>품번</t>
  </si>
  <si>
    <t>PBA-파워- 아세이(BAS40-A)</t>
  </si>
  <si>
    <t>PBA-SMPS- 아세이(CHP-7211N,대만향)</t>
  </si>
  <si>
    <t>PBA-SMPS- 아세이(CHP-1201N)</t>
  </si>
  <si>
    <t>PBA-토탈- 아세이(BA36-B)</t>
  </si>
  <si>
    <t>PBA-파워(CHPI-7400N)</t>
  </si>
  <si>
    <t>PBA-SMPS(CHP-6210N,말련향)</t>
  </si>
  <si>
    <t>PBA-파워- 아세이(AP-3024H)</t>
  </si>
  <si>
    <t>PBA-파워(CHPI-5810L)</t>
  </si>
  <si>
    <t>PBA-SMPS(CHP-6330L)</t>
  </si>
  <si>
    <t>PBA-SMPS- 아세이(CHP-3140N_BG,싱가포르향)</t>
  </si>
  <si>
    <t>구분</t>
  </si>
  <si>
    <t>30W</t>
  </si>
  <si>
    <t>31W</t>
  </si>
  <si>
    <t>32W</t>
  </si>
  <si>
    <t>33W</t>
  </si>
  <si>
    <t>34W</t>
  </si>
  <si>
    <t>35W</t>
  </si>
  <si>
    <t>36W</t>
  </si>
  <si>
    <t>37W</t>
  </si>
  <si>
    <t>38W</t>
  </si>
  <si>
    <t>PBA-SMPS(CHP-6340L)</t>
  </si>
  <si>
    <t>PBA-SMPS(CP-6340L)</t>
  </si>
  <si>
    <t>PBA-SMPS(CHP-6330R,사우디향)</t>
  </si>
  <si>
    <t>No</t>
  </si>
  <si>
    <t>PBA-SMPS(CP-6330L)</t>
  </si>
  <si>
    <t>PBA-SMPS- 아세이(CHP-5710 미국향)</t>
  </si>
  <si>
    <t>유구</t>
    <phoneticPr fontId="11" type="noConversion"/>
  </si>
  <si>
    <t>PBA-파워 아세이(AP-1516D,수출,말련)</t>
  </si>
  <si>
    <t>PBA-파워 아세이(AP-2510EH,내수)</t>
  </si>
  <si>
    <t>합계</t>
    <phoneticPr fontId="11" type="noConversion"/>
  </si>
  <si>
    <t>인천</t>
    <phoneticPr fontId="11" type="noConversion"/>
  </si>
  <si>
    <t>Code No.</t>
  </si>
  <si>
    <t>코웨이</t>
  </si>
  <si>
    <t>Project</t>
  </si>
  <si>
    <t>모델</t>
  </si>
  <si>
    <t>Code No.2</t>
  </si>
  <si>
    <t xml:space="preserve"> PUMP PBA RELAY  </t>
  </si>
  <si>
    <t>PN20U-24J22(A)</t>
  </si>
  <si>
    <t xml:space="preserve"> Filter PCB  </t>
  </si>
  <si>
    <t xml:space="preserve"> A-1 Project </t>
  </si>
  <si>
    <t xml:space="preserve"> CHP-241N </t>
  </si>
  <si>
    <t>PN120MWJ-VF</t>
  </si>
  <si>
    <t xml:space="preserve"> MAIN </t>
  </si>
  <si>
    <t xml:space="preserve"> CP-241N </t>
  </si>
  <si>
    <t xml:space="preserve"> A-2 Ray </t>
  </si>
  <si>
    <t xml:space="preserve"> CHP-340N </t>
  </si>
  <si>
    <t xml:space="preserve"> 서비스용(내수) </t>
  </si>
  <si>
    <t xml:space="preserve"> CP-340N </t>
  </si>
  <si>
    <t xml:space="preserve"> 서비스용(수출) </t>
  </si>
  <si>
    <t xml:space="preserve"> 마린 1 </t>
  </si>
  <si>
    <t xml:space="preserve"> CHP-242N </t>
  </si>
  <si>
    <t xml:space="preserve"> PRIME MAX CHP-5720R</t>
  </si>
  <si>
    <t>PN115WCW-VF(M)</t>
  </si>
  <si>
    <t xml:space="preserve"> 파생 </t>
  </si>
  <si>
    <t xml:space="preserve"> 서비스(내수) </t>
  </si>
  <si>
    <t xml:space="preserve"> A-1 일본향 </t>
  </si>
  <si>
    <t xml:space="preserve"> CHP-240N </t>
  </si>
  <si>
    <t>PN120MWJ-VF(A)</t>
  </si>
  <si>
    <t xml:space="preserve"> 서비스(수출 Bork) </t>
  </si>
  <si>
    <t xml:space="preserve"> CHP-240N ERP </t>
  </si>
  <si>
    <t xml:space="preserve"> 서비스 </t>
  </si>
  <si>
    <t xml:space="preserve"> B-1 </t>
  </si>
  <si>
    <t xml:space="preserve"> CHPC-330 </t>
  </si>
  <si>
    <t>PN120MWJ-VF(B)</t>
  </si>
  <si>
    <t xml:space="preserve"> AQUAMEGA200C </t>
  </si>
  <si>
    <t xml:space="preserve">  CP-242N미주향 </t>
  </si>
  <si>
    <t>PN120MWJ-VF(C)</t>
  </si>
  <si>
    <t xml:space="preserve"> G1 직수정수기 </t>
  </si>
  <si>
    <t xml:space="preserve"> CHP-6200N 말련향 </t>
  </si>
  <si>
    <t>PN120MWJ-VF(D)</t>
  </si>
  <si>
    <t xml:space="preserve"> 말련향 </t>
  </si>
  <si>
    <t xml:space="preserve"> 서비스용(수출_말련) </t>
  </si>
  <si>
    <t xml:space="preserve"> 쉴드 공용 </t>
  </si>
  <si>
    <t xml:space="preserve"> CHP/CP-6201N </t>
  </si>
  <si>
    <t xml:space="preserve"> 서비스용(내수_쉴드) </t>
  </si>
  <si>
    <t>PN120MWJ-VF(G)</t>
  </si>
  <si>
    <t xml:space="preserve"> 말련향(전용) </t>
  </si>
  <si>
    <t xml:space="preserve"> PBA-SMPS- 아세이(CHP-6200N) </t>
  </si>
  <si>
    <t xml:space="preserve"> 세로직수 </t>
  </si>
  <si>
    <t>PN120MWJ-VF(E)</t>
  </si>
  <si>
    <t xml:space="preserve"> NADI  </t>
  </si>
  <si>
    <t xml:space="preserve"> P-300R/L </t>
  </si>
  <si>
    <t>PN20K-24J11</t>
  </si>
  <si>
    <t xml:space="preserve"> 국내향 </t>
  </si>
  <si>
    <t xml:space="preserve"> SUNNY </t>
  </si>
  <si>
    <t xml:space="preserve"> P-230R </t>
  </si>
  <si>
    <t xml:space="preserve"> SPS-01,내수 </t>
  </si>
  <si>
    <t xml:space="preserve"> 서비스(SPS-01,내수) </t>
  </si>
  <si>
    <t>PN20I-24J11</t>
  </si>
  <si>
    <t xml:space="preserve"> 인도향 </t>
  </si>
  <si>
    <t xml:space="preserve"> 서비스(인도) </t>
  </si>
  <si>
    <t>PN20A-24J22</t>
  </si>
  <si>
    <t xml:space="preserve"> 미주향 </t>
  </si>
  <si>
    <t>PN20T-24J11</t>
  </si>
  <si>
    <t xml:space="preserve"> 태국향 </t>
  </si>
  <si>
    <t>PN20C-24J11</t>
  </si>
  <si>
    <t xml:space="preserve"> 중국향 </t>
  </si>
  <si>
    <t>태국</t>
  </si>
  <si>
    <t>PN20E-24J11</t>
  </si>
  <si>
    <t xml:space="preserve"> 유럽,태국향 </t>
  </si>
  <si>
    <t>PN20U-24J11</t>
  </si>
  <si>
    <t xml:space="preserve"> SPS-02,수출,코디서비스키트 </t>
  </si>
  <si>
    <t xml:space="preserve"> 서비스(수출) </t>
  </si>
  <si>
    <t>PN20E-24J11(A)</t>
  </si>
  <si>
    <t xml:space="preserve"> 개별박스 적용 </t>
  </si>
  <si>
    <t>PN20E-24J11(B)</t>
  </si>
  <si>
    <t xml:space="preserve"> PU-500A/B/D </t>
  </si>
  <si>
    <t xml:space="preserve"> PU-500A : 비데용-내수 </t>
  </si>
  <si>
    <t>PN20K-24J22</t>
  </si>
  <si>
    <t xml:space="preserve"> 외장형 펌프 </t>
  </si>
  <si>
    <t xml:space="preserve"> PU-500B : 정수기용-내수 </t>
  </si>
  <si>
    <t xml:space="preserve"> PU-500D 정수기 G1 말련향  </t>
  </si>
  <si>
    <t>PN20U-24J22</t>
  </si>
  <si>
    <t xml:space="preserve"> 서비스(말련) </t>
  </si>
  <si>
    <t xml:space="preserve"> PU-500D 정수기 NEO4 태국향  </t>
  </si>
  <si>
    <t>PN20T-24J22</t>
  </si>
  <si>
    <t xml:space="preserve"> PU-500D 정수기 NEO4 유럽향  </t>
  </si>
  <si>
    <t>PN20E-24J22</t>
  </si>
  <si>
    <t xml:space="preserve"> 유럽,인도네이사, 
 베트남향 </t>
  </si>
  <si>
    <t xml:space="preserve">  글로벌P  
'P-6320L/R </t>
  </si>
  <si>
    <t xml:space="preserve">  P-6320L  </t>
  </si>
  <si>
    <t>PN20K-24J33</t>
  </si>
  <si>
    <t xml:space="preserve">  국내향  </t>
  </si>
  <si>
    <t xml:space="preserve">  서비스  </t>
  </si>
  <si>
    <t xml:space="preserve">  P-6320L (US-700076)  </t>
  </si>
  <si>
    <t>PN20A-24J33</t>
  </si>
  <si>
    <t xml:space="preserve">  미주향  </t>
  </si>
  <si>
    <t xml:space="preserve">  P-6320R (VN-701437)  유럽</t>
  </si>
  <si>
    <t>PN20E-24J33</t>
  </si>
  <si>
    <t xml:space="preserve">  유럽, 인네, 베트남  </t>
  </si>
  <si>
    <t xml:space="preserve">  P-6320R (ID-701412)  </t>
  </si>
  <si>
    <t xml:space="preserve">  P-6320R (MY-700010)  </t>
  </si>
  <si>
    <t>PN20U-24J33</t>
  </si>
  <si>
    <t xml:space="preserve">  영국, 말련  </t>
  </si>
  <si>
    <t xml:space="preserve">  P-6320R (TH-700010)  </t>
  </si>
  <si>
    <t>PN20T-24J33</t>
  </si>
  <si>
    <t xml:space="preserve">  태국향  </t>
  </si>
  <si>
    <t xml:space="preserve"> 라퓨타 </t>
  </si>
  <si>
    <t xml:space="preserve"> CHP-290N </t>
  </si>
  <si>
    <t>PN020WWJ-VDC</t>
  </si>
  <si>
    <t xml:space="preserve"> WINDY </t>
  </si>
  <si>
    <t xml:space="preserve"> CHP-250L </t>
  </si>
  <si>
    <t xml:space="preserve"> 오보로드 1 </t>
  </si>
  <si>
    <t xml:space="preserve"> CHP-270L_단종 </t>
  </si>
  <si>
    <t>PN045CWJ-VDC</t>
  </si>
  <si>
    <t xml:space="preserve"> 오보로드 2 </t>
  </si>
  <si>
    <t xml:space="preserve"> CP-270L_단종 </t>
  </si>
  <si>
    <t xml:space="preserve"> 매딕 </t>
  </si>
  <si>
    <t xml:space="preserve"> CHP-570L/N_단종 </t>
  </si>
  <si>
    <t>PN045CWJ-VDC(A)</t>
  </si>
  <si>
    <t xml:space="preserve"> 유럽향(대기전력) </t>
  </si>
  <si>
    <t xml:space="preserve"> 탄산정수기 </t>
  </si>
  <si>
    <t xml:space="preserve"> CPS-240L </t>
  </si>
  <si>
    <t>옴박</t>
  </si>
  <si>
    <t xml:space="preserve"> MAX II, </t>
  </si>
  <si>
    <t xml:space="preserve"> 16-MAXH2 </t>
  </si>
  <si>
    <t>시루스텐드&amp;일본향</t>
  </si>
  <si>
    <t xml:space="preserve"> 서비스(Max II용) </t>
  </si>
  <si>
    <t xml:space="preserve"> 스텔라(STELLAR) </t>
  </si>
  <si>
    <t xml:space="preserve"> CHP470  </t>
  </si>
  <si>
    <t>세이비어</t>
  </si>
  <si>
    <t xml:space="preserve"> 서비스(내수향) </t>
  </si>
  <si>
    <t xml:space="preserve"> 시루 스텐드(일본향) </t>
  </si>
  <si>
    <t xml:space="preserve"> PBA-SMPS(CHP-5700R) </t>
  </si>
  <si>
    <t>PN045WCW-VDC(B)</t>
  </si>
  <si>
    <t xml:space="preserve"> 산켄 W6053 단종 대체품  </t>
  </si>
  <si>
    <t xml:space="preserve"> 서비스(일본향) </t>
  </si>
  <si>
    <t>[022(B) 단종)]</t>
  </si>
  <si>
    <t xml:space="preserve"> MAXH2 미주향  </t>
  </si>
  <si>
    <t>PN045WCW-VDC(C)</t>
  </si>
  <si>
    <t xml:space="preserve"> 산켄社 SSC3S211 </t>
  </si>
  <si>
    <t xml:space="preserve"> VDC(B)에서 각홀만 추가 </t>
  </si>
  <si>
    <t xml:space="preserve"> Core </t>
  </si>
  <si>
    <t xml:space="preserve"> CHP-670 </t>
  </si>
  <si>
    <t>PN036MWJ-VF</t>
  </si>
  <si>
    <t xml:space="preserve"> CHP-530(레옹)_단종 </t>
  </si>
  <si>
    <t>METRO(CHP-04A)</t>
  </si>
  <si>
    <t xml:space="preserve"> CHP-04A,UL/CE </t>
  </si>
  <si>
    <t>CHP-04A,UL/CE</t>
  </si>
  <si>
    <t xml:space="preserve"> CHP-671RG  </t>
  </si>
  <si>
    <t>JOMOO향</t>
  </si>
  <si>
    <t xml:space="preserve"> 서비스(JOMOO) </t>
  </si>
  <si>
    <t xml:space="preserve"> CHP-06D  </t>
  </si>
  <si>
    <t>ERP</t>
  </si>
  <si>
    <t xml:space="preserve"> 알비코리아 공급 </t>
  </si>
  <si>
    <t xml:space="preserve"> Harry </t>
  </si>
  <si>
    <t xml:space="preserve"> CHP-590L/N </t>
  </si>
  <si>
    <t>PN011MWJ-VF</t>
  </si>
  <si>
    <t xml:space="preserve"> 쥬서기 </t>
  </si>
  <si>
    <t xml:space="preserve"> CJP03 R/W </t>
  </si>
  <si>
    <t>PN007MWJ-V1</t>
  </si>
  <si>
    <t xml:space="preserve"> 샤프향 </t>
  </si>
  <si>
    <t xml:space="preserve"> 서비스(일본) </t>
  </si>
  <si>
    <t xml:space="preserve"> CJP03 A/B </t>
  </si>
  <si>
    <t>PN007MWJ-V2</t>
  </si>
  <si>
    <t xml:space="preserve"> 유럽, 국내향 </t>
  </si>
  <si>
    <t xml:space="preserve"> 서비스(국내) </t>
  </si>
  <si>
    <t xml:space="preserve"> CJP03  </t>
  </si>
  <si>
    <t>PN007MWJ-V3</t>
  </si>
  <si>
    <t xml:space="preserve"> 미국, 대만향 </t>
  </si>
  <si>
    <t>PN007MWJ-V4</t>
  </si>
  <si>
    <t xml:space="preserve"> 서비스(중국) </t>
  </si>
  <si>
    <t xml:space="preserve"> H Project </t>
  </si>
  <si>
    <t xml:space="preserve"> S-101_단종 </t>
  </si>
  <si>
    <t>PN061CWJ-SM</t>
  </si>
  <si>
    <t xml:space="preserve"> 세척기 </t>
  </si>
  <si>
    <t>PN061CWJ-KE</t>
  </si>
  <si>
    <t>PN061CWJ-EL</t>
  </si>
  <si>
    <t xml:space="preserve"> PURURU </t>
  </si>
  <si>
    <t xml:space="preserve"> SCS-12AI _단종 </t>
  </si>
  <si>
    <t>PN010BWJ-VDC</t>
  </si>
  <si>
    <t xml:space="preserve"> 미용기기 </t>
  </si>
  <si>
    <t xml:space="preserve"> 비데 </t>
  </si>
  <si>
    <t xml:space="preserve"> BA16 / BA18 </t>
  </si>
  <si>
    <t>PN020BWJ-VDC</t>
  </si>
  <si>
    <t xml:space="preserve"> (해인전자 공급용) </t>
  </si>
  <si>
    <t>PN020BWJ-VDC(A)</t>
  </si>
  <si>
    <t>PN020BWJ-VDC(B)</t>
  </si>
  <si>
    <t>PN020BWJ-VDC(C)</t>
  </si>
  <si>
    <t xml:space="preserve"> 일체형 비데 </t>
  </si>
  <si>
    <t xml:space="preserve"> BA20 </t>
  </si>
  <si>
    <t>PN021BWJ-VF</t>
  </si>
  <si>
    <t xml:space="preserve"> BA20-D 건조삭제 파생  </t>
  </si>
  <si>
    <t>PN021BWJ-VF(A)</t>
  </si>
  <si>
    <t xml:space="preserve"> 네오(NEO) </t>
  </si>
  <si>
    <t xml:space="preserve"> CHP-260L </t>
  </si>
  <si>
    <t>PN022WWJ-VF</t>
  </si>
  <si>
    <t xml:space="preserve"> 네오(NEO) II </t>
  </si>
  <si>
    <t xml:space="preserve"> CHP-261N/262N </t>
  </si>
  <si>
    <t>PN022WWJ-VF(A)</t>
  </si>
  <si>
    <t>CHP-261N 일본향</t>
  </si>
  <si>
    <t>PN022WWJ-VF(A-1)</t>
  </si>
  <si>
    <t xml:space="preserve"> 네오(NEO) 4 </t>
  </si>
  <si>
    <t xml:space="preserve"> PBA-메인- 아세이(CHP-264L) </t>
  </si>
  <si>
    <t>PN022WWJ-VF(B-1)</t>
  </si>
  <si>
    <t xml:space="preserve"> 네오(NEO) 일본향 </t>
  </si>
  <si>
    <t xml:space="preserve"> CHP-260L(JP-701067) </t>
  </si>
  <si>
    <t>미정</t>
  </si>
  <si>
    <t xml:space="preserve"> 제습기(ARES) </t>
  </si>
  <si>
    <t xml:space="preserve"> AD-1714A </t>
  </si>
  <si>
    <t>PN012DWJ-V2</t>
  </si>
  <si>
    <t xml:space="preserve"> 비데(고급형) </t>
  </si>
  <si>
    <t xml:space="preserve"> BASH21 </t>
  </si>
  <si>
    <t>PN033BWJ-VF</t>
  </si>
  <si>
    <t>-</t>
  </si>
  <si>
    <t xml:space="preserve"> 월풀정수기 서비스 </t>
  </si>
  <si>
    <t xml:space="preserve"> P-07QR PBA-SMPS  </t>
  </si>
  <si>
    <t>PN035MWJ-VF(D)</t>
  </si>
  <si>
    <t xml:space="preserve"> 마린 2 </t>
  </si>
  <si>
    <t xml:space="preserve"> P-241N </t>
  </si>
  <si>
    <t>PN029WWJ-VF</t>
  </si>
  <si>
    <t xml:space="preserve"> XIU Main </t>
  </si>
  <si>
    <t xml:space="preserve"> X7-P170R (UTS 독립형) </t>
  </si>
  <si>
    <t>PN025WWJ-VF</t>
  </si>
  <si>
    <t xml:space="preserve"> (NORMAL TYPE) </t>
  </si>
  <si>
    <t xml:space="preserve"> X7-P171R (UTS 연결형) </t>
  </si>
  <si>
    <t>중국향</t>
  </si>
  <si>
    <t xml:space="preserve"> XIU Sub </t>
  </si>
  <si>
    <t xml:space="preserve"> X7D-HP171R 
 (디스펜서 카운트탑) </t>
  </si>
  <si>
    <t>PN025WWJ-VF(A)</t>
  </si>
  <si>
    <t xml:space="preserve"> (SLIM TYPE)  </t>
  </si>
  <si>
    <t xml:space="preserve">  X7D-HP172R 
 (디스펜서 월마운트) </t>
  </si>
  <si>
    <t xml:space="preserve"> 노블 가습기 </t>
  </si>
  <si>
    <t xml:space="preserve"> PBA-SMPS(AM-1421G) </t>
  </si>
  <si>
    <t>PN028HCW-VF</t>
  </si>
  <si>
    <t xml:space="preserve"> AM-1421G_113303 </t>
  </si>
  <si>
    <t xml:space="preserve"> 설치제약비데 </t>
  </si>
  <si>
    <t xml:space="preserve"> BAS25 </t>
  </si>
  <si>
    <t>PN038BWJ-VF</t>
  </si>
  <si>
    <t xml:space="preserve"> (RF 리모컨 적용) </t>
  </si>
  <si>
    <t xml:space="preserve"> (중국향) </t>
  </si>
  <si>
    <t xml:space="preserve"> 서비스용(중국) </t>
  </si>
  <si>
    <t>PN038BWJ-VF(A)</t>
  </si>
  <si>
    <t xml:space="preserve"> CARAT </t>
  </si>
  <si>
    <t xml:space="preserve"> CHPI-390L </t>
  </si>
  <si>
    <t>PN053WWJ-VF</t>
  </si>
  <si>
    <t xml:space="preserve"> LEGEND </t>
  </si>
  <si>
    <t xml:space="preserve"> 엘리트 (공용) </t>
  </si>
  <si>
    <t xml:space="preserve"> 가디언 V1 </t>
  </si>
  <si>
    <t xml:space="preserve"> CHP-480L/481L </t>
  </si>
  <si>
    <t>PN053WWJ-VF(A)</t>
  </si>
  <si>
    <t xml:space="preserve"> (PBA_NOISE FILTER) </t>
  </si>
  <si>
    <t xml:space="preserve"> CHP-482L </t>
  </si>
  <si>
    <t xml:space="preserve"> 가디언 </t>
  </si>
  <si>
    <t xml:space="preserve">  CHP/CP7200N  </t>
  </si>
  <si>
    <t>PN053WWJ-VF(B)</t>
  </si>
  <si>
    <t xml:space="preserve"> 서비스용(일본향) </t>
  </si>
  <si>
    <t>가디언 V2</t>
  </si>
  <si>
    <t>CHP-7200N</t>
  </si>
  <si>
    <t>PN053WWJ-VF(B-1)</t>
  </si>
  <si>
    <t>MAIN</t>
  </si>
  <si>
    <t>(PBA_NOISE FILTER)</t>
  </si>
  <si>
    <t>서비스용(내수)</t>
  </si>
  <si>
    <t xml:space="preserve"> 가디언 V2 </t>
  </si>
  <si>
    <t xml:space="preserve"> PBA-SMPS(CHP-7200N)  </t>
  </si>
  <si>
    <t>PN053WWJ-VF(C)</t>
  </si>
  <si>
    <t xml:space="preserve"> 가디언 V2(일본향) </t>
  </si>
  <si>
    <t xml:space="preserve"> PBA-SMPS </t>
  </si>
  <si>
    <t>PN053WWJ-VF(D)</t>
  </si>
  <si>
    <t xml:space="preserve"> (CHP-7200N_V2,일본) </t>
  </si>
  <si>
    <t xml:space="preserve"> INFINITI </t>
  </si>
  <si>
    <t xml:space="preserve">  CHP/CP-320N, CHP-321N  </t>
  </si>
  <si>
    <t>PN180WWJ-VF(B)</t>
  </si>
  <si>
    <t xml:space="preserve">  (PBA_POWER) </t>
  </si>
  <si>
    <t xml:space="preserve"> 노블 프로 </t>
  </si>
  <si>
    <t xml:space="preserve"> PBA-SMPS- 아세이(CHP-8310L) </t>
  </si>
  <si>
    <t>PN185WCW-VF</t>
  </si>
  <si>
    <t xml:space="preserve"> CHP-8310L,  </t>
  </si>
  <si>
    <t xml:space="preserve"> CP-8310L </t>
  </si>
  <si>
    <t xml:space="preserve"> PBA-SMPS- 아세이(CP-8310L) </t>
  </si>
  <si>
    <t>PN185WCW-VF(A)</t>
  </si>
  <si>
    <t>아이콘 22년형 CHP-7211N</t>
  </si>
  <si>
    <t xml:space="preserve"> PBA-SMPS- 아세이(CHP-7211N)</t>
  </si>
  <si>
    <t>PN185WCW-VF(B)</t>
  </si>
  <si>
    <t>아이콘 22년형 CP-7211N</t>
  </si>
  <si>
    <t xml:space="preserve"> PBA-SMPS- 아세이(CP-7211N)</t>
  </si>
  <si>
    <t>PN185WCW-VF(C)</t>
  </si>
  <si>
    <t>PBA-SMPS- 아세이(CHP-7211N)일본향</t>
  </si>
  <si>
    <t>PN185WCW-VF(D)</t>
  </si>
  <si>
    <t xml:space="preserve"> PBA-메인- 아세이(CHP-8310L) </t>
  </si>
  <si>
    <t>PN185WCW-MAIN</t>
  </si>
  <si>
    <t xml:space="preserve"> PBA-커넥터- 아세이(CHP-8310L) </t>
  </si>
  <si>
    <t>PN185WCW-CON</t>
  </si>
  <si>
    <t>노블 RO 러시아(Bork)향</t>
  </si>
  <si>
    <t>PBA-메인- 아세이(CHP-8310L,러시아향)</t>
  </si>
  <si>
    <t>PN185WCW-MAIN(Bork)</t>
  </si>
  <si>
    <t>PBA-SMPS- 아세이(CHP-8310L,러시아향)</t>
  </si>
  <si>
    <t>PN185WCW-VF(Bork)</t>
  </si>
  <si>
    <t>DUMMY</t>
  </si>
  <si>
    <t>PBA-SMPS- 아세이(CHP-8310L) DUMMY</t>
  </si>
  <si>
    <t>PN185WCW-MAIN(DUM)</t>
  </si>
  <si>
    <t xml:space="preserve"> LUCY </t>
  </si>
  <si>
    <t xml:space="preserve"> CHPI-620L </t>
  </si>
  <si>
    <t>PN040WWJ-V2</t>
  </si>
  <si>
    <t xml:space="preserve"> 112394(White),112395(black) </t>
  </si>
  <si>
    <t xml:space="preserve"> 브론델(사) OEM  </t>
  </si>
  <si>
    <t xml:space="preserve"> S1200-EW </t>
  </si>
  <si>
    <t>PN026BWJ-S1200</t>
  </si>
  <si>
    <t xml:space="preserve"> 비데 (미주향) </t>
  </si>
  <si>
    <t xml:space="preserve"> PBA 아세이 </t>
  </si>
  <si>
    <t xml:space="preserve"> (POWER + MICOM) </t>
  </si>
  <si>
    <t>미주향</t>
  </si>
  <si>
    <t xml:space="preserve"> S1400-EW </t>
  </si>
  <si>
    <t>PN026BWJ-S1400</t>
  </si>
  <si>
    <t xml:space="preserve"> S1400-EW / S1200-EW </t>
  </si>
  <si>
    <t>PN026BWJ-VF(A)</t>
  </si>
  <si>
    <t xml:space="preserve"> PBA SMPS </t>
  </si>
  <si>
    <t xml:space="preserve"> S1200-EWEU </t>
  </si>
  <si>
    <t>PN026BWJ-S1200(A)</t>
  </si>
  <si>
    <t xml:space="preserve"> 비데 (유럽향) </t>
  </si>
  <si>
    <t>유럽</t>
  </si>
  <si>
    <t xml:space="preserve"> S1400-EWEU </t>
  </si>
  <si>
    <t>PN026BWJ-S1400(A)</t>
  </si>
  <si>
    <t>PN026BWJ-VF(E)</t>
  </si>
  <si>
    <t xml:space="preserve"> Bluemoon </t>
  </si>
  <si>
    <t xml:space="preserve"> APMS-1516E/F </t>
  </si>
  <si>
    <t>PN019AWJ-V2</t>
  </si>
  <si>
    <t xml:space="preserve"> CARAT V2  </t>
  </si>
  <si>
    <t xml:space="preserve"> CHPI-390L(V2) </t>
  </si>
  <si>
    <t>PN065WWJ-VF</t>
  </si>
  <si>
    <t>ICON AIS 정수기</t>
  </si>
  <si>
    <t>PN047WCW-VF</t>
  </si>
  <si>
    <t>서비스(내수)</t>
  </si>
  <si>
    <t>PN048WWJ-VF(CN)</t>
  </si>
  <si>
    <t xml:space="preserve"> LUCY II </t>
  </si>
  <si>
    <t>PN048WWJ-VF</t>
  </si>
  <si>
    <t xml:space="preserve"> PBA-파워V2- 아세이 </t>
  </si>
  <si>
    <t>국내향</t>
  </si>
  <si>
    <t xml:space="preserve"> LUCY II(미주향) </t>
  </si>
  <si>
    <t>PN048WWJ-V1</t>
  </si>
  <si>
    <t xml:space="preserve"> PBA-파워V2 미주향- 아세이 </t>
  </si>
  <si>
    <t xml:space="preserve"> LUCY II(말련향) </t>
  </si>
  <si>
    <t>PN048WWJ-VF(A)</t>
  </si>
  <si>
    <t xml:space="preserve"> PBA-파워V2 말련향- 아세이 </t>
  </si>
  <si>
    <t>말련향</t>
  </si>
  <si>
    <t xml:space="preserve"> AIS 3.0 </t>
  </si>
  <si>
    <t xml:space="preserve">  CHPI-7510L / CPI-7510L  </t>
  </si>
  <si>
    <t>PN048WWJ-VF(A)R</t>
  </si>
  <si>
    <t xml:space="preserve"> PBA-파워V2 </t>
  </si>
  <si>
    <t>PN048WWJ-VF(B)</t>
  </si>
  <si>
    <t>말련_저수압용</t>
  </si>
  <si>
    <t>MY AIS(말련향)</t>
  </si>
  <si>
    <t>CHPI-7520L PBA-파워V2 말련향- 아세이</t>
  </si>
  <si>
    <t>PN048WWJ-VF(M)</t>
  </si>
  <si>
    <t xml:space="preserve"> 인스타 일반 Type </t>
  </si>
  <si>
    <t xml:space="preserve"> CHPI/CPI-7500L(SL) </t>
  </si>
  <si>
    <t>PN050WWJ-VF</t>
  </si>
  <si>
    <t xml:space="preserve"> AIS_오거식 </t>
  </si>
  <si>
    <t xml:space="preserve"> 액티브액션  </t>
  </si>
  <si>
    <t xml:space="preserve"> AP-0818A </t>
  </si>
  <si>
    <t>PN078AWJ-VF</t>
  </si>
  <si>
    <t xml:space="preserve"> 하위부품 </t>
  </si>
  <si>
    <t xml:space="preserve"> 청정기 </t>
  </si>
  <si>
    <t xml:space="preserve"> 자이언트 청정기 </t>
  </si>
  <si>
    <t xml:space="preserve"> AP-3018B  </t>
  </si>
  <si>
    <t>PN130ACW-VF</t>
  </si>
  <si>
    <t xml:space="preserve"> GIANT </t>
  </si>
  <si>
    <t xml:space="preserve"> AP-3018B(US) </t>
  </si>
  <si>
    <t>PN130ACW-VF(A)</t>
  </si>
  <si>
    <t xml:space="preserve"> CIROO 직수정수기 </t>
  </si>
  <si>
    <t xml:space="preserve"> CHP-7300R </t>
  </si>
  <si>
    <t>PN105WCW-VF</t>
  </si>
  <si>
    <t xml:space="preserve"> PBA-SMPS+HEATER </t>
  </si>
  <si>
    <t xml:space="preserve"> CP-7300R </t>
  </si>
  <si>
    <t>PN105WCW-VF(A)</t>
  </si>
  <si>
    <t xml:space="preserve"> CIROO-DRIVE </t>
  </si>
  <si>
    <t xml:space="preserve">  CHP-6310L </t>
  </si>
  <si>
    <t>PN037WCW-VF</t>
  </si>
  <si>
    <t xml:space="preserve"> SMPS+MICOM+HEATER+RELAY </t>
  </si>
  <si>
    <t xml:space="preserve">  CHP-6310L DUMMY</t>
  </si>
  <si>
    <t>PN037WCW-VF(DUM)</t>
  </si>
  <si>
    <t xml:space="preserve">  CP-6310L </t>
  </si>
  <si>
    <t>PN037WCW-VF(A)</t>
  </si>
  <si>
    <t xml:space="preserve"> SMPS+MICOM+RELAY </t>
  </si>
  <si>
    <t xml:space="preserve">  CHP-6310L(말련향) </t>
  </si>
  <si>
    <t>PN037WCW-VF(M)</t>
  </si>
  <si>
    <t xml:space="preserve"> SMPS+MICOM+HEATER </t>
  </si>
  <si>
    <t xml:space="preserve"> SMPS+MICOM </t>
  </si>
  <si>
    <t xml:space="preserve"> PBA-메인 CHP 아세이(CHP-6310 유럽향)</t>
  </si>
  <si>
    <t>PN037WCW-VF(EU)</t>
  </si>
  <si>
    <t>PN037WCW-RY</t>
  </si>
  <si>
    <t xml:space="preserve"> RELAY SUB </t>
  </si>
  <si>
    <t>PN037WCW-RY(A)</t>
  </si>
  <si>
    <t xml:space="preserve"> CIROO-DRIVE (JP)</t>
  </si>
  <si>
    <t xml:space="preserve"> PBA-메인- 아세이(CHP-6310) </t>
  </si>
  <si>
    <t>PN037WCW-V1</t>
  </si>
  <si>
    <t xml:space="preserve"> 일본향 </t>
  </si>
  <si>
    <t xml:space="preserve"> CIROO 스텐드 </t>
  </si>
  <si>
    <t xml:space="preserve">  CHP-5700R/CP-5700R </t>
  </si>
  <si>
    <t>PN045WCW-FILTER</t>
  </si>
  <si>
    <t xml:space="preserve"> HP-7200N</t>
  </si>
  <si>
    <t>PN045WCW-FILTER(A)</t>
  </si>
  <si>
    <t xml:space="preserve"> BAS31 비데 </t>
  </si>
  <si>
    <t xml:space="preserve">  like CODE NO. 112835 </t>
  </si>
  <si>
    <t>PN039BCW-VF</t>
  </si>
  <si>
    <t xml:space="preserve"> 전기레인지 </t>
  </si>
  <si>
    <t xml:space="preserve">  CER-03 하이라이트/MAGMA </t>
  </si>
  <si>
    <t>PN013MCW-V2</t>
  </si>
  <si>
    <t xml:space="preserve"> (알비코리아 우회 납품) </t>
  </si>
  <si>
    <t xml:space="preserve"> Harry 2 L type </t>
  </si>
  <si>
    <t xml:space="preserve"> CHP-5710L  </t>
  </si>
  <si>
    <t>PN011MWJ-VF(A)</t>
  </si>
  <si>
    <t xml:space="preserve"> SMPS </t>
  </si>
  <si>
    <t>Harry 2 L type</t>
  </si>
  <si>
    <t xml:space="preserve">CHP-5710L </t>
  </si>
  <si>
    <t>PN011MWJ-V1</t>
  </si>
  <si>
    <t>외장형 Pump</t>
  </si>
  <si>
    <t>PBA-SMPS- 아세이(외장형 Pump)</t>
  </si>
  <si>
    <t>PN034WCW-PUMP(A)</t>
  </si>
  <si>
    <t xml:space="preserve"> Harry 2 R type </t>
  </si>
  <si>
    <t xml:space="preserve"> CHP-5710R  </t>
  </si>
  <si>
    <t>PN036MWJ-VF(A)</t>
  </si>
  <si>
    <t>PN036MWJ-VF(B)</t>
  </si>
  <si>
    <t xml:space="preserve"> PBA-SMPS-아세이 CHP-06ER  , ERP(35W)</t>
  </si>
  <si>
    <t>PN036MWJ-VF(C)</t>
  </si>
  <si>
    <t xml:space="preserve"> Kingdom </t>
  </si>
  <si>
    <t xml:space="preserve"> AP-1519B </t>
  </si>
  <si>
    <t>PN020ACW-V2</t>
  </si>
  <si>
    <t xml:space="preserve"> 벽걸이 청정기 </t>
  </si>
  <si>
    <t xml:space="preserve"> PBA-파워- 아세이 </t>
  </si>
  <si>
    <t xml:space="preserve"> Super Kingdom </t>
  </si>
  <si>
    <t xml:space="preserve"> AP-3519A </t>
  </si>
  <si>
    <t>PN020ACW-V2(A)</t>
  </si>
  <si>
    <t xml:space="preserve"> PBA-파워- 아세이(AP-3519A)  </t>
  </si>
  <si>
    <t xml:space="preserve"> 엔트리 비데 </t>
  </si>
  <si>
    <t xml:space="preserve"> BA34-A(국내향) </t>
  </si>
  <si>
    <t>PN021BWJ-VF(B)</t>
  </si>
  <si>
    <t xml:space="preserve"> (BA20 파생) </t>
  </si>
  <si>
    <t xml:space="preserve">  BA20-BCH   </t>
  </si>
  <si>
    <t xml:space="preserve"> BA20-BCH(중국향) </t>
  </si>
  <si>
    <t>PN021BWJ-VF(C)</t>
  </si>
  <si>
    <t xml:space="preserve"> BA34 (미주향) </t>
  </si>
  <si>
    <t xml:space="preserve"> BA34-A(미주향) </t>
  </si>
  <si>
    <t>PN021BWJ-VF(D)</t>
  </si>
  <si>
    <t xml:space="preserve"> BIDETMEGA 150E </t>
  </si>
  <si>
    <t xml:space="preserve"> BIDETMEGA 400E </t>
  </si>
  <si>
    <t xml:space="preserve"> BAS-33(미주향) </t>
  </si>
  <si>
    <t>PN039BCW-V1</t>
  </si>
  <si>
    <t xml:space="preserve"> (BAS31 파생) </t>
  </si>
  <si>
    <t xml:space="preserve"> 마이한뼘 시루직수 </t>
  </si>
  <si>
    <t xml:space="preserve">  CHP-8300R(113003)  </t>
  </si>
  <si>
    <t>PN105WCW-VF(C)</t>
  </si>
  <si>
    <t xml:space="preserve"> Ciroo Mini </t>
  </si>
  <si>
    <t xml:space="preserve"> 정수기 </t>
  </si>
  <si>
    <t xml:space="preserve">  CP-8300R(113004) </t>
  </si>
  <si>
    <t>PN105WCW-VF(D)</t>
  </si>
  <si>
    <t xml:space="preserve"> CHP-8300RV2 </t>
  </si>
  <si>
    <t>PN105WCW-VF(E)</t>
  </si>
  <si>
    <t xml:space="preserve"> 마이한뼘 V2 </t>
  </si>
  <si>
    <t xml:space="preserve"> CP-8300RV2 </t>
  </si>
  <si>
    <t>PN105WCW-VF(F)</t>
  </si>
  <si>
    <t xml:space="preserve"> 히든 빌트인 </t>
  </si>
  <si>
    <t xml:space="preserve"> PBA-SMPS- 아세이(CHP-3140N) </t>
  </si>
  <si>
    <t>PN110WCW-VF</t>
  </si>
  <si>
    <t xml:space="preserve">  (CHP-3140N) </t>
  </si>
  <si>
    <t xml:space="preserve"> 113232/113233 </t>
  </si>
  <si>
    <t xml:space="preserve"> PBA-SMPS- 아세이(CP-3140N) </t>
  </si>
  <si>
    <t>PN110WCW-VF(A)</t>
  </si>
  <si>
    <t xml:space="preserve">  (CP-3140N) </t>
  </si>
  <si>
    <t xml:space="preserve"> 휴대용청정기 </t>
  </si>
  <si>
    <t xml:space="preserve">  AP-0119R </t>
  </si>
  <si>
    <t>PN002ACW-CHARGER</t>
  </si>
  <si>
    <t xml:space="preserve"> 클래식 청정기 </t>
  </si>
  <si>
    <t xml:space="preserve"> AP-1018F (국내)_112798 </t>
  </si>
  <si>
    <t>PN003ACW-CLASSIC</t>
  </si>
  <si>
    <t xml:space="preserve"> CLASSIC </t>
  </si>
  <si>
    <t xml:space="preserve"> 데코-탑커버- 아세이 </t>
  </si>
  <si>
    <t>PN003ACW-CLASSIC2</t>
  </si>
  <si>
    <t xml:space="preserve"> (해인전자 이관품목) </t>
  </si>
  <si>
    <t xml:space="preserve"> AP-1018 (BORK) </t>
  </si>
  <si>
    <t>PN003ACW-CLASSIC(BO)</t>
  </si>
  <si>
    <t xml:space="preserve"> 21년 4월부터 공급 </t>
  </si>
  <si>
    <t xml:space="preserve"> AP-1018F (유럽) </t>
  </si>
  <si>
    <t>PN003ACW-CLASSIC(EU)</t>
  </si>
  <si>
    <t xml:space="preserve"> AP-1018F (대만) </t>
  </si>
  <si>
    <t>PN003ACW-CLASSIC(TW)</t>
  </si>
  <si>
    <t xml:space="preserve"> AP-1018F (일본) </t>
  </si>
  <si>
    <t>PN003ACW-CLASSIC(JP)</t>
  </si>
  <si>
    <t xml:space="preserve"> AP-1018F (말련, 인도네시아, 미주) </t>
  </si>
  <si>
    <t>PN003ACW-CLASSIC(MY)</t>
  </si>
  <si>
    <t xml:space="preserve"> 글로벌 P 정수기
P-6320L / P-6320R
21년 6월부터 공급 </t>
  </si>
  <si>
    <t xml:space="preserve"> PBA-메인- 아세이(P-6320R) </t>
  </si>
  <si>
    <t>PN005WCW-MAIN</t>
  </si>
  <si>
    <t xml:space="preserve"> PBA-메인- 아세이(P-6320L) </t>
  </si>
  <si>
    <t>PN004WCW-MAIN</t>
  </si>
  <si>
    <t xml:space="preserve"> 서비스(미주) </t>
  </si>
  <si>
    <t xml:space="preserve"> PBA-프론트- 아세이(P-6320L) </t>
  </si>
  <si>
    <t>PN005WCW-FRONT</t>
  </si>
  <si>
    <t xml:space="preserve">  AP-0119S </t>
  </si>
  <si>
    <t>PN002ACW-CHARGER(A)</t>
  </si>
  <si>
    <t xml:space="preserve">  AP-0119R/S </t>
  </si>
  <si>
    <t>PN002ACW-KEY</t>
  </si>
  <si>
    <t xml:space="preserve"> ICON 청정기 </t>
  </si>
  <si>
    <t xml:space="preserve">  AP-1019D </t>
  </si>
  <si>
    <t>PN052MWJ-VF(E)</t>
  </si>
  <si>
    <t xml:space="preserve"> Lombok3 청정기 </t>
  </si>
  <si>
    <t xml:space="preserve">  AP-1519C  </t>
  </si>
  <si>
    <t>PN018ACW-VF</t>
  </si>
  <si>
    <t xml:space="preserve">  Main+SMPS 통합 보드  </t>
  </si>
  <si>
    <t xml:space="preserve"> PBA-SMPS- 아세이(CHP-7210N ) </t>
  </si>
  <si>
    <t xml:space="preserve"> PBA-SMPS- 아세이(CP-7210N) </t>
  </si>
  <si>
    <t>PN120MWJ-VF(F)</t>
  </si>
  <si>
    <t xml:space="preserve"> 히든(HIDDEN) 세로 </t>
  </si>
  <si>
    <t xml:space="preserve"> PBA-SMPS- 아세이(세로) CHP </t>
  </si>
  <si>
    <t>PN120MWJ-VF(H)</t>
  </si>
  <si>
    <t xml:space="preserve"> CHP-8200N  </t>
  </si>
  <si>
    <t xml:space="preserve"> CP-8200N  </t>
  </si>
  <si>
    <t xml:space="preserve"> PBA-SMPS- 아세이(세로) CP </t>
  </si>
  <si>
    <t>PN120MWJ-VF(I)</t>
  </si>
  <si>
    <t xml:space="preserve"> PBA-SMPS- 아세이(가로) CHP </t>
  </si>
  <si>
    <t>PN120MWJ-VF(J)</t>
  </si>
  <si>
    <t xml:space="preserve"> CHP-8210N_113291 </t>
  </si>
  <si>
    <t xml:space="preserve"> CP-8210N_113297 </t>
  </si>
  <si>
    <t xml:space="preserve"> PBA-SMPS- 아세이(가로) CP </t>
  </si>
  <si>
    <t>PN120MWJ-VF(K)</t>
  </si>
  <si>
    <t xml:space="preserve"> 마블청정기 </t>
  </si>
  <si>
    <t xml:space="preserve">  PBA-파워-아세이  </t>
  </si>
  <si>
    <t>PN050ACW-VF</t>
  </si>
  <si>
    <t xml:space="preserve">  MAIN  </t>
  </si>
  <si>
    <t xml:space="preserve"> AP-1521B(113182) </t>
  </si>
  <si>
    <t xml:space="preserve"> AP-2021A </t>
  </si>
  <si>
    <t xml:space="preserve">  서비스(내수)  </t>
  </si>
  <si>
    <t xml:space="preserve">  노블청정기  </t>
  </si>
  <si>
    <t xml:space="preserve">   PBA-파워 아세이  </t>
  </si>
  <si>
    <t>PN050ACW-VF(A)</t>
  </si>
  <si>
    <t xml:space="preserve">  AP-3021D </t>
  </si>
  <si>
    <t xml:space="preserve"> AP-2021A(113112) </t>
  </si>
  <si>
    <t xml:space="preserve">  PBA-파워 아이콘 아세이  </t>
  </si>
  <si>
    <t>PN050ACW-AMKEY</t>
  </si>
  <si>
    <t>제성우회납품</t>
  </si>
  <si>
    <t xml:space="preserve"> 노블 제습기 </t>
  </si>
  <si>
    <t xml:space="preserve"> PBA-파워-아세이 </t>
  </si>
  <si>
    <t>PN050DCW-V2</t>
  </si>
  <si>
    <t xml:space="preserve"> AD-1221E </t>
  </si>
  <si>
    <t xml:space="preserve"> 21년 7월부터 공급 </t>
  </si>
  <si>
    <t xml:space="preserve"> PBA_인버터 </t>
  </si>
  <si>
    <t>PI500DCW-V2</t>
  </si>
  <si>
    <t xml:space="preserve"> PBA-필터-아세이 </t>
  </si>
  <si>
    <t>PN050DCW-FILTER</t>
  </si>
  <si>
    <t>PRIME AIS MAX</t>
  </si>
  <si>
    <t>PN060WCW-VF</t>
  </si>
  <si>
    <t xml:space="preserve">  PBA-WIFI 아세이  </t>
  </si>
  <si>
    <t>MCR-WMSBE-CWP(40)</t>
  </si>
  <si>
    <t>머큐리우회납품</t>
  </si>
  <si>
    <t xml:space="preserve">  PBA-Total-아세이  </t>
  </si>
  <si>
    <t>PN018ACW-VF(A)</t>
  </si>
  <si>
    <t>PBA-플라즈마파워유닛 아세이(AP-1520C )</t>
  </si>
  <si>
    <t>PN018ACW-PLASMA</t>
  </si>
  <si>
    <t xml:space="preserve">  서비스(수출)  </t>
  </si>
  <si>
    <t xml:space="preserve"> BA36 </t>
  </si>
  <si>
    <t xml:space="preserve"> PBA-메인-아세이
 PBA-토탈-아세이(BA36-A) </t>
  </si>
  <si>
    <t>PN031BCW-VF</t>
  </si>
  <si>
    <t xml:space="preserve"> (뉴트로) </t>
  </si>
  <si>
    <t xml:space="preserve">  Main+SMPS+Heater  통합 보드  </t>
  </si>
  <si>
    <t xml:space="preserve"> PBA-컨트롤- 아세이(BA36-A) </t>
  </si>
  <si>
    <t>PN031BCW-KEY</t>
  </si>
  <si>
    <t xml:space="preserve"> 아이콘 맥스  </t>
  </si>
  <si>
    <t xml:space="preserve"> PBA-디스플레이- 아세이(CHP-5610N) </t>
  </si>
  <si>
    <t>PN006WCW-FND</t>
  </si>
  <si>
    <t xml:space="preserve"> CHP-5610N </t>
  </si>
  <si>
    <t xml:space="preserve"> BAS37-A </t>
  </si>
  <si>
    <t xml:space="preserve"> PBA-파워-아세이(BAS37-A) </t>
  </si>
  <si>
    <t>PN051BCW-VF</t>
  </si>
  <si>
    <t xml:space="preserve"> 저탄식(일반) </t>
  </si>
  <si>
    <t xml:space="preserve"> BAS38-A </t>
  </si>
  <si>
    <t xml:space="preserve"> PBA-파워-아세이(BAS38-A) </t>
  </si>
  <si>
    <t>PN051BCW-VF(A)</t>
  </si>
  <si>
    <t xml:space="preserve"> 순간온수(고급형) </t>
  </si>
  <si>
    <t xml:space="preserve"> BAS37-B (저가형)</t>
  </si>
  <si>
    <t xml:space="preserve"> PBA-파워-아세이(BAS37-B)</t>
  </si>
  <si>
    <t>PN051BCW-VF(B)</t>
  </si>
  <si>
    <t xml:space="preserve"> 더블케어비데 </t>
  </si>
  <si>
    <t xml:space="preserve"> PBA_순간온수(BAS38-A) </t>
  </si>
  <si>
    <t>PN051BCW-HEATER</t>
  </si>
  <si>
    <t xml:space="preserve"> AIS 3.0 SODA </t>
  </si>
  <si>
    <t xml:space="preserve">  CPSI-8510L </t>
  </si>
  <si>
    <t>PN270WCW-VF</t>
  </si>
  <si>
    <t xml:space="preserve">  PBA-SMPS- 아세이 </t>
  </si>
  <si>
    <t xml:space="preserve"> 오리엔텍 이관품목 </t>
  </si>
  <si>
    <t>PNC01ACW-VF</t>
  </si>
  <si>
    <t>PBA-파워 아세이(AP-2510EH, 수출향)</t>
  </si>
  <si>
    <t xml:space="preserve"> 서비스(수출)</t>
  </si>
  <si>
    <t xml:space="preserve"> AP-1512MH </t>
  </si>
  <si>
    <t>PNC02ACW-VF</t>
  </si>
  <si>
    <t>PBA-파워 아세이(AP-1516D,수출,미주) US</t>
  </si>
  <si>
    <t>PNC04ACW-VF</t>
  </si>
  <si>
    <t>PNC08ACW-VF</t>
  </si>
  <si>
    <t>PBA-파워 아세이(AP-1516D JOMOO)</t>
  </si>
  <si>
    <t xml:space="preserve"> 서비스(JOMOO)</t>
  </si>
  <si>
    <t xml:space="preserve"> AP-1515D_G_H_K_M </t>
  </si>
  <si>
    <t>PNC03ACW-VF</t>
  </si>
  <si>
    <t xml:space="preserve"> AP-1515G </t>
  </si>
  <si>
    <t>PNC03ACW-VF(IN)</t>
  </si>
  <si>
    <t>?????</t>
  </si>
  <si>
    <t xml:space="preserve"> AP-3008FH,미주/일본 </t>
  </si>
  <si>
    <t>PNC12ACW-VF</t>
  </si>
  <si>
    <t>PBA-파워로워 아세이(AP-3008FH,수출)</t>
  </si>
  <si>
    <t>PBA-파워로워 아세이(AP-3008FH,공용)</t>
  </si>
  <si>
    <t xml:space="preserve"> 서비스(공용)</t>
  </si>
  <si>
    <t xml:space="preserve">PBA-파워 아세이(AP-0509DH US) </t>
  </si>
  <si>
    <t>PNC09ACW-VF</t>
  </si>
  <si>
    <t>PBA-파워 아세이(AP-0517G,인도향) IN</t>
  </si>
  <si>
    <t>PNC06ACW-VF</t>
  </si>
  <si>
    <t xml:space="preserve"> AP-1515L/M, CN </t>
  </si>
  <si>
    <t>PNC05ACW-VF</t>
  </si>
  <si>
    <t>알비코리아</t>
  </si>
  <si>
    <t>PBA-SMPS- 아세이(PUMP-UNIT)</t>
  </si>
  <si>
    <t>PN035MWJ-VF(C)</t>
  </si>
  <si>
    <t xml:space="preserve"> AP-2318P </t>
  </si>
  <si>
    <t>PNC07ACW-VF</t>
  </si>
  <si>
    <t xml:space="preserve"> AP-2017C,중국향 </t>
  </si>
  <si>
    <t>PNC10ACW-VF</t>
  </si>
  <si>
    <t>Mighty 미주향</t>
  </si>
  <si>
    <t>PBA-파워(AP-1512HH)</t>
  </si>
  <si>
    <t>PN052MWJ-VF(B)</t>
  </si>
  <si>
    <t>PBA-파워- 아세이(AP-1512HH)</t>
  </si>
  <si>
    <t>RaymondNo.9220035</t>
  </si>
  <si>
    <t xml:space="preserve"> 캐럿 CARROT </t>
  </si>
  <si>
    <t xml:space="preserve">  AP-1520D </t>
  </si>
  <si>
    <t>PN052MWJ-VF(G)</t>
  </si>
  <si>
    <t xml:space="preserve">  미국 래빗에어향 공기청정기 </t>
  </si>
  <si>
    <t xml:space="preserve"> PBA-파워(AP-1520D) </t>
  </si>
  <si>
    <t>Power단품9236213</t>
  </si>
  <si>
    <t>캐럿 CARROT</t>
  </si>
  <si>
    <t xml:space="preserve">ICON AIRMEGA 미주향 </t>
  </si>
  <si>
    <t>PN052MWJ-VF(H)</t>
  </si>
  <si>
    <t>PBA-파워 아세이</t>
  </si>
  <si>
    <t xml:space="preserve"> AP-1520D_JP </t>
  </si>
  <si>
    <t>PN052MWJ-VF(J)</t>
  </si>
  <si>
    <t xml:space="preserve"> 일본 래빗에어향 </t>
  </si>
  <si>
    <t xml:space="preserve"> PBA-파워(AP-1520D_JP) </t>
  </si>
  <si>
    <t xml:space="preserve"> CHP-6330L_미주향</t>
  </si>
  <si>
    <t>PN029WCW-TANK(A)</t>
  </si>
  <si>
    <t xml:space="preserve"> CP-6330L_미주향</t>
  </si>
  <si>
    <t>PN029WCW-TANK(A-1)</t>
  </si>
  <si>
    <t xml:space="preserve"> CHP-6340L_국내향</t>
  </si>
  <si>
    <t>PN029WCW-TANK(B)</t>
  </si>
  <si>
    <t xml:space="preserve"> CP-6340L_국내향</t>
  </si>
  <si>
    <t>PN029WCW-TANK(B-1)</t>
  </si>
  <si>
    <t xml:space="preserve"> CHP-6310L(태국향)</t>
  </si>
  <si>
    <t>PN037WCW-VF(T)</t>
  </si>
  <si>
    <t>PBA-일체형 아세이</t>
  </si>
  <si>
    <t xml:space="preserve"> WESTERN RO 일체형</t>
  </si>
  <si>
    <t>PN029WCW-VF</t>
  </si>
  <si>
    <t>BAS40-A &amp; BAS41-A</t>
  </si>
  <si>
    <t>PN049BCW-VF</t>
  </si>
  <si>
    <t>CHP-6330R, 사우디향</t>
  </si>
  <si>
    <t>PN043WCW-TANK(SA)</t>
  </si>
  <si>
    <t xml:space="preserve">PBA-SMPS- 아세이 </t>
  </si>
  <si>
    <t>PN029WCW-TANK(C)</t>
  </si>
  <si>
    <t>PBA-SMPS</t>
  </si>
  <si>
    <t>CHP-1200N 미주향, CHP-7211N TW 대만향 공용</t>
  </si>
  <si>
    <t>PN185WCW-VF(E)</t>
  </si>
  <si>
    <t>PN185WCW-VF(M)</t>
  </si>
  <si>
    <t>PBA-SMPS-아세이 (PU300)</t>
  </si>
  <si>
    <t>PN036MWJ-VF(D)</t>
  </si>
  <si>
    <t>PN031BCW-VF(A)</t>
  </si>
  <si>
    <t>PN048WWJ-V2</t>
  </si>
  <si>
    <t>PBA-릴레이-아세이(CHP-1100R)</t>
  </si>
  <si>
    <t>PN105WCW-RY</t>
  </si>
  <si>
    <t>PN185WCW-VF(TW)</t>
  </si>
  <si>
    <t>PN185WCW-VF(SG)</t>
  </si>
  <si>
    <t>PN048WWJ-V3</t>
  </si>
  <si>
    <t>PN110WCW-VF(SG)</t>
  </si>
  <si>
    <t>PN029WCW-TANK(M)</t>
  </si>
  <si>
    <t>PN041WCW-TANK(A)</t>
  </si>
  <si>
    <t>PN050ACW-VF(A-1)</t>
  </si>
  <si>
    <t>CHP-7320L</t>
  </si>
  <si>
    <t>PN048WCW-TANK(M)</t>
  </si>
  <si>
    <t>PN049BCW-VF(M)</t>
  </si>
  <si>
    <t>PN100WCW-VF</t>
  </si>
  <si>
    <t>PN100WCW-VF(COVER)</t>
  </si>
  <si>
    <t>PN099WCW-VF</t>
  </si>
  <si>
    <t>PN099WCW-HEATER</t>
  </si>
  <si>
    <t>PN035ACW-HEATER</t>
    <phoneticPr fontId="21" type="noConversion"/>
  </si>
  <si>
    <t>PN035ACW-VF</t>
    <phoneticPr fontId="21" type="noConversion"/>
  </si>
  <si>
    <t>PN055BCW-VF</t>
  </si>
  <si>
    <t xml:space="preserve"> </t>
    <phoneticPr fontId="11" type="noConversion"/>
  </si>
  <si>
    <t>05W</t>
  </si>
  <si>
    <t>01/26 ~ 02/01</t>
  </si>
  <si>
    <t>06W</t>
  </si>
  <si>
    <t>02/02 ~ 02/08</t>
  </si>
  <si>
    <t>07W</t>
  </si>
  <si>
    <t>02/09 ~ 02/15</t>
  </si>
  <si>
    <t>08W</t>
  </si>
  <si>
    <t>02/16 ~ 02/22</t>
  </si>
  <si>
    <t>09W</t>
  </si>
  <si>
    <t>02/23 ~ 03/01</t>
  </si>
  <si>
    <t>영판</t>
    <phoneticPr fontId="11" type="noConversion"/>
  </si>
  <si>
    <t>차이</t>
    <phoneticPr fontId="11" type="noConversion"/>
  </si>
  <si>
    <t>10W</t>
  </si>
  <si>
    <t>03/02 ~ 03/08</t>
  </si>
  <si>
    <t>01/02(금)</t>
  </si>
  <si>
    <t>01/03(토)</t>
  </si>
  <si>
    <t>01/04(일)</t>
  </si>
  <si>
    <t>11W</t>
  </si>
  <si>
    <t>03/09 ~ 03/15</t>
  </si>
  <si>
    <t>01/05(월)</t>
  </si>
  <si>
    <t>01/06(화)</t>
  </si>
  <si>
    <t>01/07(수)</t>
  </si>
  <si>
    <t>01/08(목)</t>
  </si>
  <si>
    <t>01/09(금)</t>
  </si>
  <si>
    <t>01/10(토)</t>
  </si>
  <si>
    <t>01/11(일)</t>
  </si>
  <si>
    <t>12W</t>
  </si>
  <si>
    <t>03/16 ~ 03/22</t>
  </si>
  <si>
    <t>01/12(월)</t>
  </si>
  <si>
    <t>01/13(화)</t>
  </si>
  <si>
    <t>01/14(수)</t>
  </si>
  <si>
    <t>01/15(목)</t>
  </si>
  <si>
    <t>01/16(금)</t>
  </si>
  <si>
    <t>01/17(토)</t>
  </si>
  <si>
    <t>01/18(일)</t>
  </si>
  <si>
    <t>13W</t>
  </si>
  <si>
    <t>03/23 ~ 03/29</t>
  </si>
  <si>
    <t xml:space="preserve"> </t>
    <phoneticPr fontId="11" type="noConversion"/>
  </si>
  <si>
    <t>01/19(월)</t>
  </si>
  <si>
    <t>01/20(화)</t>
  </si>
  <si>
    <t>01/21(수)</t>
  </si>
  <si>
    <t>01/22(목)</t>
  </si>
  <si>
    <t>01/23(금)</t>
  </si>
  <si>
    <t>01/24(토)</t>
  </si>
  <si>
    <t>01/25(일)</t>
  </si>
  <si>
    <t>14W</t>
  </si>
  <si>
    <t>03/30 ~ 04/05</t>
  </si>
  <si>
    <t>01/26(월)</t>
  </si>
  <si>
    <t>01/27(화)</t>
  </si>
  <si>
    <t>01/28(수)</t>
  </si>
  <si>
    <t>01/29(목)</t>
  </si>
  <si>
    <t>01/30(금)</t>
  </si>
  <si>
    <t>01/31(토)</t>
  </si>
  <si>
    <t>02/01(일)</t>
  </si>
  <si>
    <t>15W</t>
  </si>
  <si>
    <t>04/06 ~ 04/12</t>
  </si>
  <si>
    <r>
      <t>01/19(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</si>
  <si>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01/20(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</si>
  <si>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01/21(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</si>
  <si>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01/22(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</si>
  <si>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01/23(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</si>
  <si>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01/24(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</si>
  <si>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01/25(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</si>
  <si>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01/26(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</si>
  <si>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01/27(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</si>
  <si>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01/28(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</si>
  <si>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01/29(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</si>
  <si>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01/30(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</si>
  <si>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01/31(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</si>
  <si>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</si>
  <si>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02/02(월)</t>
  </si>
  <si>
    <t>02/03(화)</t>
  </si>
  <si>
    <t>02/04(수)</t>
  </si>
  <si>
    <t>02/05(목)</t>
  </si>
  <si>
    <t>02/06(금)</t>
  </si>
  <si>
    <t>02/07(토)</t>
  </si>
  <si>
    <t>02/08(일)</t>
  </si>
  <si>
    <t>16W</t>
  </si>
  <si>
    <t>04/13 ~ 04/19</t>
  </si>
  <si>
    <t>01/27(화)</t>
    <phoneticPr fontId="11" type="noConversion"/>
  </si>
  <si>
    <r>
      <t>01/23(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</si>
  <si>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01/24(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</si>
  <si>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01/25(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</si>
  <si>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01/26(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</si>
  <si>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01/27(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</si>
  <si>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01/28(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</si>
  <si>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01/29(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</si>
  <si>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01/30(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</si>
  <si>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01/31(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</si>
  <si>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</si>
  <si>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02/02(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</si>
  <si>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02/03(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</si>
  <si>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02/04(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</si>
  <si>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02/05(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</si>
  <si>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</si>
  <si>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</si>
  <si>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</si>
  <si>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02/09(월)</t>
  </si>
  <si>
    <t>02/10(화)</t>
  </si>
  <si>
    <t>02/11(수)</t>
  </si>
  <si>
    <t>02/12(목)</t>
  </si>
  <si>
    <t>02/13(금)</t>
  </si>
  <si>
    <t>02/14(토)</t>
  </si>
  <si>
    <t>02/15(일)</t>
  </si>
  <si>
    <t>17W</t>
  </si>
  <si>
    <t>04/20 ~ 04/26</t>
  </si>
  <si>
    <r>
      <t>02/02(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</si>
  <si>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02/03(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</si>
  <si>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02/04(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</si>
  <si>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02/05(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</si>
  <si>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</si>
  <si>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</si>
  <si>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</si>
  <si>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02/09(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</si>
  <si>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02/10(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</si>
  <si>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</si>
  <si>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</si>
  <si>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</si>
  <si>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</si>
  <si>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</si>
  <si>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02/16(월)</t>
  </si>
  <si>
    <t>02/17(화)</t>
  </si>
  <si>
    <t>02/18(수)</t>
  </si>
  <si>
    <t>02/19(목)</t>
  </si>
  <si>
    <t>02/20(금)</t>
  </si>
  <si>
    <t>02/21(토)</t>
  </si>
  <si>
    <t>02/22(일)</t>
  </si>
  <si>
    <t>품번</t>
    <phoneticPr fontId="11" type="noConversion"/>
  </si>
  <si>
    <t>18W</t>
  </si>
  <si>
    <t>04/27 ~ 05/03</t>
  </si>
  <si>
    <t>FCST</t>
    <phoneticPr fontId="11" type="noConversion"/>
  </si>
  <si>
    <t>02/23(월)</t>
  </si>
  <si>
    <t>02/24(화)</t>
  </si>
  <si>
    <t>02/25(수)</t>
  </si>
  <si>
    <t>02/26(목)</t>
  </si>
  <si>
    <t>02/27(금)</t>
  </si>
  <si>
    <t>02/28(토)</t>
  </si>
  <si>
    <t>03/01(일)</t>
  </si>
  <si>
    <r>
      <t>02/11(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</si>
  <si>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</si>
  <si>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</si>
  <si>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</si>
  <si>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</si>
  <si>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</si>
  <si>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</si>
  <si>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</si>
  <si>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</si>
  <si>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</si>
  <si>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</si>
  <si>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</si>
  <si>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</si>
  <si>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</si>
  <si>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</si>
  <si>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</si>
  <si>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</si>
  <si>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</si>
  <si>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</si>
  <si>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19W</t>
  </si>
  <si>
    <t>05/04 ~ 05/10</t>
  </si>
  <si>
    <t>03/02(월)</t>
  </si>
  <si>
    <t>03/03(화)</t>
  </si>
  <si>
    <t>03/04(수)</t>
  </si>
  <si>
    <t>03/08(일)</t>
  </si>
  <si>
    <t>03/07(토)</t>
  </si>
  <si>
    <t>03/06(금)</t>
  </si>
  <si>
    <t>03/05(목)</t>
  </si>
  <si>
    <r>
      <t>02/13(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</si>
  <si>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</si>
  <si>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</si>
  <si>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</si>
  <si>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</si>
  <si>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</si>
  <si>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</si>
  <si>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</si>
  <si>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</si>
  <si>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02/22(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</si>
  <si>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02/23(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</si>
  <si>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</si>
  <si>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</si>
  <si>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</si>
  <si>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</si>
  <si>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</si>
  <si>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</si>
  <si>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20W</t>
  </si>
  <si>
    <t>05/11 ~ 05/17</t>
  </si>
  <si>
    <t xml:space="preserve">     </t>
    <phoneticPr fontId="11" type="noConversion"/>
  </si>
  <si>
    <t xml:space="preserve">  </t>
    <phoneticPr fontId="11" type="noConversion"/>
  </si>
  <si>
    <r>
      <t>02/23(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</si>
  <si>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02/24(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</si>
  <si>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02/25(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</si>
  <si>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02/26(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</si>
  <si>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02/27(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</si>
  <si>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02/28(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</si>
  <si>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</si>
  <si>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</si>
  <si>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03/03(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</si>
  <si>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03/04(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</si>
  <si>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03/05(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</si>
  <si>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</si>
  <si>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</si>
  <si>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</si>
  <si>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03/09(월)</t>
  </si>
  <si>
    <t>03/10(화)</t>
  </si>
  <si>
    <t>03/11(수)</t>
  </si>
  <si>
    <t>03/12(목)</t>
  </si>
  <si>
    <t>03/13(금)</t>
  </si>
  <si>
    <t>03/14(토)</t>
  </si>
  <si>
    <t>03/15(일)</t>
  </si>
  <si>
    <t>21W</t>
  </si>
  <si>
    <t>05/18 ~ 05/24</t>
  </si>
  <si>
    <t>변경 후</t>
    <phoneticPr fontId="11" type="noConversion"/>
  </si>
  <si>
    <t>차이</t>
    <phoneticPr fontId="11" type="noConversion"/>
  </si>
  <si>
    <t>변경 전</t>
    <phoneticPr fontId="11" type="noConversion"/>
  </si>
  <si>
    <t>03/16(월)</t>
  </si>
  <si>
    <t>03/17(화)</t>
  </si>
  <si>
    <t>03/18(수)</t>
  </si>
  <si>
    <t>03/19(목)</t>
  </si>
  <si>
    <t>03/20(금)</t>
  </si>
  <si>
    <t>03/21(토)</t>
  </si>
  <si>
    <t>03/22(일)</t>
  </si>
  <si>
    <t>22W</t>
  </si>
  <si>
    <t>05/25 ~ 05/31</t>
  </si>
  <si>
    <r>
      <t>03/05(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</si>
  <si>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</si>
  <si>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</si>
  <si>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</si>
  <si>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</si>
  <si>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</si>
  <si>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</si>
  <si>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</si>
  <si>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</si>
  <si>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</si>
  <si>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</si>
  <si>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</si>
  <si>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</si>
  <si>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</si>
  <si>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</si>
  <si>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</si>
  <si>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</si>
  <si>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</si>
  <si>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</si>
  <si>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03/07(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</si>
  <si>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03/08(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</si>
  <si>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</si>
  <si>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</si>
  <si>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</si>
  <si>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</si>
  <si>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</si>
  <si>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</si>
  <si>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</si>
  <si>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</si>
  <si>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</si>
  <si>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</si>
  <si>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</si>
  <si>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</si>
  <si>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</si>
  <si>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</si>
  <si>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03/09(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</si>
  <si>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</si>
  <si>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</si>
  <si>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</si>
  <si>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</si>
  <si>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</si>
  <si>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</si>
  <si>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</si>
  <si>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</si>
  <si>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</si>
  <si>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</si>
  <si>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</si>
  <si>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</si>
  <si>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</si>
  <si>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03/23(월)</t>
  </si>
  <si>
    <t>03/24(화)</t>
  </si>
  <si>
    <t>03/25(수)</t>
  </si>
  <si>
    <t>03/26(목)</t>
  </si>
  <si>
    <t>03/27(금)</t>
  </si>
  <si>
    <t>03/28(토)</t>
  </si>
  <si>
    <t>03/29(일)</t>
  </si>
  <si>
    <t>23W</t>
  </si>
  <si>
    <t>05/25 ~ 5/31</t>
  </si>
  <si>
    <t>06/01 ~ 06/07</t>
  </si>
  <si>
    <r>
      <t>03/12(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</si>
  <si>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03/13(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</si>
  <si>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</si>
  <si>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03/15(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</si>
  <si>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</si>
  <si>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</si>
  <si>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</si>
  <si>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</si>
  <si>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</si>
  <si>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</si>
  <si>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</si>
  <si>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</si>
  <si>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</si>
  <si>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</si>
  <si>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</si>
  <si>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</si>
  <si>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</si>
  <si>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</si>
  <si>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03/17(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</si>
  <si>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03/18(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</si>
  <si>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</si>
  <si>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</si>
  <si>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</si>
  <si>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</si>
  <si>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</si>
  <si>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</si>
  <si>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</si>
  <si>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</si>
  <si>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</si>
  <si>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</si>
  <si>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</si>
  <si>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</si>
  <si>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</si>
  <si>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</si>
  <si>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</si>
  <si>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</si>
  <si>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</si>
  <si>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</si>
  <si>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03/30(월)</t>
  </si>
  <si>
    <t>03/31(화)</t>
  </si>
  <si>
    <t>04/01(수)</t>
  </si>
  <si>
    <t>04/02(목)</t>
  </si>
  <si>
    <t>04/03(금)</t>
  </si>
  <si>
    <t>04/04(토)</t>
  </si>
  <si>
    <t>04/05(일)</t>
  </si>
  <si>
    <t>24W</t>
  </si>
  <si>
    <t>06/08 ~ 06/14</t>
  </si>
  <si>
    <r>
      <t>03/19(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</si>
  <si>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</si>
  <si>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</si>
  <si>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</si>
  <si>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</si>
  <si>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</si>
  <si>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</si>
  <si>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</si>
  <si>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</si>
  <si>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</si>
  <si>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</si>
  <si>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</si>
  <si>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</si>
  <si>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</si>
  <si>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</si>
  <si>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</si>
  <si>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</si>
  <si>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</si>
  <si>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</si>
  <si>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</si>
  <si>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</si>
  <si>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</si>
  <si>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03/24(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</si>
  <si>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</si>
  <si>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</si>
  <si>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</si>
  <si>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</si>
  <si>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</si>
  <si>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</si>
  <si>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</si>
  <si>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</si>
  <si>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</si>
  <si>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</si>
  <si>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</si>
  <si>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</si>
  <si>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04/06(월)</t>
  </si>
  <si>
    <t>04/07(화)</t>
  </si>
  <si>
    <t>04/08(수)</t>
  </si>
  <si>
    <t>04/09(목)</t>
  </si>
  <si>
    <t>04/10(금)</t>
  </si>
  <si>
    <t>04/11(토)</t>
  </si>
  <si>
    <t>04/12(일)</t>
  </si>
  <si>
    <t>25W</t>
  </si>
  <si>
    <t>06/15 ~ 06/21</t>
  </si>
  <si>
    <r>
      <t>03/25(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</si>
  <si>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</si>
  <si>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</si>
  <si>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</si>
  <si>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</si>
  <si>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</si>
  <si>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</si>
  <si>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</si>
  <si>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</si>
  <si>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</si>
  <si>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</si>
  <si>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</si>
  <si>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</si>
  <si>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</si>
  <si>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</si>
  <si>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</si>
  <si>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</si>
  <si>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</si>
  <si>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</si>
  <si>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</si>
  <si>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</si>
  <si>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</si>
  <si>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</si>
  <si>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</si>
  <si>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</si>
  <si>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</si>
  <si>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</si>
  <si>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</si>
  <si>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</si>
  <si>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</si>
  <si>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</si>
  <si>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</si>
  <si>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</si>
  <si>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</si>
  <si>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</si>
  <si>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</si>
  <si>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</si>
  <si>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03/27(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</si>
  <si>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03/28(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</si>
  <si>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03/29(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</si>
  <si>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03/30(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</si>
  <si>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03/31(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</si>
  <si>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</si>
  <si>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</si>
  <si>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</si>
  <si>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</si>
  <si>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</si>
  <si>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</si>
  <si>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</si>
  <si>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</si>
  <si>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</si>
  <si>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</si>
  <si>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</si>
  <si>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</si>
  <si>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04/13(월)</t>
  </si>
  <si>
    <t>04/14(화)</t>
  </si>
  <si>
    <t>04/15(수)</t>
  </si>
  <si>
    <t>04/16(목)</t>
  </si>
  <si>
    <t>04/17(금)</t>
  </si>
  <si>
    <t>04/18(토)</t>
  </si>
  <si>
    <t>04/19(일)</t>
  </si>
  <si>
    <t>26W</t>
  </si>
  <si>
    <t>06/22 ~ 06/28</t>
  </si>
  <si>
    <r>
      <t>04/03(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</si>
  <si>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</si>
  <si>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</si>
  <si>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</si>
  <si>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</si>
  <si>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</si>
  <si>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</si>
  <si>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</si>
  <si>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</si>
  <si>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</si>
  <si>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</si>
  <si>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</si>
  <si>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</si>
  <si>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</si>
  <si>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</si>
  <si>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</si>
  <si>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</si>
  <si>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</si>
  <si>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</si>
  <si>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</si>
  <si>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</si>
  <si>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</si>
  <si>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</si>
  <si>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</si>
  <si>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</si>
  <si>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</si>
  <si>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</si>
  <si>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</si>
  <si>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</si>
  <si>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</si>
  <si>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</si>
  <si>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</si>
  <si>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</si>
  <si>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</si>
  <si>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</si>
  <si>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</si>
  <si>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</si>
  <si>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</si>
  <si>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</si>
  <si>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</si>
  <si>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</si>
  <si>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</si>
  <si>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</si>
  <si>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</si>
  <si>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04/20(월)</t>
  </si>
  <si>
    <r>
      <t>04/20(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</si>
  <si>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t>04/21(화)</t>
  </si>
  <si>
    <r>
      <t>04/21(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</si>
  <si>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t>04/22(수)</t>
  </si>
  <si>
    <r>
      <t>04/22(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</si>
  <si>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t>04/23(목)</t>
  </si>
  <si>
    <r>
      <t>04/23(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</si>
  <si>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t>04/24(금)</t>
  </si>
  <si>
    <r>
      <t>04/24(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</si>
  <si>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t>04/25(토)</t>
  </si>
  <si>
    <r>
      <t>04/25(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</si>
  <si>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t>04/26(일)</t>
  </si>
  <si>
    <r>
      <t>04/26(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</si>
  <si>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27W</t>
  </si>
  <si>
    <t>06/29 ~ 07/05</t>
  </si>
  <si>
    <t>ee</t>
    <phoneticPr fontId="11" type="noConversion"/>
  </si>
  <si>
    <r>
      <t>04/10(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</si>
  <si>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</si>
  <si>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</si>
  <si>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</si>
  <si>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</si>
  <si>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</si>
  <si>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</si>
  <si>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</si>
  <si>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</si>
  <si>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</si>
  <si>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04/20(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</si>
  <si>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04/21(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</si>
  <si>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04/22(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</si>
  <si>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04/23(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</si>
  <si>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04/24(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</si>
  <si>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04/25(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</si>
  <si>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04/26(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</si>
  <si>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04/27(월)</t>
  </si>
  <si>
    <t>04/28(화)</t>
  </si>
  <si>
    <t>04/29(수)</t>
  </si>
  <si>
    <t>04/30(목)</t>
  </si>
  <si>
    <t>05/01(금)</t>
  </si>
  <si>
    <t>05/02(토)</t>
  </si>
  <si>
    <t>05/03(일)</t>
  </si>
  <si>
    <t>28W</t>
  </si>
  <si>
    <t>07/06 ~ 07/12</t>
  </si>
  <si>
    <t>05/04(월)</t>
  </si>
  <si>
    <t>05/05(화)</t>
  </si>
  <si>
    <t>05/06(수)</t>
  </si>
  <si>
    <t>05/07(목)</t>
  </si>
  <si>
    <t>05/08(금)</t>
  </si>
  <si>
    <t>05/09(토)</t>
  </si>
  <si>
    <t>05/10(일)</t>
  </si>
  <si>
    <t>05/11(월)</t>
  </si>
  <si>
    <t>05/12(화)</t>
  </si>
  <si>
    <t>05/13(수)</t>
  </si>
  <si>
    <t>05/14(목)</t>
  </si>
  <si>
    <t>05/15(금)</t>
  </si>
  <si>
    <t>05/16(토)</t>
  </si>
  <si>
    <t>05/17(일)</t>
  </si>
  <si>
    <t>29W</t>
  </si>
  <si>
    <t>07/13 ~ 07/19</t>
  </si>
  <si>
    <t>07/20 ~ 07/26</t>
  </si>
  <si>
    <t>05/18(월)</t>
  </si>
  <si>
    <t>05/19(화)</t>
  </si>
  <si>
    <t>05/20(수)</t>
  </si>
  <si>
    <t>05/21(목)</t>
  </si>
  <si>
    <t>05/22(금)</t>
  </si>
  <si>
    <t>05/23(토)</t>
  </si>
  <si>
    <t>05/24(일)</t>
  </si>
  <si>
    <t>07/27 ~ 08/02</t>
  </si>
  <si>
    <t>05/25(월)</t>
  </si>
  <si>
    <t>05/26(화)</t>
  </si>
  <si>
    <t>05/27(수)</t>
  </si>
  <si>
    <t>05/28(목)</t>
  </si>
  <si>
    <t>05/29(금)</t>
  </si>
  <si>
    <t>05/30(토)</t>
  </si>
  <si>
    <t>05/31(일)</t>
  </si>
  <si>
    <t>08/03 ~ 08/09</t>
  </si>
  <si>
    <t>06/01(월)</t>
  </si>
  <si>
    <t>06/02(화)</t>
  </si>
  <si>
    <t>06/03(수)</t>
  </si>
  <si>
    <t>06/04(목)</t>
  </si>
  <si>
    <t>06/05(금)</t>
  </si>
  <si>
    <t>06/06(토)</t>
  </si>
  <si>
    <t>06/07(일)</t>
  </si>
  <si>
    <t>08/10 ~ 08/16</t>
  </si>
  <si>
    <t>06/08(월)</t>
  </si>
  <si>
    <t>06/09(화)</t>
  </si>
  <si>
    <t>06/10(수)</t>
  </si>
  <si>
    <t>06/11(목)</t>
  </si>
  <si>
    <t>06/12(금)</t>
  </si>
  <si>
    <t>06/13(토)</t>
  </si>
  <si>
    <t>06/14(일)</t>
  </si>
  <si>
    <t>08/17 ~ 08/23</t>
  </si>
  <si>
    <t>06/15(월)</t>
  </si>
  <si>
    <t>06/16(화)</t>
  </si>
  <si>
    <t>06/17(수)</t>
  </si>
  <si>
    <t>06/18(목)</t>
  </si>
  <si>
    <t>06/19(금)</t>
  </si>
  <si>
    <t>06/20(토)</t>
  </si>
  <si>
    <t>06/21(일)</t>
  </si>
  <si>
    <t>08/24 ~ 08/30</t>
  </si>
  <si>
    <t>06/22(월)</t>
  </si>
  <si>
    <t>06/23(화)</t>
  </si>
  <si>
    <t>06/24(수)</t>
  </si>
  <si>
    <t>06/25(목)</t>
  </si>
  <si>
    <t>06/26(금)</t>
  </si>
  <si>
    <t>06/27(토)</t>
  </si>
  <si>
    <t>06/28(일)</t>
  </si>
  <si>
    <t>08/31 ~ 09/06</t>
  </si>
  <si>
    <t>12w</t>
    <phoneticPr fontId="11" type="noConversion"/>
  </si>
  <si>
    <t>06/29(월)</t>
  </si>
  <si>
    <t>06/30(화)</t>
  </si>
  <si>
    <t>07/01(수)</t>
  </si>
  <si>
    <t>07/02(목)</t>
  </si>
  <si>
    <t>07/03(금)</t>
  </si>
  <si>
    <t>07/04(토)</t>
  </si>
  <si>
    <t>07/05(일)</t>
  </si>
  <si>
    <t>09/07 ~ 09/13</t>
  </si>
  <si>
    <t>07/06(월)</t>
  </si>
  <si>
    <t>07/07(화)</t>
  </si>
  <si>
    <t>07/08(수)</t>
  </si>
  <si>
    <t>07/09(목)</t>
  </si>
  <si>
    <t>07/10(금)</t>
  </si>
  <si>
    <t>07/11(토)</t>
  </si>
  <si>
    <t>07/12(일)</t>
  </si>
  <si>
    <t>09/14 ~ 09/20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</si>
</sst>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</numFmts>
  <fonts count="75">
    <font>
      <sz val="9"/>
      <color rgb="FF000000"/>
      <name val="Pretendard"/>
      <charset val="134"/>
    </font>
    <font>
      <sz val="9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B0F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9"/>
      <color rgb="FF00B0F0"/>
      <name val="맑은 고딕"/>
      <family val="3"/>
      <charset val="129"/>
      <scheme val="major"/>
    </font>
    <font>
      <b/>
      <sz val="9"/>
      <color rgb="FF6E6E6E"/>
      <name val="맑은 고딕"/>
      <family val="3"/>
      <charset val="129"/>
      <scheme val="major"/>
    </font>
    <font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sz val="9"/>
      <color rgb="FF000000"/>
      <name val="Pretendard"/>
      <family val="2"/>
    </font>
    <font>
      <sz val="8"/>
      <name val="돋움"/>
      <family val="3"/>
      <charset val="129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00"/>
      <name val="Pretendard"/>
      <family val="3"/>
      <charset val="129"/>
    </font>
    <font>
      <sz val="9"/>
      <color rgb="FFFF0000"/>
      <name val="맑은 고딕"/>
      <family val="3"/>
      <charset val="129"/>
      <scheme val="major"/>
    </font>
    <font>
      <strike/>
      <sz val="9"/>
      <color rgb="FF000000"/>
      <name val="맑은 고딕"/>
      <family val="3"/>
      <charset val="129"/>
      <scheme val="major"/>
    </font>
    <font>
      <sz val="9"/>
      <color rgb="FF000000"/>
      <name val="Pretendard"/>
      <family val="2"/>
    </font>
    <font>
      <b/>
      <sz val="9"/>
      <color indexed="81"/>
      <name val="Tahoma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name val="맑은 고딕"/>
      <family val="3"/>
      <charset val="129"/>
      <scheme val="major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000000"/>
      <name val="Pretendard"/>
      <family val="2"/>
    </font>
    <font>
      <strike/>
      <sz val="9"/>
      <color rgb="FF000000"/>
      <name val="Pretendard"/>
      <family val="2"/>
    </font>
    <font>
      <b/>
      <sz val="9"/>
      <color rgb="FF000000"/>
      <name val="Noto Sans KR"/>
      <family val="3"/>
      <charset val="134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Pretendard"/>
      <family val="2"/>
    </font>
    <font>
      <b/>
      <sz val="9"/>
      <color rgb="FF000000"/>
      <name val="Pretendard"/>
      <family val="2"/>
    </font>
    <font>
      <b/>
      <sz val="9"/>
      <color indexed="81"/>
      <name val="돋움"/>
      <family val="3"/>
      <charset val="129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00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z val="9"/>
      <color rgb="FF000000"/>
      <name val="Pretendard"/>
      <family val="2"/>
    </font>
    <font>
      <b/>
      <sz val="9"/>
      <color rgb="FF0070C0"/>
      <name val="맑은 고딕"/>
      <family val="3"/>
      <charset val="129"/>
      <scheme val="major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z val="9"/>
      <color rgb="FF00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Microsoft YaHei"/>
      <family val="3"/>
      <charset val="134"/>
    </font>
    <font>
      <b/>
      <sz val="9"/>
      <color rgb="FF000000"/>
      <name val="Pretendard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E1E1E1"/>
      </right>
      <top style="thin">
        <color rgb="FF666666"/>
      </top>
      <bottom style="thin">
        <color rgb="FFD3D3D3"/>
      </bottom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 style="thin">
        <color rgb="FF666666"/>
      </left>
      <right style="thin">
        <color rgb="FFE1E1E1"/>
      </right>
      <top style="thin">
        <color rgb="FFE1E1E1"/>
      </top>
      <bottom style="thin">
        <color rgb="FFD3D3D3"/>
      </bottom>
      <diagonal/>
    </border>
    <border>
      <left style="thin">
        <color rgb="FFD2D2D2"/>
      </left>
      <right style="thin">
        <color rgb="FFE1E1E1"/>
      </right>
      <top style="thin">
        <color rgb="FFD2D2D2"/>
      </top>
      <bottom style="thin">
        <color rgb="FFE1E1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E1E1E1"/>
      </right>
      <top style="thin">
        <color rgb="FF666666"/>
      </top>
      <bottom/>
      <diagonal/>
    </border>
    <border>
      <left/>
      <right style="thin">
        <color rgb="FFE1E1E1"/>
      </right>
      <top/>
      <bottom style="thin">
        <color rgb="FFD3D3D3"/>
      </bottom>
      <diagonal/>
    </border>
    <border>
      <left/>
      <right/>
      <top style="thin">
        <color rgb="FF666666"/>
      </top>
      <bottom style="thin">
        <color rgb="FFD3D3D3"/>
      </bottom>
      <diagonal/>
    </border>
    <border>
      <left/>
      <right style="thin">
        <color rgb="FFE1E1E1"/>
      </right>
      <top/>
      <bottom style="thin">
        <color rgb="FFD2D2D2"/>
      </bottom>
      <diagonal/>
    </border>
  </borders>
  <cellStyleXfs count="38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6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9" fillId="0" borderId="0">
      <alignment vertical="center"/>
    </xf>
    <xf numFmtId="41" fontId="52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5" fillId="0" borderId="0">
      <alignment vertical="center"/>
    </xf>
    <xf numFmtId="0" fontId="68" fillId="0" borderId="0">
      <alignment vertical="center"/>
    </xf>
    <xf numFmtId="0" fontId="71" fillId="0" borderId="0">
      <alignment vertical="center"/>
    </xf>
  </cellStyleXfs>
  <cellXfs count="3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41" fontId="4" fillId="0" borderId="0" xfId="1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 shrinkToFit="1"/>
    </xf>
    <xf numFmtId="41" fontId="3" fillId="0" borderId="0" xfId="1" applyFont="1">
      <alignment vertical="center"/>
    </xf>
    <xf numFmtId="41" fontId="2" fillId="0" borderId="0" xfId="1" applyFont="1">
      <alignment vertical="center"/>
    </xf>
    <xf numFmtId="41" fontId="3" fillId="3" borderId="0" xfId="1" applyFont="1" applyFill="1">
      <alignment vertical="center"/>
    </xf>
    <xf numFmtId="41" fontId="3" fillId="4" borderId="0" xfId="1" applyFont="1" applyFill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0" fillId="2" borderId="0" xfId="0" applyFill="1" applyAlignment="1">
      <alignment horizontal="center" vertical="center"/>
    </xf>
    <xf numFmtId="41" fontId="0" fillId="2" borderId="0" xfId="1" applyFont="1" applyFill="1">
      <alignment vertical="center"/>
    </xf>
    <xf numFmtId="41" fontId="3" fillId="2" borderId="2" xfId="1" applyFont="1" applyFill="1" applyBorder="1" applyAlignment="1">
      <alignment horizontal="right" vertical="center"/>
    </xf>
    <xf numFmtId="41" fontId="3" fillId="2" borderId="0" xfId="1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 shrinkToFit="1"/>
    </xf>
    <xf numFmtId="0" fontId="0" fillId="3" borderId="0" xfId="0" applyFill="1" applyAlignment="1">
      <alignment horizontal="center" vertical="center"/>
    </xf>
    <xf numFmtId="41" fontId="0" fillId="3" borderId="0" xfId="1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0" borderId="0" xfId="0" applyFont="1">
      <alignment vertical="center"/>
    </xf>
    <xf numFmtId="0" fontId="0" fillId="7" borderId="2" xfId="0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41" fontId="3" fillId="7" borderId="2" xfId="1" applyFont="1" applyFill="1" applyBorder="1" applyAlignment="1">
      <alignment horizontal="right" vertical="center"/>
    </xf>
    <xf numFmtId="0" fontId="3" fillId="0" borderId="0" xfId="0" applyFont="1" applyAlignment="1">
      <alignment vertical="center" shrinkToFit="1"/>
    </xf>
    <xf numFmtId="0" fontId="14" fillId="0" borderId="0" xfId="15">
      <alignment vertical="center"/>
    </xf>
    <xf numFmtId="0" fontId="14" fillId="0" borderId="0" xfId="15" applyAlignment="1">
      <alignment vertical="center" wrapText="1"/>
    </xf>
    <xf numFmtId="0" fontId="14" fillId="0" borderId="0" xfId="15" quotePrefix="1">
      <alignment vertical="center"/>
    </xf>
    <xf numFmtId="0" fontId="14" fillId="0" borderId="0" xfId="15" applyAlignment="1">
      <alignment horizontal="center" vertical="center"/>
    </xf>
    <xf numFmtId="42" fontId="16" fillId="0" borderId="0" xfId="16" quotePrefix="1" applyNumberFormat="1" applyFont="1" applyAlignment="1">
      <alignment horizontal="left" vertical="center" wrapText="1"/>
    </xf>
    <xf numFmtId="42" fontId="16" fillId="0" borderId="0" xfId="16" applyNumberFormat="1" applyFont="1" applyAlignment="1">
      <alignment vertical="center" wrapText="1"/>
    </xf>
    <xf numFmtId="42" fontId="17" fillId="0" borderId="0" xfId="16" applyNumberFormat="1" applyFont="1" applyAlignment="1">
      <alignment horizontal="left" vertical="center" wrapText="1"/>
    </xf>
    <xf numFmtId="42" fontId="17" fillId="0" borderId="0" xfId="16" applyNumberFormat="1" applyFont="1" applyAlignment="1">
      <alignment horizontal="center" vertical="center"/>
    </xf>
    <xf numFmtId="0" fontId="17" fillId="0" borderId="0" xfId="16" applyFont="1" applyAlignment="1">
      <alignment horizontal="center" vertical="center" wrapText="1"/>
    </xf>
    <xf numFmtId="42" fontId="17" fillId="0" borderId="0" xfId="16" quotePrefix="1" applyNumberFormat="1" applyFont="1" applyAlignment="1">
      <alignment horizontal="left" vertical="center" wrapText="1"/>
    </xf>
    <xf numFmtId="42" fontId="18" fillId="0" borderId="5" xfId="16" applyNumberFormat="1" applyFont="1" applyBorder="1" applyAlignment="1">
      <alignment horizontal="left" vertical="center"/>
    </xf>
    <xf numFmtId="0" fontId="18" fillId="0" borderId="5" xfId="16" applyFont="1" applyBorder="1" applyAlignment="1">
      <alignment horizontal="center" vertical="center" wrapText="1"/>
    </xf>
    <xf numFmtId="42" fontId="16" fillId="0" borderId="0" xfId="16" quotePrefix="1" applyNumberFormat="1" applyFont="1" applyAlignment="1">
      <alignment vertical="center" wrapText="1"/>
    </xf>
    <xf numFmtId="42" fontId="19" fillId="0" borderId="6" xfId="16" quotePrefix="1" applyNumberFormat="1" applyFont="1" applyBorder="1" applyAlignment="1">
      <alignment horizontal="left" vertical="center" wrapText="1"/>
    </xf>
    <xf numFmtId="41" fontId="19" fillId="0" borderId="6" xfId="17" quotePrefix="1" applyFont="1" applyFill="1" applyBorder="1" applyAlignment="1">
      <alignment horizontal="left" vertical="center" wrapText="1"/>
    </xf>
    <xf numFmtId="0" fontId="18" fillId="0" borderId="6" xfId="16" quotePrefix="1" applyFont="1" applyBorder="1" applyAlignment="1">
      <alignment horizontal="left" vertical="center" wrapText="1"/>
    </xf>
    <xf numFmtId="42" fontId="16" fillId="0" borderId="6" xfId="16" quotePrefix="1" applyNumberFormat="1" applyFont="1" applyBorder="1" applyAlignment="1">
      <alignment horizontal="left" vertical="center" wrapText="1"/>
    </xf>
    <xf numFmtId="42" fontId="17" fillId="0" borderId="6" xfId="16" quotePrefix="1" applyNumberFormat="1" applyFont="1" applyBorder="1" applyAlignment="1">
      <alignment horizontal="left" vertical="center" wrapText="1"/>
    </xf>
    <xf numFmtId="42" fontId="19" fillId="0" borderId="6" xfId="16" applyNumberFormat="1" applyFont="1" applyBorder="1" applyAlignment="1">
      <alignment horizontal="left" vertical="center" wrapText="1"/>
    </xf>
    <xf numFmtId="42" fontId="18" fillId="0" borderId="6" xfId="16" applyNumberFormat="1" applyFont="1" applyBorder="1" applyAlignment="1">
      <alignment horizontal="left" vertical="center" wrapText="1"/>
    </xf>
    <xf numFmtId="0" fontId="20" fillId="0" borderId="0" xfId="15" applyFont="1" applyAlignment="1">
      <alignment horizontal="center" vertical="center" wrapText="1"/>
    </xf>
    <xf numFmtId="0" fontId="15" fillId="9" borderId="0" xfId="16" applyFill="1" applyAlignment="1">
      <alignment horizontal="center" vertical="center"/>
    </xf>
    <xf numFmtId="0" fontId="15" fillId="9" borderId="0" xfId="16" applyFill="1">
      <alignment vertical="center"/>
    </xf>
    <xf numFmtId="41" fontId="0" fillId="0" borderId="0" xfId="1" applyFont="1" applyFill="1">
      <alignment vertical="center"/>
    </xf>
    <xf numFmtId="0" fontId="3" fillId="2" borderId="0" xfId="0" applyFont="1" applyFill="1">
      <alignment vertical="center"/>
    </xf>
    <xf numFmtId="0" fontId="3" fillId="7" borderId="2" xfId="18" applyFont="1" applyFill="1" applyBorder="1" applyAlignment="1">
      <alignment horizontal="center" vertical="center"/>
    </xf>
    <xf numFmtId="41" fontId="7" fillId="7" borderId="1" xfId="1" applyFont="1" applyFill="1" applyBorder="1" applyAlignment="1">
      <alignment horizontal="center" vertical="center" shrinkToFit="1"/>
    </xf>
    <xf numFmtId="41" fontId="2" fillId="7" borderId="2" xfId="1" applyFont="1" applyFill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41" fontId="2" fillId="2" borderId="0" xfId="1" applyFont="1" applyFill="1">
      <alignment vertical="center"/>
    </xf>
    <xf numFmtId="41" fontId="3" fillId="11" borderId="0" xfId="1" applyFont="1" applyFill="1">
      <alignment vertical="center"/>
    </xf>
    <xf numFmtId="0" fontId="7" fillId="7" borderId="1" xfId="18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3" fillId="0" borderId="0" xfId="0" applyFont="1">
      <alignment vertical="center"/>
    </xf>
    <xf numFmtId="41" fontId="7" fillId="7" borderId="1" xfId="1" applyFont="1" applyFill="1" applyBorder="1" applyAlignment="1">
      <alignment horizontal="center" vertical="center"/>
    </xf>
    <xf numFmtId="41" fontId="5" fillId="7" borderId="1" xfId="1" applyFont="1" applyFill="1" applyBorder="1" applyAlignment="1">
      <alignment horizontal="center" vertical="center"/>
    </xf>
    <xf numFmtId="41" fontId="23" fillId="0" borderId="0" xfId="1" applyFont="1">
      <alignment vertical="center"/>
    </xf>
    <xf numFmtId="41" fontId="0" fillId="0" borderId="0" xfId="1" applyFont="1" applyFill="1" applyBorder="1">
      <alignment vertical="center"/>
    </xf>
    <xf numFmtId="41" fontId="10" fillId="0" borderId="0" xfId="1" applyFont="1">
      <alignment vertical="center"/>
    </xf>
    <xf numFmtId="0" fontId="7" fillId="7" borderId="1" xfId="0" applyFont="1" applyFill="1" applyBorder="1" applyAlignment="1">
      <alignment horizontal="center" vertical="center"/>
    </xf>
    <xf numFmtId="41" fontId="24" fillId="7" borderId="2" xfId="1" applyFont="1" applyFill="1" applyBorder="1" applyAlignment="1">
      <alignment horizontal="right" vertical="center"/>
    </xf>
    <xf numFmtId="41" fontId="5" fillId="0" borderId="0" xfId="1" applyFont="1">
      <alignment vertical="center"/>
    </xf>
    <xf numFmtId="41" fontId="5" fillId="2" borderId="0" xfId="1" applyFont="1" applyFill="1">
      <alignment vertical="center"/>
    </xf>
    <xf numFmtId="41" fontId="3" fillId="0" borderId="0" xfId="0" applyNumberFormat="1" applyFont="1">
      <alignment vertical="center"/>
    </xf>
    <xf numFmtId="41" fontId="2" fillId="2" borderId="2" xfId="1" applyFont="1" applyFill="1" applyBorder="1" applyAlignment="1">
      <alignment horizontal="right" vertical="center"/>
    </xf>
    <xf numFmtId="0" fontId="3" fillId="0" borderId="0" xfId="13" applyFont="1">
      <alignment vertical="center"/>
    </xf>
    <xf numFmtId="0" fontId="3" fillId="0" borderId="0" xfId="13" applyFont="1" applyAlignment="1">
      <alignment horizontal="center" vertical="center"/>
    </xf>
    <xf numFmtId="41" fontId="3" fillId="0" borderId="0" xfId="13" applyNumberFormat="1" applyFont="1">
      <alignment vertical="center"/>
    </xf>
    <xf numFmtId="41" fontId="3" fillId="0" borderId="0" xfId="14" applyFont="1">
      <alignment vertical="center"/>
    </xf>
    <xf numFmtId="0" fontId="2" fillId="2" borderId="0" xfId="13" applyFont="1" applyFill="1">
      <alignment vertical="center"/>
    </xf>
    <xf numFmtId="0" fontId="2" fillId="2" borderId="0" xfId="13" applyFont="1" applyFill="1" applyAlignment="1">
      <alignment horizontal="center" vertical="center"/>
    </xf>
    <xf numFmtId="41" fontId="2" fillId="2" borderId="0" xfId="14" applyFont="1" applyFill="1">
      <alignment vertical="center"/>
    </xf>
    <xf numFmtId="41" fontId="3" fillId="0" borderId="0" xfId="1" applyFont="1" applyAlignment="1">
      <alignment horizontal="center" vertical="center" shrinkToFit="1"/>
    </xf>
    <xf numFmtId="0" fontId="2" fillId="7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right" vertical="center"/>
    </xf>
    <xf numFmtId="41" fontId="9" fillId="0" borderId="0" xfId="1" applyFont="1">
      <alignment vertical="center"/>
    </xf>
    <xf numFmtId="41" fontId="8" fillId="0" borderId="0" xfId="1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 shrinkToFit="1"/>
    </xf>
    <xf numFmtId="41" fontId="3" fillId="0" borderId="0" xfId="1" applyFont="1" applyAlignment="1">
      <alignment horizontal="center" vertical="center"/>
    </xf>
    <xf numFmtId="41" fontId="10" fillId="2" borderId="0" xfId="1" applyFont="1" applyFill="1">
      <alignment vertical="center"/>
    </xf>
    <xf numFmtId="41" fontId="24" fillId="0" borderId="0" xfId="1" applyFont="1">
      <alignment vertical="center"/>
    </xf>
    <xf numFmtId="41" fontId="9" fillId="2" borderId="0" xfId="1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41" fontId="0" fillId="7" borderId="2" xfId="1" applyFont="1" applyFill="1" applyBorder="1" applyAlignment="1">
      <alignment horizontal="right" vertical="center"/>
    </xf>
    <xf numFmtId="41" fontId="0" fillId="2" borderId="2" xfId="1" applyFont="1" applyFill="1" applyBorder="1" applyAlignment="1">
      <alignment horizontal="right" vertical="center"/>
    </xf>
    <xf numFmtId="0" fontId="24" fillId="7" borderId="2" xfId="0" applyFont="1" applyFill="1" applyBorder="1" applyAlignment="1">
      <alignment horizontal="center" vertical="center"/>
    </xf>
    <xf numFmtId="41" fontId="3" fillId="0" borderId="0" xfId="1" applyFont="1" applyFill="1">
      <alignment vertical="center"/>
    </xf>
    <xf numFmtId="41" fontId="24" fillId="2" borderId="2" xfId="1" applyFont="1" applyFill="1" applyBorder="1" applyAlignment="1">
      <alignment horizontal="right" vertical="center"/>
    </xf>
    <xf numFmtId="41" fontId="24" fillId="2" borderId="0" xfId="1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41" fontId="2" fillId="0" borderId="0" xfId="0" applyNumberFormat="1" applyFont="1">
      <alignment vertical="center"/>
    </xf>
    <xf numFmtId="41" fontId="5" fillId="2" borderId="2" xfId="1" applyFont="1" applyFill="1" applyBorder="1" applyAlignment="1">
      <alignment horizontal="right" vertical="center"/>
    </xf>
    <xf numFmtId="41" fontId="7" fillId="7" borderId="3" xfId="1" applyFont="1" applyFill="1" applyBorder="1" applyAlignment="1">
      <alignment horizontal="center" vertical="center" shrinkToFit="1"/>
    </xf>
    <xf numFmtId="41" fontId="3" fillId="3" borderId="2" xfId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41" fontId="6" fillId="0" borderId="0" xfId="14" applyFont="1">
      <alignment vertical="center"/>
    </xf>
    <xf numFmtId="41" fontId="6" fillId="0" borderId="0" xfId="1" applyFont="1">
      <alignment vertical="center"/>
    </xf>
    <xf numFmtId="41" fontId="4" fillId="2" borderId="0" xfId="14" applyFont="1" applyFill="1">
      <alignment vertical="center"/>
    </xf>
    <xf numFmtId="0" fontId="4" fillId="0" borderId="0" xfId="0" applyFont="1" applyAlignment="1">
      <alignment horizontal="center" vertical="center" shrinkToFit="1"/>
    </xf>
    <xf numFmtId="41" fontId="4" fillId="0" borderId="0" xfId="0" applyNumberFormat="1" applyFont="1">
      <alignment vertical="center"/>
    </xf>
    <xf numFmtId="0" fontId="6" fillId="0" borderId="0" xfId="0" applyFont="1">
      <alignment vertical="center"/>
    </xf>
    <xf numFmtId="41" fontId="6" fillId="0" borderId="0" xfId="0" applyNumberFormat="1" applyFont="1">
      <alignment vertical="center"/>
    </xf>
    <xf numFmtId="41" fontId="3" fillId="5" borderId="0" xfId="1" applyFont="1" applyFill="1">
      <alignment vertical="center"/>
    </xf>
    <xf numFmtId="41" fontId="2" fillId="0" borderId="0" xfId="1" applyFont="1" applyFill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0" fontId="3" fillId="4" borderId="0" xfId="0" applyFont="1" applyFill="1" applyAlignment="1">
      <alignment horizontal="center" vertical="center"/>
    </xf>
    <xf numFmtId="0" fontId="32" fillId="7" borderId="2" xfId="25" applyFill="1" applyBorder="1" applyAlignment="1">
      <alignment horizontal="center" vertical="center"/>
    </xf>
    <xf numFmtId="0" fontId="33" fillId="7" borderId="1" xfId="25" applyFont="1" applyFill="1" applyBorder="1" applyAlignment="1">
      <alignment horizontal="center" vertical="center"/>
    </xf>
    <xf numFmtId="41" fontId="33" fillId="7" borderId="1" xfId="1" applyFont="1" applyFill="1" applyBorder="1" applyAlignment="1">
      <alignment horizontal="center" vertical="center"/>
    </xf>
    <xf numFmtId="41" fontId="34" fillId="7" borderId="1" xfId="1" applyFont="1" applyFill="1" applyBorder="1" applyAlignment="1">
      <alignment horizontal="center" vertical="center"/>
    </xf>
    <xf numFmtId="41" fontId="32" fillId="7" borderId="2" xfId="1" applyFont="1" applyFill="1" applyBorder="1" applyAlignment="1">
      <alignment horizontal="right" vertical="center"/>
    </xf>
    <xf numFmtId="41" fontId="32" fillId="2" borderId="2" xfId="1" applyFont="1" applyFill="1" applyBorder="1" applyAlignment="1">
      <alignment horizontal="right" vertical="center"/>
    </xf>
    <xf numFmtId="41" fontId="35" fillId="0" borderId="0" xfId="1" applyFont="1">
      <alignment vertical="center"/>
    </xf>
    <xf numFmtId="0" fontId="7" fillId="7" borderId="1" xfId="26" applyFont="1" applyFill="1" applyBorder="1" applyAlignment="1">
      <alignment horizontal="center" vertical="center"/>
    </xf>
    <xf numFmtId="0" fontId="3" fillId="7" borderId="2" xfId="26" applyFont="1" applyFill="1" applyBorder="1" applyAlignment="1">
      <alignment horizontal="center" vertical="center"/>
    </xf>
    <xf numFmtId="41" fontId="37" fillId="7" borderId="1" xfId="1" applyFont="1" applyFill="1" applyBorder="1" applyAlignment="1">
      <alignment horizontal="center" vertical="center"/>
    </xf>
    <xf numFmtId="0" fontId="36" fillId="7" borderId="2" xfId="26" applyFill="1" applyBorder="1" applyAlignment="1">
      <alignment horizontal="center" vertical="center"/>
    </xf>
    <xf numFmtId="0" fontId="37" fillId="7" borderId="1" xfId="26" applyFont="1" applyFill="1" applyBorder="1" applyAlignment="1">
      <alignment horizontal="center" vertical="center"/>
    </xf>
    <xf numFmtId="41" fontId="38" fillId="7" borderId="1" xfId="1" applyFont="1" applyFill="1" applyBorder="1" applyAlignment="1">
      <alignment horizontal="center" vertical="center"/>
    </xf>
    <xf numFmtId="41" fontId="36" fillId="7" borderId="2" xfId="1" applyFont="1" applyFill="1" applyBorder="1" applyAlignment="1">
      <alignment horizontal="right" vertical="center"/>
    </xf>
    <xf numFmtId="41" fontId="36" fillId="2" borderId="2" xfId="1" applyFont="1" applyFill="1" applyBorder="1" applyAlignment="1">
      <alignment horizontal="right" vertical="center"/>
    </xf>
    <xf numFmtId="41" fontId="39" fillId="3" borderId="2" xfId="1" applyFont="1" applyFill="1" applyBorder="1" applyAlignment="1">
      <alignment horizontal="right" vertical="center"/>
    </xf>
    <xf numFmtId="0" fontId="40" fillId="7" borderId="2" xfId="27" applyFill="1" applyBorder="1" applyAlignment="1">
      <alignment horizontal="center" vertical="center"/>
    </xf>
    <xf numFmtId="41" fontId="40" fillId="7" borderId="2" xfId="1" applyFont="1" applyFill="1" applyBorder="1" applyAlignment="1">
      <alignment horizontal="right" vertical="center"/>
    </xf>
    <xf numFmtId="0" fontId="7" fillId="7" borderId="1" xfId="27" applyFont="1" applyFill="1" applyBorder="1" applyAlignment="1">
      <alignment horizontal="center" vertical="center"/>
    </xf>
    <xf numFmtId="0" fontId="3" fillId="7" borderId="2" xfId="27" applyFont="1" applyFill="1" applyBorder="1" applyAlignment="1">
      <alignment horizontal="center" vertical="center"/>
    </xf>
    <xf numFmtId="0" fontId="24" fillId="7" borderId="2" xfId="27" applyFont="1" applyFill="1" applyBorder="1" applyAlignment="1">
      <alignment horizontal="center" vertical="center"/>
    </xf>
    <xf numFmtId="41" fontId="3" fillId="6" borderId="2" xfId="1" applyFont="1" applyFill="1" applyBorder="1" applyAlignment="1">
      <alignment horizontal="right" vertical="center"/>
    </xf>
    <xf numFmtId="41" fontId="24" fillId="3" borderId="2" xfId="1" applyFont="1" applyFill="1" applyBorder="1" applyAlignment="1">
      <alignment horizontal="right" vertical="center"/>
    </xf>
    <xf numFmtId="0" fontId="7" fillId="7" borderId="1" xfId="28" applyFont="1" applyFill="1" applyBorder="1" applyAlignment="1">
      <alignment horizontal="center" vertical="center"/>
    </xf>
    <xf numFmtId="0" fontId="3" fillId="7" borderId="2" xfId="28" applyFont="1" applyFill="1" applyBorder="1" applyAlignment="1">
      <alignment horizontal="center" vertical="center"/>
    </xf>
    <xf numFmtId="0" fontId="3" fillId="7" borderId="4" xfId="29" applyFont="1" applyFill="1" applyBorder="1" applyAlignment="1">
      <alignment horizontal="center" vertical="center"/>
    </xf>
    <xf numFmtId="0" fontId="3" fillId="7" borderId="2" xfId="29" applyFont="1" applyFill="1" applyBorder="1" applyAlignment="1">
      <alignment horizontal="center" vertical="center"/>
    </xf>
    <xf numFmtId="176" fontId="3" fillId="0" borderId="0" xfId="0" applyNumberFormat="1" applyFont="1" applyAlignment="1">
      <alignment vertical="center" shrinkToFit="1"/>
    </xf>
    <xf numFmtId="0" fontId="24" fillId="7" borderId="2" xfId="18" applyFont="1" applyFill="1" applyBorder="1" applyAlignment="1">
      <alignment horizontal="center" vertical="center"/>
    </xf>
    <xf numFmtId="41" fontId="8" fillId="2" borderId="0" xfId="1" applyFont="1" applyFill="1">
      <alignment vertical="center"/>
    </xf>
    <xf numFmtId="0" fontId="43" fillId="0" borderId="0" xfId="0" applyFont="1">
      <alignment vertical="center"/>
    </xf>
    <xf numFmtId="41" fontId="43" fillId="0" borderId="0" xfId="1" applyFont="1">
      <alignment vertical="center"/>
    </xf>
    <xf numFmtId="41" fontId="43" fillId="2" borderId="0" xfId="1" applyFont="1" applyFill="1">
      <alignment vertical="center"/>
    </xf>
    <xf numFmtId="41" fontId="30" fillId="2" borderId="0" xfId="1" applyFont="1" applyFill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1" fontId="4" fillId="2" borderId="0" xfId="1" applyFont="1" applyFill="1">
      <alignment vertical="center"/>
    </xf>
    <xf numFmtId="41" fontId="46" fillId="0" borderId="0" xfId="1" applyFont="1" applyAlignment="1">
      <alignment horizontal="center" vertical="center" shrinkToFit="1"/>
    </xf>
    <xf numFmtId="0" fontId="2" fillId="2" borderId="0" xfId="0" applyFont="1" applyFill="1" applyAlignment="1">
      <alignment horizontal="center" vertical="center"/>
    </xf>
    <xf numFmtId="41" fontId="2" fillId="2" borderId="0" xfId="0" applyNumberFormat="1" applyFont="1" applyFill="1">
      <alignment vertical="center"/>
    </xf>
    <xf numFmtId="0" fontId="5" fillId="7" borderId="2" xfId="0" applyFont="1" applyFill="1" applyBorder="1" applyAlignment="1">
      <alignment horizontal="center" vertical="center"/>
    </xf>
    <xf numFmtId="41" fontId="5" fillId="7" borderId="2" xfId="1" applyFont="1" applyFill="1" applyBorder="1" applyAlignment="1">
      <alignment horizontal="right" vertical="center"/>
    </xf>
    <xf numFmtId="0" fontId="30" fillId="7" borderId="2" xfId="0" applyFont="1" applyFill="1" applyBorder="1" applyAlignment="1">
      <alignment horizontal="center" vertical="center"/>
    </xf>
    <xf numFmtId="41" fontId="30" fillId="7" borderId="2" xfId="1" applyFont="1" applyFill="1" applyBorder="1" applyAlignment="1">
      <alignment horizontal="right" vertical="center"/>
    </xf>
    <xf numFmtId="41" fontId="30" fillId="2" borderId="2" xfId="1" applyFont="1" applyFill="1" applyBorder="1" applyAlignment="1">
      <alignment horizontal="right" vertical="center"/>
    </xf>
    <xf numFmtId="0" fontId="30" fillId="0" borderId="0" xfId="0" applyFont="1">
      <alignment vertical="center"/>
    </xf>
    <xf numFmtId="41" fontId="47" fillId="0" borderId="0" xfId="1" applyFont="1">
      <alignment vertical="center"/>
    </xf>
    <xf numFmtId="41" fontId="48" fillId="0" borderId="0" xfId="1" applyFont="1">
      <alignment vertical="center"/>
    </xf>
    <xf numFmtId="0" fontId="7" fillId="7" borderId="1" xfId="30" applyFont="1" applyFill="1" applyBorder="1" applyAlignment="1">
      <alignment horizontal="center" vertical="center"/>
    </xf>
    <xf numFmtId="176" fontId="3" fillId="10" borderId="0" xfId="0" applyNumberFormat="1" applyFont="1" applyFill="1">
      <alignment vertical="center"/>
    </xf>
    <xf numFmtId="0" fontId="3" fillId="7" borderId="2" xfId="30" applyFont="1" applyFill="1" applyBorder="1" applyAlignment="1">
      <alignment horizontal="center" vertical="center"/>
    </xf>
    <xf numFmtId="41" fontId="3" fillId="10" borderId="0" xfId="0" applyNumberFormat="1" applyFont="1" applyFill="1">
      <alignment vertical="center"/>
    </xf>
    <xf numFmtId="0" fontId="3" fillId="10" borderId="0" xfId="0" applyFont="1" applyFill="1">
      <alignment vertical="center"/>
    </xf>
    <xf numFmtId="0" fontId="3" fillId="4" borderId="2" xfId="30" applyFont="1" applyFill="1" applyBorder="1" applyAlignment="1">
      <alignment horizontal="center" vertical="center"/>
    </xf>
    <xf numFmtId="41" fontId="3" fillId="4" borderId="0" xfId="0" applyNumberFormat="1" applyFont="1" applyFill="1">
      <alignment vertical="center"/>
    </xf>
    <xf numFmtId="41" fontId="50" fillId="2" borderId="0" xfId="1" applyFont="1" applyFill="1">
      <alignment vertical="center"/>
    </xf>
    <xf numFmtId="41" fontId="0" fillId="0" borderId="0" xfId="0" applyNumberFormat="1">
      <alignment vertical="center"/>
    </xf>
    <xf numFmtId="41" fontId="3" fillId="0" borderId="0" xfId="31" applyFont="1">
      <alignment vertical="center"/>
    </xf>
    <xf numFmtId="41" fontId="3" fillId="7" borderId="2" xfId="31" applyFont="1" applyFill="1" applyBorder="1" applyAlignment="1">
      <alignment horizontal="right" vertical="center"/>
    </xf>
    <xf numFmtId="41" fontId="5" fillId="7" borderId="1" xfId="31" applyFont="1" applyFill="1" applyBorder="1" applyAlignment="1">
      <alignment horizontal="center" vertical="center"/>
    </xf>
    <xf numFmtId="41" fontId="7" fillId="7" borderId="1" xfId="31" applyFont="1" applyFill="1" applyBorder="1" applyAlignment="1">
      <alignment horizontal="center" vertical="center"/>
    </xf>
    <xf numFmtId="41" fontId="0" fillId="8" borderId="0" xfId="1" applyFont="1" applyFill="1">
      <alignment vertical="center"/>
    </xf>
    <xf numFmtId="41" fontId="7" fillId="2" borderId="1" xfId="1" applyFont="1" applyFill="1" applyBorder="1" applyAlignment="1">
      <alignment horizontal="center" vertical="center"/>
    </xf>
    <xf numFmtId="0" fontId="3" fillId="7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1" fontId="6" fillId="0" borderId="0" xfId="1" applyFont="1" applyFill="1" applyBorder="1">
      <alignment vertical="center"/>
    </xf>
    <xf numFmtId="41" fontId="3" fillId="0" borderId="0" xfId="1" applyFont="1" applyFill="1" applyBorder="1">
      <alignment vertical="center"/>
    </xf>
    <xf numFmtId="0" fontId="2" fillId="0" borderId="0" xfId="13" applyFont="1" applyAlignment="1">
      <alignment horizontal="center" vertical="center"/>
    </xf>
    <xf numFmtId="0" fontId="2" fillId="0" borderId="0" xfId="13" applyFont="1">
      <alignment vertical="center"/>
    </xf>
    <xf numFmtId="41" fontId="4" fillId="0" borderId="0" xfId="1" applyFont="1" applyFill="1" applyBorder="1">
      <alignment vertical="center"/>
    </xf>
    <xf numFmtId="41" fontId="2" fillId="0" borderId="0" xfId="1" applyFont="1" applyFill="1" applyBorder="1">
      <alignment vertical="center"/>
    </xf>
    <xf numFmtId="41" fontId="54" fillId="0" borderId="5" xfId="1" applyFont="1" applyFill="1" applyBorder="1" applyAlignment="1">
      <alignment horizontal="center" vertical="center" shrinkToFit="1"/>
    </xf>
    <xf numFmtId="41" fontId="0" fillId="0" borderId="0" xfId="1" applyFont="1" applyFill="1" applyBorder="1" applyAlignment="1">
      <alignment vertical="center" shrinkToFit="1"/>
    </xf>
    <xf numFmtId="41" fontId="53" fillId="0" borderId="0" xfId="1" applyFont="1" applyFill="1" applyBorder="1" applyAlignment="1">
      <alignment horizontal="right" vertical="center"/>
    </xf>
    <xf numFmtId="0" fontId="53" fillId="0" borderId="0" xfId="32" applyAlignment="1">
      <alignment horizontal="center" vertical="center"/>
    </xf>
    <xf numFmtId="41" fontId="53" fillId="0" borderId="0" xfId="1" applyFont="1" applyFill="1" applyBorder="1">
      <alignment vertical="center"/>
    </xf>
    <xf numFmtId="0" fontId="53" fillId="0" borderId="0" xfId="0" applyFont="1">
      <alignment vertical="center"/>
    </xf>
    <xf numFmtId="41" fontId="54" fillId="7" borderId="1" xfId="1" applyFont="1" applyFill="1" applyBorder="1" applyAlignment="1">
      <alignment horizontal="center" vertical="center"/>
    </xf>
    <xf numFmtId="0" fontId="53" fillId="7" borderId="2" xfId="32" applyFill="1" applyBorder="1" applyAlignment="1">
      <alignment horizontal="center" vertical="center"/>
    </xf>
    <xf numFmtId="0" fontId="54" fillId="7" borderId="1" xfId="32" applyFont="1" applyFill="1" applyBorder="1" applyAlignment="1">
      <alignment horizontal="center" vertical="center"/>
    </xf>
    <xf numFmtId="41" fontId="55" fillId="7" borderId="1" xfId="1" applyFont="1" applyFill="1" applyBorder="1" applyAlignment="1">
      <alignment horizontal="center" vertical="center"/>
    </xf>
    <xf numFmtId="41" fontId="53" fillId="7" borderId="2" xfId="1" applyFont="1" applyFill="1" applyBorder="1" applyAlignment="1">
      <alignment horizontal="right" vertical="center"/>
    </xf>
    <xf numFmtId="0" fontId="56" fillId="0" borderId="0" xfId="0" applyFont="1" applyAlignment="1">
      <alignment horizontal="center" vertical="center"/>
    </xf>
    <xf numFmtId="41" fontId="56" fillId="0" borderId="0" xfId="1" applyFont="1">
      <alignment vertical="center"/>
    </xf>
    <xf numFmtId="0" fontId="56" fillId="0" borderId="0" xfId="0" applyFont="1">
      <alignment vertical="center"/>
    </xf>
    <xf numFmtId="41" fontId="54" fillId="2" borderId="1" xfId="1" applyFont="1" applyFill="1" applyBorder="1" applyAlignment="1">
      <alignment horizontal="center" vertical="center"/>
    </xf>
    <xf numFmtId="41" fontId="53" fillId="2" borderId="2" xfId="1" applyFont="1" applyFill="1" applyBorder="1" applyAlignment="1">
      <alignment horizontal="right" vertical="center"/>
    </xf>
    <xf numFmtId="41" fontId="53" fillId="3" borderId="2" xfId="1" applyFont="1" applyFill="1" applyBorder="1" applyAlignment="1">
      <alignment horizontal="right" vertical="center"/>
    </xf>
    <xf numFmtId="0" fontId="57" fillId="7" borderId="2" xfId="33" applyFill="1" applyBorder="1" applyAlignment="1">
      <alignment horizontal="center" vertical="center"/>
    </xf>
    <xf numFmtId="0" fontId="58" fillId="7" borderId="1" xfId="33" applyFont="1" applyFill="1" applyBorder="1" applyAlignment="1">
      <alignment horizontal="center" vertical="center"/>
    </xf>
    <xf numFmtId="41" fontId="58" fillId="7" borderId="1" xfId="1" applyFont="1" applyFill="1" applyBorder="1" applyAlignment="1">
      <alignment horizontal="center" vertical="center"/>
    </xf>
    <xf numFmtId="41" fontId="59" fillId="7" borderId="1" xfId="1" applyFont="1" applyFill="1" applyBorder="1" applyAlignment="1">
      <alignment horizontal="center" vertical="center"/>
    </xf>
    <xf numFmtId="41" fontId="57" fillId="7" borderId="2" xfId="1" applyFont="1" applyFill="1" applyBorder="1" applyAlignment="1">
      <alignment horizontal="right" vertical="center"/>
    </xf>
    <xf numFmtId="41" fontId="58" fillId="2" borderId="1" xfId="1" applyFont="1" applyFill="1" applyBorder="1" applyAlignment="1">
      <alignment horizontal="center" vertical="center"/>
    </xf>
    <xf numFmtId="41" fontId="57" fillId="2" borderId="2" xfId="1" applyFont="1" applyFill="1" applyBorder="1" applyAlignment="1">
      <alignment horizontal="right" vertical="center"/>
    </xf>
    <xf numFmtId="0" fontId="60" fillId="0" borderId="0" xfId="0" applyFont="1" applyAlignment="1">
      <alignment horizontal="center" vertical="center"/>
    </xf>
    <xf numFmtId="41" fontId="60" fillId="0" borderId="0" xfId="1" applyFont="1">
      <alignment vertical="center"/>
    </xf>
    <xf numFmtId="0" fontId="60" fillId="0" borderId="0" xfId="0" applyFont="1">
      <alignment vertical="center"/>
    </xf>
    <xf numFmtId="41" fontId="60" fillId="0" borderId="0" xfId="0" applyNumberFormat="1" applyFont="1">
      <alignment vertical="center"/>
    </xf>
    <xf numFmtId="0" fontId="61" fillId="0" borderId="0" xfId="0" applyFont="1" applyAlignment="1">
      <alignment horizontal="center" vertical="center"/>
    </xf>
    <xf numFmtId="41" fontId="61" fillId="0" borderId="0" xfId="1" applyFont="1">
      <alignment vertical="center"/>
    </xf>
    <xf numFmtId="0" fontId="61" fillId="0" borderId="0" xfId="0" applyFont="1">
      <alignment vertical="center"/>
    </xf>
    <xf numFmtId="41" fontId="61" fillId="2" borderId="0" xfId="1" applyFont="1" applyFill="1">
      <alignment vertical="center"/>
    </xf>
    <xf numFmtId="41" fontId="3" fillId="4" borderId="0" xfId="1" applyFont="1" applyFill="1" applyAlignment="1">
      <alignment horizontal="center" vertical="center" shrinkToFit="1"/>
    </xf>
    <xf numFmtId="41" fontId="3" fillId="4" borderId="0" xfId="1" applyFont="1" applyFill="1" applyAlignment="1">
      <alignment horizontal="center" vertical="center"/>
    </xf>
    <xf numFmtId="0" fontId="62" fillId="7" borderId="2" xfId="34" applyFill="1" applyBorder="1" applyAlignment="1">
      <alignment horizontal="center" vertical="center"/>
    </xf>
    <xf numFmtId="0" fontId="63" fillId="7" borderId="1" xfId="34" applyFont="1" applyFill="1" applyBorder="1" applyAlignment="1">
      <alignment horizontal="center" vertical="center"/>
    </xf>
    <xf numFmtId="41" fontId="63" fillId="7" borderId="1" xfId="1" applyFont="1" applyFill="1" applyBorder="1" applyAlignment="1">
      <alignment horizontal="center" vertical="center"/>
    </xf>
    <xf numFmtId="41" fontId="64" fillId="7" borderId="1" xfId="1" applyFont="1" applyFill="1" applyBorder="1" applyAlignment="1">
      <alignment horizontal="center" vertical="center"/>
    </xf>
    <xf numFmtId="41" fontId="62" fillId="7" borderId="2" xfId="1" applyFont="1" applyFill="1" applyBorder="1" applyAlignment="1">
      <alignment horizontal="right" vertical="center"/>
    </xf>
    <xf numFmtId="41" fontId="63" fillId="2" borderId="1" xfId="1" applyFont="1" applyFill="1" applyBorder="1" applyAlignment="1">
      <alignment horizontal="center" vertical="center"/>
    </xf>
    <xf numFmtId="41" fontId="62" fillId="2" borderId="2" xfId="1" applyFont="1" applyFill="1" applyBorder="1" applyAlignment="1">
      <alignment horizontal="right" vertical="center"/>
    </xf>
    <xf numFmtId="0" fontId="62" fillId="0" borderId="0" xfId="0" applyFont="1">
      <alignment vertical="center"/>
    </xf>
    <xf numFmtId="41" fontId="62" fillId="0" borderId="0" xfId="1" applyFont="1">
      <alignment vertical="center"/>
    </xf>
    <xf numFmtId="41" fontId="66" fillId="0" borderId="0" xfId="1" applyFont="1" applyAlignment="1">
      <alignment horizontal="center" vertical="center" shrinkToFit="1"/>
    </xf>
    <xf numFmtId="0" fontId="66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/>
    </xf>
    <xf numFmtId="0" fontId="3" fillId="7" borderId="4" xfId="35" applyFont="1" applyFill="1" applyBorder="1" applyAlignment="1">
      <alignment horizontal="center" vertical="center"/>
    </xf>
    <xf numFmtId="0" fontId="3" fillId="7" borderId="2" xfId="35" applyFont="1" applyFill="1" applyBorder="1" applyAlignment="1">
      <alignment horizontal="center" vertical="center"/>
    </xf>
    <xf numFmtId="0" fontId="3" fillId="4" borderId="2" xfId="35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67" fillId="0" borderId="0" xfId="0" applyFont="1">
      <alignment vertical="center"/>
    </xf>
    <xf numFmtId="41" fontId="67" fillId="0" borderId="0" xfId="1" applyFont="1">
      <alignment vertical="center"/>
    </xf>
    <xf numFmtId="41" fontId="65" fillId="2" borderId="0" xfId="1" applyFont="1" applyFill="1">
      <alignment vertical="center"/>
    </xf>
    <xf numFmtId="41" fontId="67" fillId="2" borderId="0" xfId="1" applyFont="1" applyFill="1">
      <alignment vertical="center"/>
    </xf>
    <xf numFmtId="0" fontId="3" fillId="2" borderId="4" xfId="0" applyFont="1" applyFill="1" applyBorder="1" applyAlignment="1">
      <alignment horizontal="center" vertical="center"/>
    </xf>
    <xf numFmtId="41" fontId="3" fillId="2" borderId="0" xfId="0" applyNumberFormat="1" applyFont="1" applyFill="1">
      <alignment vertical="center"/>
    </xf>
    <xf numFmtId="0" fontId="68" fillId="7" borderId="2" xfId="36" applyFill="1" applyBorder="1" applyAlignment="1">
      <alignment horizontal="center" vertical="center"/>
    </xf>
    <xf numFmtId="0" fontId="69" fillId="7" borderId="1" xfId="36" applyFont="1" applyFill="1" applyBorder="1" applyAlignment="1">
      <alignment horizontal="center" vertical="center"/>
    </xf>
    <xf numFmtId="41" fontId="69" fillId="7" borderId="1" xfId="1" applyFont="1" applyFill="1" applyBorder="1" applyAlignment="1">
      <alignment horizontal="center" vertical="center"/>
    </xf>
    <xf numFmtId="41" fontId="70" fillId="7" borderId="1" xfId="1" applyFont="1" applyFill="1" applyBorder="1" applyAlignment="1">
      <alignment horizontal="center" vertical="center"/>
    </xf>
    <xf numFmtId="41" fontId="68" fillId="7" borderId="2" xfId="1" applyFont="1" applyFill="1" applyBorder="1" applyAlignment="1">
      <alignment horizontal="right" vertical="center"/>
    </xf>
    <xf numFmtId="41" fontId="68" fillId="2" borderId="2" xfId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8" fillId="7" borderId="2" xfId="36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9" fillId="7" borderId="1" xfId="36" applyFont="1" applyFill="1" applyBorder="1" applyAlignment="1">
      <alignment horizontal="left" vertical="center"/>
    </xf>
    <xf numFmtId="0" fontId="68" fillId="2" borderId="2" xfId="36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1" fontId="3" fillId="0" borderId="2" xfId="1" applyFont="1" applyFill="1" applyBorder="1" applyAlignment="1">
      <alignment horizontal="right" vertical="center"/>
    </xf>
    <xf numFmtId="41" fontId="7" fillId="0" borderId="3" xfId="1" applyFont="1" applyFill="1" applyBorder="1" applyAlignment="1">
      <alignment horizontal="center" vertical="center" shrinkToFit="1"/>
    </xf>
    <xf numFmtId="41" fontId="7" fillId="0" borderId="1" xfId="1" applyFont="1" applyFill="1" applyBorder="1" applyAlignment="1">
      <alignment horizontal="center" vertical="center" shrinkToFit="1"/>
    </xf>
    <xf numFmtId="41" fontId="3" fillId="0" borderId="0" xfId="1" applyFont="1" applyFill="1" applyAlignment="1">
      <alignment vertical="center" shrinkToFit="1"/>
    </xf>
    <xf numFmtId="41" fontId="3" fillId="0" borderId="0" xfId="0" applyNumberFormat="1" applyFont="1" applyAlignment="1">
      <alignment vertical="center" shrinkToFit="1"/>
    </xf>
    <xf numFmtId="0" fontId="7" fillId="7" borderId="1" xfId="37" applyFont="1" applyFill="1" applyBorder="1" applyAlignment="1">
      <alignment horizontal="center" vertical="center"/>
    </xf>
    <xf numFmtId="0" fontId="3" fillId="7" borderId="2" xfId="37" applyFont="1" applyFill="1" applyBorder="1" applyAlignment="1">
      <alignment horizontal="center" vertical="center"/>
    </xf>
    <xf numFmtId="41" fontId="7" fillId="7" borderId="5" xfId="1" applyFont="1" applyFill="1" applyBorder="1" applyAlignment="1">
      <alignment horizontal="center" vertical="center" shrinkToFit="1"/>
    </xf>
    <xf numFmtId="41" fontId="3" fillId="0" borderId="0" xfId="1" applyFont="1" applyAlignment="1">
      <alignment vertical="center" shrinkToFit="1"/>
    </xf>
    <xf numFmtId="41" fontId="5" fillId="0" borderId="0" xfId="1" applyFont="1" applyFill="1" applyBorder="1">
      <alignment vertical="center"/>
    </xf>
    <xf numFmtId="41" fontId="5" fillId="0" borderId="0" xfId="1" applyFont="1" applyAlignment="1">
      <alignment vertical="center" shrinkToFit="1"/>
    </xf>
    <xf numFmtId="0" fontId="7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41" fontId="0" fillId="7" borderId="0" xfId="1" applyFont="1" applyFill="1" applyBorder="1" applyAlignment="1">
      <alignment horizontal="right" vertical="center"/>
    </xf>
    <xf numFmtId="41" fontId="3" fillId="12" borderId="0" xfId="1" applyFont="1" applyFill="1">
      <alignment vertical="center"/>
    </xf>
    <xf numFmtId="0" fontId="3" fillId="0" borderId="5" xfId="0" applyFont="1" applyBorder="1" applyAlignment="1">
      <alignment horizontal="center" vertical="center" shrinkToFit="1"/>
    </xf>
    <xf numFmtId="41" fontId="3" fillId="0" borderId="5" xfId="1" applyFont="1" applyBorder="1" applyAlignment="1">
      <alignment horizontal="center" vertical="center" shrinkToFit="1"/>
    </xf>
    <xf numFmtId="0" fontId="3" fillId="4" borderId="0" xfId="0" applyFont="1" applyFill="1" applyAlignment="1">
      <alignment horizontal="left" vertical="center"/>
    </xf>
    <xf numFmtId="0" fontId="23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1" fontId="2" fillId="0" borderId="0" xfId="1" applyFont="1" applyFill="1">
      <alignment vertical="center"/>
    </xf>
    <xf numFmtId="41" fontId="3" fillId="0" borderId="0" xfId="1" applyFont="1" applyFill="1" applyBorder="1" applyAlignment="1">
      <alignment horizontal="center" vertical="center" shrinkToFit="1"/>
    </xf>
    <xf numFmtId="41" fontId="5" fillId="0" borderId="0" xfId="1" applyFont="1" applyFill="1">
      <alignment vertical="center"/>
    </xf>
    <xf numFmtId="41" fontId="3" fillId="0" borderId="0" xfId="1" applyFont="1" applyFill="1" applyBorder="1" applyAlignment="1">
      <alignment horizontal="right" vertical="center"/>
    </xf>
    <xf numFmtId="41" fontId="2" fillId="0" borderId="0" xfId="1" applyFont="1" applyFill="1" applyBorder="1" applyAlignment="1">
      <alignment horizontal="right" vertical="center"/>
    </xf>
    <xf numFmtId="41" fontId="73" fillId="0" borderId="0" xfId="1" applyFont="1" applyAlignment="1">
      <alignment horizontal="center" vertical="center" shrinkToFit="1"/>
    </xf>
    <xf numFmtId="41" fontId="3" fillId="0" borderId="5" xfId="1" applyFont="1" applyFill="1" applyBorder="1" applyAlignment="1">
      <alignment horizontal="center" vertical="center" shrinkToFit="1"/>
    </xf>
    <xf numFmtId="41" fontId="74" fillId="0" borderId="0" xfId="1" applyFont="1">
      <alignment vertical="center"/>
    </xf>
    <xf numFmtId="0" fontId="74" fillId="0" borderId="0" xfId="0" applyFont="1">
      <alignment vertical="center"/>
    </xf>
    <xf numFmtId="0" fontId="7" fillId="7" borderId="1" xfId="29" applyFont="1" applyFill="1" applyBorder="1" applyAlignment="1">
      <alignment horizontal="center" vertical="center" shrinkToFit="1"/>
    </xf>
    <xf numFmtId="0" fontId="7" fillId="7" borderId="3" xfId="29" applyFont="1" applyFill="1" applyBorder="1" applyAlignment="1">
      <alignment horizontal="center" vertical="center" shrinkToFit="1"/>
    </xf>
    <xf numFmtId="0" fontId="7" fillId="7" borderId="1" xfId="0" applyFont="1" applyFill="1" applyBorder="1" applyAlignment="1">
      <alignment horizontal="center" vertical="center" shrinkToFit="1"/>
    </xf>
    <xf numFmtId="0" fontId="7" fillId="7" borderId="3" xfId="0" applyFont="1" applyFill="1" applyBorder="1" applyAlignment="1">
      <alignment horizontal="center" vertical="center" shrinkToFit="1"/>
    </xf>
    <xf numFmtId="0" fontId="54" fillId="0" borderId="0" xfId="32" applyFont="1" applyAlignment="1">
      <alignment horizontal="center" vertical="center" shrinkToFit="1"/>
    </xf>
    <xf numFmtId="0" fontId="54" fillId="0" borderId="5" xfId="32" applyFont="1" applyBorder="1" applyAlignment="1">
      <alignment horizontal="center" vertical="center" shrinkToFit="1"/>
    </xf>
    <xf numFmtId="0" fontId="7" fillId="7" borderId="7" xfId="35" applyFont="1" applyFill="1" applyBorder="1" applyAlignment="1">
      <alignment horizontal="center" vertical="center" shrinkToFit="1"/>
    </xf>
    <xf numFmtId="0" fontId="7" fillId="7" borderId="10" xfId="35" applyFont="1" applyFill="1" applyBorder="1" applyAlignment="1">
      <alignment horizontal="center" vertical="center" shrinkToFit="1"/>
    </xf>
    <xf numFmtId="0" fontId="7" fillId="7" borderId="8" xfId="35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7" borderId="9" xfId="0" applyFont="1" applyFill="1" applyBorder="1" applyAlignment="1">
      <alignment horizontal="center" vertical="center" shrinkToFit="1"/>
    </xf>
    <xf numFmtId="0" fontId="7" fillId="7" borderId="5" xfId="0" applyFont="1" applyFill="1" applyBorder="1" applyAlignment="1">
      <alignment horizontal="center" vertical="center" shrinkToFit="1"/>
    </xf>
    <xf numFmtId="0" fontId="7" fillId="7" borderId="9" xfId="0" applyFont="1" applyFill="1" applyBorder="1" applyAlignment="1">
      <alignment horizontal="center" vertical="center"/>
    </xf>
  </cellXfs>
  <cellStyles count="38">
    <cellStyle name="쉼표 [0]" xfId="1" builtinId="6"/>
    <cellStyle name="쉼표 [0] 10" xfId="17" xr:uid="{00954370-8C76-47F3-9E0F-C9E84D986597}"/>
    <cellStyle name="쉼표 [0] 2" xfId="14" xr:uid="{1C5CA30F-34AC-4642-8268-D5039EAED397}"/>
    <cellStyle name="쉼표 [0] 3" xfId="20" xr:uid="{0A4C2889-42DF-4BC2-8AEF-56AB8B8E527A}"/>
    <cellStyle name="쉼표 [0] 4" xfId="31" xr:uid="{368B9CA7-18F1-46C6-BB3C-9F04158727B1}"/>
    <cellStyle name="표준" xfId="0" builtinId="0"/>
    <cellStyle name="표준 10" xfId="2" xr:uid="{00000000-0005-0000-0000-000031000000}"/>
    <cellStyle name="표준 11" xfId="3" xr:uid="{00000000-0005-0000-0000-000032000000}"/>
    <cellStyle name="표준 12" xfId="12" xr:uid="{6850DD17-6B2A-45EE-806F-E64F6AE65313}"/>
    <cellStyle name="표준 13" xfId="13" xr:uid="{C2FA4224-01FB-4686-BC0A-D099D395BDE2}"/>
    <cellStyle name="표준 14" xfId="18" xr:uid="{2410D367-B7B0-43F0-B4EE-7E4CE3B8078D}"/>
    <cellStyle name="표준 15" xfId="19" xr:uid="{47DD04B7-283D-4FBF-B45C-AD57D82DEB48}"/>
    <cellStyle name="표준 16" xfId="21" xr:uid="{6CFD059A-3063-4506-87E4-F4F7C5EFE730}"/>
    <cellStyle name="표준 17" xfId="22" xr:uid="{188ABE28-D09C-4CD2-B0E7-B95675A15990}"/>
    <cellStyle name="표준 18" xfId="23" xr:uid="{C4B64CB9-EAFE-46AB-8A82-0BB76975F0C0}"/>
    <cellStyle name="표준 19" xfId="24" xr:uid="{DE4F4F9A-CC7B-4909-BC9F-8D8BC03ADBDC}"/>
    <cellStyle name="표준 2" xfId="4" xr:uid="{00000000-0005-0000-0000-000033000000}"/>
    <cellStyle name="표준 2 2" xfId="15" xr:uid="{D84EE1D6-F781-4752-A135-55DD386C2E16}"/>
    <cellStyle name="표준 2 2 2" xfId="16" xr:uid="{E9E93FC1-ADE8-4BD0-BF70-53D4771DD92F}"/>
    <cellStyle name="표준 20" xfId="25" xr:uid="{98B7A455-59DE-47CA-9E08-C3F2BFA3AF5A}"/>
    <cellStyle name="표준 21" xfId="26" xr:uid="{BA68762A-5C33-48B4-9886-23CEEE2EF487}"/>
    <cellStyle name="표준 22" xfId="27" xr:uid="{5D841512-66C2-488B-8D56-D649ABCAA78B}"/>
    <cellStyle name="표준 23" xfId="28" xr:uid="{FBF9D060-2198-4AA2-8EEA-BFA086FBCD88}"/>
    <cellStyle name="표준 24" xfId="29" xr:uid="{7B4A3578-35A2-4BA4-8CCC-C4B1DF3B65F7}"/>
    <cellStyle name="표준 25" xfId="30" xr:uid="{280FA498-8EF5-42B4-A040-144210E93EC9}"/>
    <cellStyle name="표준 26" xfId="32" xr:uid="{28BCB7A2-74A0-4FAE-AF12-DB0F88334FCA}"/>
    <cellStyle name="표준 27" xfId="33" xr:uid="{D2A4F9A5-0ECF-47A6-88B7-63AD9AC5B075}"/>
    <cellStyle name="표준 28" xfId="34" xr:uid="{303E74A8-24F1-480D-A9C3-C78AABEDCF09}"/>
    <cellStyle name="표준 29" xfId="35" xr:uid="{C29F1094-51B5-4611-A400-D93F308C35F2}"/>
    <cellStyle name="표준 3" xfId="5" xr:uid="{00000000-0005-0000-0000-000034000000}"/>
    <cellStyle name="표준 30" xfId="36" xr:uid="{4EE5274C-44EA-43E4-AB8D-1C2FB5A84C1A}"/>
    <cellStyle name="표준 31" xfId="37" xr:uid="{7FD1E7DD-82E6-4244-AC47-8CFF8C5A4EE1}"/>
    <cellStyle name="표준 4" xfId="6" xr:uid="{00000000-0005-0000-0000-000035000000}"/>
    <cellStyle name="표준 5" xfId="7" xr:uid="{00000000-0005-0000-0000-000036000000}"/>
    <cellStyle name="표준 6" xfId="8" xr:uid="{00000000-0005-0000-0000-000037000000}"/>
    <cellStyle name="표준 7" xfId="9" xr:uid="{00000000-0005-0000-0000-000038000000}"/>
    <cellStyle name="표준 8" xfId="10" xr:uid="{00000000-0005-0000-0000-000039000000}"/>
    <cellStyle name="표준 9" xfId="11" xr:uid="{00000000-0005-0000-0000-00003A000000}"/>
  </cellStyles>
  <dxfs count="23">
    <dxf>
      <font>
        <b/>
        <i val="0"/>
        <strike val="0"/>
        <u val="none"/>
        <sz val="10"/>
        <color auto="1"/>
        <name val="맑은 고딕"/>
        <family val="3"/>
        <charset val="129"/>
        <scheme val="none"/>
      </font>
      <fill>
        <patternFill patternType="none"/>
      </fill>
      <alignment horizontal="center" vertical="center" wrapText="1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u val="none"/>
        <sz val="10"/>
        <color auto="1"/>
        <name val="맑은 고딕"/>
        <family val="3"/>
        <charset val="129"/>
        <scheme val="none"/>
      </font>
      <fill>
        <patternFill patternType="none"/>
      </fill>
      <alignment horizontal="center" vertical="center" wrapText="1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1.xml"/><Relationship Id="rId159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externalLink" Target="externalLinks/externalLink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externalLink" Target="externalLinks/externalLink13.xml"/><Relationship Id="rId155" Type="http://schemas.openxmlformats.org/officeDocument/2006/relationships/externalLink" Target="externalLinks/externalLink18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externalLink" Target="externalLinks/externalLink3.xml"/><Relationship Id="rId145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externalLink" Target="externalLinks/externalLink14.xml"/><Relationship Id="rId156" Type="http://schemas.openxmlformats.org/officeDocument/2006/relationships/externalLink" Target="externalLinks/externalLink1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externalLink" Target="externalLinks/externalLink4.xml"/><Relationship Id="rId146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externalLink" Target="externalLinks/externalLink1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externalLink" Target="externalLinks/externalLink16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externalLink" Target="externalLinks/externalLink6.xml"/><Relationship Id="rId148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externalLink" Target="externalLinks/externalLink17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externalLink" Target="externalLinks/externalLink7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22\Data\&#50689;&#50629;&#54016;\+%20&#44032;&#51204;&#50689;&#50629;&#54016;\&#44608;&#50696;&#46993;\&#50689;&#50629;&#54032;&#47588;&#44228;&#54925;\(26.01.08)%20&#44032;&#51204;&#50689;&#50629;&#54016;%20&#49373;&#49328;&#44228;&#54925;%2026&#45380;%201&#50900;&#65288;&#44608;&#50696;&#46993;%20).xlsx" TargetMode="External"/><Relationship Id="rId1" Type="http://schemas.openxmlformats.org/officeDocument/2006/relationships/externalLinkPath" Target="file:///\\192.168.0.22\Data\&#50689;&#50629;&#54016;\+%20&#44032;&#51204;&#50689;&#50629;&#54016;\&#44608;&#50696;&#46993;\&#50689;&#50629;&#54032;&#47588;&#44228;&#54925;\(26.01.08)%20&#44032;&#51204;&#50689;&#50629;&#54016;%20&#49373;&#49328;&#44228;&#54925;%2026&#45380;%201&#50900;&#65288;&#44608;&#50696;&#46993;%20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2.09_17.29.01.xlsx" TargetMode="External"/><Relationship Id="rId1" Type="http://schemas.openxmlformats.org/officeDocument/2006/relationships/externalLinkPath" Target="file:///C:\Users\&#44608;&#50696;&#46993;\Downloads\2026.02.09_17.29.0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2.11_18.23.40.xlsx" TargetMode="External"/><Relationship Id="rId1" Type="http://schemas.openxmlformats.org/officeDocument/2006/relationships/externalLinkPath" Target="file:///C:\Users\&#44608;&#50696;&#46993;\Downloads\2026.02.11_18.23.4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2.11_18.11.06.xlsx" TargetMode="External"/><Relationship Id="rId1" Type="http://schemas.openxmlformats.org/officeDocument/2006/relationships/externalLinkPath" Target="file:///C:\Users\&#44608;&#50696;&#46993;\Downloads\2026.02.11_18.11.0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2.27_17.23.42.xlsx" TargetMode="External"/><Relationship Id="rId1" Type="http://schemas.openxmlformats.org/officeDocument/2006/relationships/externalLinkPath" Target="file:///C:\Users\&#44608;&#50696;&#46993;\Downloads\2026.02.27_17.23.4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05_15.13.01.xlsx" TargetMode="External"/><Relationship Id="rId1" Type="http://schemas.openxmlformats.org/officeDocument/2006/relationships/externalLinkPath" Target="file:///C:\Users\&#44608;&#50696;&#46993;\Downloads\2026.03.05_15.13.0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06_18.31.28.xlsx" TargetMode="External"/><Relationship Id="rId1" Type="http://schemas.openxmlformats.org/officeDocument/2006/relationships/externalLinkPath" Target="file:///C:\Users\&#44608;&#50696;&#46993;\Downloads\2026.03.06_18.31.28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12_12.39.26.xlsx" TargetMode="External"/><Relationship Id="rId1" Type="http://schemas.openxmlformats.org/officeDocument/2006/relationships/externalLinkPath" Target="file:///C:\Users\&#44608;&#50696;&#46993;\Downloads\2026.03.12_12.39.26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16_13.19.52.xlsx" TargetMode="External"/><Relationship Id="rId1" Type="http://schemas.openxmlformats.org/officeDocument/2006/relationships/externalLinkPath" Target="file:///C:\Users\&#44608;&#50696;&#46993;\Downloads\2026.03.16_13.19.5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16_13.18.02.xlsx" TargetMode="External"/><Relationship Id="rId1" Type="http://schemas.openxmlformats.org/officeDocument/2006/relationships/externalLinkPath" Target="file:///C:\Users\&#44608;&#50696;&#46993;\Downloads\2026.03.16_13.18.02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23_17.26.36.xlsx" TargetMode="External"/><Relationship Id="rId1" Type="http://schemas.openxmlformats.org/officeDocument/2006/relationships/externalLinkPath" Target="file:///C:\Users\&#44608;&#50696;&#46993;\Downloads\2026.03.23_17.26.3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3.26_10.05.19.xlsx" TargetMode="External"/><Relationship Id="rId1" Type="http://schemas.openxmlformats.org/officeDocument/2006/relationships/externalLinkPath" Target="file:///C:\Users\&#44608;&#50696;&#46993;\Downloads\2026.03.26_10.05.19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4.28_15.18.27.xlsx" TargetMode="External"/><Relationship Id="rId1" Type="http://schemas.openxmlformats.org/officeDocument/2006/relationships/externalLinkPath" Target="file:///C:\Users\&#44608;&#50696;&#46993;\Downloads\2026.04.28_15.18.27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08_14.36.47.xlsx" TargetMode="External"/><Relationship Id="rId1" Type="http://schemas.openxmlformats.org/officeDocument/2006/relationships/externalLinkPath" Target="file:///C:\Users\&#44608;&#50696;&#46993;\Downloads\2026.05.08_14.36.47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13_13.11.25.xlsx" TargetMode="External"/><Relationship Id="rId1" Type="http://schemas.openxmlformats.org/officeDocument/2006/relationships/externalLinkPath" Target="file:///C:\Users\&#44608;&#50696;&#46993;\Downloads\2026.05.13_13.11.25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19_11.10.07.xlsx" TargetMode="External"/><Relationship Id="rId1" Type="http://schemas.openxmlformats.org/officeDocument/2006/relationships/externalLinkPath" Target="file:///C:\Users\&#44608;&#50696;&#46993;\Downloads\2026.05.19_11.10.07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20_08.54.49.xlsx" TargetMode="External"/><Relationship Id="rId1" Type="http://schemas.openxmlformats.org/officeDocument/2006/relationships/externalLinkPath" Target="file:///C:\Users\&#44608;&#50696;&#46993;\Downloads\2026.05.20_08.54.49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21_11.09.57.xlsx" TargetMode="External"/><Relationship Id="rId1" Type="http://schemas.openxmlformats.org/officeDocument/2006/relationships/externalLinkPath" Target="file:///C:\Users\&#44608;&#50696;&#46993;\Downloads\2026.05.21_11.09.57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608;&#50696;&#46993;\Downloads\2026.05.22_16.06.40.xlsx" TargetMode="External"/><Relationship Id="rId1" Type="http://schemas.openxmlformats.org/officeDocument/2006/relationships/externalLinkPath" Target="file:///C:\Users\&#44608;&#50696;&#46993;\Downloads\2026.05.22_16.06.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.49W (12월생판)"/>
      <sheetName val="26.02W (1월생판)"/>
      <sheetName val="제품코드"/>
    </sheetNames>
    <sheetDataSet>
      <sheetData sheetId="0"/>
      <sheetData sheetId="1">
        <row r="7">
          <cell r="G7">
            <v>1230692</v>
          </cell>
          <cell r="H7" t="str">
            <v>심양</v>
          </cell>
          <cell r="I7">
            <v>4776</v>
          </cell>
          <cell r="J7" t="str">
            <v>360`0</v>
          </cell>
          <cell r="K7">
            <v>3600</v>
          </cell>
          <cell r="L7">
            <v>0</v>
          </cell>
          <cell r="M7">
            <v>5193</v>
          </cell>
          <cell r="N7">
            <v>3150</v>
          </cell>
          <cell r="O7">
            <v>4150</v>
          </cell>
          <cell r="P7">
            <v>0</v>
          </cell>
          <cell r="Q7">
            <v>417</v>
          </cell>
          <cell r="R7" t="e">
            <v>#VALUE!</v>
          </cell>
          <cell r="S7">
            <v>550</v>
          </cell>
          <cell r="T7">
            <v>0</v>
          </cell>
          <cell r="U7" t="e">
            <v>#VALUE!</v>
          </cell>
          <cell r="AB7">
            <v>634</v>
          </cell>
          <cell r="AC7">
            <v>1936</v>
          </cell>
          <cell r="AD7">
            <v>1935</v>
          </cell>
          <cell r="AE7">
            <v>688</v>
          </cell>
          <cell r="AF7">
            <v>1000</v>
          </cell>
          <cell r="AG7">
            <v>1150</v>
          </cell>
          <cell r="AH7">
            <v>0</v>
          </cell>
          <cell r="AI7">
            <v>1000</v>
          </cell>
          <cell r="AJ7">
            <v>700</v>
          </cell>
          <cell r="AK7">
            <v>750</v>
          </cell>
          <cell r="AL7">
            <v>700</v>
          </cell>
          <cell r="AM7">
            <v>600</v>
          </cell>
          <cell r="AN7">
            <v>1400</v>
          </cell>
          <cell r="AP7">
            <v>7988</v>
          </cell>
        </row>
        <row r="8">
          <cell r="G8">
            <v>1233383</v>
          </cell>
          <cell r="H8" t="str">
            <v>심양</v>
          </cell>
          <cell r="I8">
            <v>79</v>
          </cell>
          <cell r="J8">
            <v>150</v>
          </cell>
          <cell r="K8">
            <v>150</v>
          </cell>
          <cell r="L8">
            <v>0</v>
          </cell>
          <cell r="M8">
            <v>113</v>
          </cell>
          <cell r="N8">
            <v>150</v>
          </cell>
          <cell r="O8">
            <v>154</v>
          </cell>
          <cell r="P8">
            <v>0</v>
          </cell>
          <cell r="Q8">
            <v>34</v>
          </cell>
          <cell r="R8">
            <v>0</v>
          </cell>
          <cell r="S8">
            <v>4</v>
          </cell>
          <cell r="T8">
            <v>0</v>
          </cell>
          <cell r="U8">
            <v>38</v>
          </cell>
          <cell r="AB8">
            <v>0</v>
          </cell>
          <cell r="AC8">
            <v>0</v>
          </cell>
          <cell r="AD8">
            <v>113</v>
          </cell>
          <cell r="AE8">
            <v>0</v>
          </cell>
          <cell r="AF8">
            <v>0</v>
          </cell>
          <cell r="AG8">
            <v>150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154</v>
          </cell>
          <cell r="AM8">
            <v>0</v>
          </cell>
          <cell r="AN8">
            <v>0</v>
          </cell>
          <cell r="AP8">
            <v>304</v>
          </cell>
        </row>
        <row r="9">
          <cell r="G9">
            <v>1220847</v>
          </cell>
          <cell r="H9" t="str">
            <v>심양</v>
          </cell>
          <cell r="I9">
            <v>2282</v>
          </cell>
          <cell r="J9">
            <v>0</v>
          </cell>
          <cell r="K9">
            <v>766</v>
          </cell>
          <cell r="L9">
            <v>0</v>
          </cell>
          <cell r="M9">
            <v>126</v>
          </cell>
          <cell r="N9">
            <v>2686</v>
          </cell>
          <cell r="O9">
            <v>1086</v>
          </cell>
          <cell r="P9">
            <v>0</v>
          </cell>
          <cell r="Q9">
            <v>-2156</v>
          </cell>
          <cell r="R9">
            <v>2686</v>
          </cell>
          <cell r="S9">
            <v>320</v>
          </cell>
          <cell r="T9">
            <v>0</v>
          </cell>
          <cell r="U9">
            <v>850</v>
          </cell>
          <cell r="AB9">
            <v>0</v>
          </cell>
          <cell r="AC9">
            <v>0</v>
          </cell>
          <cell r="AD9">
            <v>126</v>
          </cell>
          <cell r="AE9">
            <v>0</v>
          </cell>
          <cell r="AF9">
            <v>2556</v>
          </cell>
          <cell r="AG9">
            <v>0</v>
          </cell>
          <cell r="AH9">
            <v>130</v>
          </cell>
          <cell r="AI9">
            <v>0</v>
          </cell>
          <cell r="AJ9">
            <v>0</v>
          </cell>
          <cell r="AK9">
            <v>1086</v>
          </cell>
          <cell r="AL9">
            <v>0</v>
          </cell>
          <cell r="AM9">
            <v>0</v>
          </cell>
          <cell r="AN9">
            <v>0</v>
          </cell>
          <cell r="AP9">
            <v>3772</v>
          </cell>
        </row>
        <row r="10">
          <cell r="G10">
            <v>1230696</v>
          </cell>
          <cell r="H10" t="str">
            <v>심양</v>
          </cell>
          <cell r="I10">
            <v>772</v>
          </cell>
          <cell r="J10">
            <v>600</v>
          </cell>
          <cell r="K10">
            <v>600</v>
          </cell>
          <cell r="L10">
            <v>0</v>
          </cell>
          <cell r="M10">
            <v>360</v>
          </cell>
          <cell r="N10">
            <v>600</v>
          </cell>
          <cell r="O10">
            <v>400</v>
          </cell>
          <cell r="P10">
            <v>0</v>
          </cell>
          <cell r="Q10">
            <v>-412</v>
          </cell>
          <cell r="R10">
            <v>0</v>
          </cell>
          <cell r="S10">
            <v>-200</v>
          </cell>
          <cell r="T10">
            <v>0</v>
          </cell>
          <cell r="U10">
            <v>-612</v>
          </cell>
          <cell r="AB10">
            <v>144</v>
          </cell>
          <cell r="AC10">
            <v>0</v>
          </cell>
          <cell r="AD10">
            <v>192</v>
          </cell>
          <cell r="AE10">
            <v>24</v>
          </cell>
          <cell r="AF10">
            <v>200</v>
          </cell>
          <cell r="AG10">
            <v>200</v>
          </cell>
          <cell r="AH10">
            <v>200</v>
          </cell>
          <cell r="AI10">
            <v>0</v>
          </cell>
          <cell r="AJ10">
            <v>0</v>
          </cell>
          <cell r="AK10">
            <v>200</v>
          </cell>
          <cell r="AL10">
            <v>200</v>
          </cell>
          <cell r="AM10">
            <v>0</v>
          </cell>
          <cell r="AN10">
            <v>0</v>
          </cell>
          <cell r="AP10">
            <v>1024</v>
          </cell>
        </row>
        <row r="11">
          <cell r="G11">
            <v>1233587</v>
          </cell>
          <cell r="H11" t="str">
            <v>심양</v>
          </cell>
          <cell r="I11">
            <v>0</v>
          </cell>
          <cell r="J11">
            <v>0</v>
          </cell>
          <cell r="K11">
            <v>10</v>
          </cell>
          <cell r="L11">
            <v>0</v>
          </cell>
          <cell r="M11">
            <v>10</v>
          </cell>
          <cell r="N11">
            <v>10</v>
          </cell>
          <cell r="O11">
            <v>0</v>
          </cell>
          <cell r="P11">
            <v>0</v>
          </cell>
          <cell r="Q11">
            <v>10</v>
          </cell>
          <cell r="R11">
            <v>10</v>
          </cell>
          <cell r="S11">
            <v>-10</v>
          </cell>
          <cell r="T11">
            <v>0</v>
          </cell>
          <cell r="U11">
            <v>10</v>
          </cell>
          <cell r="AB11">
            <v>0</v>
          </cell>
          <cell r="AC11">
            <v>10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10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P11">
            <v>10</v>
          </cell>
        </row>
        <row r="12">
          <cell r="G12">
            <v>1221967</v>
          </cell>
          <cell r="H12" t="str">
            <v>심양</v>
          </cell>
          <cell r="I12">
            <v>1583</v>
          </cell>
          <cell r="J12">
            <v>658</v>
          </cell>
          <cell r="K12">
            <v>358</v>
          </cell>
          <cell r="L12">
            <v>0</v>
          </cell>
          <cell r="M12">
            <v>176</v>
          </cell>
          <cell r="N12">
            <v>70</v>
          </cell>
          <cell r="O12">
            <v>349</v>
          </cell>
          <cell r="P12">
            <v>0</v>
          </cell>
          <cell r="Q12">
            <v>-1407</v>
          </cell>
          <cell r="R12">
            <v>-588</v>
          </cell>
          <cell r="S12">
            <v>-9</v>
          </cell>
          <cell r="T12">
            <v>0</v>
          </cell>
          <cell r="U12">
            <v>-2004</v>
          </cell>
          <cell r="AB12">
            <v>0</v>
          </cell>
          <cell r="AC12">
            <v>176</v>
          </cell>
          <cell r="AD12">
            <v>0</v>
          </cell>
          <cell r="AE12">
            <v>0</v>
          </cell>
          <cell r="AF12">
            <v>20</v>
          </cell>
          <cell r="AG12">
            <v>50</v>
          </cell>
          <cell r="AH12">
            <v>0</v>
          </cell>
          <cell r="AI12">
            <v>0</v>
          </cell>
          <cell r="AJ12">
            <v>0</v>
          </cell>
          <cell r="AK12">
            <v>20</v>
          </cell>
          <cell r="AL12">
            <v>0</v>
          </cell>
          <cell r="AM12">
            <v>329</v>
          </cell>
          <cell r="AN12">
            <v>0</v>
          </cell>
          <cell r="AP12">
            <v>419</v>
          </cell>
        </row>
        <row r="13">
          <cell r="G13">
            <v>1237608</v>
          </cell>
          <cell r="H13" t="str">
            <v>심양</v>
          </cell>
          <cell r="I13">
            <v>350</v>
          </cell>
          <cell r="J13">
            <v>0</v>
          </cell>
          <cell r="K13">
            <v>0</v>
          </cell>
          <cell r="L13">
            <v>0</v>
          </cell>
          <cell r="M13">
            <v>804</v>
          </cell>
          <cell r="N13">
            <v>0</v>
          </cell>
          <cell r="O13">
            <v>0</v>
          </cell>
          <cell r="P13">
            <v>0</v>
          </cell>
          <cell r="Q13">
            <v>454</v>
          </cell>
          <cell r="R13">
            <v>0</v>
          </cell>
          <cell r="S13">
            <v>0</v>
          </cell>
          <cell r="T13">
            <v>0</v>
          </cell>
          <cell r="U13">
            <v>454</v>
          </cell>
          <cell r="AB13">
            <v>104</v>
          </cell>
          <cell r="AC13">
            <v>600</v>
          </cell>
          <cell r="AD13">
            <v>100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P13">
            <v>0</v>
          </cell>
        </row>
        <row r="14">
          <cell r="G14">
            <v>1237551</v>
          </cell>
          <cell r="H14" t="str">
            <v>심양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AP14">
            <v>0</v>
          </cell>
        </row>
        <row r="15">
          <cell r="G15">
            <v>1231090</v>
          </cell>
          <cell r="H15" t="str">
            <v>심양</v>
          </cell>
          <cell r="I15">
            <v>1810</v>
          </cell>
          <cell r="J15">
            <v>1461</v>
          </cell>
          <cell r="K15">
            <v>1261</v>
          </cell>
          <cell r="L15">
            <v>0</v>
          </cell>
          <cell r="M15">
            <v>1033</v>
          </cell>
          <cell r="N15">
            <v>1442</v>
          </cell>
          <cell r="O15">
            <v>1332</v>
          </cell>
          <cell r="P15">
            <v>0</v>
          </cell>
          <cell r="Q15">
            <v>-777</v>
          </cell>
          <cell r="R15">
            <v>-19</v>
          </cell>
          <cell r="S15">
            <v>71</v>
          </cell>
          <cell r="T15">
            <v>0</v>
          </cell>
          <cell r="U15">
            <v>-725</v>
          </cell>
          <cell r="AB15">
            <v>0</v>
          </cell>
          <cell r="AC15">
            <v>0</v>
          </cell>
          <cell r="AD15">
            <v>200</v>
          </cell>
          <cell r="AE15">
            <v>833</v>
          </cell>
          <cell r="AF15">
            <v>1442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300</v>
          </cell>
          <cell r="AL15">
            <v>0</v>
          </cell>
          <cell r="AM15">
            <v>1032</v>
          </cell>
          <cell r="AN15">
            <v>0</v>
          </cell>
          <cell r="AP15">
            <v>3607</v>
          </cell>
        </row>
        <row r="16">
          <cell r="G16">
            <v>1229776</v>
          </cell>
          <cell r="H16" t="str">
            <v>심양</v>
          </cell>
          <cell r="I16">
            <v>72</v>
          </cell>
          <cell r="J16">
            <v>200</v>
          </cell>
          <cell r="K16">
            <v>90</v>
          </cell>
          <cell r="L16">
            <v>0</v>
          </cell>
          <cell r="M16">
            <v>236</v>
          </cell>
          <cell r="N16">
            <v>0</v>
          </cell>
          <cell r="O16">
            <v>100</v>
          </cell>
          <cell r="P16">
            <v>0</v>
          </cell>
          <cell r="Q16">
            <v>164</v>
          </cell>
          <cell r="R16">
            <v>-200</v>
          </cell>
          <cell r="S16">
            <v>10</v>
          </cell>
          <cell r="T16">
            <v>0</v>
          </cell>
          <cell r="U16">
            <v>-26</v>
          </cell>
          <cell r="AB16">
            <v>36</v>
          </cell>
          <cell r="AC16">
            <v>0</v>
          </cell>
          <cell r="AD16">
            <v>200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100</v>
          </cell>
          <cell r="AN16">
            <v>0</v>
          </cell>
          <cell r="AP16">
            <v>100</v>
          </cell>
        </row>
        <row r="17">
          <cell r="G17">
            <v>1219022</v>
          </cell>
          <cell r="H17" t="str">
            <v>심양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AC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N17">
            <v>0</v>
          </cell>
          <cell r="AP17">
            <v>0</v>
          </cell>
        </row>
        <row r="18">
          <cell r="G18">
            <v>1221318</v>
          </cell>
          <cell r="H18" t="str">
            <v>심양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AP18">
            <v>0</v>
          </cell>
        </row>
        <row r="19">
          <cell r="G19">
            <v>1231578</v>
          </cell>
          <cell r="H19" t="str">
            <v>심양</v>
          </cell>
          <cell r="I19">
            <v>448</v>
          </cell>
          <cell r="J19">
            <v>600</v>
          </cell>
          <cell r="K19">
            <v>800</v>
          </cell>
          <cell r="L19">
            <v>0</v>
          </cell>
          <cell r="M19">
            <v>201</v>
          </cell>
          <cell r="N19">
            <v>800</v>
          </cell>
          <cell r="O19">
            <v>700</v>
          </cell>
          <cell r="P19">
            <v>0</v>
          </cell>
          <cell r="Q19">
            <v>-247</v>
          </cell>
          <cell r="R19">
            <v>200</v>
          </cell>
          <cell r="S19">
            <v>-100</v>
          </cell>
          <cell r="T19">
            <v>0</v>
          </cell>
          <cell r="U19">
            <v>-147</v>
          </cell>
          <cell r="AB19">
            <v>101</v>
          </cell>
          <cell r="AC19">
            <v>0</v>
          </cell>
          <cell r="AD19">
            <v>100</v>
          </cell>
          <cell r="AE19">
            <v>0</v>
          </cell>
          <cell r="AF19">
            <v>200</v>
          </cell>
          <cell r="AG19">
            <v>400</v>
          </cell>
          <cell r="AH19">
            <v>0</v>
          </cell>
          <cell r="AI19">
            <v>200</v>
          </cell>
          <cell r="AJ19">
            <v>0</v>
          </cell>
          <cell r="AK19">
            <v>300</v>
          </cell>
          <cell r="AL19">
            <v>200</v>
          </cell>
          <cell r="AM19">
            <v>200</v>
          </cell>
          <cell r="AN19">
            <v>0</v>
          </cell>
          <cell r="AP19">
            <v>1500</v>
          </cell>
        </row>
        <row r="20">
          <cell r="G20">
            <v>1232289</v>
          </cell>
          <cell r="H20" t="str">
            <v>심양</v>
          </cell>
          <cell r="I20">
            <v>500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-500</v>
          </cell>
          <cell r="R20">
            <v>0</v>
          </cell>
          <cell r="S20">
            <v>0</v>
          </cell>
          <cell r="T20">
            <v>0</v>
          </cell>
          <cell r="U20">
            <v>-500</v>
          </cell>
          <cell r="AP20">
            <v>0</v>
          </cell>
        </row>
        <row r="21">
          <cell r="G21">
            <v>1232982</v>
          </cell>
          <cell r="H21" t="str">
            <v>심양</v>
          </cell>
          <cell r="I21">
            <v>460</v>
          </cell>
          <cell r="J21">
            <v>0</v>
          </cell>
          <cell r="K21">
            <v>0</v>
          </cell>
          <cell r="L21">
            <v>0</v>
          </cell>
          <cell r="M21">
            <v>337</v>
          </cell>
          <cell r="N21">
            <v>0</v>
          </cell>
          <cell r="O21">
            <v>0</v>
          </cell>
          <cell r="P21">
            <v>0</v>
          </cell>
          <cell r="Q21">
            <v>-123</v>
          </cell>
          <cell r="R21">
            <v>0</v>
          </cell>
          <cell r="S21">
            <v>0</v>
          </cell>
          <cell r="T21">
            <v>0</v>
          </cell>
          <cell r="U21">
            <v>-123</v>
          </cell>
          <cell r="AB21">
            <v>12</v>
          </cell>
          <cell r="AC21">
            <v>0</v>
          </cell>
          <cell r="AD21">
            <v>0</v>
          </cell>
          <cell r="AE21">
            <v>325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325</v>
          </cell>
        </row>
        <row r="22">
          <cell r="G22">
            <v>1222565</v>
          </cell>
          <cell r="H22" t="str">
            <v>심양</v>
          </cell>
          <cell r="I22">
            <v>350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-350</v>
          </cell>
          <cell r="R22">
            <v>0</v>
          </cell>
          <cell r="S22">
            <v>0</v>
          </cell>
          <cell r="T22">
            <v>0</v>
          </cell>
          <cell r="U22">
            <v>-350</v>
          </cell>
          <cell r="AP22">
            <v>0</v>
          </cell>
        </row>
        <row r="23">
          <cell r="G23">
            <v>1234614</v>
          </cell>
          <cell r="H23" t="str">
            <v>심양</v>
          </cell>
          <cell r="I23">
            <v>692</v>
          </cell>
          <cell r="J23">
            <v>1224</v>
          </cell>
          <cell r="K23">
            <v>1224</v>
          </cell>
          <cell r="L23">
            <v>0</v>
          </cell>
          <cell r="M23">
            <v>1680</v>
          </cell>
          <cell r="N23">
            <v>0</v>
          </cell>
          <cell r="O23">
            <v>1100</v>
          </cell>
          <cell r="P23">
            <v>0</v>
          </cell>
          <cell r="Q23">
            <v>988</v>
          </cell>
          <cell r="R23">
            <v>-1224</v>
          </cell>
          <cell r="S23">
            <v>-124</v>
          </cell>
          <cell r="T23">
            <v>0</v>
          </cell>
          <cell r="U23">
            <v>-360</v>
          </cell>
          <cell r="AB23">
            <v>396</v>
          </cell>
          <cell r="AC23">
            <v>402</v>
          </cell>
          <cell r="AD23">
            <v>882</v>
          </cell>
          <cell r="AI23">
            <v>0</v>
          </cell>
          <cell r="AJ23">
            <v>0</v>
          </cell>
          <cell r="AK23">
            <v>400</v>
          </cell>
          <cell r="AL23">
            <v>400</v>
          </cell>
          <cell r="AM23">
            <v>0</v>
          </cell>
          <cell r="AN23">
            <v>300</v>
          </cell>
          <cell r="AP23">
            <v>1100</v>
          </cell>
        </row>
        <row r="24">
          <cell r="G24">
            <v>1232528</v>
          </cell>
          <cell r="H24" t="str">
            <v>심양</v>
          </cell>
          <cell r="I24">
            <v>5512</v>
          </cell>
          <cell r="J24">
            <v>5024</v>
          </cell>
          <cell r="K24">
            <v>6149</v>
          </cell>
          <cell r="L24">
            <v>0</v>
          </cell>
          <cell r="M24">
            <v>20688</v>
          </cell>
          <cell r="N24">
            <v>5223</v>
          </cell>
          <cell r="O24">
            <v>10238</v>
          </cell>
          <cell r="P24">
            <v>0</v>
          </cell>
          <cell r="Q24">
            <v>15176</v>
          </cell>
          <cell r="R24">
            <v>199</v>
          </cell>
          <cell r="S24">
            <v>4089</v>
          </cell>
          <cell r="T24">
            <v>0</v>
          </cell>
          <cell r="U24">
            <v>19464</v>
          </cell>
          <cell r="AB24">
            <v>15480</v>
          </cell>
          <cell r="AC24">
            <v>2037</v>
          </cell>
          <cell r="AD24">
            <v>147</v>
          </cell>
          <cell r="AE24">
            <v>3024</v>
          </cell>
          <cell r="AF24">
            <v>5160</v>
          </cell>
          <cell r="AG24">
            <v>63</v>
          </cell>
          <cell r="AH24">
            <v>0</v>
          </cell>
          <cell r="AI24">
            <v>0</v>
          </cell>
          <cell r="AJ24">
            <v>4158</v>
          </cell>
          <cell r="AK24">
            <v>6080</v>
          </cell>
          <cell r="AL24">
            <v>0</v>
          </cell>
          <cell r="AM24">
            <v>0</v>
          </cell>
          <cell r="AN24">
            <v>0</v>
          </cell>
          <cell r="AP24">
            <v>18485</v>
          </cell>
        </row>
        <row r="25">
          <cell r="H25" t="str">
            <v>심양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14688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e">
            <v>#REF!</v>
          </cell>
          <cell r="U25">
            <v>0</v>
          </cell>
          <cell r="V25">
            <v>0</v>
          </cell>
          <cell r="W25" t="e">
            <v>#REF!</v>
          </cell>
          <cell r="X25" t="e">
            <v>#REF!</v>
          </cell>
          <cell r="Y25">
            <v>0</v>
          </cell>
          <cell r="Z25" t="e">
            <v>#REF!</v>
          </cell>
          <cell r="AA25">
            <v>0</v>
          </cell>
          <cell r="AB25">
            <v>14688</v>
          </cell>
          <cell r="AE25">
            <v>0</v>
          </cell>
          <cell r="AP25">
            <v>0</v>
          </cell>
        </row>
        <row r="26">
          <cell r="G26">
            <v>1236619</v>
          </cell>
          <cell r="H26" t="str">
            <v>심양</v>
          </cell>
          <cell r="I26">
            <v>0</v>
          </cell>
          <cell r="J26">
            <v>0</v>
          </cell>
          <cell r="K26">
            <v>864</v>
          </cell>
          <cell r="L26">
            <v>0</v>
          </cell>
          <cell r="M26">
            <v>11</v>
          </cell>
          <cell r="N26">
            <v>0</v>
          </cell>
          <cell r="O26">
            <v>180</v>
          </cell>
          <cell r="P26">
            <v>0</v>
          </cell>
          <cell r="Q26">
            <v>11</v>
          </cell>
          <cell r="R26">
            <v>0</v>
          </cell>
          <cell r="S26">
            <v>-684</v>
          </cell>
          <cell r="T26">
            <v>0</v>
          </cell>
          <cell r="U26">
            <v>-673</v>
          </cell>
          <cell r="AB26">
            <v>1</v>
          </cell>
          <cell r="AC26">
            <v>0</v>
          </cell>
          <cell r="AD26">
            <v>10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180</v>
          </cell>
          <cell r="AM26">
            <v>0</v>
          </cell>
          <cell r="AN26">
            <v>0</v>
          </cell>
          <cell r="AP26">
            <v>180</v>
          </cell>
        </row>
        <row r="27">
          <cell r="G27">
            <v>1236600</v>
          </cell>
          <cell r="H27" t="str">
            <v>심양</v>
          </cell>
          <cell r="I27">
            <v>827</v>
          </cell>
          <cell r="J27">
            <v>836</v>
          </cell>
          <cell r="K27">
            <v>874</v>
          </cell>
          <cell r="L27">
            <v>0</v>
          </cell>
          <cell r="M27">
            <v>748</v>
          </cell>
          <cell r="N27">
            <v>939</v>
          </cell>
          <cell r="O27">
            <v>878</v>
          </cell>
          <cell r="P27">
            <v>0</v>
          </cell>
          <cell r="Q27">
            <v>-79</v>
          </cell>
          <cell r="R27">
            <v>103</v>
          </cell>
          <cell r="S27">
            <v>4</v>
          </cell>
          <cell r="T27">
            <v>0</v>
          </cell>
          <cell r="U27">
            <v>28</v>
          </cell>
          <cell r="AB27">
            <v>708</v>
          </cell>
          <cell r="AC27">
            <v>40</v>
          </cell>
          <cell r="AD27">
            <v>0</v>
          </cell>
          <cell r="AE27">
            <v>0</v>
          </cell>
          <cell r="AF27">
            <v>0</v>
          </cell>
          <cell r="AG27">
            <v>874</v>
          </cell>
          <cell r="AH27">
            <v>65</v>
          </cell>
          <cell r="AI27">
            <v>0</v>
          </cell>
          <cell r="AJ27">
            <v>0</v>
          </cell>
          <cell r="AK27">
            <v>0</v>
          </cell>
          <cell r="AL27">
            <v>878</v>
          </cell>
          <cell r="AM27">
            <v>0</v>
          </cell>
          <cell r="AN27">
            <v>0</v>
          </cell>
          <cell r="AP27">
            <v>1817</v>
          </cell>
        </row>
        <row r="28">
          <cell r="G28">
            <v>1236601</v>
          </cell>
          <cell r="H28" t="str">
            <v>심양</v>
          </cell>
          <cell r="I28">
            <v>196</v>
          </cell>
          <cell r="J28">
            <v>111</v>
          </cell>
          <cell r="K28">
            <v>106</v>
          </cell>
          <cell r="L28">
            <v>0</v>
          </cell>
          <cell r="M28">
            <v>74</v>
          </cell>
          <cell r="N28">
            <v>106</v>
          </cell>
          <cell r="O28">
            <v>112</v>
          </cell>
          <cell r="P28">
            <v>0</v>
          </cell>
          <cell r="Q28">
            <v>-122</v>
          </cell>
          <cell r="R28">
            <v>-5</v>
          </cell>
          <cell r="S28">
            <v>6</v>
          </cell>
          <cell r="T28">
            <v>0</v>
          </cell>
          <cell r="U28">
            <v>-121</v>
          </cell>
          <cell r="AB28">
            <v>0</v>
          </cell>
          <cell r="AC28">
            <v>74</v>
          </cell>
          <cell r="AD28">
            <v>0</v>
          </cell>
          <cell r="AE28">
            <v>0</v>
          </cell>
          <cell r="AF28">
            <v>0</v>
          </cell>
          <cell r="AG28">
            <v>106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112</v>
          </cell>
          <cell r="AM28">
            <v>0</v>
          </cell>
          <cell r="AN28">
            <v>0</v>
          </cell>
          <cell r="AP28">
            <v>218</v>
          </cell>
        </row>
        <row r="29">
          <cell r="G29">
            <v>1237210</v>
          </cell>
          <cell r="H29" t="str">
            <v>심양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200</v>
          </cell>
          <cell r="O29">
            <v>160</v>
          </cell>
          <cell r="P29">
            <v>0</v>
          </cell>
          <cell r="Q29">
            <v>0</v>
          </cell>
          <cell r="R29">
            <v>200</v>
          </cell>
          <cell r="S29">
            <v>160</v>
          </cell>
          <cell r="T29">
            <v>0</v>
          </cell>
          <cell r="U29">
            <v>360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200</v>
          </cell>
          <cell r="AJ29">
            <v>0</v>
          </cell>
          <cell r="AK29">
            <v>0</v>
          </cell>
          <cell r="AL29">
            <v>160</v>
          </cell>
          <cell r="AM29">
            <v>0</v>
          </cell>
          <cell r="AN29">
            <v>0</v>
          </cell>
          <cell r="AP29">
            <v>360</v>
          </cell>
        </row>
        <row r="30">
          <cell r="G30">
            <v>1236488</v>
          </cell>
          <cell r="H30" t="str">
            <v>심양</v>
          </cell>
          <cell r="I30">
            <v>4120</v>
          </cell>
          <cell r="J30">
            <v>3900</v>
          </cell>
          <cell r="K30">
            <v>4100</v>
          </cell>
          <cell r="L30">
            <v>0</v>
          </cell>
          <cell r="M30">
            <v>3056</v>
          </cell>
          <cell r="N30">
            <v>2900</v>
          </cell>
          <cell r="O30">
            <v>5900</v>
          </cell>
          <cell r="P30">
            <v>0</v>
          </cell>
          <cell r="Q30">
            <v>-1064</v>
          </cell>
          <cell r="R30">
            <v>-1000</v>
          </cell>
          <cell r="S30">
            <v>1800</v>
          </cell>
          <cell r="T30">
            <v>0</v>
          </cell>
          <cell r="U30">
            <v>-264</v>
          </cell>
          <cell r="AB30">
            <v>576</v>
          </cell>
          <cell r="AC30">
            <v>1536</v>
          </cell>
          <cell r="AD30">
            <v>832</v>
          </cell>
          <cell r="AE30">
            <v>112</v>
          </cell>
          <cell r="AF30">
            <v>800</v>
          </cell>
          <cell r="AG30">
            <v>800</v>
          </cell>
          <cell r="AH30">
            <v>500</v>
          </cell>
          <cell r="AI30">
            <v>800</v>
          </cell>
          <cell r="AJ30">
            <v>1200</v>
          </cell>
          <cell r="AK30">
            <v>1300</v>
          </cell>
          <cell r="AL30">
            <v>1200</v>
          </cell>
          <cell r="AM30">
            <v>1300</v>
          </cell>
          <cell r="AN30">
            <v>900</v>
          </cell>
          <cell r="AP30">
            <v>8912</v>
          </cell>
        </row>
        <row r="31">
          <cell r="G31">
            <v>1236534</v>
          </cell>
          <cell r="H31" t="str">
            <v>심양</v>
          </cell>
          <cell r="I31">
            <v>296</v>
          </cell>
          <cell r="J31">
            <v>1100</v>
          </cell>
          <cell r="K31">
            <v>900</v>
          </cell>
          <cell r="L31">
            <v>0</v>
          </cell>
          <cell r="M31">
            <v>413</v>
          </cell>
          <cell r="N31">
            <v>800</v>
          </cell>
          <cell r="O31">
            <v>1300</v>
          </cell>
          <cell r="P31">
            <v>0</v>
          </cell>
          <cell r="Q31">
            <v>117</v>
          </cell>
          <cell r="R31">
            <v>-300</v>
          </cell>
          <cell r="S31">
            <v>400</v>
          </cell>
          <cell r="T31">
            <v>0</v>
          </cell>
          <cell r="U31">
            <v>217</v>
          </cell>
          <cell r="AB31">
            <v>0</v>
          </cell>
          <cell r="AC31">
            <v>389</v>
          </cell>
          <cell r="AD31">
            <v>0</v>
          </cell>
          <cell r="AE31">
            <v>24</v>
          </cell>
          <cell r="AF31">
            <v>300</v>
          </cell>
          <cell r="AG31">
            <v>200</v>
          </cell>
          <cell r="AH31">
            <v>0</v>
          </cell>
          <cell r="AI31">
            <v>300</v>
          </cell>
          <cell r="AJ31">
            <v>200</v>
          </cell>
          <cell r="AK31">
            <v>300</v>
          </cell>
          <cell r="AL31">
            <v>300</v>
          </cell>
          <cell r="AM31">
            <v>300</v>
          </cell>
          <cell r="AN31">
            <v>200</v>
          </cell>
          <cell r="AP31">
            <v>2124</v>
          </cell>
        </row>
        <row r="32">
          <cell r="G32">
            <v>1237468</v>
          </cell>
          <cell r="H32" t="str">
            <v>심양</v>
          </cell>
          <cell r="I32">
            <v>269</v>
          </cell>
          <cell r="J32">
            <v>86</v>
          </cell>
          <cell r="K32">
            <v>84</v>
          </cell>
          <cell r="L32">
            <v>0</v>
          </cell>
          <cell r="M32">
            <v>279</v>
          </cell>
          <cell r="N32">
            <v>276</v>
          </cell>
          <cell r="O32">
            <v>278</v>
          </cell>
          <cell r="P32">
            <v>0</v>
          </cell>
          <cell r="Q32">
            <v>10</v>
          </cell>
          <cell r="R32">
            <v>190</v>
          </cell>
          <cell r="S32">
            <v>194</v>
          </cell>
          <cell r="T32">
            <v>0</v>
          </cell>
          <cell r="U32">
            <v>394</v>
          </cell>
          <cell r="AB32">
            <v>0</v>
          </cell>
          <cell r="AC32">
            <v>87</v>
          </cell>
          <cell r="AD32">
            <v>0</v>
          </cell>
          <cell r="AE32">
            <v>192</v>
          </cell>
          <cell r="AF32">
            <v>0</v>
          </cell>
          <cell r="AG32">
            <v>276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278</v>
          </cell>
          <cell r="AM32">
            <v>0</v>
          </cell>
          <cell r="AN32">
            <v>0</v>
          </cell>
          <cell r="AP32">
            <v>746</v>
          </cell>
        </row>
        <row r="33">
          <cell r="G33">
            <v>1241387</v>
          </cell>
          <cell r="H33" t="str">
            <v>심양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151</v>
          </cell>
          <cell r="O33">
            <v>0</v>
          </cell>
          <cell r="P33">
            <v>0</v>
          </cell>
          <cell r="Q33">
            <v>0</v>
          </cell>
          <cell r="R33">
            <v>151</v>
          </cell>
          <cell r="S33">
            <v>0</v>
          </cell>
          <cell r="T33">
            <v>0</v>
          </cell>
          <cell r="U33">
            <v>151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151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P33">
            <v>151</v>
          </cell>
        </row>
        <row r="34">
          <cell r="G34">
            <v>1238128</v>
          </cell>
          <cell r="H34" t="str">
            <v>심양</v>
          </cell>
          <cell r="I34">
            <v>14448</v>
          </cell>
          <cell r="J34">
            <v>8384</v>
          </cell>
          <cell r="K34">
            <v>3240</v>
          </cell>
          <cell r="L34">
            <v>0</v>
          </cell>
          <cell r="M34">
            <v>13992</v>
          </cell>
          <cell r="N34">
            <v>3160</v>
          </cell>
          <cell r="O34">
            <v>6080</v>
          </cell>
          <cell r="P34">
            <v>0</v>
          </cell>
          <cell r="Q34">
            <v>-456</v>
          </cell>
          <cell r="R34">
            <v>-5224</v>
          </cell>
          <cell r="S34">
            <v>2840</v>
          </cell>
          <cell r="T34">
            <v>0</v>
          </cell>
          <cell r="U34">
            <v>-2840</v>
          </cell>
          <cell r="AB34">
            <v>1607</v>
          </cell>
          <cell r="AC34">
            <v>3210</v>
          </cell>
          <cell r="AD34">
            <v>2262</v>
          </cell>
          <cell r="AE34">
            <v>6913</v>
          </cell>
          <cell r="AF34">
            <v>0</v>
          </cell>
          <cell r="AG34">
            <v>0</v>
          </cell>
          <cell r="AH34">
            <v>0</v>
          </cell>
          <cell r="AI34">
            <v>3160</v>
          </cell>
          <cell r="AJ34">
            <v>0</v>
          </cell>
          <cell r="AK34">
            <v>0</v>
          </cell>
          <cell r="AL34">
            <v>0</v>
          </cell>
          <cell r="AM34">
            <v>5824</v>
          </cell>
          <cell r="AN34">
            <v>256</v>
          </cell>
          <cell r="AP34">
            <v>16153</v>
          </cell>
        </row>
        <row r="35">
          <cell r="G35">
            <v>1226461</v>
          </cell>
          <cell r="H35" t="str">
            <v>심양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AP35">
            <v>0</v>
          </cell>
        </row>
        <row r="36">
          <cell r="G36">
            <v>1238609</v>
          </cell>
          <cell r="H36" t="str">
            <v>심양</v>
          </cell>
          <cell r="I36">
            <v>0</v>
          </cell>
          <cell r="J36">
            <v>30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-30</v>
          </cell>
          <cell r="S36">
            <v>0</v>
          </cell>
          <cell r="T36">
            <v>0</v>
          </cell>
          <cell r="U36">
            <v>-30</v>
          </cell>
          <cell r="AP36">
            <v>0</v>
          </cell>
        </row>
        <row r="37">
          <cell r="G37">
            <v>1234905</v>
          </cell>
          <cell r="H37" t="str">
            <v>심양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819</v>
          </cell>
          <cell r="N37">
            <v>1380</v>
          </cell>
          <cell r="O37">
            <v>3141</v>
          </cell>
          <cell r="P37">
            <v>0</v>
          </cell>
          <cell r="Q37">
            <v>819</v>
          </cell>
          <cell r="R37">
            <v>1380</v>
          </cell>
          <cell r="S37">
            <v>3141</v>
          </cell>
          <cell r="T37">
            <v>0</v>
          </cell>
          <cell r="U37">
            <v>5340</v>
          </cell>
          <cell r="AB37">
            <v>819</v>
          </cell>
          <cell r="AC37">
            <v>0</v>
          </cell>
          <cell r="AD37">
            <v>0</v>
          </cell>
          <cell r="AE37">
            <v>0</v>
          </cell>
          <cell r="AF37">
            <v>530</v>
          </cell>
          <cell r="AG37">
            <v>700</v>
          </cell>
          <cell r="AH37">
            <v>150</v>
          </cell>
          <cell r="AI37">
            <v>0</v>
          </cell>
          <cell r="AJ37">
            <v>150</v>
          </cell>
          <cell r="AK37">
            <v>800</v>
          </cell>
          <cell r="AL37">
            <v>1041</v>
          </cell>
          <cell r="AM37">
            <v>650</v>
          </cell>
          <cell r="AN37">
            <v>500</v>
          </cell>
          <cell r="AP37">
            <v>4521</v>
          </cell>
        </row>
        <row r="38">
          <cell r="G38">
            <v>1227306</v>
          </cell>
          <cell r="H38" t="str">
            <v>심양</v>
          </cell>
          <cell r="I38">
            <v>1583</v>
          </cell>
          <cell r="J38">
            <v>600</v>
          </cell>
          <cell r="K38">
            <v>1280</v>
          </cell>
          <cell r="L38">
            <v>0</v>
          </cell>
          <cell r="M38">
            <v>2962</v>
          </cell>
          <cell r="N38">
            <v>0</v>
          </cell>
          <cell r="O38">
            <v>1370</v>
          </cell>
          <cell r="P38">
            <v>0</v>
          </cell>
          <cell r="Q38">
            <v>1379</v>
          </cell>
          <cell r="R38">
            <v>-600</v>
          </cell>
          <cell r="S38">
            <v>90</v>
          </cell>
          <cell r="T38">
            <v>0</v>
          </cell>
          <cell r="U38">
            <v>869</v>
          </cell>
          <cell r="AB38">
            <v>1053</v>
          </cell>
          <cell r="AC38">
            <v>0</v>
          </cell>
          <cell r="AD38">
            <v>1509</v>
          </cell>
          <cell r="AE38">
            <v>400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220</v>
          </cell>
          <cell r="AK38">
            <v>0</v>
          </cell>
          <cell r="AL38">
            <v>700</v>
          </cell>
          <cell r="AM38">
            <v>250</v>
          </cell>
          <cell r="AN38">
            <v>200</v>
          </cell>
          <cell r="AP38">
            <v>1770</v>
          </cell>
        </row>
        <row r="39">
          <cell r="G39">
            <v>1229050</v>
          </cell>
          <cell r="H39" t="str">
            <v>심양</v>
          </cell>
          <cell r="I39">
            <v>365</v>
          </cell>
          <cell r="J39">
            <v>190</v>
          </cell>
          <cell r="K39">
            <v>185</v>
          </cell>
          <cell r="L39">
            <v>0</v>
          </cell>
          <cell r="M39">
            <v>165</v>
          </cell>
          <cell r="N39">
            <v>185</v>
          </cell>
          <cell r="O39">
            <v>200</v>
          </cell>
          <cell r="P39">
            <v>0</v>
          </cell>
          <cell r="Q39">
            <v>-200</v>
          </cell>
          <cell r="R39">
            <v>-5</v>
          </cell>
          <cell r="S39">
            <v>15</v>
          </cell>
          <cell r="T39">
            <v>0</v>
          </cell>
          <cell r="U39">
            <v>-190</v>
          </cell>
          <cell r="AB39">
            <v>0</v>
          </cell>
          <cell r="AC39">
            <v>0</v>
          </cell>
          <cell r="AD39">
            <v>0</v>
          </cell>
          <cell r="AE39">
            <v>165</v>
          </cell>
          <cell r="AF39">
            <v>0</v>
          </cell>
          <cell r="AG39">
            <v>0</v>
          </cell>
          <cell r="AH39">
            <v>0</v>
          </cell>
          <cell r="AI39">
            <v>185</v>
          </cell>
          <cell r="AJ39">
            <v>0</v>
          </cell>
          <cell r="AK39">
            <v>0</v>
          </cell>
          <cell r="AL39">
            <v>0</v>
          </cell>
          <cell r="AM39">
            <v>200</v>
          </cell>
          <cell r="AN39">
            <v>0</v>
          </cell>
          <cell r="AP39">
            <v>550</v>
          </cell>
        </row>
        <row r="40">
          <cell r="G40">
            <v>1229865</v>
          </cell>
          <cell r="H40" t="str">
            <v>심양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</row>
        <row r="41">
          <cell r="G41">
            <v>1227359</v>
          </cell>
          <cell r="H41" t="str">
            <v>심양</v>
          </cell>
          <cell r="I41">
            <v>437</v>
          </cell>
          <cell r="J41">
            <v>209</v>
          </cell>
          <cell r="K41">
            <v>227</v>
          </cell>
          <cell r="L41">
            <v>0</v>
          </cell>
          <cell r="M41">
            <v>86</v>
          </cell>
          <cell r="N41">
            <v>20</v>
          </cell>
          <cell r="O41">
            <v>0</v>
          </cell>
          <cell r="P41">
            <v>0</v>
          </cell>
          <cell r="Q41">
            <v>-351</v>
          </cell>
          <cell r="R41">
            <v>-189</v>
          </cell>
          <cell r="S41">
            <v>-227</v>
          </cell>
          <cell r="T41">
            <v>0</v>
          </cell>
          <cell r="U41">
            <v>-767</v>
          </cell>
          <cell r="AB41">
            <v>86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20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>
            <v>20</v>
          </cell>
        </row>
        <row r="42">
          <cell r="G42">
            <v>1237386</v>
          </cell>
          <cell r="H42" t="str">
            <v>심양</v>
          </cell>
          <cell r="I42">
            <v>167</v>
          </cell>
          <cell r="J42">
            <v>0</v>
          </cell>
          <cell r="K42">
            <v>1275</v>
          </cell>
          <cell r="L42">
            <v>0</v>
          </cell>
          <cell r="M42">
            <v>0</v>
          </cell>
          <cell r="N42">
            <v>0</v>
          </cell>
          <cell r="O42">
            <v>255</v>
          </cell>
          <cell r="P42">
            <v>0</v>
          </cell>
          <cell r="Q42">
            <v>-167</v>
          </cell>
          <cell r="R42">
            <v>0</v>
          </cell>
          <cell r="S42">
            <v>-1020</v>
          </cell>
          <cell r="T42">
            <v>0</v>
          </cell>
          <cell r="U42">
            <v>-1187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L42">
            <v>255</v>
          </cell>
          <cell r="AM42">
            <v>0</v>
          </cell>
          <cell r="AN42">
            <v>0</v>
          </cell>
          <cell r="AP42">
            <v>255</v>
          </cell>
        </row>
        <row r="43">
          <cell r="G43">
            <v>1238453</v>
          </cell>
          <cell r="H43" t="str">
            <v>심양</v>
          </cell>
          <cell r="I43">
            <v>134</v>
          </cell>
          <cell r="J43">
            <v>234</v>
          </cell>
          <cell r="K43">
            <v>262</v>
          </cell>
          <cell r="L43">
            <v>0</v>
          </cell>
          <cell r="M43">
            <v>757</v>
          </cell>
          <cell r="N43">
            <v>262</v>
          </cell>
          <cell r="O43">
            <v>248</v>
          </cell>
          <cell r="P43">
            <v>0</v>
          </cell>
          <cell r="Q43">
            <v>623</v>
          </cell>
          <cell r="R43">
            <v>28</v>
          </cell>
          <cell r="S43">
            <v>-14</v>
          </cell>
          <cell r="T43">
            <v>0</v>
          </cell>
          <cell r="U43">
            <v>637</v>
          </cell>
          <cell r="AB43">
            <v>0</v>
          </cell>
          <cell r="AC43">
            <v>330</v>
          </cell>
          <cell r="AD43">
            <v>387</v>
          </cell>
          <cell r="AE43">
            <v>40</v>
          </cell>
          <cell r="AF43">
            <v>0</v>
          </cell>
          <cell r="AG43">
            <v>262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248</v>
          </cell>
          <cell r="AM43">
            <v>0</v>
          </cell>
          <cell r="AN43">
            <v>0</v>
          </cell>
          <cell r="AP43">
            <v>550</v>
          </cell>
        </row>
        <row r="44">
          <cell r="G44">
            <v>1235958</v>
          </cell>
          <cell r="H44" t="str">
            <v>심양</v>
          </cell>
          <cell r="I44">
            <v>0</v>
          </cell>
          <cell r="J44">
            <v>0</v>
          </cell>
          <cell r="K44">
            <v>5</v>
          </cell>
          <cell r="L44">
            <v>0</v>
          </cell>
          <cell r="M44">
            <v>12</v>
          </cell>
          <cell r="N44">
            <v>5</v>
          </cell>
          <cell r="O44">
            <v>0</v>
          </cell>
          <cell r="P44">
            <v>0</v>
          </cell>
          <cell r="Q44">
            <v>12</v>
          </cell>
          <cell r="R44">
            <v>5</v>
          </cell>
          <cell r="S44">
            <v>-5</v>
          </cell>
          <cell r="T44">
            <v>0</v>
          </cell>
          <cell r="U44">
            <v>12</v>
          </cell>
          <cell r="AB44">
            <v>12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5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P44">
            <v>5</v>
          </cell>
        </row>
        <row r="45">
          <cell r="G45">
            <v>1236930</v>
          </cell>
          <cell r="H45" t="str">
            <v>심양</v>
          </cell>
          <cell r="I45">
            <v>5472</v>
          </cell>
          <cell r="J45">
            <v>3352</v>
          </cell>
          <cell r="K45">
            <v>4903</v>
          </cell>
          <cell r="L45">
            <v>0</v>
          </cell>
          <cell r="M45">
            <v>3938</v>
          </cell>
          <cell r="N45">
            <v>3305</v>
          </cell>
          <cell r="O45">
            <v>7066</v>
          </cell>
          <cell r="P45">
            <v>0</v>
          </cell>
          <cell r="Q45">
            <v>-1534</v>
          </cell>
          <cell r="R45">
            <v>-47</v>
          </cell>
          <cell r="S45">
            <v>2163</v>
          </cell>
          <cell r="T45">
            <v>0</v>
          </cell>
          <cell r="U45">
            <v>582</v>
          </cell>
          <cell r="AB45">
            <v>629</v>
          </cell>
          <cell r="AC45">
            <v>1058</v>
          </cell>
          <cell r="AD45">
            <v>1215</v>
          </cell>
          <cell r="AE45">
            <v>1036</v>
          </cell>
          <cell r="AF45">
            <v>1495</v>
          </cell>
          <cell r="AG45">
            <v>800</v>
          </cell>
          <cell r="AH45">
            <v>200</v>
          </cell>
          <cell r="AI45">
            <v>810</v>
          </cell>
          <cell r="AJ45">
            <v>800</v>
          </cell>
          <cell r="AK45">
            <v>2606</v>
          </cell>
          <cell r="AL45">
            <v>1350</v>
          </cell>
          <cell r="AM45">
            <v>1410</v>
          </cell>
          <cell r="AN45">
            <v>900</v>
          </cell>
          <cell r="AP45">
            <v>11407</v>
          </cell>
        </row>
        <row r="46">
          <cell r="G46">
            <v>1238480</v>
          </cell>
          <cell r="H46" t="str">
            <v>심양</v>
          </cell>
          <cell r="I46">
            <v>21790</v>
          </cell>
          <cell r="J46">
            <v>21863</v>
          </cell>
          <cell r="K46">
            <v>21829</v>
          </cell>
          <cell r="L46">
            <v>0</v>
          </cell>
          <cell r="M46">
            <v>22731</v>
          </cell>
          <cell r="N46">
            <v>21483</v>
          </cell>
          <cell r="O46">
            <v>20931</v>
          </cell>
          <cell r="P46">
            <v>0</v>
          </cell>
          <cell r="Q46">
            <v>941</v>
          </cell>
          <cell r="R46">
            <v>-380</v>
          </cell>
          <cell r="S46">
            <v>-898</v>
          </cell>
          <cell r="T46">
            <v>0</v>
          </cell>
          <cell r="U46">
            <v>-337</v>
          </cell>
          <cell r="AB46">
            <v>6587</v>
          </cell>
          <cell r="AC46">
            <v>5894</v>
          </cell>
          <cell r="AD46">
            <v>5957</v>
          </cell>
          <cell r="AE46">
            <v>4293</v>
          </cell>
          <cell r="AF46">
            <v>6656</v>
          </cell>
          <cell r="AG46">
            <v>6042</v>
          </cell>
          <cell r="AH46">
            <v>3330</v>
          </cell>
          <cell r="AI46">
            <v>5455</v>
          </cell>
          <cell r="AJ46">
            <v>4530</v>
          </cell>
          <cell r="AK46">
            <v>6196</v>
          </cell>
          <cell r="AL46">
            <v>880</v>
          </cell>
          <cell r="AM46">
            <v>1370</v>
          </cell>
          <cell r="AN46">
            <v>7955</v>
          </cell>
          <cell r="AP46">
            <v>46707</v>
          </cell>
        </row>
        <row r="47">
          <cell r="G47">
            <v>1241474</v>
          </cell>
          <cell r="H47" t="str">
            <v>심양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37</v>
          </cell>
          <cell r="O47">
            <v>0</v>
          </cell>
          <cell r="P47">
            <v>0</v>
          </cell>
          <cell r="Q47">
            <v>0</v>
          </cell>
          <cell r="R47">
            <v>37</v>
          </cell>
          <cell r="S47">
            <v>0</v>
          </cell>
          <cell r="T47">
            <v>0</v>
          </cell>
          <cell r="U47">
            <v>37</v>
          </cell>
          <cell r="AI47">
            <v>37</v>
          </cell>
          <cell r="AP47">
            <v>37</v>
          </cell>
        </row>
        <row r="48">
          <cell r="G48">
            <v>1225801</v>
          </cell>
          <cell r="H48" t="str">
            <v>심양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AP48">
            <v>0</v>
          </cell>
        </row>
        <row r="49">
          <cell r="G49">
            <v>1230615</v>
          </cell>
          <cell r="H49" t="str">
            <v>심양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4</v>
          </cell>
          <cell r="N49">
            <v>0</v>
          </cell>
          <cell r="O49">
            <v>0</v>
          </cell>
          <cell r="P49">
            <v>0</v>
          </cell>
          <cell r="Q49">
            <v>4</v>
          </cell>
          <cell r="R49">
            <v>0</v>
          </cell>
          <cell r="S49">
            <v>0</v>
          </cell>
          <cell r="T49">
            <v>0</v>
          </cell>
          <cell r="U49">
            <v>4</v>
          </cell>
          <cell r="AB49">
            <v>0</v>
          </cell>
          <cell r="AC49">
            <v>0</v>
          </cell>
          <cell r="AD49">
            <v>4</v>
          </cell>
          <cell r="AP49">
            <v>0</v>
          </cell>
        </row>
        <row r="50">
          <cell r="G50">
            <v>1231047</v>
          </cell>
          <cell r="H50" t="str">
            <v>심양</v>
          </cell>
          <cell r="I50">
            <v>2304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-2304</v>
          </cell>
          <cell r="R50">
            <v>0</v>
          </cell>
          <cell r="S50">
            <v>0</v>
          </cell>
          <cell r="T50">
            <v>0</v>
          </cell>
          <cell r="U50">
            <v>-2304</v>
          </cell>
          <cell r="AP50">
            <v>0</v>
          </cell>
        </row>
        <row r="51">
          <cell r="G51">
            <v>1225725</v>
          </cell>
          <cell r="H51" t="str">
            <v>심양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AP51">
            <v>0</v>
          </cell>
        </row>
        <row r="52">
          <cell r="G52">
            <v>1228038</v>
          </cell>
          <cell r="H52" t="str">
            <v>심양</v>
          </cell>
          <cell r="I52">
            <v>2304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-2304</v>
          </cell>
          <cell r="R52">
            <v>0</v>
          </cell>
          <cell r="S52">
            <v>0</v>
          </cell>
          <cell r="T52">
            <v>0</v>
          </cell>
          <cell r="U52">
            <v>-2304</v>
          </cell>
          <cell r="AP52">
            <v>0</v>
          </cell>
        </row>
        <row r="53">
          <cell r="G53">
            <v>1231377</v>
          </cell>
          <cell r="H53" t="str">
            <v>심양</v>
          </cell>
          <cell r="I53">
            <v>10</v>
          </cell>
          <cell r="J53">
            <v>0</v>
          </cell>
          <cell r="K53">
            <v>0</v>
          </cell>
          <cell r="L53">
            <v>0</v>
          </cell>
          <cell r="M53">
            <v>17</v>
          </cell>
          <cell r="N53">
            <v>0</v>
          </cell>
          <cell r="O53">
            <v>0</v>
          </cell>
          <cell r="P53">
            <v>0</v>
          </cell>
          <cell r="Q53">
            <v>7</v>
          </cell>
          <cell r="R53">
            <v>0</v>
          </cell>
          <cell r="S53">
            <v>0</v>
          </cell>
          <cell r="T53">
            <v>0</v>
          </cell>
          <cell r="U53">
            <v>7</v>
          </cell>
          <cell r="AB53">
            <v>0</v>
          </cell>
          <cell r="AC53">
            <v>0</v>
          </cell>
          <cell r="AD53">
            <v>17</v>
          </cell>
          <cell r="AP53">
            <v>0</v>
          </cell>
        </row>
        <row r="54">
          <cell r="G54">
            <v>1229370</v>
          </cell>
          <cell r="H54" t="str">
            <v>심양</v>
          </cell>
          <cell r="I54">
            <v>10</v>
          </cell>
          <cell r="J54">
            <v>0</v>
          </cell>
          <cell r="K54">
            <v>0</v>
          </cell>
          <cell r="L54">
            <v>0</v>
          </cell>
          <cell r="M54">
            <v>196</v>
          </cell>
          <cell r="N54">
            <v>0</v>
          </cell>
          <cell r="O54">
            <v>0</v>
          </cell>
          <cell r="P54">
            <v>0</v>
          </cell>
          <cell r="Q54">
            <v>186</v>
          </cell>
          <cell r="R54">
            <v>0</v>
          </cell>
          <cell r="S54">
            <v>0</v>
          </cell>
          <cell r="T54">
            <v>0</v>
          </cell>
          <cell r="U54">
            <v>186</v>
          </cell>
          <cell r="AB54">
            <v>98</v>
          </cell>
          <cell r="AC54">
            <v>0</v>
          </cell>
          <cell r="AD54">
            <v>98</v>
          </cell>
          <cell r="AP54">
            <v>0</v>
          </cell>
        </row>
        <row r="55">
          <cell r="G55">
            <v>1232066</v>
          </cell>
          <cell r="H55" t="str">
            <v>심양</v>
          </cell>
          <cell r="I55">
            <v>666</v>
          </cell>
          <cell r="J55">
            <v>306</v>
          </cell>
          <cell r="K55">
            <v>270</v>
          </cell>
          <cell r="L55">
            <v>0</v>
          </cell>
          <cell r="M55">
            <v>300</v>
          </cell>
          <cell r="N55">
            <v>282</v>
          </cell>
          <cell r="O55">
            <v>300</v>
          </cell>
          <cell r="P55">
            <v>0</v>
          </cell>
          <cell r="Q55">
            <v>-366</v>
          </cell>
          <cell r="R55">
            <v>-24</v>
          </cell>
          <cell r="S55">
            <v>30</v>
          </cell>
          <cell r="T55">
            <v>0</v>
          </cell>
          <cell r="U55">
            <v>-360</v>
          </cell>
          <cell r="AB55">
            <v>0</v>
          </cell>
          <cell r="AC55">
            <v>0</v>
          </cell>
          <cell r="AD55">
            <v>0</v>
          </cell>
          <cell r="AE55">
            <v>300</v>
          </cell>
          <cell r="AF55">
            <v>0</v>
          </cell>
          <cell r="AG55">
            <v>0</v>
          </cell>
          <cell r="AH55">
            <v>0</v>
          </cell>
          <cell r="AI55">
            <v>282</v>
          </cell>
          <cell r="AJ55">
            <v>0</v>
          </cell>
          <cell r="AK55">
            <v>0</v>
          </cell>
          <cell r="AL55">
            <v>0</v>
          </cell>
          <cell r="AM55">
            <v>300</v>
          </cell>
          <cell r="AN55">
            <v>0</v>
          </cell>
          <cell r="AP55">
            <v>882</v>
          </cell>
        </row>
        <row r="56">
          <cell r="G56">
            <v>1235845</v>
          </cell>
          <cell r="H56" t="str">
            <v>심양</v>
          </cell>
          <cell r="I56">
            <v>2335</v>
          </cell>
          <cell r="J56">
            <v>761</v>
          </cell>
          <cell r="K56">
            <v>294</v>
          </cell>
          <cell r="L56">
            <v>0</v>
          </cell>
          <cell r="M56">
            <v>2298</v>
          </cell>
          <cell r="N56">
            <v>1325</v>
          </cell>
          <cell r="O56">
            <v>337</v>
          </cell>
          <cell r="P56">
            <v>0</v>
          </cell>
          <cell r="Q56">
            <v>-37</v>
          </cell>
          <cell r="R56">
            <v>564</v>
          </cell>
          <cell r="S56">
            <v>43</v>
          </cell>
          <cell r="T56">
            <v>0</v>
          </cell>
          <cell r="U56">
            <v>570</v>
          </cell>
          <cell r="AD56">
            <v>1673</v>
          </cell>
          <cell r="AE56">
            <v>625</v>
          </cell>
          <cell r="AF56">
            <v>0</v>
          </cell>
          <cell r="AG56">
            <v>1325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337</v>
          </cell>
          <cell r="AN56">
            <v>0</v>
          </cell>
          <cell r="AP56">
            <v>2287</v>
          </cell>
        </row>
        <row r="57">
          <cell r="G57">
            <v>1232553</v>
          </cell>
          <cell r="H57" t="str">
            <v>심양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108</v>
          </cell>
          <cell r="O57">
            <v>108</v>
          </cell>
          <cell r="P57">
            <v>0</v>
          </cell>
          <cell r="Q57">
            <v>0</v>
          </cell>
          <cell r="R57">
            <v>108</v>
          </cell>
          <cell r="S57">
            <v>108</v>
          </cell>
          <cell r="T57">
            <v>0</v>
          </cell>
          <cell r="U57">
            <v>216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108</v>
          </cell>
          <cell r="AI57">
            <v>0</v>
          </cell>
          <cell r="AJ57">
            <v>0</v>
          </cell>
          <cell r="AK57">
            <v>0</v>
          </cell>
          <cell r="AL57">
            <v>108</v>
          </cell>
          <cell r="AM57">
            <v>0</v>
          </cell>
          <cell r="AN57">
            <v>0</v>
          </cell>
          <cell r="AP57">
            <v>216</v>
          </cell>
        </row>
        <row r="58">
          <cell r="G58">
            <v>1236740</v>
          </cell>
          <cell r="H58" t="str">
            <v>심양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AP58">
            <v>0</v>
          </cell>
        </row>
        <row r="59">
          <cell r="G59">
            <v>1236110</v>
          </cell>
          <cell r="H59" t="str">
            <v>심양</v>
          </cell>
          <cell r="I59">
            <v>200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-200</v>
          </cell>
          <cell r="R59">
            <v>0</v>
          </cell>
          <cell r="S59">
            <v>0</v>
          </cell>
          <cell r="T59">
            <v>0</v>
          </cell>
          <cell r="U59">
            <v>-200</v>
          </cell>
          <cell r="AP59">
            <v>0</v>
          </cell>
        </row>
        <row r="60">
          <cell r="G60">
            <v>1221254</v>
          </cell>
          <cell r="H60" t="str">
            <v>심양</v>
          </cell>
          <cell r="I60">
            <v>78</v>
          </cell>
          <cell r="J60">
            <v>240</v>
          </cell>
          <cell r="K60">
            <v>0</v>
          </cell>
          <cell r="L60">
            <v>0</v>
          </cell>
          <cell r="M60">
            <v>150</v>
          </cell>
          <cell r="N60">
            <v>0</v>
          </cell>
          <cell r="O60">
            <v>0</v>
          </cell>
          <cell r="P60">
            <v>0</v>
          </cell>
          <cell r="Q60">
            <v>72</v>
          </cell>
          <cell r="R60">
            <v>-240</v>
          </cell>
          <cell r="S60">
            <v>0</v>
          </cell>
          <cell r="T60">
            <v>0</v>
          </cell>
          <cell r="U60">
            <v>-168</v>
          </cell>
          <cell r="AB60">
            <v>0</v>
          </cell>
          <cell r="AC60">
            <v>0</v>
          </cell>
          <cell r="AD60">
            <v>150</v>
          </cell>
          <cell r="AE60">
            <v>0</v>
          </cell>
          <cell r="AP60">
            <v>0</v>
          </cell>
        </row>
        <row r="61">
          <cell r="G61">
            <v>1231860</v>
          </cell>
          <cell r="H61" t="str">
            <v>심양</v>
          </cell>
          <cell r="I61">
            <v>200</v>
          </cell>
          <cell r="J61">
            <v>0</v>
          </cell>
          <cell r="K61">
            <v>0</v>
          </cell>
          <cell r="L61">
            <v>0</v>
          </cell>
          <cell r="M61">
            <v>56</v>
          </cell>
          <cell r="N61">
            <v>0</v>
          </cell>
          <cell r="O61">
            <v>0</v>
          </cell>
          <cell r="P61">
            <v>0</v>
          </cell>
          <cell r="Q61">
            <v>-144</v>
          </cell>
          <cell r="R61">
            <v>0</v>
          </cell>
          <cell r="S61">
            <v>0</v>
          </cell>
          <cell r="T61">
            <v>0</v>
          </cell>
          <cell r="U61">
            <v>-144</v>
          </cell>
          <cell r="AB61">
            <v>28</v>
          </cell>
          <cell r="AC61">
            <v>0</v>
          </cell>
          <cell r="AD61">
            <v>28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P61">
            <v>0</v>
          </cell>
        </row>
        <row r="62">
          <cell r="G62">
            <v>1232895</v>
          </cell>
          <cell r="H62" t="str">
            <v>심양</v>
          </cell>
          <cell r="I62">
            <v>1874</v>
          </cell>
          <cell r="J62">
            <v>2591</v>
          </cell>
          <cell r="K62">
            <v>2125</v>
          </cell>
          <cell r="L62">
            <v>0</v>
          </cell>
          <cell r="M62">
            <v>2363</v>
          </cell>
          <cell r="N62">
            <v>2304</v>
          </cell>
          <cell r="O62">
            <v>876</v>
          </cell>
          <cell r="P62">
            <v>0</v>
          </cell>
          <cell r="Q62">
            <v>489</v>
          </cell>
          <cell r="R62">
            <v>-287</v>
          </cell>
          <cell r="S62">
            <v>-1249</v>
          </cell>
          <cell r="T62">
            <v>0</v>
          </cell>
          <cell r="U62">
            <v>-1047</v>
          </cell>
          <cell r="AB62">
            <v>101</v>
          </cell>
          <cell r="AC62">
            <v>876</v>
          </cell>
          <cell r="AD62">
            <v>1311</v>
          </cell>
          <cell r="AE62">
            <v>75</v>
          </cell>
          <cell r="AF62">
            <v>689</v>
          </cell>
          <cell r="AG62">
            <v>875</v>
          </cell>
          <cell r="AH62">
            <v>340</v>
          </cell>
          <cell r="AI62">
            <v>400</v>
          </cell>
          <cell r="AJ62">
            <v>0</v>
          </cell>
          <cell r="AK62">
            <v>0</v>
          </cell>
          <cell r="AL62">
            <v>476</v>
          </cell>
          <cell r="AM62">
            <v>0</v>
          </cell>
          <cell r="AN62">
            <v>400</v>
          </cell>
          <cell r="AP62">
            <v>3255</v>
          </cell>
        </row>
        <row r="63">
          <cell r="G63">
            <v>1232894</v>
          </cell>
          <cell r="H63" t="str">
            <v>심양</v>
          </cell>
          <cell r="I63">
            <v>650</v>
          </cell>
          <cell r="J63">
            <v>144</v>
          </cell>
          <cell r="K63">
            <v>843</v>
          </cell>
          <cell r="L63">
            <v>0</v>
          </cell>
          <cell r="M63">
            <v>228</v>
          </cell>
          <cell r="N63">
            <v>792</v>
          </cell>
          <cell r="O63">
            <v>504</v>
          </cell>
          <cell r="P63">
            <v>0</v>
          </cell>
          <cell r="Q63">
            <v>-422</v>
          </cell>
          <cell r="R63">
            <v>648</v>
          </cell>
          <cell r="S63">
            <v>-339</v>
          </cell>
          <cell r="T63">
            <v>0</v>
          </cell>
          <cell r="U63">
            <v>-113</v>
          </cell>
          <cell r="AB63">
            <v>36</v>
          </cell>
          <cell r="AC63">
            <v>0</v>
          </cell>
          <cell r="AD63">
            <v>0</v>
          </cell>
          <cell r="AE63">
            <v>192</v>
          </cell>
          <cell r="AF63">
            <v>576</v>
          </cell>
          <cell r="AG63">
            <v>0</v>
          </cell>
          <cell r="AH63">
            <v>0</v>
          </cell>
          <cell r="AI63">
            <v>216</v>
          </cell>
          <cell r="AJ63">
            <v>0</v>
          </cell>
          <cell r="AK63">
            <v>288</v>
          </cell>
          <cell r="AL63">
            <v>0</v>
          </cell>
          <cell r="AM63">
            <v>216</v>
          </cell>
          <cell r="AN63">
            <v>0</v>
          </cell>
          <cell r="AP63">
            <v>1488</v>
          </cell>
        </row>
        <row r="64">
          <cell r="G64">
            <v>1232846</v>
          </cell>
          <cell r="H64" t="str">
            <v>심양</v>
          </cell>
          <cell r="I64">
            <v>2496</v>
          </cell>
          <cell r="J64">
            <v>2735</v>
          </cell>
          <cell r="K64">
            <v>2968</v>
          </cell>
          <cell r="L64">
            <v>0</v>
          </cell>
          <cell r="M64">
            <v>2390</v>
          </cell>
          <cell r="N64">
            <v>3096</v>
          </cell>
          <cell r="O64">
            <v>1380</v>
          </cell>
          <cell r="P64">
            <v>0</v>
          </cell>
          <cell r="Q64">
            <v>-106</v>
          </cell>
          <cell r="R64">
            <v>361</v>
          </cell>
          <cell r="S64">
            <v>-1588</v>
          </cell>
          <cell r="T64">
            <v>0</v>
          </cell>
          <cell r="U64">
            <v>-1333</v>
          </cell>
          <cell r="AB64">
            <v>36</v>
          </cell>
          <cell r="AC64">
            <v>876</v>
          </cell>
          <cell r="AD64">
            <v>1211</v>
          </cell>
          <cell r="AE64">
            <v>267</v>
          </cell>
          <cell r="AF64">
            <v>1265</v>
          </cell>
          <cell r="AG64">
            <v>875</v>
          </cell>
          <cell r="AH64">
            <v>340</v>
          </cell>
          <cell r="AI64">
            <v>616</v>
          </cell>
          <cell r="AJ64">
            <v>0</v>
          </cell>
          <cell r="AK64">
            <v>288</v>
          </cell>
          <cell r="AL64">
            <v>476</v>
          </cell>
          <cell r="AM64">
            <v>216</v>
          </cell>
          <cell r="AN64">
            <v>400</v>
          </cell>
          <cell r="AP64">
            <v>4743</v>
          </cell>
        </row>
        <row r="65">
          <cell r="G65">
            <v>1233632</v>
          </cell>
          <cell r="H65" t="str">
            <v>심양</v>
          </cell>
          <cell r="I65">
            <v>500</v>
          </cell>
          <cell r="J65">
            <v>500</v>
          </cell>
          <cell r="K65">
            <v>493</v>
          </cell>
          <cell r="L65">
            <v>0</v>
          </cell>
          <cell r="M65">
            <v>1483</v>
          </cell>
          <cell r="N65">
            <v>0</v>
          </cell>
          <cell r="O65">
            <v>0</v>
          </cell>
          <cell r="P65">
            <v>0</v>
          </cell>
          <cell r="Q65">
            <v>983</v>
          </cell>
          <cell r="R65">
            <v>-500</v>
          </cell>
          <cell r="S65">
            <v>-493</v>
          </cell>
          <cell r="T65">
            <v>0</v>
          </cell>
          <cell r="U65">
            <v>-10</v>
          </cell>
          <cell r="AB65">
            <v>676</v>
          </cell>
          <cell r="AC65">
            <v>406</v>
          </cell>
          <cell r="AD65">
            <v>0</v>
          </cell>
          <cell r="AE65">
            <v>401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P65">
            <v>401</v>
          </cell>
        </row>
        <row r="66">
          <cell r="G66">
            <v>1235097</v>
          </cell>
          <cell r="H66" t="str">
            <v>심양</v>
          </cell>
          <cell r="I66">
            <v>2000</v>
          </cell>
          <cell r="J66">
            <v>1000</v>
          </cell>
          <cell r="K66">
            <v>0</v>
          </cell>
          <cell r="L66">
            <v>0</v>
          </cell>
          <cell r="M66">
            <v>1407</v>
          </cell>
          <cell r="N66">
            <v>0</v>
          </cell>
          <cell r="O66">
            <v>1000</v>
          </cell>
          <cell r="P66">
            <v>0</v>
          </cell>
          <cell r="Q66">
            <v>-593</v>
          </cell>
          <cell r="R66">
            <v>-1000</v>
          </cell>
          <cell r="S66">
            <v>1000</v>
          </cell>
          <cell r="T66">
            <v>0</v>
          </cell>
          <cell r="U66">
            <v>-593</v>
          </cell>
          <cell r="AB66">
            <v>330</v>
          </cell>
          <cell r="AC66">
            <v>0</v>
          </cell>
          <cell r="AD66">
            <v>637</v>
          </cell>
          <cell r="AE66">
            <v>440</v>
          </cell>
          <cell r="AK66">
            <v>200</v>
          </cell>
          <cell r="AL66">
            <v>200</v>
          </cell>
          <cell r="AM66">
            <v>200</v>
          </cell>
          <cell r="AN66">
            <v>400</v>
          </cell>
          <cell r="AP66">
            <v>1440</v>
          </cell>
        </row>
        <row r="67">
          <cell r="G67">
            <v>1240180</v>
          </cell>
          <cell r="H67" t="str">
            <v>심양</v>
          </cell>
          <cell r="I67">
            <v>4318</v>
          </cell>
          <cell r="J67">
            <v>5900</v>
          </cell>
          <cell r="K67">
            <v>5150</v>
          </cell>
          <cell r="L67">
            <v>0</v>
          </cell>
          <cell r="M67">
            <v>6547</v>
          </cell>
          <cell r="N67">
            <v>2520</v>
          </cell>
          <cell r="O67">
            <v>8430</v>
          </cell>
          <cell r="P67">
            <v>0</v>
          </cell>
          <cell r="U67">
            <v>0</v>
          </cell>
          <cell r="AB67">
            <v>1532</v>
          </cell>
          <cell r="AC67">
            <v>1562</v>
          </cell>
          <cell r="AD67">
            <v>1729</v>
          </cell>
          <cell r="AE67">
            <v>1724</v>
          </cell>
          <cell r="AF67">
            <v>386</v>
          </cell>
          <cell r="AG67">
            <v>1046</v>
          </cell>
          <cell r="AH67">
            <v>738</v>
          </cell>
          <cell r="AI67">
            <v>350</v>
          </cell>
          <cell r="AJ67">
            <v>1312</v>
          </cell>
          <cell r="AK67">
            <v>1884</v>
          </cell>
          <cell r="AL67">
            <v>2450</v>
          </cell>
          <cell r="AM67">
            <v>1784</v>
          </cell>
          <cell r="AN67">
            <v>1000</v>
          </cell>
          <cell r="AP67">
            <v>12674</v>
          </cell>
        </row>
        <row r="68">
          <cell r="G68">
            <v>1241343</v>
          </cell>
          <cell r="H68" t="str">
            <v>심양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20</v>
          </cell>
          <cell r="O68">
            <v>0</v>
          </cell>
          <cell r="P68">
            <v>0</v>
          </cell>
          <cell r="U68">
            <v>0</v>
          </cell>
          <cell r="AI68">
            <v>20</v>
          </cell>
          <cell r="AP68">
            <v>20</v>
          </cell>
        </row>
        <row r="69">
          <cell r="G69">
            <v>1240184</v>
          </cell>
          <cell r="H69" t="str">
            <v>심양</v>
          </cell>
          <cell r="I69">
            <v>3974</v>
          </cell>
          <cell r="J69">
            <v>5700</v>
          </cell>
          <cell r="K69">
            <v>4700</v>
          </cell>
          <cell r="L69">
            <v>0</v>
          </cell>
          <cell r="M69">
            <v>6400</v>
          </cell>
          <cell r="N69">
            <v>2070</v>
          </cell>
          <cell r="O69">
            <v>7880</v>
          </cell>
          <cell r="P69">
            <v>0</v>
          </cell>
          <cell r="U69">
            <v>0</v>
          </cell>
          <cell r="AB69">
            <v>1532</v>
          </cell>
          <cell r="AC69">
            <v>1552</v>
          </cell>
          <cell r="AD69">
            <v>1592</v>
          </cell>
          <cell r="AE69">
            <v>1724</v>
          </cell>
          <cell r="AF69">
            <v>386</v>
          </cell>
          <cell r="AG69">
            <v>896</v>
          </cell>
          <cell r="AH69">
            <v>438</v>
          </cell>
          <cell r="AI69">
            <v>350</v>
          </cell>
          <cell r="AJ69">
            <v>1312</v>
          </cell>
          <cell r="AK69">
            <v>1734</v>
          </cell>
          <cell r="AL69">
            <v>2150</v>
          </cell>
          <cell r="AM69">
            <v>1784</v>
          </cell>
          <cell r="AN69">
            <v>900</v>
          </cell>
          <cell r="AP69">
            <v>11674</v>
          </cell>
        </row>
        <row r="70">
          <cell r="G70">
            <v>1241601</v>
          </cell>
          <cell r="H70" t="str">
            <v>심양</v>
          </cell>
          <cell r="I70">
            <v>0</v>
          </cell>
          <cell r="J70">
            <v>0</v>
          </cell>
          <cell r="K70">
            <v>7600</v>
          </cell>
          <cell r="L70">
            <v>0</v>
          </cell>
          <cell r="M70">
            <v>0</v>
          </cell>
          <cell r="N70">
            <v>16700</v>
          </cell>
          <cell r="O70">
            <v>19700</v>
          </cell>
          <cell r="P70">
            <v>0</v>
          </cell>
          <cell r="U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4900</v>
          </cell>
          <cell r="AG70">
            <v>5000</v>
          </cell>
          <cell r="AH70">
            <v>2400</v>
          </cell>
          <cell r="AI70">
            <v>4400</v>
          </cell>
          <cell r="AJ70">
            <v>3800</v>
          </cell>
          <cell r="AK70">
            <v>4100</v>
          </cell>
          <cell r="AL70">
            <v>3100</v>
          </cell>
          <cell r="AM70">
            <v>4000</v>
          </cell>
          <cell r="AN70">
            <v>4700</v>
          </cell>
          <cell r="AP70">
            <v>36400</v>
          </cell>
        </row>
        <row r="71">
          <cell r="G71">
            <v>1241347</v>
          </cell>
          <cell r="H71" t="str">
            <v>심양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20</v>
          </cell>
          <cell r="O71">
            <v>0</v>
          </cell>
          <cell r="P71">
            <v>0</v>
          </cell>
          <cell r="U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20</v>
          </cell>
          <cell r="AP71">
            <v>20</v>
          </cell>
        </row>
        <row r="72">
          <cell r="G72">
            <v>1241480</v>
          </cell>
          <cell r="H72" t="str">
            <v>심양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26</v>
          </cell>
          <cell r="O72">
            <v>0</v>
          </cell>
          <cell r="P72">
            <v>0</v>
          </cell>
          <cell r="U72">
            <v>0</v>
          </cell>
          <cell r="AI72">
            <v>26</v>
          </cell>
          <cell r="AP72">
            <v>26</v>
          </cell>
        </row>
        <row r="73">
          <cell r="G73">
            <v>1239988</v>
          </cell>
          <cell r="H73" t="str">
            <v>심양</v>
          </cell>
          <cell r="I73">
            <v>5830</v>
          </cell>
          <cell r="J73">
            <v>5850</v>
          </cell>
          <cell r="K73">
            <v>5200</v>
          </cell>
          <cell r="L73">
            <v>0</v>
          </cell>
          <cell r="M73">
            <v>7920</v>
          </cell>
          <cell r="N73">
            <v>2242</v>
          </cell>
          <cell r="O73">
            <v>4000</v>
          </cell>
          <cell r="P73">
            <v>0</v>
          </cell>
          <cell r="U73">
            <v>0</v>
          </cell>
          <cell r="AB73">
            <v>2002</v>
          </cell>
          <cell r="AC73">
            <v>2186</v>
          </cell>
          <cell r="AD73">
            <v>2132</v>
          </cell>
          <cell r="AE73">
            <v>1600</v>
          </cell>
          <cell r="AF73">
            <v>750</v>
          </cell>
          <cell r="AG73">
            <v>742</v>
          </cell>
          <cell r="AH73">
            <v>300</v>
          </cell>
          <cell r="AI73">
            <v>450</v>
          </cell>
          <cell r="AJ73">
            <v>400</v>
          </cell>
          <cell r="AK73">
            <v>600</v>
          </cell>
          <cell r="AL73">
            <v>1200</v>
          </cell>
          <cell r="AM73">
            <v>1000</v>
          </cell>
          <cell r="AN73">
            <v>800</v>
          </cell>
          <cell r="AP73">
            <v>7842</v>
          </cell>
        </row>
        <row r="74">
          <cell r="G74" t="str">
            <v>-</v>
          </cell>
          <cell r="H74" t="str">
            <v>심양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U74">
            <v>0</v>
          </cell>
          <cell r="AP74">
            <v>0</v>
          </cell>
        </row>
        <row r="75">
          <cell r="G75">
            <v>1231408</v>
          </cell>
          <cell r="H75" t="str">
            <v>심양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AP75">
            <v>0</v>
          </cell>
        </row>
        <row r="76">
          <cell r="G76">
            <v>1232705</v>
          </cell>
          <cell r="H76" t="str">
            <v>심양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10</v>
          </cell>
          <cell r="N76">
            <v>0</v>
          </cell>
          <cell r="O76">
            <v>0</v>
          </cell>
          <cell r="P76">
            <v>0</v>
          </cell>
          <cell r="Q76">
            <v>10</v>
          </cell>
          <cell r="R76">
            <v>0</v>
          </cell>
          <cell r="S76">
            <v>0</v>
          </cell>
          <cell r="T76">
            <v>0</v>
          </cell>
          <cell r="U76">
            <v>10</v>
          </cell>
          <cell r="AB76">
            <v>10</v>
          </cell>
          <cell r="AP76">
            <v>0</v>
          </cell>
        </row>
        <row r="77">
          <cell r="G77">
            <v>1237457</v>
          </cell>
          <cell r="H77" t="str">
            <v>심양</v>
          </cell>
          <cell r="I77">
            <v>18</v>
          </cell>
          <cell r="J77">
            <v>150</v>
          </cell>
          <cell r="K77">
            <v>540</v>
          </cell>
          <cell r="L77">
            <v>0</v>
          </cell>
          <cell r="M77">
            <v>28</v>
          </cell>
          <cell r="N77">
            <v>0</v>
          </cell>
          <cell r="O77">
            <v>108</v>
          </cell>
          <cell r="P77">
            <v>0</v>
          </cell>
          <cell r="Q77">
            <v>10</v>
          </cell>
          <cell r="R77">
            <v>-150</v>
          </cell>
          <cell r="S77">
            <v>-432</v>
          </cell>
          <cell r="T77">
            <v>0</v>
          </cell>
          <cell r="U77">
            <v>-572</v>
          </cell>
          <cell r="AB77">
            <v>18</v>
          </cell>
          <cell r="AC77">
            <v>0</v>
          </cell>
          <cell r="AD77">
            <v>10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108</v>
          </cell>
          <cell r="AM77">
            <v>0</v>
          </cell>
          <cell r="AN77">
            <v>0</v>
          </cell>
          <cell r="AP77">
            <v>108</v>
          </cell>
        </row>
        <row r="78">
          <cell r="G78">
            <v>1233580</v>
          </cell>
          <cell r="H78" t="str">
            <v>심양</v>
          </cell>
          <cell r="I78">
            <v>0</v>
          </cell>
          <cell r="J78">
            <v>130</v>
          </cell>
          <cell r="K78">
            <v>0</v>
          </cell>
          <cell r="L78">
            <v>0</v>
          </cell>
          <cell r="M78">
            <v>240</v>
          </cell>
          <cell r="N78">
            <v>0</v>
          </cell>
          <cell r="O78">
            <v>0</v>
          </cell>
          <cell r="P78">
            <v>0</v>
          </cell>
          <cell r="Q78">
            <v>240</v>
          </cell>
          <cell r="R78">
            <v>-130</v>
          </cell>
          <cell r="S78">
            <v>0</v>
          </cell>
          <cell r="T78">
            <v>0</v>
          </cell>
          <cell r="U78">
            <v>110</v>
          </cell>
          <cell r="AB78">
            <v>55</v>
          </cell>
          <cell r="AC78">
            <v>0</v>
          </cell>
          <cell r="AD78">
            <v>185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P78">
            <v>0</v>
          </cell>
        </row>
        <row r="79">
          <cell r="G79">
            <v>1238092</v>
          </cell>
          <cell r="H79" t="str">
            <v>심양</v>
          </cell>
          <cell r="I79">
            <v>200</v>
          </cell>
          <cell r="J79">
            <v>0</v>
          </cell>
          <cell r="K79">
            <v>144</v>
          </cell>
          <cell r="L79">
            <v>0</v>
          </cell>
          <cell r="M79">
            <v>0</v>
          </cell>
          <cell r="N79">
            <v>144</v>
          </cell>
          <cell r="O79">
            <v>0</v>
          </cell>
          <cell r="P79">
            <v>0</v>
          </cell>
          <cell r="Q79">
            <v>-200</v>
          </cell>
          <cell r="R79">
            <v>144</v>
          </cell>
          <cell r="S79">
            <v>-144</v>
          </cell>
          <cell r="T79">
            <v>0</v>
          </cell>
          <cell r="U79">
            <v>-200</v>
          </cell>
          <cell r="AI79">
            <v>144</v>
          </cell>
          <cell r="AP79">
            <v>144</v>
          </cell>
        </row>
        <row r="80">
          <cell r="G80">
            <v>1241138</v>
          </cell>
          <cell r="H80" t="str">
            <v>심양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AP80">
            <v>0</v>
          </cell>
        </row>
        <row r="81">
          <cell r="G81">
            <v>1234111</v>
          </cell>
          <cell r="H81" t="str">
            <v>심양</v>
          </cell>
          <cell r="I81">
            <v>0</v>
          </cell>
          <cell r="J81">
            <v>250</v>
          </cell>
          <cell r="K81">
            <v>0</v>
          </cell>
          <cell r="L81">
            <v>0</v>
          </cell>
          <cell r="M81">
            <v>220</v>
          </cell>
          <cell r="N81">
            <v>0</v>
          </cell>
          <cell r="O81">
            <v>50</v>
          </cell>
          <cell r="P81">
            <v>0</v>
          </cell>
          <cell r="Q81">
            <v>220</v>
          </cell>
          <cell r="R81">
            <v>-250</v>
          </cell>
          <cell r="S81">
            <v>50</v>
          </cell>
          <cell r="T81">
            <v>0</v>
          </cell>
          <cell r="U81">
            <v>20</v>
          </cell>
          <cell r="AD81">
            <v>220</v>
          </cell>
          <cell r="AL81">
            <v>50</v>
          </cell>
          <cell r="AP81">
            <v>50</v>
          </cell>
        </row>
        <row r="82">
          <cell r="G82">
            <v>1234151</v>
          </cell>
          <cell r="H82" t="str">
            <v>심양</v>
          </cell>
          <cell r="I82">
            <v>10</v>
          </cell>
          <cell r="J82">
            <v>0</v>
          </cell>
          <cell r="K82">
            <v>0</v>
          </cell>
          <cell r="L82">
            <v>0</v>
          </cell>
          <cell r="M82">
            <v>56</v>
          </cell>
          <cell r="N82">
            <v>0</v>
          </cell>
          <cell r="O82">
            <v>0</v>
          </cell>
          <cell r="P82">
            <v>0</v>
          </cell>
          <cell r="Q82">
            <v>46</v>
          </cell>
          <cell r="R82">
            <v>0</v>
          </cell>
          <cell r="S82">
            <v>0</v>
          </cell>
          <cell r="T82">
            <v>0</v>
          </cell>
          <cell r="U82">
            <v>46</v>
          </cell>
          <cell r="AC82">
            <v>56</v>
          </cell>
          <cell r="AP82">
            <v>0</v>
          </cell>
        </row>
        <row r="83">
          <cell r="G83">
            <v>1235003</v>
          </cell>
          <cell r="H83" t="str">
            <v>심양</v>
          </cell>
          <cell r="I83">
            <v>4977</v>
          </cell>
          <cell r="J83">
            <v>6350</v>
          </cell>
          <cell r="K83">
            <v>6250</v>
          </cell>
          <cell r="L83">
            <v>0</v>
          </cell>
          <cell r="M83">
            <v>11704</v>
          </cell>
          <cell r="N83">
            <v>3450</v>
          </cell>
          <cell r="O83">
            <v>5350</v>
          </cell>
          <cell r="P83">
            <v>0</v>
          </cell>
          <cell r="Q83">
            <v>6727</v>
          </cell>
          <cell r="R83">
            <v>-2900</v>
          </cell>
          <cell r="S83">
            <v>-900</v>
          </cell>
          <cell r="T83">
            <v>0</v>
          </cell>
          <cell r="U83">
            <v>2927</v>
          </cell>
          <cell r="AB83">
            <v>1296</v>
          </cell>
          <cell r="AC83">
            <v>6612</v>
          </cell>
          <cell r="AD83">
            <v>1728</v>
          </cell>
          <cell r="AE83">
            <v>2068</v>
          </cell>
          <cell r="AF83">
            <v>900</v>
          </cell>
          <cell r="AG83">
            <v>1350</v>
          </cell>
          <cell r="AH83">
            <v>550</v>
          </cell>
          <cell r="AI83">
            <v>650</v>
          </cell>
          <cell r="AJ83">
            <v>600</v>
          </cell>
          <cell r="AK83">
            <v>1300</v>
          </cell>
          <cell r="AL83">
            <v>1350</v>
          </cell>
          <cell r="AM83">
            <v>950</v>
          </cell>
          <cell r="AN83">
            <v>1150</v>
          </cell>
          <cell r="AP83">
            <v>10868</v>
          </cell>
        </row>
        <row r="84">
          <cell r="G84">
            <v>1235003</v>
          </cell>
          <cell r="H84" t="str">
            <v>베트남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AP84">
            <v>0</v>
          </cell>
        </row>
        <row r="85">
          <cell r="G85">
            <v>1235058</v>
          </cell>
          <cell r="H85" t="str">
            <v>심양</v>
          </cell>
          <cell r="I85">
            <v>2036</v>
          </cell>
          <cell r="J85">
            <v>1100</v>
          </cell>
          <cell r="K85">
            <v>2200</v>
          </cell>
          <cell r="L85">
            <v>0</v>
          </cell>
          <cell r="M85">
            <v>1433</v>
          </cell>
          <cell r="N85">
            <v>550</v>
          </cell>
          <cell r="O85">
            <v>900</v>
          </cell>
          <cell r="P85">
            <v>0</v>
          </cell>
          <cell r="Q85">
            <v>-603</v>
          </cell>
          <cell r="R85">
            <v>-550</v>
          </cell>
          <cell r="S85">
            <v>-1300</v>
          </cell>
          <cell r="T85">
            <v>0</v>
          </cell>
          <cell r="U85">
            <v>-2453</v>
          </cell>
          <cell r="AB85">
            <v>0</v>
          </cell>
          <cell r="AC85">
            <v>1113</v>
          </cell>
          <cell r="AD85">
            <v>0</v>
          </cell>
          <cell r="AE85">
            <v>320</v>
          </cell>
          <cell r="AF85">
            <v>150</v>
          </cell>
          <cell r="AG85">
            <v>200</v>
          </cell>
          <cell r="AH85">
            <v>100</v>
          </cell>
          <cell r="AI85">
            <v>100</v>
          </cell>
          <cell r="AJ85">
            <v>0</v>
          </cell>
          <cell r="AK85">
            <v>250</v>
          </cell>
          <cell r="AL85">
            <v>250</v>
          </cell>
          <cell r="AM85">
            <v>250</v>
          </cell>
          <cell r="AN85">
            <v>150</v>
          </cell>
          <cell r="AP85">
            <v>1770</v>
          </cell>
        </row>
        <row r="86">
          <cell r="G86">
            <v>1235058</v>
          </cell>
          <cell r="H86" t="str">
            <v>베트남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AP86">
            <v>0</v>
          </cell>
        </row>
        <row r="87">
          <cell r="G87">
            <v>1235623</v>
          </cell>
          <cell r="H87" t="str">
            <v>심양</v>
          </cell>
          <cell r="I87">
            <v>1872</v>
          </cell>
          <cell r="J87">
            <v>936</v>
          </cell>
          <cell r="K87">
            <v>1872</v>
          </cell>
          <cell r="L87">
            <v>0</v>
          </cell>
          <cell r="M87">
            <v>0</v>
          </cell>
          <cell r="N87">
            <v>1872</v>
          </cell>
          <cell r="O87">
            <v>2808</v>
          </cell>
          <cell r="P87">
            <v>0</v>
          </cell>
          <cell r="Q87">
            <v>-1872</v>
          </cell>
          <cell r="R87">
            <v>936</v>
          </cell>
          <cell r="S87">
            <v>936</v>
          </cell>
          <cell r="T87">
            <v>0</v>
          </cell>
          <cell r="U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936</v>
          </cell>
          <cell r="AG87">
            <v>936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2808</v>
          </cell>
          <cell r="AM87">
            <v>0</v>
          </cell>
          <cell r="AN87">
            <v>0</v>
          </cell>
          <cell r="AP87">
            <v>4680</v>
          </cell>
        </row>
        <row r="88">
          <cell r="G88">
            <v>1236976</v>
          </cell>
          <cell r="H88" t="str">
            <v>심양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AP88">
            <v>0</v>
          </cell>
        </row>
        <row r="89">
          <cell r="G89">
            <v>1237748</v>
          </cell>
          <cell r="H89" t="str">
            <v>심양</v>
          </cell>
          <cell r="I89">
            <v>1000</v>
          </cell>
          <cell r="J89">
            <v>624</v>
          </cell>
          <cell r="K89">
            <v>1052</v>
          </cell>
          <cell r="L89">
            <v>0</v>
          </cell>
          <cell r="M89">
            <v>988</v>
          </cell>
          <cell r="N89">
            <v>572</v>
          </cell>
          <cell r="O89">
            <v>572</v>
          </cell>
          <cell r="P89">
            <v>0</v>
          </cell>
          <cell r="Q89">
            <v>-12</v>
          </cell>
          <cell r="R89">
            <v>-52</v>
          </cell>
          <cell r="S89">
            <v>-480</v>
          </cell>
          <cell r="T89">
            <v>0</v>
          </cell>
          <cell r="U89">
            <v>-544</v>
          </cell>
          <cell r="AB89">
            <v>260</v>
          </cell>
          <cell r="AC89">
            <v>0</v>
          </cell>
          <cell r="AD89">
            <v>0</v>
          </cell>
          <cell r="AE89">
            <v>728</v>
          </cell>
          <cell r="AF89">
            <v>0</v>
          </cell>
          <cell r="AG89">
            <v>0</v>
          </cell>
          <cell r="AH89">
            <v>0</v>
          </cell>
          <cell r="AI89">
            <v>572</v>
          </cell>
          <cell r="AJ89">
            <v>0</v>
          </cell>
          <cell r="AK89">
            <v>0</v>
          </cell>
          <cell r="AL89">
            <v>0</v>
          </cell>
          <cell r="AM89">
            <v>572</v>
          </cell>
          <cell r="AN89">
            <v>0</v>
          </cell>
          <cell r="AP89">
            <v>1872</v>
          </cell>
        </row>
        <row r="90">
          <cell r="G90">
            <v>1237765</v>
          </cell>
          <cell r="H90" t="str">
            <v>심양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150</v>
          </cell>
          <cell r="N90">
            <v>0</v>
          </cell>
          <cell r="O90">
            <v>0</v>
          </cell>
          <cell r="P90">
            <v>0</v>
          </cell>
          <cell r="Q90">
            <v>150</v>
          </cell>
          <cell r="R90">
            <v>0</v>
          </cell>
          <cell r="S90">
            <v>0</v>
          </cell>
          <cell r="T90">
            <v>0</v>
          </cell>
          <cell r="U90">
            <v>150</v>
          </cell>
          <cell r="AB90">
            <v>0</v>
          </cell>
          <cell r="AC90">
            <v>0</v>
          </cell>
          <cell r="AD90">
            <v>0</v>
          </cell>
          <cell r="AE90">
            <v>150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P90">
            <v>150</v>
          </cell>
        </row>
        <row r="91">
          <cell r="G91">
            <v>1238020</v>
          </cell>
          <cell r="H91" t="str">
            <v>심양</v>
          </cell>
          <cell r="I91">
            <v>292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-292</v>
          </cell>
          <cell r="R91">
            <v>0</v>
          </cell>
          <cell r="S91">
            <v>0</v>
          </cell>
          <cell r="T91">
            <v>0</v>
          </cell>
          <cell r="U91">
            <v>-292</v>
          </cell>
          <cell r="AP91">
            <v>0</v>
          </cell>
        </row>
        <row r="92">
          <cell r="G92">
            <v>1236033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AP92">
            <v>0</v>
          </cell>
        </row>
        <row r="93">
          <cell r="G93">
            <v>1234110</v>
          </cell>
          <cell r="H93" t="str">
            <v>심양</v>
          </cell>
          <cell r="I93">
            <v>10</v>
          </cell>
          <cell r="J93">
            <v>250</v>
          </cell>
          <cell r="K93">
            <v>0</v>
          </cell>
          <cell r="L93">
            <v>0</v>
          </cell>
          <cell r="M93">
            <v>341</v>
          </cell>
          <cell r="N93">
            <v>0</v>
          </cell>
          <cell r="O93">
            <v>50</v>
          </cell>
          <cell r="P93">
            <v>0</v>
          </cell>
          <cell r="Q93">
            <v>331</v>
          </cell>
          <cell r="R93">
            <v>-250</v>
          </cell>
          <cell r="S93">
            <v>50</v>
          </cell>
          <cell r="T93">
            <v>0</v>
          </cell>
          <cell r="U93">
            <v>131</v>
          </cell>
          <cell r="AB93">
            <v>0</v>
          </cell>
          <cell r="AC93">
            <v>0</v>
          </cell>
          <cell r="AD93">
            <v>341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50</v>
          </cell>
          <cell r="AM93">
            <v>0</v>
          </cell>
          <cell r="AN93">
            <v>0</v>
          </cell>
          <cell r="AP93">
            <v>50</v>
          </cell>
        </row>
        <row r="94">
          <cell r="G94">
            <v>1236034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40</v>
          </cell>
          <cell r="N94">
            <v>0</v>
          </cell>
          <cell r="O94">
            <v>0</v>
          </cell>
          <cell r="P94">
            <v>0</v>
          </cell>
          <cell r="Q94">
            <v>40</v>
          </cell>
          <cell r="R94">
            <v>0</v>
          </cell>
          <cell r="S94">
            <v>0</v>
          </cell>
          <cell r="T94">
            <v>0</v>
          </cell>
          <cell r="U94">
            <v>40</v>
          </cell>
          <cell r="AB94">
            <v>0</v>
          </cell>
          <cell r="AC94">
            <v>40</v>
          </cell>
          <cell r="AP94">
            <v>0</v>
          </cell>
        </row>
        <row r="95">
          <cell r="G95">
            <v>1234217</v>
          </cell>
          <cell r="H95" t="str">
            <v>심양</v>
          </cell>
          <cell r="I95">
            <v>0</v>
          </cell>
          <cell r="J95">
            <v>250</v>
          </cell>
          <cell r="K95">
            <v>0</v>
          </cell>
          <cell r="L95">
            <v>0</v>
          </cell>
          <cell r="M95">
            <v>244</v>
          </cell>
          <cell r="N95">
            <v>0</v>
          </cell>
          <cell r="O95">
            <v>50</v>
          </cell>
          <cell r="P95">
            <v>0</v>
          </cell>
          <cell r="Q95">
            <v>244</v>
          </cell>
          <cell r="R95">
            <v>-250</v>
          </cell>
          <cell r="S95">
            <v>50</v>
          </cell>
          <cell r="T95">
            <v>0</v>
          </cell>
          <cell r="U95">
            <v>44</v>
          </cell>
          <cell r="AB95">
            <v>0</v>
          </cell>
          <cell r="AC95">
            <v>24</v>
          </cell>
          <cell r="AD95">
            <v>220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50</v>
          </cell>
          <cell r="AP95">
            <v>50</v>
          </cell>
        </row>
        <row r="96">
          <cell r="G96">
            <v>1221154</v>
          </cell>
          <cell r="H96" t="str">
            <v>심양</v>
          </cell>
          <cell r="I96">
            <v>0</v>
          </cell>
          <cell r="J96">
            <v>50</v>
          </cell>
          <cell r="K96">
            <v>0</v>
          </cell>
          <cell r="L96">
            <v>0</v>
          </cell>
          <cell r="M96">
            <v>50</v>
          </cell>
          <cell r="N96">
            <v>0</v>
          </cell>
          <cell r="O96">
            <v>0</v>
          </cell>
          <cell r="P96">
            <v>0</v>
          </cell>
          <cell r="Q96">
            <v>50</v>
          </cell>
          <cell r="R96">
            <v>-50</v>
          </cell>
          <cell r="S96">
            <v>0</v>
          </cell>
          <cell r="T96">
            <v>0</v>
          </cell>
          <cell r="U96">
            <v>0</v>
          </cell>
          <cell r="AC96">
            <v>50</v>
          </cell>
          <cell r="AP96">
            <v>0</v>
          </cell>
        </row>
        <row r="97">
          <cell r="G97">
            <v>1229673</v>
          </cell>
          <cell r="H97" t="str">
            <v>심양</v>
          </cell>
          <cell r="I97">
            <v>3648</v>
          </cell>
          <cell r="J97">
            <v>3900</v>
          </cell>
          <cell r="K97">
            <v>3800</v>
          </cell>
          <cell r="L97">
            <v>0</v>
          </cell>
          <cell r="M97">
            <v>4266</v>
          </cell>
          <cell r="N97">
            <v>2800</v>
          </cell>
          <cell r="O97">
            <v>5100</v>
          </cell>
          <cell r="P97">
            <v>0</v>
          </cell>
          <cell r="Q97">
            <v>618</v>
          </cell>
          <cell r="R97">
            <v>-1100</v>
          </cell>
          <cell r="S97">
            <v>1300</v>
          </cell>
          <cell r="T97">
            <v>0</v>
          </cell>
          <cell r="U97">
            <v>818</v>
          </cell>
          <cell r="AB97">
            <v>1042</v>
          </cell>
          <cell r="AC97">
            <v>1200</v>
          </cell>
          <cell r="AD97">
            <v>1224</v>
          </cell>
          <cell r="AE97">
            <v>800</v>
          </cell>
          <cell r="AF97">
            <v>900</v>
          </cell>
          <cell r="AG97">
            <v>900</v>
          </cell>
          <cell r="AH97">
            <v>400</v>
          </cell>
          <cell r="AI97">
            <v>600</v>
          </cell>
          <cell r="AJ97">
            <v>900</v>
          </cell>
          <cell r="AK97">
            <v>1000</v>
          </cell>
          <cell r="AL97">
            <v>1000</v>
          </cell>
          <cell r="AM97">
            <v>900</v>
          </cell>
          <cell r="AN97">
            <v>1300</v>
          </cell>
          <cell r="AP97">
            <v>8700</v>
          </cell>
        </row>
        <row r="98">
          <cell r="G98">
            <v>1230854</v>
          </cell>
          <cell r="H98" t="str">
            <v>심양</v>
          </cell>
          <cell r="I98">
            <v>300</v>
          </cell>
          <cell r="J98">
            <v>300</v>
          </cell>
          <cell r="K98">
            <v>200</v>
          </cell>
          <cell r="L98">
            <v>0</v>
          </cell>
          <cell r="M98">
            <v>224</v>
          </cell>
          <cell r="N98">
            <v>200</v>
          </cell>
          <cell r="O98">
            <v>200</v>
          </cell>
          <cell r="P98">
            <v>0</v>
          </cell>
          <cell r="Q98">
            <v>-76</v>
          </cell>
          <cell r="R98">
            <v>-100</v>
          </cell>
          <cell r="S98">
            <v>0</v>
          </cell>
          <cell r="T98">
            <v>0</v>
          </cell>
          <cell r="U98">
            <v>-176</v>
          </cell>
          <cell r="AB98">
            <v>0</v>
          </cell>
          <cell r="AC98">
            <v>224</v>
          </cell>
          <cell r="AD98">
            <v>0</v>
          </cell>
          <cell r="AE98">
            <v>0</v>
          </cell>
          <cell r="AF98">
            <v>0</v>
          </cell>
          <cell r="AG98">
            <v>200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200</v>
          </cell>
          <cell r="AM98">
            <v>0</v>
          </cell>
          <cell r="AN98">
            <v>0</v>
          </cell>
          <cell r="AP98">
            <v>400</v>
          </cell>
        </row>
        <row r="99">
          <cell r="G99">
            <v>1231469</v>
          </cell>
          <cell r="H99" t="str">
            <v>심양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AP99">
            <v>0</v>
          </cell>
        </row>
        <row r="100">
          <cell r="G100">
            <v>1226488</v>
          </cell>
          <cell r="H100" t="str">
            <v>심양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AP100">
            <v>0</v>
          </cell>
        </row>
        <row r="101">
          <cell r="G101">
            <v>1226384</v>
          </cell>
          <cell r="H101" t="str">
            <v>심양</v>
          </cell>
          <cell r="I101">
            <v>1060</v>
          </cell>
          <cell r="J101">
            <v>1038</v>
          </cell>
          <cell r="K101">
            <v>600</v>
          </cell>
          <cell r="L101">
            <v>0</v>
          </cell>
          <cell r="M101">
            <v>860</v>
          </cell>
          <cell r="N101">
            <v>1660</v>
          </cell>
          <cell r="O101">
            <v>900</v>
          </cell>
          <cell r="P101">
            <v>0</v>
          </cell>
          <cell r="Q101">
            <v>-200</v>
          </cell>
          <cell r="R101">
            <v>622</v>
          </cell>
          <cell r="S101">
            <v>300</v>
          </cell>
          <cell r="T101">
            <v>0</v>
          </cell>
          <cell r="U101">
            <v>722</v>
          </cell>
          <cell r="AB101">
            <v>0</v>
          </cell>
          <cell r="AC101">
            <v>860</v>
          </cell>
          <cell r="AD101">
            <v>0</v>
          </cell>
          <cell r="AE101">
            <v>0</v>
          </cell>
          <cell r="AF101">
            <v>1160</v>
          </cell>
          <cell r="AG101">
            <v>200</v>
          </cell>
          <cell r="AH101">
            <v>0</v>
          </cell>
          <cell r="AI101">
            <v>300</v>
          </cell>
          <cell r="AJ101">
            <v>300</v>
          </cell>
          <cell r="AK101">
            <v>0</v>
          </cell>
          <cell r="AL101">
            <v>0</v>
          </cell>
          <cell r="AM101">
            <v>400</v>
          </cell>
          <cell r="AN101">
            <v>200</v>
          </cell>
          <cell r="AP101">
            <v>2560</v>
          </cell>
        </row>
        <row r="102">
          <cell r="G102">
            <v>1227431</v>
          </cell>
          <cell r="H102" t="str">
            <v>심양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96</v>
          </cell>
          <cell r="O102">
            <v>0</v>
          </cell>
          <cell r="P102">
            <v>0</v>
          </cell>
          <cell r="Q102">
            <v>0</v>
          </cell>
          <cell r="R102">
            <v>96</v>
          </cell>
          <cell r="S102">
            <v>0</v>
          </cell>
          <cell r="T102">
            <v>0</v>
          </cell>
          <cell r="U102">
            <v>96</v>
          </cell>
          <cell r="AG102">
            <v>96</v>
          </cell>
          <cell r="AP102">
            <v>96</v>
          </cell>
        </row>
        <row r="103">
          <cell r="G103">
            <v>1226388</v>
          </cell>
          <cell r="H103" t="str">
            <v>심양</v>
          </cell>
          <cell r="I103">
            <v>1060</v>
          </cell>
          <cell r="J103">
            <v>1038</v>
          </cell>
          <cell r="K103">
            <v>600</v>
          </cell>
          <cell r="L103">
            <v>0</v>
          </cell>
          <cell r="M103">
            <v>860</v>
          </cell>
          <cell r="N103">
            <v>1660</v>
          </cell>
          <cell r="O103">
            <v>900</v>
          </cell>
          <cell r="P103">
            <v>0</v>
          </cell>
          <cell r="Q103">
            <v>-200</v>
          </cell>
          <cell r="R103">
            <v>622</v>
          </cell>
          <cell r="S103">
            <v>300</v>
          </cell>
          <cell r="T103">
            <v>0</v>
          </cell>
          <cell r="U103">
            <v>722</v>
          </cell>
          <cell r="AB103">
            <v>0</v>
          </cell>
          <cell r="AC103">
            <v>860</v>
          </cell>
          <cell r="AD103">
            <v>0</v>
          </cell>
          <cell r="AE103">
            <v>0</v>
          </cell>
          <cell r="AF103">
            <v>1160</v>
          </cell>
          <cell r="AG103">
            <v>200</v>
          </cell>
          <cell r="AH103">
            <v>0</v>
          </cell>
          <cell r="AI103">
            <v>300</v>
          </cell>
          <cell r="AJ103">
            <v>300</v>
          </cell>
          <cell r="AK103">
            <v>0</v>
          </cell>
          <cell r="AL103">
            <v>0</v>
          </cell>
          <cell r="AM103">
            <v>400</v>
          </cell>
          <cell r="AN103">
            <v>200</v>
          </cell>
          <cell r="AP103">
            <v>2560</v>
          </cell>
        </row>
        <row r="104">
          <cell r="G104">
            <v>1227433</v>
          </cell>
          <cell r="H104" t="str">
            <v>심양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96</v>
          </cell>
          <cell r="O104">
            <v>0</v>
          </cell>
          <cell r="P104">
            <v>0</v>
          </cell>
          <cell r="Q104">
            <v>0</v>
          </cell>
          <cell r="R104">
            <v>96</v>
          </cell>
          <cell r="S104">
            <v>0</v>
          </cell>
          <cell r="T104">
            <v>0</v>
          </cell>
          <cell r="U104">
            <v>96</v>
          </cell>
          <cell r="AG104">
            <v>96</v>
          </cell>
          <cell r="AP104">
            <v>96</v>
          </cell>
        </row>
        <row r="105">
          <cell r="G105">
            <v>1231896</v>
          </cell>
          <cell r="H105" t="str">
            <v>심양</v>
          </cell>
          <cell r="I105">
            <v>1037</v>
          </cell>
          <cell r="J105">
            <v>0</v>
          </cell>
          <cell r="K105">
            <v>0</v>
          </cell>
          <cell r="L105">
            <v>0</v>
          </cell>
          <cell r="M105">
            <v>357</v>
          </cell>
          <cell r="N105">
            <v>0</v>
          </cell>
          <cell r="O105">
            <v>0</v>
          </cell>
          <cell r="P105">
            <v>0</v>
          </cell>
          <cell r="Q105">
            <v>-680</v>
          </cell>
          <cell r="R105">
            <v>0</v>
          </cell>
          <cell r="S105">
            <v>0</v>
          </cell>
          <cell r="T105">
            <v>0</v>
          </cell>
          <cell r="U105">
            <v>-680</v>
          </cell>
          <cell r="AB105">
            <v>0</v>
          </cell>
          <cell r="AC105">
            <v>357</v>
          </cell>
          <cell r="AD105">
            <v>0</v>
          </cell>
          <cell r="AP105">
            <v>0</v>
          </cell>
        </row>
        <row r="106">
          <cell r="G106">
            <v>1237586</v>
          </cell>
          <cell r="H106" t="str">
            <v>심양</v>
          </cell>
          <cell r="I106">
            <v>6845</v>
          </cell>
          <cell r="J106">
            <v>7656</v>
          </cell>
          <cell r="K106">
            <v>6010</v>
          </cell>
          <cell r="L106">
            <v>0</v>
          </cell>
          <cell r="M106">
            <v>9122</v>
          </cell>
          <cell r="N106">
            <v>7288</v>
          </cell>
          <cell r="O106">
            <v>8960</v>
          </cell>
          <cell r="P106">
            <v>0</v>
          </cell>
          <cell r="Q106">
            <v>2277</v>
          </cell>
          <cell r="R106">
            <v>-368</v>
          </cell>
          <cell r="S106">
            <v>2950</v>
          </cell>
          <cell r="T106">
            <v>0</v>
          </cell>
          <cell r="U106">
            <v>4859</v>
          </cell>
          <cell r="AB106">
            <v>2010</v>
          </cell>
          <cell r="AC106">
            <v>2200</v>
          </cell>
          <cell r="AD106">
            <v>2672</v>
          </cell>
          <cell r="AE106">
            <v>2240</v>
          </cell>
          <cell r="AF106">
            <v>1792</v>
          </cell>
          <cell r="AG106">
            <v>2240</v>
          </cell>
          <cell r="AH106">
            <v>1912</v>
          </cell>
          <cell r="AI106">
            <v>1344</v>
          </cell>
          <cell r="AJ106">
            <v>1344</v>
          </cell>
          <cell r="AK106">
            <v>1792</v>
          </cell>
          <cell r="AL106">
            <v>1792</v>
          </cell>
          <cell r="AM106">
            <v>1792</v>
          </cell>
          <cell r="AN106">
            <v>2240</v>
          </cell>
          <cell r="AP106">
            <v>18488</v>
          </cell>
        </row>
        <row r="107">
          <cell r="G107">
            <v>1231898</v>
          </cell>
          <cell r="H107" t="str">
            <v>심양</v>
          </cell>
          <cell r="I107">
            <v>7995</v>
          </cell>
          <cell r="J107">
            <v>7656</v>
          </cell>
          <cell r="K107">
            <v>6010</v>
          </cell>
          <cell r="L107">
            <v>0</v>
          </cell>
          <cell r="M107">
            <v>9606</v>
          </cell>
          <cell r="N107">
            <v>7288</v>
          </cell>
          <cell r="O107">
            <v>8960</v>
          </cell>
          <cell r="P107">
            <v>0</v>
          </cell>
          <cell r="Q107">
            <v>1611</v>
          </cell>
          <cell r="R107">
            <v>-368</v>
          </cell>
          <cell r="S107">
            <v>2950</v>
          </cell>
          <cell r="T107">
            <v>0</v>
          </cell>
          <cell r="U107">
            <v>4193</v>
          </cell>
          <cell r="AB107">
            <v>3850</v>
          </cell>
          <cell r="AC107">
            <v>2180</v>
          </cell>
          <cell r="AD107">
            <v>1336</v>
          </cell>
          <cell r="AE107">
            <v>2240</v>
          </cell>
          <cell r="AF107">
            <v>1792</v>
          </cell>
          <cell r="AG107">
            <v>2240</v>
          </cell>
          <cell r="AH107">
            <v>1912</v>
          </cell>
          <cell r="AI107">
            <v>1344</v>
          </cell>
          <cell r="AJ107">
            <v>1344</v>
          </cell>
          <cell r="AK107">
            <v>1792</v>
          </cell>
          <cell r="AL107">
            <v>1792</v>
          </cell>
          <cell r="AM107">
            <v>1792</v>
          </cell>
          <cell r="AN107">
            <v>2240</v>
          </cell>
          <cell r="AP107">
            <v>18488</v>
          </cell>
        </row>
        <row r="108">
          <cell r="G108">
            <v>1225033</v>
          </cell>
          <cell r="H108" t="str">
            <v>심양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AP108">
            <v>0</v>
          </cell>
        </row>
        <row r="109">
          <cell r="G109">
            <v>1236091</v>
          </cell>
          <cell r="H109" t="str">
            <v>심양</v>
          </cell>
          <cell r="I109">
            <v>646</v>
          </cell>
          <cell r="J109">
            <v>550</v>
          </cell>
          <cell r="K109">
            <v>650</v>
          </cell>
          <cell r="L109">
            <v>0</v>
          </cell>
          <cell r="M109">
            <v>572</v>
          </cell>
          <cell r="N109">
            <v>650</v>
          </cell>
          <cell r="O109">
            <v>650</v>
          </cell>
          <cell r="P109">
            <v>0</v>
          </cell>
          <cell r="Q109">
            <v>-74</v>
          </cell>
          <cell r="R109">
            <v>100</v>
          </cell>
          <cell r="S109">
            <v>0</v>
          </cell>
          <cell r="T109">
            <v>0</v>
          </cell>
          <cell r="U109">
            <v>26</v>
          </cell>
          <cell r="AB109">
            <v>324</v>
          </cell>
          <cell r="AC109">
            <v>248</v>
          </cell>
          <cell r="AD109">
            <v>0</v>
          </cell>
          <cell r="AE109">
            <v>0</v>
          </cell>
          <cell r="AF109">
            <v>200</v>
          </cell>
          <cell r="AG109">
            <v>250</v>
          </cell>
          <cell r="AH109">
            <v>0</v>
          </cell>
          <cell r="AI109">
            <v>200</v>
          </cell>
          <cell r="AJ109">
            <v>0</v>
          </cell>
          <cell r="AK109">
            <v>300</v>
          </cell>
          <cell r="AL109">
            <v>350</v>
          </cell>
          <cell r="AM109">
            <v>0</v>
          </cell>
          <cell r="AN109">
            <v>0</v>
          </cell>
          <cell r="AP109">
            <v>1300</v>
          </cell>
        </row>
        <row r="110">
          <cell r="G110">
            <v>1229812</v>
          </cell>
          <cell r="H110" t="str">
            <v>심양</v>
          </cell>
          <cell r="I110">
            <v>528</v>
          </cell>
          <cell r="J110">
            <v>0</v>
          </cell>
          <cell r="K110">
            <v>0</v>
          </cell>
          <cell r="L110">
            <v>0</v>
          </cell>
          <cell r="M110">
            <v>144</v>
          </cell>
          <cell r="N110">
            <v>0</v>
          </cell>
          <cell r="O110">
            <v>0</v>
          </cell>
          <cell r="P110">
            <v>0</v>
          </cell>
          <cell r="Q110">
            <v>-384</v>
          </cell>
          <cell r="R110">
            <v>0</v>
          </cell>
          <cell r="S110">
            <v>0</v>
          </cell>
          <cell r="T110">
            <v>0</v>
          </cell>
          <cell r="U110">
            <v>-384</v>
          </cell>
          <cell r="AB110">
            <v>0</v>
          </cell>
          <cell r="AC110">
            <v>144</v>
          </cell>
          <cell r="AP110">
            <v>0</v>
          </cell>
        </row>
        <row r="111">
          <cell r="G111">
            <v>1230767</v>
          </cell>
          <cell r="H111" t="str">
            <v>심양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AP111">
            <v>0</v>
          </cell>
        </row>
        <row r="112">
          <cell r="G112">
            <v>1237088</v>
          </cell>
          <cell r="H112" t="str">
            <v>심양</v>
          </cell>
          <cell r="I112">
            <v>19527</v>
          </cell>
          <cell r="J112">
            <v>16700</v>
          </cell>
          <cell r="K112">
            <v>17000</v>
          </cell>
          <cell r="L112">
            <v>0</v>
          </cell>
          <cell r="M112">
            <v>18421</v>
          </cell>
          <cell r="N112">
            <v>14838</v>
          </cell>
          <cell r="O112">
            <v>19708</v>
          </cell>
          <cell r="P112">
            <v>0</v>
          </cell>
          <cell r="Q112">
            <v>-1106</v>
          </cell>
          <cell r="R112">
            <v>-1862</v>
          </cell>
          <cell r="S112">
            <v>2708</v>
          </cell>
          <cell r="T112">
            <v>0</v>
          </cell>
          <cell r="U112">
            <v>-260</v>
          </cell>
          <cell r="AB112">
            <v>5389</v>
          </cell>
          <cell r="AC112">
            <v>5776</v>
          </cell>
          <cell r="AD112">
            <v>4860</v>
          </cell>
          <cell r="AE112">
            <v>2396</v>
          </cell>
          <cell r="AF112">
            <v>3488</v>
          </cell>
          <cell r="AG112">
            <v>4500</v>
          </cell>
          <cell r="AH112">
            <v>2950</v>
          </cell>
          <cell r="AI112">
            <v>3900</v>
          </cell>
          <cell r="AJ112">
            <v>3384</v>
          </cell>
          <cell r="AK112">
            <v>3724</v>
          </cell>
          <cell r="AL112">
            <v>3400</v>
          </cell>
          <cell r="AM112">
            <v>3300</v>
          </cell>
          <cell r="AN112">
            <v>5900</v>
          </cell>
          <cell r="AP112">
            <v>36942</v>
          </cell>
        </row>
        <row r="113">
          <cell r="G113">
            <v>1239651</v>
          </cell>
          <cell r="H113" t="str">
            <v>심양</v>
          </cell>
          <cell r="I113">
            <v>2760</v>
          </cell>
          <cell r="J113">
            <v>2150</v>
          </cell>
          <cell r="K113">
            <v>4200</v>
          </cell>
          <cell r="L113">
            <v>0</v>
          </cell>
          <cell r="M113">
            <v>1165</v>
          </cell>
          <cell r="N113">
            <v>1300</v>
          </cell>
          <cell r="O113">
            <v>1700</v>
          </cell>
          <cell r="P113">
            <v>0</v>
          </cell>
          <cell r="Q113">
            <v>-1595</v>
          </cell>
          <cell r="R113">
            <v>-850</v>
          </cell>
          <cell r="S113">
            <v>-2500</v>
          </cell>
          <cell r="T113">
            <v>0</v>
          </cell>
          <cell r="U113">
            <v>-4945</v>
          </cell>
          <cell r="AB113">
            <v>0</v>
          </cell>
          <cell r="AC113">
            <v>250</v>
          </cell>
          <cell r="AD113">
            <v>515</v>
          </cell>
          <cell r="AE113">
            <v>400</v>
          </cell>
          <cell r="AF113">
            <v>0</v>
          </cell>
          <cell r="AG113">
            <v>800</v>
          </cell>
          <cell r="AH113">
            <v>0</v>
          </cell>
          <cell r="AI113">
            <v>500</v>
          </cell>
          <cell r="AJ113">
            <v>200</v>
          </cell>
          <cell r="AK113">
            <v>300</v>
          </cell>
          <cell r="AL113">
            <v>500</v>
          </cell>
          <cell r="AM113">
            <v>200</v>
          </cell>
          <cell r="AN113">
            <v>500</v>
          </cell>
          <cell r="AP113">
            <v>3400</v>
          </cell>
        </row>
        <row r="114">
          <cell r="G114">
            <v>1233577</v>
          </cell>
          <cell r="H114" t="str">
            <v>심양</v>
          </cell>
          <cell r="I114">
            <v>596</v>
          </cell>
          <cell r="J114">
            <v>0</v>
          </cell>
          <cell r="K114">
            <v>0</v>
          </cell>
          <cell r="L114">
            <v>0</v>
          </cell>
          <cell r="M114">
            <v>77</v>
          </cell>
          <cell r="N114">
            <v>316</v>
          </cell>
          <cell r="O114">
            <v>0</v>
          </cell>
          <cell r="P114">
            <v>0</v>
          </cell>
          <cell r="Q114">
            <v>-519</v>
          </cell>
          <cell r="R114">
            <v>316</v>
          </cell>
          <cell r="S114">
            <v>0</v>
          </cell>
          <cell r="T114">
            <v>0</v>
          </cell>
          <cell r="U114">
            <v>-203</v>
          </cell>
          <cell r="AC114">
            <v>14</v>
          </cell>
          <cell r="AD114">
            <v>63</v>
          </cell>
          <cell r="AE114">
            <v>0</v>
          </cell>
          <cell r="AF114">
            <v>316</v>
          </cell>
          <cell r="AP114">
            <v>316</v>
          </cell>
        </row>
        <row r="115">
          <cell r="G115">
            <v>1233761</v>
          </cell>
          <cell r="H115" t="str">
            <v>심양</v>
          </cell>
          <cell r="I115">
            <v>889</v>
          </cell>
          <cell r="J115">
            <v>500</v>
          </cell>
          <cell r="K115">
            <v>950</v>
          </cell>
          <cell r="L115">
            <v>0</v>
          </cell>
          <cell r="M115">
            <v>668</v>
          </cell>
          <cell r="N115">
            <v>750</v>
          </cell>
          <cell r="O115">
            <v>650</v>
          </cell>
          <cell r="P115">
            <v>0</v>
          </cell>
          <cell r="Q115">
            <v>-221</v>
          </cell>
          <cell r="R115">
            <v>250</v>
          </cell>
          <cell r="S115">
            <v>-300</v>
          </cell>
          <cell r="T115">
            <v>0</v>
          </cell>
          <cell r="U115">
            <v>-271</v>
          </cell>
          <cell r="AB115">
            <v>215</v>
          </cell>
          <cell r="AC115">
            <v>278</v>
          </cell>
          <cell r="AD115">
            <v>175</v>
          </cell>
          <cell r="AE115">
            <v>0</v>
          </cell>
          <cell r="AF115">
            <v>200</v>
          </cell>
          <cell r="AG115">
            <v>350</v>
          </cell>
          <cell r="AH115">
            <v>0</v>
          </cell>
          <cell r="AI115">
            <v>200</v>
          </cell>
          <cell r="AJ115">
            <v>0</v>
          </cell>
          <cell r="AK115">
            <v>200</v>
          </cell>
          <cell r="AL115">
            <v>0</v>
          </cell>
          <cell r="AM115">
            <v>250</v>
          </cell>
          <cell r="AN115">
            <v>200</v>
          </cell>
          <cell r="AP115">
            <v>1400</v>
          </cell>
        </row>
        <row r="116">
          <cell r="G116">
            <v>1236962</v>
          </cell>
          <cell r="H116" t="str">
            <v>심양</v>
          </cell>
          <cell r="I116">
            <v>5040</v>
          </cell>
          <cell r="J116">
            <v>2800</v>
          </cell>
          <cell r="K116">
            <v>5700</v>
          </cell>
          <cell r="L116">
            <v>0</v>
          </cell>
          <cell r="M116">
            <v>4743</v>
          </cell>
          <cell r="N116">
            <v>3200</v>
          </cell>
          <cell r="O116">
            <v>5100</v>
          </cell>
          <cell r="P116">
            <v>0</v>
          </cell>
          <cell r="Q116">
            <v>-297</v>
          </cell>
          <cell r="R116">
            <v>400</v>
          </cell>
          <cell r="S116">
            <v>-600</v>
          </cell>
          <cell r="T116">
            <v>0</v>
          </cell>
          <cell r="U116">
            <v>-497</v>
          </cell>
          <cell r="AB116">
            <v>1320</v>
          </cell>
          <cell r="AC116">
            <v>1075</v>
          </cell>
          <cell r="AD116">
            <v>1458</v>
          </cell>
          <cell r="AE116">
            <v>890</v>
          </cell>
          <cell r="AF116">
            <v>900</v>
          </cell>
          <cell r="AG116">
            <v>1000</v>
          </cell>
          <cell r="AH116">
            <v>500</v>
          </cell>
          <cell r="AI116">
            <v>800</v>
          </cell>
          <cell r="AJ116">
            <v>700</v>
          </cell>
          <cell r="AK116">
            <v>900</v>
          </cell>
          <cell r="AL116">
            <v>900</v>
          </cell>
          <cell r="AM116">
            <v>900</v>
          </cell>
          <cell r="AN116">
            <v>1700</v>
          </cell>
          <cell r="AP116">
            <v>9190</v>
          </cell>
        </row>
        <row r="117">
          <cell r="G117">
            <v>1240308</v>
          </cell>
          <cell r="H117" t="str">
            <v>심양</v>
          </cell>
          <cell r="I117">
            <v>900</v>
          </cell>
          <cell r="J117">
            <v>550</v>
          </cell>
          <cell r="K117">
            <v>800</v>
          </cell>
          <cell r="L117">
            <v>0</v>
          </cell>
          <cell r="M117">
            <v>3250</v>
          </cell>
          <cell r="N117">
            <v>2400</v>
          </cell>
          <cell r="O117">
            <v>2750</v>
          </cell>
          <cell r="P117">
            <v>0</v>
          </cell>
          <cell r="R117">
            <v>1850</v>
          </cell>
          <cell r="S117">
            <v>1950</v>
          </cell>
          <cell r="T117">
            <v>0</v>
          </cell>
          <cell r="AB117">
            <v>1000</v>
          </cell>
          <cell r="AC117">
            <v>750</v>
          </cell>
          <cell r="AD117">
            <v>750</v>
          </cell>
          <cell r="AE117">
            <v>750</v>
          </cell>
          <cell r="AF117">
            <v>750</v>
          </cell>
          <cell r="AG117">
            <v>850</v>
          </cell>
          <cell r="AH117">
            <v>200</v>
          </cell>
          <cell r="AI117">
            <v>600</v>
          </cell>
          <cell r="AJ117">
            <v>350</v>
          </cell>
          <cell r="AK117">
            <v>750</v>
          </cell>
          <cell r="AL117">
            <v>650</v>
          </cell>
          <cell r="AM117">
            <v>550</v>
          </cell>
          <cell r="AN117">
            <v>450</v>
          </cell>
          <cell r="AP117">
            <v>5900</v>
          </cell>
        </row>
        <row r="118">
          <cell r="G118">
            <v>9239063</v>
          </cell>
          <cell r="H118" t="str">
            <v>심양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AP118">
            <v>0</v>
          </cell>
        </row>
        <row r="119">
          <cell r="G119">
            <v>9232864</v>
          </cell>
          <cell r="H119" t="str">
            <v>심양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AP119">
            <v>0</v>
          </cell>
        </row>
        <row r="120">
          <cell r="G120">
            <v>1234837</v>
          </cell>
          <cell r="H120" t="str">
            <v>청도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AP120">
            <v>0</v>
          </cell>
        </row>
        <row r="121">
          <cell r="H121" t="str">
            <v>청도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AP121">
            <v>0</v>
          </cell>
        </row>
        <row r="122">
          <cell r="H122" t="str">
            <v>청도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AP122">
            <v>0</v>
          </cell>
        </row>
        <row r="123"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AP123">
            <v>0</v>
          </cell>
        </row>
        <row r="124">
          <cell r="G124">
            <v>1231202</v>
          </cell>
          <cell r="H124" t="str">
            <v>청도</v>
          </cell>
          <cell r="I124">
            <v>0</v>
          </cell>
          <cell r="J124">
            <v>150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150</v>
          </cell>
          <cell r="P124">
            <v>0</v>
          </cell>
          <cell r="Q124">
            <v>0</v>
          </cell>
          <cell r="R124">
            <v>-150</v>
          </cell>
          <cell r="S124">
            <v>150</v>
          </cell>
          <cell r="T124">
            <v>0</v>
          </cell>
          <cell r="U124">
            <v>0</v>
          </cell>
          <cell r="AJ124">
            <v>150</v>
          </cell>
          <cell r="AP124">
            <v>150</v>
          </cell>
        </row>
        <row r="125">
          <cell r="G125">
            <v>1234222</v>
          </cell>
          <cell r="H125" t="str">
            <v>청도</v>
          </cell>
          <cell r="I125">
            <v>435</v>
          </cell>
          <cell r="J125">
            <v>868</v>
          </cell>
          <cell r="K125">
            <v>868</v>
          </cell>
          <cell r="L125">
            <v>0</v>
          </cell>
          <cell r="M125">
            <v>730</v>
          </cell>
          <cell r="N125">
            <v>868</v>
          </cell>
          <cell r="O125">
            <v>777</v>
          </cell>
          <cell r="P125">
            <v>0</v>
          </cell>
          <cell r="Q125">
            <v>295</v>
          </cell>
          <cell r="R125">
            <v>0</v>
          </cell>
          <cell r="S125">
            <v>-91</v>
          </cell>
          <cell r="T125">
            <v>0</v>
          </cell>
          <cell r="U125">
            <v>204</v>
          </cell>
          <cell r="AD125">
            <v>478</v>
          </cell>
          <cell r="AE125">
            <v>252</v>
          </cell>
          <cell r="AF125">
            <v>0</v>
          </cell>
          <cell r="AG125">
            <v>868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777</v>
          </cell>
          <cell r="AN125">
            <v>0</v>
          </cell>
          <cell r="AP125">
            <v>1897</v>
          </cell>
        </row>
        <row r="126">
          <cell r="G126">
            <v>1234116</v>
          </cell>
          <cell r="H126" t="str">
            <v>청도</v>
          </cell>
          <cell r="I126">
            <v>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-2</v>
          </cell>
          <cell r="R126">
            <v>0</v>
          </cell>
          <cell r="S126">
            <v>0</v>
          </cell>
          <cell r="T126">
            <v>0</v>
          </cell>
          <cell r="U126">
            <v>-2</v>
          </cell>
          <cell r="AP126">
            <v>0</v>
          </cell>
        </row>
        <row r="127">
          <cell r="H127" t="str">
            <v>청도</v>
          </cell>
          <cell r="I127">
            <v>0</v>
          </cell>
          <cell r="J127">
            <v>1440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-1440</v>
          </cell>
          <cell r="S127">
            <v>0</v>
          </cell>
          <cell r="T127">
            <v>0</v>
          </cell>
          <cell r="U127">
            <v>-1440</v>
          </cell>
          <cell r="AP127">
            <v>0</v>
          </cell>
        </row>
        <row r="128">
          <cell r="I128">
            <v>2000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-2000</v>
          </cell>
          <cell r="R128">
            <v>0</v>
          </cell>
          <cell r="S128">
            <v>0</v>
          </cell>
          <cell r="T128">
            <v>0</v>
          </cell>
          <cell r="U128">
            <v>-2000</v>
          </cell>
          <cell r="AP128">
            <v>0</v>
          </cell>
        </row>
        <row r="129">
          <cell r="H129" t="str">
            <v>청도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AP129">
            <v>0</v>
          </cell>
        </row>
        <row r="130">
          <cell r="H130" t="str">
            <v>청도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AP130">
            <v>0</v>
          </cell>
        </row>
        <row r="131">
          <cell r="H131" t="str">
            <v>청도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AP131">
            <v>0</v>
          </cell>
        </row>
        <row r="132">
          <cell r="H132" t="str">
            <v>청도</v>
          </cell>
          <cell r="I132">
            <v>1440</v>
          </cell>
          <cell r="J132">
            <v>2880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-1440</v>
          </cell>
          <cell r="R132">
            <v>-2880</v>
          </cell>
          <cell r="S132">
            <v>0</v>
          </cell>
          <cell r="T132">
            <v>0</v>
          </cell>
          <cell r="U132">
            <v>-4320</v>
          </cell>
          <cell r="AP132">
            <v>0</v>
          </cell>
        </row>
        <row r="133">
          <cell r="H133" t="str">
            <v>청도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AP133">
            <v>0</v>
          </cell>
        </row>
        <row r="134">
          <cell r="H134" t="str">
            <v>청도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AP134">
            <v>0</v>
          </cell>
        </row>
        <row r="135"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AP135">
            <v>0</v>
          </cell>
        </row>
        <row r="136">
          <cell r="H136" t="str">
            <v>청도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AP136">
            <v>0</v>
          </cell>
        </row>
        <row r="137">
          <cell r="H137" t="str">
            <v>청도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AP137">
            <v>0</v>
          </cell>
        </row>
        <row r="138">
          <cell r="H138" t="str">
            <v>청도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AP138">
            <v>0</v>
          </cell>
        </row>
        <row r="139">
          <cell r="H139" t="str">
            <v>청도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AP139">
            <v>0</v>
          </cell>
        </row>
        <row r="140">
          <cell r="H140" t="str">
            <v>청도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AP140">
            <v>0</v>
          </cell>
        </row>
        <row r="141">
          <cell r="H141" t="str">
            <v>청도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AP141">
            <v>0</v>
          </cell>
        </row>
        <row r="142">
          <cell r="H142" t="str">
            <v>청도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AP142">
            <v>0</v>
          </cell>
        </row>
        <row r="143">
          <cell r="H143" t="str">
            <v>청도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AP143">
            <v>0</v>
          </cell>
        </row>
        <row r="144">
          <cell r="H144" t="str">
            <v>청도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AP144">
            <v>0</v>
          </cell>
        </row>
        <row r="145">
          <cell r="H145" t="str">
            <v>청도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AP145">
            <v>0</v>
          </cell>
        </row>
        <row r="146">
          <cell r="H146" t="str">
            <v>청도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AP146">
            <v>0</v>
          </cell>
        </row>
        <row r="147">
          <cell r="H147" t="str">
            <v>청도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AP147">
            <v>0</v>
          </cell>
        </row>
        <row r="148">
          <cell r="H148" t="str">
            <v>청도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AP148">
            <v>0</v>
          </cell>
        </row>
        <row r="149">
          <cell r="H149" t="str">
            <v>청도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AP149">
            <v>0</v>
          </cell>
        </row>
        <row r="150">
          <cell r="H150" t="str">
            <v>청도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AP150">
            <v>0</v>
          </cell>
        </row>
        <row r="151">
          <cell r="H151" t="str">
            <v>청도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AP151">
            <v>0</v>
          </cell>
        </row>
        <row r="152">
          <cell r="H152" t="str">
            <v>청도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AP152">
            <v>0</v>
          </cell>
        </row>
        <row r="153">
          <cell r="H153" t="str">
            <v>청도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AP153">
            <v>0</v>
          </cell>
        </row>
        <row r="154">
          <cell r="H154" t="str">
            <v>청도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AP154">
            <v>0</v>
          </cell>
        </row>
        <row r="155">
          <cell r="H155" t="str">
            <v>청도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AP155">
            <v>0</v>
          </cell>
        </row>
        <row r="156">
          <cell r="G156">
            <v>1229452</v>
          </cell>
          <cell r="H156" t="str">
            <v>심양</v>
          </cell>
          <cell r="I156">
            <v>43</v>
          </cell>
          <cell r="J156">
            <v>0</v>
          </cell>
          <cell r="K156">
            <v>0</v>
          </cell>
          <cell r="L156">
            <v>0</v>
          </cell>
          <cell r="M156">
            <v>65</v>
          </cell>
          <cell r="N156">
            <v>0</v>
          </cell>
          <cell r="O156">
            <v>0</v>
          </cell>
          <cell r="P156">
            <v>0</v>
          </cell>
          <cell r="Q156">
            <v>22</v>
          </cell>
          <cell r="R156">
            <v>0</v>
          </cell>
          <cell r="S156">
            <v>0</v>
          </cell>
          <cell r="T156">
            <v>0</v>
          </cell>
          <cell r="U156">
            <v>22</v>
          </cell>
          <cell r="AB156">
            <v>65</v>
          </cell>
          <cell r="AC156">
            <v>0</v>
          </cell>
          <cell r="AD156">
            <v>0</v>
          </cell>
          <cell r="AP156">
            <v>0</v>
          </cell>
        </row>
        <row r="157">
          <cell r="G157">
            <v>1236387</v>
          </cell>
          <cell r="H157" t="str">
            <v>심양</v>
          </cell>
          <cell r="I157">
            <v>2450</v>
          </cell>
          <cell r="J157">
            <v>5200</v>
          </cell>
          <cell r="K157">
            <v>1000</v>
          </cell>
          <cell r="L157">
            <v>0</v>
          </cell>
          <cell r="M157">
            <v>2260</v>
          </cell>
          <cell r="N157">
            <v>2200</v>
          </cell>
          <cell r="O157">
            <v>4790</v>
          </cell>
          <cell r="P157">
            <v>0</v>
          </cell>
          <cell r="Q157">
            <v>-190</v>
          </cell>
          <cell r="R157">
            <v>-3000</v>
          </cell>
          <cell r="S157">
            <v>3790</v>
          </cell>
          <cell r="T157">
            <v>0</v>
          </cell>
          <cell r="U157">
            <v>600</v>
          </cell>
          <cell r="AB157">
            <v>660</v>
          </cell>
          <cell r="AC157">
            <v>0</v>
          </cell>
          <cell r="AD157">
            <v>736</v>
          </cell>
          <cell r="AE157">
            <v>864</v>
          </cell>
          <cell r="AF157">
            <v>200</v>
          </cell>
          <cell r="AG157">
            <v>1000</v>
          </cell>
          <cell r="AH157">
            <v>500</v>
          </cell>
          <cell r="AI157">
            <v>500</v>
          </cell>
          <cell r="AJ157">
            <v>820</v>
          </cell>
          <cell r="AK157">
            <v>920</v>
          </cell>
          <cell r="AL157">
            <v>900</v>
          </cell>
          <cell r="AM157">
            <v>900</v>
          </cell>
          <cell r="AN157">
            <v>1250</v>
          </cell>
          <cell r="AP157">
            <v>7854</v>
          </cell>
        </row>
        <row r="158">
          <cell r="G158">
            <v>1230175</v>
          </cell>
          <cell r="H158" t="str">
            <v>심양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24</v>
          </cell>
          <cell r="N158">
            <v>0</v>
          </cell>
          <cell r="O158">
            <v>0</v>
          </cell>
          <cell r="P158">
            <v>0</v>
          </cell>
          <cell r="Q158">
            <v>24</v>
          </cell>
          <cell r="R158">
            <v>0</v>
          </cell>
          <cell r="S158">
            <v>0</v>
          </cell>
          <cell r="T158">
            <v>0</v>
          </cell>
          <cell r="U158">
            <v>24</v>
          </cell>
          <cell r="AB158">
            <v>24</v>
          </cell>
          <cell r="AP158">
            <v>0</v>
          </cell>
        </row>
        <row r="159">
          <cell r="G159">
            <v>1230791</v>
          </cell>
          <cell r="H159" t="str">
            <v>심양</v>
          </cell>
          <cell r="I159">
            <v>421</v>
          </cell>
          <cell r="J159">
            <v>18</v>
          </cell>
          <cell r="K159">
            <v>444</v>
          </cell>
          <cell r="L159">
            <v>0</v>
          </cell>
          <cell r="M159">
            <v>900</v>
          </cell>
          <cell r="N159">
            <v>23</v>
          </cell>
          <cell r="O159">
            <v>166</v>
          </cell>
          <cell r="P159">
            <v>0</v>
          </cell>
          <cell r="Q159">
            <v>-193</v>
          </cell>
          <cell r="R159">
            <v>-1072</v>
          </cell>
          <cell r="S159">
            <v>498</v>
          </cell>
          <cell r="T159">
            <v>0</v>
          </cell>
          <cell r="U159">
            <v>-767</v>
          </cell>
          <cell r="AB159">
            <v>275</v>
          </cell>
          <cell r="AC159">
            <v>625</v>
          </cell>
          <cell r="AD159">
            <v>0</v>
          </cell>
          <cell r="AE159">
            <v>0</v>
          </cell>
          <cell r="AF159">
            <v>0</v>
          </cell>
          <cell r="AG159">
            <v>23</v>
          </cell>
          <cell r="AH159">
            <v>0</v>
          </cell>
          <cell r="AI159">
            <v>0</v>
          </cell>
          <cell r="AJ159">
            <v>0</v>
          </cell>
          <cell r="AK159">
            <v>140</v>
          </cell>
          <cell r="AL159">
            <v>26</v>
          </cell>
          <cell r="AM159">
            <v>0</v>
          </cell>
          <cell r="AN159">
            <v>0</v>
          </cell>
          <cell r="AP159">
            <v>189</v>
          </cell>
        </row>
        <row r="160">
          <cell r="G160">
            <v>1220172</v>
          </cell>
          <cell r="H160" t="str">
            <v>심양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AP160">
            <v>0</v>
          </cell>
        </row>
        <row r="161">
          <cell r="G161">
            <v>1216452</v>
          </cell>
          <cell r="H161" t="str">
            <v>심양</v>
          </cell>
          <cell r="I161">
            <v>5708</v>
          </cell>
          <cell r="J161">
            <v>0</v>
          </cell>
          <cell r="K161">
            <v>204</v>
          </cell>
          <cell r="L161">
            <v>0</v>
          </cell>
          <cell r="M161">
            <v>2619</v>
          </cell>
          <cell r="N161">
            <v>0</v>
          </cell>
          <cell r="O161">
            <v>144</v>
          </cell>
          <cell r="P161">
            <v>0</v>
          </cell>
          <cell r="Q161">
            <v>-3089</v>
          </cell>
          <cell r="R161">
            <v>0</v>
          </cell>
          <cell r="S161">
            <v>-60</v>
          </cell>
          <cell r="T161">
            <v>0</v>
          </cell>
          <cell r="U161">
            <v>-3149</v>
          </cell>
          <cell r="AB161">
            <v>1910</v>
          </cell>
          <cell r="AC161">
            <v>191</v>
          </cell>
          <cell r="AD161">
            <v>0</v>
          </cell>
          <cell r="AE161">
            <v>518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144</v>
          </cell>
          <cell r="AP161">
            <v>662</v>
          </cell>
        </row>
        <row r="162">
          <cell r="G162">
            <v>1226573</v>
          </cell>
          <cell r="H162" t="str">
            <v>심양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AP162">
            <v>0</v>
          </cell>
        </row>
        <row r="163">
          <cell r="G163">
            <v>1225464</v>
          </cell>
          <cell r="H163" t="str">
            <v>심양</v>
          </cell>
          <cell r="I163">
            <v>2520</v>
          </cell>
          <cell r="J163">
            <v>0</v>
          </cell>
          <cell r="K163">
            <v>1588</v>
          </cell>
          <cell r="L163">
            <v>0</v>
          </cell>
          <cell r="M163">
            <v>88</v>
          </cell>
          <cell r="N163">
            <v>756</v>
          </cell>
          <cell r="O163">
            <v>780</v>
          </cell>
          <cell r="P163">
            <v>0</v>
          </cell>
          <cell r="Q163">
            <v>-2432</v>
          </cell>
          <cell r="R163">
            <v>756</v>
          </cell>
          <cell r="S163">
            <v>-808</v>
          </cell>
          <cell r="T163">
            <v>0</v>
          </cell>
          <cell r="U163">
            <v>-2484</v>
          </cell>
          <cell r="AB163">
            <v>60</v>
          </cell>
          <cell r="AC163">
            <v>0</v>
          </cell>
          <cell r="AD163">
            <v>28</v>
          </cell>
          <cell r="AE163">
            <v>0</v>
          </cell>
          <cell r="AF163">
            <v>756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780</v>
          </cell>
          <cell r="AL163">
            <v>0</v>
          </cell>
          <cell r="AM163">
            <v>0</v>
          </cell>
          <cell r="AN163">
            <v>0</v>
          </cell>
          <cell r="AP163">
            <v>1536</v>
          </cell>
        </row>
        <row r="164">
          <cell r="G164">
            <v>1215693</v>
          </cell>
          <cell r="H164" t="str">
            <v>심양</v>
          </cell>
          <cell r="I164">
            <v>5</v>
          </cell>
          <cell r="J164">
            <v>0</v>
          </cell>
          <cell r="K164">
            <v>0</v>
          </cell>
          <cell r="L164">
            <v>0</v>
          </cell>
          <cell r="M164">
            <v>24</v>
          </cell>
          <cell r="N164">
            <v>0</v>
          </cell>
          <cell r="O164">
            <v>0</v>
          </cell>
          <cell r="P164">
            <v>0</v>
          </cell>
          <cell r="Q164">
            <v>19</v>
          </cell>
          <cell r="R164">
            <v>0</v>
          </cell>
          <cell r="S164">
            <v>0</v>
          </cell>
          <cell r="T164">
            <v>0</v>
          </cell>
          <cell r="U164">
            <v>19</v>
          </cell>
          <cell r="AB164">
            <v>0</v>
          </cell>
          <cell r="AC164">
            <v>24</v>
          </cell>
          <cell r="AP164">
            <v>0</v>
          </cell>
        </row>
        <row r="165">
          <cell r="H165" t="str">
            <v>심양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AP165">
            <v>0</v>
          </cell>
        </row>
        <row r="166">
          <cell r="H166" t="str">
            <v>심양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AP166">
            <v>0</v>
          </cell>
        </row>
        <row r="167">
          <cell r="H167" t="str">
            <v>심양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 t="e">
            <v>#REF!</v>
          </cell>
          <cell r="U167">
            <v>0</v>
          </cell>
          <cell r="V167">
            <v>0</v>
          </cell>
          <cell r="W167" t="e">
            <v>#REF!</v>
          </cell>
          <cell r="X167" t="e">
            <v>#REF!</v>
          </cell>
          <cell r="Y167">
            <v>0</v>
          </cell>
          <cell r="Z167" t="e">
            <v>#REF!</v>
          </cell>
          <cell r="AA167">
            <v>0</v>
          </cell>
          <cell r="AP167">
            <v>0</v>
          </cell>
        </row>
        <row r="168">
          <cell r="H168" t="str">
            <v>심양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AP168">
            <v>0</v>
          </cell>
        </row>
        <row r="169">
          <cell r="G169">
            <v>9248684</v>
          </cell>
          <cell r="H169" t="str">
            <v>심양</v>
          </cell>
          <cell r="I169">
            <v>7776</v>
          </cell>
          <cell r="J169">
            <v>0</v>
          </cell>
          <cell r="K169">
            <v>0</v>
          </cell>
          <cell r="L169">
            <v>0</v>
          </cell>
          <cell r="M169">
            <v>13180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 t="e">
            <v>#REF!</v>
          </cell>
          <cell r="U169">
            <v>0</v>
          </cell>
          <cell r="V169">
            <v>0</v>
          </cell>
          <cell r="W169" t="e">
            <v>#REF!</v>
          </cell>
          <cell r="X169" t="e">
            <v>#REF!</v>
          </cell>
          <cell r="Y169">
            <v>0</v>
          </cell>
          <cell r="Z169" t="e">
            <v>#REF!</v>
          </cell>
          <cell r="AA169">
            <v>0</v>
          </cell>
          <cell r="AB169">
            <v>4108</v>
          </cell>
          <cell r="AC169">
            <v>3888</v>
          </cell>
          <cell r="AD169">
            <v>5184</v>
          </cell>
          <cell r="AP169">
            <v>0</v>
          </cell>
        </row>
        <row r="170">
          <cell r="G170">
            <v>1241134</v>
          </cell>
          <cell r="H170" t="str">
            <v>심양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126</v>
          </cell>
          <cell r="N170">
            <v>0</v>
          </cell>
          <cell r="O170">
            <v>1900</v>
          </cell>
          <cell r="P170">
            <v>0</v>
          </cell>
          <cell r="Q170">
            <v>0</v>
          </cell>
          <cell r="R170">
            <v>1900</v>
          </cell>
          <cell r="S170">
            <v>0</v>
          </cell>
          <cell r="T170" t="e">
            <v>#REF!</v>
          </cell>
          <cell r="U170">
            <v>0</v>
          </cell>
          <cell r="V170">
            <v>1900</v>
          </cell>
          <cell r="W170" t="e">
            <v>#REF!</v>
          </cell>
          <cell r="X170" t="e">
            <v>#REF!</v>
          </cell>
          <cell r="Y170">
            <v>1900</v>
          </cell>
          <cell r="Z170" t="e">
            <v>#REF!</v>
          </cell>
          <cell r="AA170">
            <v>1900</v>
          </cell>
          <cell r="AB170">
            <v>126</v>
          </cell>
          <cell r="AN170">
            <v>1900</v>
          </cell>
          <cell r="AP170">
            <v>1900</v>
          </cell>
        </row>
        <row r="171">
          <cell r="G171">
            <v>1231769</v>
          </cell>
          <cell r="H171" t="str">
            <v>심양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AP171">
            <v>0</v>
          </cell>
        </row>
        <row r="172">
          <cell r="G172">
            <v>1233025</v>
          </cell>
          <cell r="H172" t="str">
            <v>심양</v>
          </cell>
          <cell r="I172">
            <v>3567</v>
          </cell>
          <cell r="J172">
            <v>1407</v>
          </cell>
          <cell r="K172">
            <v>1469</v>
          </cell>
          <cell r="L172">
            <v>0</v>
          </cell>
          <cell r="M172">
            <v>1591</v>
          </cell>
          <cell r="N172">
            <v>1397</v>
          </cell>
          <cell r="O172">
            <v>5663</v>
          </cell>
          <cell r="P172">
            <v>0</v>
          </cell>
          <cell r="Q172">
            <v>-1976</v>
          </cell>
          <cell r="R172">
            <v>-10</v>
          </cell>
          <cell r="S172">
            <v>4194</v>
          </cell>
          <cell r="T172">
            <v>0</v>
          </cell>
          <cell r="U172">
            <v>2208</v>
          </cell>
          <cell r="AB172">
            <v>141</v>
          </cell>
          <cell r="AC172">
            <v>54</v>
          </cell>
          <cell r="AD172">
            <v>0</v>
          </cell>
          <cell r="AE172">
            <v>1396</v>
          </cell>
          <cell r="AF172">
            <v>0</v>
          </cell>
          <cell r="AG172">
            <v>1397</v>
          </cell>
          <cell r="AH172">
            <v>0</v>
          </cell>
          <cell r="AI172">
            <v>0</v>
          </cell>
          <cell r="AJ172">
            <v>1407</v>
          </cell>
          <cell r="AK172">
            <v>56</v>
          </cell>
          <cell r="AL172">
            <v>0</v>
          </cell>
          <cell r="AM172">
            <v>1407</v>
          </cell>
          <cell r="AN172">
            <v>2793</v>
          </cell>
          <cell r="AP172">
            <v>8456</v>
          </cell>
        </row>
        <row r="173">
          <cell r="G173">
            <v>1232693</v>
          </cell>
          <cell r="H173" t="str">
            <v>심양</v>
          </cell>
          <cell r="I173">
            <v>3187</v>
          </cell>
          <cell r="J173">
            <v>1407</v>
          </cell>
          <cell r="K173">
            <v>1469</v>
          </cell>
          <cell r="L173">
            <v>0</v>
          </cell>
          <cell r="M173">
            <v>1591</v>
          </cell>
          <cell r="N173">
            <v>1397</v>
          </cell>
          <cell r="O173">
            <v>5663</v>
          </cell>
          <cell r="P173">
            <v>0</v>
          </cell>
          <cell r="Q173">
            <v>-1596</v>
          </cell>
          <cell r="R173">
            <v>-10</v>
          </cell>
          <cell r="S173">
            <v>4194</v>
          </cell>
          <cell r="T173">
            <v>0</v>
          </cell>
          <cell r="U173">
            <v>2588</v>
          </cell>
          <cell r="AB173">
            <v>141</v>
          </cell>
          <cell r="AC173">
            <v>54</v>
          </cell>
          <cell r="AD173">
            <v>0</v>
          </cell>
          <cell r="AE173">
            <v>1396</v>
          </cell>
          <cell r="AF173">
            <v>0</v>
          </cell>
          <cell r="AG173">
            <v>1397</v>
          </cell>
          <cell r="AH173">
            <v>0</v>
          </cell>
          <cell r="AI173">
            <v>0</v>
          </cell>
          <cell r="AJ173">
            <v>1407</v>
          </cell>
          <cell r="AK173">
            <v>56</v>
          </cell>
          <cell r="AL173">
            <v>0</v>
          </cell>
          <cell r="AM173">
            <v>1407</v>
          </cell>
          <cell r="AN173">
            <v>2793</v>
          </cell>
          <cell r="AP173">
            <v>8456</v>
          </cell>
        </row>
        <row r="174">
          <cell r="H174" t="str">
            <v>심양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AP174">
            <v>0</v>
          </cell>
        </row>
        <row r="175">
          <cell r="H175" t="str">
            <v>심양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AP175">
            <v>0</v>
          </cell>
        </row>
        <row r="176">
          <cell r="H176" t="str">
            <v>심양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AP176">
            <v>0</v>
          </cell>
        </row>
        <row r="177">
          <cell r="G177">
            <v>1230685</v>
          </cell>
          <cell r="H177" t="str">
            <v>심양</v>
          </cell>
          <cell r="I177">
            <v>550</v>
          </cell>
          <cell r="J177">
            <v>150</v>
          </cell>
          <cell r="K177">
            <v>1100</v>
          </cell>
          <cell r="L177">
            <v>0</v>
          </cell>
          <cell r="M177">
            <v>150</v>
          </cell>
          <cell r="N177">
            <v>450</v>
          </cell>
          <cell r="O177">
            <v>450</v>
          </cell>
          <cell r="P177">
            <v>0</v>
          </cell>
          <cell r="Q177">
            <v>-400</v>
          </cell>
          <cell r="R177">
            <v>300</v>
          </cell>
          <cell r="S177">
            <v>-650</v>
          </cell>
          <cell r="T177">
            <v>0</v>
          </cell>
          <cell r="U177">
            <v>-750</v>
          </cell>
          <cell r="AB177">
            <v>0</v>
          </cell>
          <cell r="AC177">
            <v>0</v>
          </cell>
          <cell r="AD177">
            <v>0</v>
          </cell>
          <cell r="AE177">
            <v>150</v>
          </cell>
          <cell r="AF177">
            <v>0</v>
          </cell>
          <cell r="AG177">
            <v>300</v>
          </cell>
          <cell r="AH177">
            <v>0</v>
          </cell>
          <cell r="AI177">
            <v>150</v>
          </cell>
          <cell r="AJ177">
            <v>0</v>
          </cell>
          <cell r="AK177">
            <v>200</v>
          </cell>
          <cell r="AL177">
            <v>250</v>
          </cell>
          <cell r="AM177">
            <v>0</v>
          </cell>
          <cell r="AN177">
            <v>0</v>
          </cell>
          <cell r="AP177">
            <v>1050</v>
          </cell>
        </row>
        <row r="178">
          <cell r="G178">
            <v>1231011</v>
          </cell>
          <cell r="H178" t="str">
            <v>심양</v>
          </cell>
          <cell r="I178">
            <v>0</v>
          </cell>
          <cell r="J178">
            <v>200</v>
          </cell>
          <cell r="K178">
            <v>0</v>
          </cell>
          <cell r="L178">
            <v>0</v>
          </cell>
          <cell r="M178">
            <v>310</v>
          </cell>
          <cell r="N178">
            <v>0</v>
          </cell>
          <cell r="O178">
            <v>0</v>
          </cell>
          <cell r="P178">
            <v>0</v>
          </cell>
          <cell r="Q178">
            <v>310</v>
          </cell>
          <cell r="R178">
            <v>-200</v>
          </cell>
          <cell r="S178">
            <v>0</v>
          </cell>
          <cell r="T178">
            <v>0</v>
          </cell>
          <cell r="U178">
            <v>110</v>
          </cell>
          <cell r="AB178">
            <v>0</v>
          </cell>
          <cell r="AC178">
            <v>0</v>
          </cell>
          <cell r="AD178">
            <v>310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L178">
            <v>0</v>
          </cell>
          <cell r="AM178">
            <v>0</v>
          </cell>
          <cell r="AP178">
            <v>0</v>
          </cell>
        </row>
        <row r="179">
          <cell r="G179">
            <v>1232775</v>
          </cell>
          <cell r="H179" t="str">
            <v>심양</v>
          </cell>
          <cell r="I179">
            <v>3475</v>
          </cell>
          <cell r="J179">
            <v>5740</v>
          </cell>
          <cell r="K179">
            <v>4577</v>
          </cell>
          <cell r="L179">
            <v>0</v>
          </cell>
          <cell r="M179">
            <v>5353</v>
          </cell>
          <cell r="N179">
            <v>3198</v>
          </cell>
          <cell r="O179">
            <v>7320</v>
          </cell>
          <cell r="P179">
            <v>0</v>
          </cell>
          <cell r="Q179">
            <v>1878</v>
          </cell>
          <cell r="R179">
            <v>-2542</v>
          </cell>
          <cell r="S179">
            <v>2743</v>
          </cell>
          <cell r="T179">
            <v>0</v>
          </cell>
          <cell r="U179">
            <v>2079</v>
          </cell>
          <cell r="AB179">
            <v>2155</v>
          </cell>
          <cell r="AC179">
            <v>1149</v>
          </cell>
          <cell r="AD179">
            <v>406</v>
          </cell>
          <cell r="AE179">
            <v>1643</v>
          </cell>
          <cell r="AF179">
            <v>1011</v>
          </cell>
          <cell r="AG179">
            <v>1210</v>
          </cell>
          <cell r="AH179">
            <v>300</v>
          </cell>
          <cell r="AI179">
            <v>677</v>
          </cell>
          <cell r="AJ179">
            <v>748</v>
          </cell>
          <cell r="AK179">
            <v>1571</v>
          </cell>
          <cell r="AL179">
            <v>1970</v>
          </cell>
          <cell r="AM179">
            <v>1581</v>
          </cell>
          <cell r="AN179">
            <v>1450</v>
          </cell>
          <cell r="AP179">
            <v>12161</v>
          </cell>
        </row>
        <row r="180">
          <cell r="G180">
            <v>1233165</v>
          </cell>
          <cell r="H180" t="str">
            <v>심양</v>
          </cell>
          <cell r="I180">
            <v>0</v>
          </cell>
          <cell r="J180">
            <v>0</v>
          </cell>
          <cell r="K180">
            <v>250</v>
          </cell>
          <cell r="L180">
            <v>0</v>
          </cell>
          <cell r="M180">
            <v>260</v>
          </cell>
          <cell r="N180">
            <v>0</v>
          </cell>
          <cell r="O180">
            <v>250</v>
          </cell>
          <cell r="P180">
            <v>0</v>
          </cell>
          <cell r="Q180">
            <v>260</v>
          </cell>
          <cell r="R180">
            <v>0</v>
          </cell>
          <cell r="S180">
            <v>0</v>
          </cell>
          <cell r="T180">
            <v>0</v>
          </cell>
          <cell r="U180">
            <v>260</v>
          </cell>
          <cell r="AB180">
            <v>10</v>
          </cell>
          <cell r="AC180">
            <v>0</v>
          </cell>
          <cell r="AD180">
            <v>250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250</v>
          </cell>
          <cell r="AM180">
            <v>0</v>
          </cell>
          <cell r="AN180">
            <v>0</v>
          </cell>
          <cell r="AP180">
            <v>250</v>
          </cell>
        </row>
        <row r="181">
          <cell r="G181">
            <v>1238605</v>
          </cell>
          <cell r="H181" t="str">
            <v>심양</v>
          </cell>
          <cell r="I181">
            <v>550</v>
          </cell>
          <cell r="J181">
            <v>350</v>
          </cell>
          <cell r="K181">
            <v>600</v>
          </cell>
          <cell r="L181">
            <v>0</v>
          </cell>
          <cell r="M181">
            <v>848</v>
          </cell>
          <cell r="N181">
            <v>789</v>
          </cell>
          <cell r="O181">
            <v>1014</v>
          </cell>
          <cell r="P181">
            <v>0</v>
          </cell>
          <cell r="Q181">
            <v>298</v>
          </cell>
          <cell r="R181">
            <v>439</v>
          </cell>
          <cell r="S181">
            <v>414</v>
          </cell>
          <cell r="T181">
            <v>0</v>
          </cell>
          <cell r="U181">
            <v>1151</v>
          </cell>
          <cell r="AB181">
            <v>189</v>
          </cell>
          <cell r="AC181">
            <v>244</v>
          </cell>
          <cell r="AD181">
            <v>415</v>
          </cell>
          <cell r="AE181">
            <v>0</v>
          </cell>
          <cell r="AF181">
            <v>0</v>
          </cell>
          <cell r="AG181">
            <v>339</v>
          </cell>
          <cell r="AH181">
            <v>350</v>
          </cell>
          <cell r="AI181">
            <v>100</v>
          </cell>
          <cell r="AJ181">
            <v>0</v>
          </cell>
          <cell r="AK181">
            <v>400</v>
          </cell>
          <cell r="AL181">
            <v>614</v>
          </cell>
          <cell r="AM181">
            <v>0</v>
          </cell>
          <cell r="AN181">
            <v>0</v>
          </cell>
          <cell r="AP181">
            <v>1803</v>
          </cell>
        </row>
        <row r="182">
          <cell r="G182">
            <v>9237610</v>
          </cell>
          <cell r="H182" t="str">
            <v>심양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AP182">
            <v>0</v>
          </cell>
        </row>
        <row r="183"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AP183">
            <v>0</v>
          </cell>
        </row>
        <row r="184">
          <cell r="G184">
            <v>1229088</v>
          </cell>
          <cell r="H184" t="str">
            <v>심양</v>
          </cell>
          <cell r="I184">
            <v>550</v>
          </cell>
          <cell r="J184">
            <v>500</v>
          </cell>
          <cell r="K184">
            <v>750</v>
          </cell>
          <cell r="L184">
            <v>0</v>
          </cell>
          <cell r="M184">
            <v>490</v>
          </cell>
          <cell r="N184">
            <v>808</v>
          </cell>
          <cell r="O184">
            <v>600</v>
          </cell>
          <cell r="P184">
            <v>0</v>
          </cell>
          <cell r="Q184">
            <v>-60</v>
          </cell>
          <cell r="R184">
            <v>308</v>
          </cell>
          <cell r="S184">
            <v>-150</v>
          </cell>
          <cell r="T184">
            <v>0</v>
          </cell>
          <cell r="U184">
            <v>98</v>
          </cell>
          <cell r="AB184">
            <v>0</v>
          </cell>
          <cell r="AC184">
            <v>490</v>
          </cell>
          <cell r="AD184">
            <v>0</v>
          </cell>
          <cell r="AE184">
            <v>0</v>
          </cell>
          <cell r="AF184">
            <v>158</v>
          </cell>
          <cell r="AG184">
            <v>300</v>
          </cell>
          <cell r="AH184">
            <v>350</v>
          </cell>
          <cell r="AI184">
            <v>0</v>
          </cell>
          <cell r="AJ184">
            <v>0</v>
          </cell>
          <cell r="AK184">
            <v>350</v>
          </cell>
          <cell r="AL184">
            <v>250</v>
          </cell>
          <cell r="AM184">
            <v>0</v>
          </cell>
          <cell r="AN184">
            <v>0</v>
          </cell>
          <cell r="AP184">
            <v>1408</v>
          </cell>
        </row>
        <row r="185">
          <cell r="G185">
            <v>1231797</v>
          </cell>
          <cell r="H185" t="str">
            <v>심양</v>
          </cell>
          <cell r="I185">
            <v>97</v>
          </cell>
          <cell r="J185">
            <v>128</v>
          </cell>
          <cell r="K185">
            <v>136</v>
          </cell>
          <cell r="L185">
            <v>0</v>
          </cell>
          <cell r="M185">
            <v>113</v>
          </cell>
          <cell r="N185">
            <v>136</v>
          </cell>
          <cell r="O185">
            <v>139</v>
          </cell>
          <cell r="P185">
            <v>0</v>
          </cell>
          <cell r="Q185">
            <v>16</v>
          </cell>
          <cell r="R185">
            <v>8</v>
          </cell>
          <cell r="S185">
            <v>3</v>
          </cell>
          <cell r="T185">
            <v>0</v>
          </cell>
          <cell r="U185">
            <v>27</v>
          </cell>
          <cell r="AB185">
            <v>0</v>
          </cell>
          <cell r="AC185">
            <v>113</v>
          </cell>
          <cell r="AD185">
            <v>0</v>
          </cell>
          <cell r="AE185">
            <v>0</v>
          </cell>
          <cell r="AF185">
            <v>0</v>
          </cell>
          <cell r="AG185">
            <v>136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139</v>
          </cell>
          <cell r="AM185">
            <v>0</v>
          </cell>
          <cell r="AN185">
            <v>0</v>
          </cell>
          <cell r="AP185">
            <v>275</v>
          </cell>
        </row>
        <row r="186">
          <cell r="G186">
            <v>1240032</v>
          </cell>
          <cell r="H186" t="str">
            <v>심양</v>
          </cell>
          <cell r="I186">
            <v>6000</v>
          </cell>
          <cell r="J186">
            <v>2900</v>
          </cell>
          <cell r="K186">
            <v>2300</v>
          </cell>
          <cell r="L186">
            <v>0</v>
          </cell>
          <cell r="M186">
            <v>1970</v>
          </cell>
          <cell r="N186">
            <v>1597</v>
          </cell>
          <cell r="O186">
            <v>1400</v>
          </cell>
          <cell r="P186">
            <v>0</v>
          </cell>
          <cell r="Q186">
            <v>1597</v>
          </cell>
          <cell r="R186">
            <v>1400</v>
          </cell>
          <cell r="S186">
            <v>0</v>
          </cell>
          <cell r="T186" t="e">
            <v>#REF!</v>
          </cell>
          <cell r="U186">
            <v>1050</v>
          </cell>
          <cell r="V186">
            <v>350</v>
          </cell>
          <cell r="W186" t="e">
            <v>#REF!</v>
          </cell>
          <cell r="X186" t="e">
            <v>#REF!</v>
          </cell>
          <cell r="Y186">
            <v>350</v>
          </cell>
          <cell r="Z186" t="e">
            <v>#REF!</v>
          </cell>
          <cell r="AA186">
            <v>2997</v>
          </cell>
          <cell r="AB186">
            <v>870</v>
          </cell>
          <cell r="AC186">
            <v>0</v>
          </cell>
          <cell r="AD186">
            <v>1100</v>
          </cell>
          <cell r="AE186">
            <v>0</v>
          </cell>
          <cell r="AF186">
            <v>747</v>
          </cell>
          <cell r="AG186">
            <v>300</v>
          </cell>
          <cell r="AH186">
            <v>100</v>
          </cell>
          <cell r="AI186">
            <v>450</v>
          </cell>
          <cell r="AJ186">
            <v>100</v>
          </cell>
          <cell r="AK186">
            <v>400</v>
          </cell>
          <cell r="AL186">
            <v>300</v>
          </cell>
          <cell r="AM186">
            <v>250</v>
          </cell>
          <cell r="AN186">
            <v>350</v>
          </cell>
          <cell r="AP186">
            <v>2997</v>
          </cell>
        </row>
        <row r="187">
          <cell r="G187">
            <v>1240029</v>
          </cell>
          <cell r="H187" t="str">
            <v>심양</v>
          </cell>
          <cell r="I187">
            <v>6000</v>
          </cell>
          <cell r="J187">
            <v>2900</v>
          </cell>
          <cell r="K187">
            <v>2300</v>
          </cell>
          <cell r="L187">
            <v>0</v>
          </cell>
          <cell r="M187">
            <v>1969</v>
          </cell>
          <cell r="N187">
            <v>1597</v>
          </cell>
          <cell r="O187">
            <v>1400</v>
          </cell>
          <cell r="P187">
            <v>0</v>
          </cell>
          <cell r="Q187">
            <v>1597</v>
          </cell>
          <cell r="R187">
            <v>1400</v>
          </cell>
          <cell r="S187">
            <v>0</v>
          </cell>
          <cell r="T187" t="e">
            <v>#REF!</v>
          </cell>
          <cell r="U187">
            <v>1050</v>
          </cell>
          <cell r="V187">
            <v>350</v>
          </cell>
          <cell r="W187" t="e">
            <v>#REF!</v>
          </cell>
          <cell r="X187" t="e">
            <v>#REF!</v>
          </cell>
          <cell r="Y187">
            <v>350</v>
          </cell>
          <cell r="Z187" t="e">
            <v>#REF!</v>
          </cell>
          <cell r="AA187">
            <v>2997</v>
          </cell>
          <cell r="AB187">
            <v>869</v>
          </cell>
          <cell r="AC187">
            <v>0</v>
          </cell>
          <cell r="AD187">
            <v>1100</v>
          </cell>
          <cell r="AE187">
            <v>0</v>
          </cell>
          <cell r="AF187">
            <v>747</v>
          </cell>
          <cell r="AG187">
            <v>300</v>
          </cell>
          <cell r="AH187">
            <v>100</v>
          </cell>
          <cell r="AI187">
            <v>450</v>
          </cell>
          <cell r="AJ187">
            <v>100</v>
          </cell>
          <cell r="AK187">
            <v>400</v>
          </cell>
          <cell r="AL187">
            <v>300</v>
          </cell>
          <cell r="AM187">
            <v>250</v>
          </cell>
          <cell r="AN187">
            <v>350</v>
          </cell>
          <cell r="AP187">
            <v>2997</v>
          </cell>
        </row>
        <row r="188">
          <cell r="G188">
            <v>1233877</v>
          </cell>
          <cell r="H188" t="str">
            <v>심양</v>
          </cell>
          <cell r="I188">
            <v>70</v>
          </cell>
          <cell r="J188">
            <v>0</v>
          </cell>
          <cell r="K188">
            <v>0</v>
          </cell>
          <cell r="L188">
            <v>0</v>
          </cell>
          <cell r="M188">
            <v>12</v>
          </cell>
          <cell r="N188">
            <v>0</v>
          </cell>
          <cell r="O188">
            <v>120</v>
          </cell>
          <cell r="P188">
            <v>0</v>
          </cell>
          <cell r="Q188">
            <v>-58</v>
          </cell>
          <cell r="R188">
            <v>0</v>
          </cell>
          <cell r="S188">
            <v>120</v>
          </cell>
          <cell r="T188">
            <v>0</v>
          </cell>
          <cell r="U188">
            <v>62</v>
          </cell>
          <cell r="AB188">
            <v>10</v>
          </cell>
          <cell r="AC188">
            <v>2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120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P188">
            <v>120</v>
          </cell>
        </row>
        <row r="189">
          <cell r="G189">
            <v>9231827</v>
          </cell>
          <cell r="H189" t="str">
            <v>심양</v>
          </cell>
          <cell r="I189">
            <v>624</v>
          </cell>
          <cell r="J189">
            <v>0</v>
          </cell>
          <cell r="K189">
            <v>0</v>
          </cell>
          <cell r="L189">
            <v>0</v>
          </cell>
          <cell r="M189">
            <v>600</v>
          </cell>
          <cell r="N189">
            <v>0</v>
          </cell>
          <cell r="O189">
            <v>0</v>
          </cell>
          <cell r="P189">
            <v>0</v>
          </cell>
          <cell r="Q189">
            <v>-24</v>
          </cell>
          <cell r="R189">
            <v>0</v>
          </cell>
          <cell r="S189">
            <v>0</v>
          </cell>
          <cell r="T189">
            <v>0</v>
          </cell>
          <cell r="U189">
            <v>-24</v>
          </cell>
          <cell r="AB189">
            <v>0</v>
          </cell>
          <cell r="AC189">
            <v>600</v>
          </cell>
          <cell r="AP189">
            <v>0</v>
          </cell>
        </row>
        <row r="190">
          <cell r="I190">
            <v>210255</v>
          </cell>
          <cell r="J190">
            <v>161305</v>
          </cell>
          <cell r="K190">
            <v>162418</v>
          </cell>
          <cell r="L190">
            <v>0</v>
          </cell>
          <cell r="M190">
            <v>232559</v>
          </cell>
          <cell r="N190">
            <v>147191</v>
          </cell>
          <cell r="O190">
            <v>210415</v>
          </cell>
          <cell r="P190">
            <v>0</v>
          </cell>
        </row>
        <row r="191">
          <cell r="G191">
            <v>1233492</v>
          </cell>
          <cell r="H191" t="str">
            <v>심양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12</v>
          </cell>
          <cell r="N191">
            <v>0</v>
          </cell>
          <cell r="O191">
            <v>800</v>
          </cell>
          <cell r="P191">
            <v>0</v>
          </cell>
          <cell r="Q191">
            <v>12</v>
          </cell>
          <cell r="R191">
            <v>0</v>
          </cell>
          <cell r="S191">
            <v>800</v>
          </cell>
          <cell r="T191">
            <v>0</v>
          </cell>
          <cell r="U191">
            <v>812</v>
          </cell>
          <cell r="AB191">
            <v>0</v>
          </cell>
          <cell r="AC191">
            <v>12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500</v>
          </cell>
          <cell r="AM191">
            <v>0</v>
          </cell>
          <cell r="AN191">
            <v>300</v>
          </cell>
          <cell r="AP191">
            <v>800</v>
          </cell>
        </row>
        <row r="192">
          <cell r="G192">
            <v>1233498</v>
          </cell>
          <cell r="H192" t="str">
            <v>심양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800</v>
          </cell>
          <cell r="P192">
            <v>0</v>
          </cell>
          <cell r="Q192">
            <v>0</v>
          </cell>
          <cell r="R192">
            <v>0</v>
          </cell>
          <cell r="S192">
            <v>800</v>
          </cell>
          <cell r="T192">
            <v>0</v>
          </cell>
          <cell r="U192">
            <v>800</v>
          </cell>
          <cell r="AL192">
            <v>500</v>
          </cell>
          <cell r="AM192">
            <v>0</v>
          </cell>
          <cell r="AN192">
            <v>300</v>
          </cell>
          <cell r="AP192">
            <v>800</v>
          </cell>
        </row>
        <row r="193">
          <cell r="G193">
            <v>1233623</v>
          </cell>
          <cell r="H193" t="str">
            <v>심양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800</v>
          </cell>
          <cell r="P193">
            <v>0</v>
          </cell>
          <cell r="Q193">
            <v>0</v>
          </cell>
          <cell r="R193">
            <v>0</v>
          </cell>
          <cell r="S193">
            <v>800</v>
          </cell>
          <cell r="T193">
            <v>0</v>
          </cell>
          <cell r="U193">
            <v>800</v>
          </cell>
          <cell r="AL193">
            <v>500</v>
          </cell>
          <cell r="AM193">
            <v>0</v>
          </cell>
          <cell r="AN193">
            <v>300</v>
          </cell>
          <cell r="AP193">
            <v>800</v>
          </cell>
        </row>
        <row r="195">
          <cell r="G195">
            <v>1219535</v>
          </cell>
          <cell r="H195" t="str">
            <v>심양</v>
          </cell>
          <cell r="I195">
            <v>144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-144</v>
          </cell>
          <cell r="R195">
            <v>0</v>
          </cell>
          <cell r="S195">
            <v>0</v>
          </cell>
          <cell r="T195">
            <v>0</v>
          </cell>
          <cell r="U195">
            <v>-144</v>
          </cell>
          <cell r="AP195">
            <v>0</v>
          </cell>
        </row>
        <row r="196">
          <cell r="G196">
            <v>1219615</v>
          </cell>
          <cell r="H196" t="str">
            <v>심양</v>
          </cell>
          <cell r="I196">
            <v>144</v>
          </cell>
          <cell r="J196">
            <v>0</v>
          </cell>
          <cell r="K196">
            <v>0</v>
          </cell>
          <cell r="L196">
            <v>0</v>
          </cell>
          <cell r="M196">
            <v>36</v>
          </cell>
          <cell r="N196">
            <v>0</v>
          </cell>
          <cell r="O196">
            <v>0</v>
          </cell>
          <cell r="P196">
            <v>0</v>
          </cell>
          <cell r="Q196">
            <v>-108</v>
          </cell>
          <cell r="R196">
            <v>0</v>
          </cell>
          <cell r="S196">
            <v>0</v>
          </cell>
          <cell r="T196">
            <v>0</v>
          </cell>
          <cell r="U196">
            <v>-108</v>
          </cell>
          <cell r="AB196">
            <v>36</v>
          </cell>
          <cell r="AP196">
            <v>0</v>
          </cell>
        </row>
        <row r="197"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AP197">
            <v>0</v>
          </cell>
        </row>
        <row r="198">
          <cell r="G198">
            <v>9236603</v>
          </cell>
          <cell r="H198" t="str">
            <v>심양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AP198">
            <v>0</v>
          </cell>
        </row>
        <row r="199">
          <cell r="G199">
            <v>9237333</v>
          </cell>
          <cell r="H199" t="str">
            <v>심양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AP199">
            <v>0</v>
          </cell>
        </row>
        <row r="200">
          <cell r="G200">
            <v>9237332</v>
          </cell>
          <cell r="H200" t="str">
            <v>심양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AP200">
            <v>0</v>
          </cell>
        </row>
        <row r="201">
          <cell r="G201">
            <v>1232227</v>
          </cell>
          <cell r="H201" t="str">
            <v>심양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AP201">
            <v>0</v>
          </cell>
        </row>
        <row r="202">
          <cell r="G202">
            <v>1233384</v>
          </cell>
          <cell r="H202" t="str">
            <v>심양</v>
          </cell>
          <cell r="I202">
            <v>1369</v>
          </cell>
          <cell r="J202">
            <v>2050</v>
          </cell>
          <cell r="K202">
            <v>1850</v>
          </cell>
          <cell r="L202">
            <v>0</v>
          </cell>
          <cell r="M202">
            <v>1935</v>
          </cell>
          <cell r="N202">
            <v>1989</v>
          </cell>
          <cell r="O202">
            <v>600</v>
          </cell>
          <cell r="P202">
            <v>0</v>
          </cell>
          <cell r="Q202">
            <v>566</v>
          </cell>
          <cell r="R202">
            <v>-61</v>
          </cell>
          <cell r="S202">
            <v>-1250</v>
          </cell>
          <cell r="T202">
            <v>0</v>
          </cell>
          <cell r="U202">
            <v>-745</v>
          </cell>
          <cell r="AB202">
            <v>0</v>
          </cell>
          <cell r="AC202">
            <v>724</v>
          </cell>
          <cell r="AD202">
            <v>1211</v>
          </cell>
          <cell r="AE202">
            <v>0</v>
          </cell>
          <cell r="AF202">
            <v>689</v>
          </cell>
          <cell r="AG202">
            <v>600</v>
          </cell>
          <cell r="AH202">
            <v>300</v>
          </cell>
          <cell r="AI202">
            <v>400</v>
          </cell>
          <cell r="AJ202">
            <v>0</v>
          </cell>
          <cell r="AK202">
            <v>0</v>
          </cell>
          <cell r="AL202">
            <v>200</v>
          </cell>
          <cell r="AM202">
            <v>0</v>
          </cell>
          <cell r="AN202">
            <v>400</v>
          </cell>
          <cell r="AP202">
            <v>2589</v>
          </cell>
        </row>
        <row r="203">
          <cell r="G203">
            <v>1232922</v>
          </cell>
          <cell r="H203" t="str">
            <v>심양</v>
          </cell>
          <cell r="I203">
            <v>225</v>
          </cell>
          <cell r="J203">
            <v>265</v>
          </cell>
          <cell r="K203">
            <v>275</v>
          </cell>
          <cell r="L203">
            <v>0</v>
          </cell>
          <cell r="M203">
            <v>176</v>
          </cell>
          <cell r="N203">
            <v>315</v>
          </cell>
          <cell r="O203">
            <v>276</v>
          </cell>
          <cell r="P203">
            <v>0</v>
          </cell>
          <cell r="Q203">
            <v>-49</v>
          </cell>
          <cell r="R203">
            <v>50</v>
          </cell>
          <cell r="S203">
            <v>1</v>
          </cell>
          <cell r="T203">
            <v>0</v>
          </cell>
          <cell r="U203">
            <v>2</v>
          </cell>
          <cell r="AB203">
            <v>0</v>
          </cell>
          <cell r="AC203">
            <v>176</v>
          </cell>
          <cell r="AD203">
            <v>0</v>
          </cell>
          <cell r="AE203">
            <v>0</v>
          </cell>
          <cell r="AF203">
            <v>0</v>
          </cell>
          <cell r="AG203">
            <v>275</v>
          </cell>
          <cell r="AH203">
            <v>40</v>
          </cell>
          <cell r="AI203">
            <v>0</v>
          </cell>
          <cell r="AJ203">
            <v>0</v>
          </cell>
          <cell r="AK203">
            <v>0</v>
          </cell>
          <cell r="AL203">
            <v>276</v>
          </cell>
          <cell r="AM203">
            <v>0</v>
          </cell>
          <cell r="AN203">
            <v>0</v>
          </cell>
          <cell r="AP203">
            <v>591</v>
          </cell>
        </row>
        <row r="204">
          <cell r="G204">
            <v>1233387</v>
          </cell>
          <cell r="H204" t="str">
            <v>심양</v>
          </cell>
          <cell r="I204">
            <v>398</v>
          </cell>
          <cell r="J204">
            <v>276</v>
          </cell>
          <cell r="K204">
            <v>322</v>
          </cell>
          <cell r="L204">
            <v>0</v>
          </cell>
          <cell r="M204">
            <v>75</v>
          </cell>
          <cell r="N204">
            <v>576</v>
          </cell>
          <cell r="O204">
            <v>288</v>
          </cell>
          <cell r="P204">
            <v>0</v>
          </cell>
          <cell r="Q204">
            <v>-323</v>
          </cell>
          <cell r="R204">
            <v>300</v>
          </cell>
          <cell r="S204">
            <v>-34</v>
          </cell>
          <cell r="T204">
            <v>0</v>
          </cell>
          <cell r="U204">
            <v>-57</v>
          </cell>
          <cell r="AE204">
            <v>75</v>
          </cell>
          <cell r="AF204">
            <v>576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288</v>
          </cell>
          <cell r="AP204">
            <v>939</v>
          </cell>
        </row>
        <row r="205">
          <cell r="G205">
            <v>1233385</v>
          </cell>
          <cell r="H205" t="str">
            <v>심양</v>
          </cell>
          <cell r="I205">
            <v>144</v>
          </cell>
          <cell r="J205">
            <v>144</v>
          </cell>
          <cell r="K205">
            <v>168</v>
          </cell>
          <cell r="L205">
            <v>0</v>
          </cell>
          <cell r="M205">
            <v>192</v>
          </cell>
          <cell r="N205">
            <v>216</v>
          </cell>
          <cell r="O205">
            <v>216</v>
          </cell>
          <cell r="P205">
            <v>0</v>
          </cell>
          <cell r="Q205">
            <v>48</v>
          </cell>
          <cell r="R205">
            <v>72</v>
          </cell>
          <cell r="S205">
            <v>48</v>
          </cell>
          <cell r="T205">
            <v>0</v>
          </cell>
          <cell r="U205">
            <v>168</v>
          </cell>
          <cell r="AE205">
            <v>192</v>
          </cell>
          <cell r="AF205">
            <v>0</v>
          </cell>
          <cell r="AG205">
            <v>0</v>
          </cell>
          <cell r="AH205">
            <v>0</v>
          </cell>
          <cell r="AI205">
            <v>216</v>
          </cell>
          <cell r="AJ205">
            <v>0</v>
          </cell>
          <cell r="AK205">
            <v>0</v>
          </cell>
          <cell r="AL205">
            <v>0</v>
          </cell>
          <cell r="AM205">
            <v>216</v>
          </cell>
          <cell r="AN205">
            <v>0</v>
          </cell>
          <cell r="AP205">
            <v>624</v>
          </cell>
        </row>
        <row r="206">
          <cell r="G206">
            <v>1233386</v>
          </cell>
          <cell r="H206" t="str">
            <v>심양</v>
          </cell>
          <cell r="I206">
            <v>353</v>
          </cell>
          <cell r="J206">
            <v>0</v>
          </cell>
          <cell r="K206">
            <v>353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-353</v>
          </cell>
          <cell r="R206">
            <v>0</v>
          </cell>
          <cell r="S206">
            <v>-353</v>
          </cell>
          <cell r="T206">
            <v>0</v>
          </cell>
          <cell r="U206">
            <v>-706</v>
          </cell>
          <cell r="AP206">
            <v>0</v>
          </cell>
        </row>
        <row r="207">
          <cell r="AP207">
            <v>0</v>
          </cell>
        </row>
        <row r="208">
          <cell r="H208" t="str">
            <v>베트남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AP208">
            <v>0</v>
          </cell>
        </row>
        <row r="209">
          <cell r="H209" t="str">
            <v>베트남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AP209">
            <v>0</v>
          </cell>
        </row>
        <row r="210">
          <cell r="H210" t="str">
            <v>베트남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AP210">
            <v>0</v>
          </cell>
        </row>
        <row r="211">
          <cell r="H211" t="str">
            <v>베트남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AP211">
            <v>0</v>
          </cell>
        </row>
        <row r="212">
          <cell r="I212">
            <v>0</v>
          </cell>
          <cell r="J212">
            <v>0</v>
          </cell>
          <cell r="K212">
            <v>0</v>
          </cell>
          <cell r="M212">
            <v>0</v>
          </cell>
          <cell r="N212">
            <v>0</v>
          </cell>
          <cell r="O212">
            <v>0</v>
          </cell>
          <cell r="AP212">
            <v>0</v>
          </cell>
        </row>
        <row r="213">
          <cell r="H213" t="str">
            <v>베트남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AP213">
            <v>0</v>
          </cell>
        </row>
        <row r="214">
          <cell r="H214" t="str">
            <v>베트남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AP214">
            <v>0</v>
          </cell>
        </row>
        <row r="215">
          <cell r="H215" t="str">
            <v>베트남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AP215">
            <v>0</v>
          </cell>
        </row>
        <row r="216">
          <cell r="H216" t="str">
            <v>베트남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AP216">
            <v>0</v>
          </cell>
        </row>
        <row r="217">
          <cell r="H217" t="str">
            <v>베트남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AP217">
            <v>0</v>
          </cell>
        </row>
        <row r="218">
          <cell r="H218" t="str">
            <v>베트남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AP218">
            <v>0</v>
          </cell>
        </row>
        <row r="219">
          <cell r="H219" t="str">
            <v>베트남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AP219">
            <v>0</v>
          </cell>
        </row>
        <row r="220">
          <cell r="AP220">
            <v>0</v>
          </cell>
        </row>
        <row r="221">
          <cell r="G221">
            <v>2745</v>
          </cell>
          <cell r="H221" t="str">
            <v>심양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AP221">
            <v>0</v>
          </cell>
        </row>
        <row r="222">
          <cell r="G222">
            <v>2746</v>
          </cell>
          <cell r="H222" t="str">
            <v>심양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AP222">
            <v>0</v>
          </cell>
        </row>
        <row r="223">
          <cell r="H223" t="str">
            <v>심양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AP223">
            <v>0</v>
          </cell>
        </row>
        <row r="224">
          <cell r="G224">
            <v>1222225</v>
          </cell>
          <cell r="H224" t="str">
            <v>심양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AP224">
            <v>0</v>
          </cell>
        </row>
        <row r="225">
          <cell r="G225">
            <v>1230584</v>
          </cell>
          <cell r="H225" t="str">
            <v>심양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AP225">
            <v>0</v>
          </cell>
        </row>
        <row r="226">
          <cell r="G226">
            <v>1230248</v>
          </cell>
          <cell r="H226" t="str">
            <v>청도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AP226">
            <v>0</v>
          </cell>
        </row>
        <row r="227">
          <cell r="G227">
            <v>1233735</v>
          </cell>
          <cell r="H227" t="str">
            <v>청도</v>
          </cell>
          <cell r="I227">
            <v>0</v>
          </cell>
          <cell r="J227">
            <v>80</v>
          </cell>
          <cell r="K227">
            <v>0</v>
          </cell>
          <cell r="L227">
            <v>0</v>
          </cell>
          <cell r="M227">
            <v>154</v>
          </cell>
          <cell r="N227">
            <v>0</v>
          </cell>
          <cell r="O227">
            <v>0</v>
          </cell>
          <cell r="P227">
            <v>0</v>
          </cell>
          <cell r="Q227">
            <v>154</v>
          </cell>
          <cell r="R227">
            <v>-80</v>
          </cell>
          <cell r="S227">
            <v>0</v>
          </cell>
          <cell r="T227">
            <v>0</v>
          </cell>
          <cell r="U227">
            <v>74</v>
          </cell>
          <cell r="AB227">
            <v>10</v>
          </cell>
          <cell r="AC227">
            <v>10</v>
          </cell>
          <cell r="AD227">
            <v>134</v>
          </cell>
          <cell r="AP227">
            <v>0</v>
          </cell>
        </row>
        <row r="228">
          <cell r="G228">
            <v>1233808</v>
          </cell>
          <cell r="H228" t="str">
            <v>청도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48</v>
          </cell>
          <cell r="N228">
            <v>0</v>
          </cell>
          <cell r="O228">
            <v>0</v>
          </cell>
          <cell r="P228">
            <v>0</v>
          </cell>
          <cell r="Q228">
            <v>48</v>
          </cell>
          <cell r="R228">
            <v>0</v>
          </cell>
          <cell r="S228">
            <v>0</v>
          </cell>
          <cell r="T228">
            <v>0</v>
          </cell>
          <cell r="U228">
            <v>48</v>
          </cell>
          <cell r="AB228">
            <v>22</v>
          </cell>
          <cell r="AC228">
            <v>0</v>
          </cell>
          <cell r="AD228">
            <v>26</v>
          </cell>
          <cell r="AP228">
            <v>0</v>
          </cell>
        </row>
        <row r="229">
          <cell r="G229">
            <v>1234034</v>
          </cell>
          <cell r="H229" t="str">
            <v>청도</v>
          </cell>
          <cell r="I229">
            <v>0</v>
          </cell>
          <cell r="J229">
            <v>50</v>
          </cell>
          <cell r="K229">
            <v>0</v>
          </cell>
          <cell r="L229">
            <v>0</v>
          </cell>
          <cell r="M229">
            <v>40</v>
          </cell>
          <cell r="N229">
            <v>0</v>
          </cell>
          <cell r="O229">
            <v>0</v>
          </cell>
          <cell r="P229">
            <v>0</v>
          </cell>
          <cell r="Q229">
            <v>40</v>
          </cell>
          <cell r="R229">
            <v>-50</v>
          </cell>
          <cell r="S229">
            <v>0</v>
          </cell>
          <cell r="T229">
            <v>0</v>
          </cell>
          <cell r="U229">
            <v>-10</v>
          </cell>
          <cell r="AB229">
            <v>0</v>
          </cell>
          <cell r="AC229">
            <v>0</v>
          </cell>
          <cell r="AD229">
            <v>40</v>
          </cell>
          <cell r="AP229">
            <v>0</v>
          </cell>
        </row>
        <row r="230">
          <cell r="G230">
            <v>1234049</v>
          </cell>
          <cell r="H230" t="str">
            <v>청도</v>
          </cell>
          <cell r="I230">
            <v>160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-160</v>
          </cell>
          <cell r="R230">
            <v>0</v>
          </cell>
          <cell r="S230">
            <v>0</v>
          </cell>
          <cell r="T230">
            <v>0</v>
          </cell>
          <cell r="U230">
            <v>-160</v>
          </cell>
          <cell r="AP230">
            <v>0</v>
          </cell>
        </row>
        <row r="231">
          <cell r="G231">
            <v>1223216</v>
          </cell>
          <cell r="H231" t="str">
            <v>심양</v>
          </cell>
          <cell r="M231">
            <v>0</v>
          </cell>
          <cell r="N231">
            <v>0</v>
          </cell>
          <cell r="O231">
            <v>0</v>
          </cell>
          <cell r="AP231">
            <v>0</v>
          </cell>
        </row>
        <row r="232">
          <cell r="G232">
            <v>1234765</v>
          </cell>
          <cell r="H232" t="str">
            <v>심양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AP232">
            <v>0</v>
          </cell>
        </row>
        <row r="233">
          <cell r="G233">
            <v>1229263</v>
          </cell>
          <cell r="H233" t="str">
            <v>심양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12</v>
          </cell>
          <cell r="N233">
            <v>0</v>
          </cell>
          <cell r="O233">
            <v>0</v>
          </cell>
          <cell r="P233">
            <v>0</v>
          </cell>
          <cell r="Q233">
            <v>12</v>
          </cell>
          <cell r="R233">
            <v>0</v>
          </cell>
          <cell r="S233">
            <v>0</v>
          </cell>
          <cell r="T233">
            <v>0</v>
          </cell>
          <cell r="U233">
            <v>12</v>
          </cell>
          <cell r="AB233">
            <v>12</v>
          </cell>
          <cell r="AP233">
            <v>0</v>
          </cell>
        </row>
        <row r="234">
          <cell r="G234">
            <v>1229350</v>
          </cell>
          <cell r="H234" t="str">
            <v>심양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AP234">
            <v>0</v>
          </cell>
        </row>
        <row r="235">
          <cell r="G235">
            <v>1232706</v>
          </cell>
          <cell r="H235" t="str">
            <v>심양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AP235">
            <v>0</v>
          </cell>
        </row>
        <row r="236">
          <cell r="G236">
            <v>1221254</v>
          </cell>
          <cell r="H236" t="str">
            <v>심양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AP236">
            <v>0</v>
          </cell>
        </row>
        <row r="237"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AP237">
            <v>0</v>
          </cell>
        </row>
        <row r="238">
          <cell r="G238">
            <v>9215441</v>
          </cell>
          <cell r="H238" t="str">
            <v>심양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AP238">
            <v>0</v>
          </cell>
        </row>
        <row r="239">
          <cell r="G239">
            <v>9223791</v>
          </cell>
          <cell r="H239" t="str">
            <v>심양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AP239">
            <v>0</v>
          </cell>
        </row>
        <row r="240">
          <cell r="G240">
            <v>1221036</v>
          </cell>
          <cell r="H240" t="str">
            <v>심양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AP240">
            <v>0</v>
          </cell>
        </row>
        <row r="241">
          <cell r="G241">
            <v>1232002</v>
          </cell>
          <cell r="H241" t="str">
            <v>청도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AP241">
            <v>0</v>
          </cell>
        </row>
        <row r="242">
          <cell r="H242" t="str">
            <v>청도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AP242">
            <v>0</v>
          </cell>
        </row>
        <row r="243">
          <cell r="H243" t="str">
            <v>청도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AP243">
            <v>0</v>
          </cell>
        </row>
        <row r="244">
          <cell r="H244" t="str">
            <v>청도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AP244">
            <v>0</v>
          </cell>
        </row>
        <row r="245">
          <cell r="H245" t="str">
            <v>청도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AP245">
            <v>0</v>
          </cell>
        </row>
        <row r="246">
          <cell r="H246" t="str">
            <v>청도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AP246">
            <v>0</v>
          </cell>
        </row>
        <row r="247">
          <cell r="H247" t="str">
            <v>청도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AP247">
            <v>0</v>
          </cell>
        </row>
        <row r="248">
          <cell r="H248" t="str">
            <v>청도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AP248">
            <v>0</v>
          </cell>
        </row>
        <row r="249">
          <cell r="H249" t="str">
            <v>청도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AP249">
            <v>0</v>
          </cell>
        </row>
        <row r="250">
          <cell r="H250" t="str">
            <v>청도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AP250">
            <v>0</v>
          </cell>
        </row>
        <row r="251">
          <cell r="H251" t="str">
            <v>청도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AP251">
            <v>0</v>
          </cell>
        </row>
        <row r="252">
          <cell r="H252" t="str">
            <v>청도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AP252">
            <v>0</v>
          </cell>
        </row>
        <row r="253">
          <cell r="H253" t="str">
            <v>청도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AP253">
            <v>0</v>
          </cell>
        </row>
        <row r="254">
          <cell r="G254">
            <v>1228162</v>
          </cell>
          <cell r="H254" t="str">
            <v>심양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AP254">
            <v>0</v>
          </cell>
        </row>
        <row r="255">
          <cell r="AF255">
            <v>0</v>
          </cell>
          <cell r="AG255">
            <v>0</v>
          </cell>
          <cell r="AI255">
            <v>0</v>
          </cell>
          <cell r="AK255">
            <v>0</v>
          </cell>
          <cell r="AM255">
            <v>0</v>
          </cell>
          <cell r="AO255">
            <v>0</v>
          </cell>
          <cell r="AP255">
            <v>0</v>
          </cell>
        </row>
        <row r="256">
          <cell r="G256">
            <v>337</v>
          </cell>
          <cell r="H256" t="str">
            <v>심양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AP256">
            <v>0</v>
          </cell>
        </row>
        <row r="257">
          <cell r="G257">
            <v>3446</v>
          </cell>
          <cell r="H257" t="str">
            <v>심양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AP257">
            <v>0</v>
          </cell>
        </row>
        <row r="258">
          <cell r="G258">
            <v>4364</v>
          </cell>
          <cell r="H258" t="str">
            <v>심양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AP258">
            <v>0</v>
          </cell>
        </row>
        <row r="259">
          <cell r="G259" t="str">
            <v>5401A</v>
          </cell>
          <cell r="H259" t="str">
            <v>심양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AP259">
            <v>0</v>
          </cell>
        </row>
        <row r="260">
          <cell r="G260">
            <v>1004</v>
          </cell>
          <cell r="H260" t="str">
            <v>심양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AP260">
            <v>0</v>
          </cell>
        </row>
        <row r="261">
          <cell r="G261">
            <v>1005</v>
          </cell>
          <cell r="H261" t="str">
            <v>심양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AP261">
            <v>0</v>
          </cell>
        </row>
        <row r="262">
          <cell r="G262">
            <v>4667</v>
          </cell>
          <cell r="H262" t="str">
            <v>심양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AP262">
            <v>0</v>
          </cell>
        </row>
        <row r="263"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AP263">
            <v>0</v>
          </cell>
        </row>
        <row r="264"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AP264">
            <v>0</v>
          </cell>
        </row>
        <row r="265"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AP265">
            <v>0</v>
          </cell>
        </row>
        <row r="266"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AP266">
            <v>0</v>
          </cell>
        </row>
        <row r="267"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AP267">
            <v>0</v>
          </cell>
        </row>
        <row r="268"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AP268">
            <v>0</v>
          </cell>
        </row>
        <row r="269">
          <cell r="AF269">
            <v>0</v>
          </cell>
          <cell r="AG269">
            <v>0</v>
          </cell>
          <cell r="AI269">
            <v>0</v>
          </cell>
          <cell r="AJ269">
            <v>0</v>
          </cell>
          <cell r="AK269">
            <v>0</v>
          </cell>
          <cell r="AM269">
            <v>0</v>
          </cell>
          <cell r="AO269">
            <v>0</v>
          </cell>
          <cell r="AP269">
            <v>0</v>
          </cell>
        </row>
        <row r="270">
          <cell r="AF270">
            <v>0</v>
          </cell>
          <cell r="AG270">
            <v>0</v>
          </cell>
          <cell r="AI270">
            <v>0</v>
          </cell>
          <cell r="AK270">
            <v>0</v>
          </cell>
          <cell r="AM270">
            <v>0</v>
          </cell>
          <cell r="AO270">
            <v>0</v>
          </cell>
          <cell r="AP270">
            <v>0</v>
          </cell>
        </row>
        <row r="271">
          <cell r="AP271">
            <v>0</v>
          </cell>
        </row>
        <row r="272">
          <cell r="AP272">
            <v>0</v>
          </cell>
        </row>
        <row r="273">
          <cell r="AP273">
            <v>0</v>
          </cell>
        </row>
        <row r="274">
          <cell r="AP274">
            <v>0</v>
          </cell>
        </row>
        <row r="275">
          <cell r="G275">
            <v>9219943</v>
          </cell>
          <cell r="H275" t="str">
            <v>심양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P275">
            <v>0</v>
          </cell>
        </row>
        <row r="276">
          <cell r="G276">
            <v>1217440</v>
          </cell>
          <cell r="H276" t="str">
            <v>심양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AP276">
            <v>0</v>
          </cell>
        </row>
        <row r="277">
          <cell r="G277">
            <v>1218240</v>
          </cell>
          <cell r="H277" t="str">
            <v>심양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AP277">
            <v>0</v>
          </cell>
        </row>
        <row r="278">
          <cell r="G278">
            <v>1230932</v>
          </cell>
          <cell r="H278" t="str">
            <v>심양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AP278">
            <v>0</v>
          </cell>
        </row>
        <row r="279">
          <cell r="G279">
            <v>1232416</v>
          </cell>
          <cell r="H279" t="str">
            <v>심양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AP279">
            <v>0</v>
          </cell>
        </row>
        <row r="280">
          <cell r="G280">
            <v>1232247</v>
          </cell>
          <cell r="H280" t="str">
            <v>심양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AP280">
            <v>0</v>
          </cell>
        </row>
        <row r="281">
          <cell r="G281">
            <v>1233920</v>
          </cell>
          <cell r="H281" t="str">
            <v>심양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AP281">
            <v>0</v>
          </cell>
        </row>
        <row r="282">
          <cell r="G282">
            <v>1235560</v>
          </cell>
          <cell r="H282" t="str">
            <v>심양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AP282">
            <v>0</v>
          </cell>
        </row>
        <row r="283"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AP283">
            <v>0</v>
          </cell>
        </row>
        <row r="284"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AP284">
            <v>0</v>
          </cell>
        </row>
        <row r="285">
          <cell r="G285" t="str">
            <v>PN003AC</v>
          </cell>
          <cell r="H285" t="str">
            <v>대만향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AP285">
            <v>0</v>
          </cell>
        </row>
        <row r="286">
          <cell r="G286">
            <v>1230467</v>
          </cell>
          <cell r="H286" t="str">
            <v>심양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AP286">
            <v>0</v>
          </cell>
        </row>
        <row r="287">
          <cell r="G287">
            <v>1230385</v>
          </cell>
          <cell r="H287" t="str">
            <v>심양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AP287">
            <v>0</v>
          </cell>
        </row>
        <row r="288">
          <cell r="G288">
            <v>1215215</v>
          </cell>
          <cell r="H288" t="str">
            <v>심양</v>
          </cell>
          <cell r="I288">
            <v>12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-12</v>
          </cell>
          <cell r="R288">
            <v>0</v>
          </cell>
          <cell r="S288">
            <v>0</v>
          </cell>
          <cell r="T288">
            <v>0</v>
          </cell>
          <cell r="U288">
            <v>-12</v>
          </cell>
          <cell r="AP288">
            <v>0</v>
          </cell>
        </row>
        <row r="289">
          <cell r="G289">
            <v>1231242</v>
          </cell>
          <cell r="H289" t="str">
            <v>심양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AP289">
            <v>0</v>
          </cell>
        </row>
        <row r="290">
          <cell r="G290">
            <v>1212624</v>
          </cell>
          <cell r="H290" t="str">
            <v>심양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AP290">
            <v>0</v>
          </cell>
        </row>
        <row r="291">
          <cell r="G291">
            <v>1226868</v>
          </cell>
          <cell r="H291" t="str">
            <v>심양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AP291">
            <v>0</v>
          </cell>
        </row>
        <row r="292">
          <cell r="G292">
            <v>1229011</v>
          </cell>
          <cell r="H292" t="str">
            <v>심양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AP292">
            <v>0</v>
          </cell>
        </row>
        <row r="293">
          <cell r="G293">
            <v>1219538</v>
          </cell>
          <cell r="H293" t="str">
            <v>심양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AP293">
            <v>0</v>
          </cell>
        </row>
        <row r="294">
          <cell r="G294">
            <v>1232112</v>
          </cell>
          <cell r="H294" t="str">
            <v>심양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AP294">
            <v>0</v>
          </cell>
        </row>
        <row r="295">
          <cell r="G295">
            <v>1219539</v>
          </cell>
          <cell r="H295" t="str">
            <v>심양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57</v>
          </cell>
          <cell r="N295">
            <v>0</v>
          </cell>
          <cell r="O295">
            <v>0</v>
          </cell>
          <cell r="P295">
            <v>0</v>
          </cell>
          <cell r="Q295">
            <v>57</v>
          </cell>
          <cell r="R295">
            <v>0</v>
          </cell>
          <cell r="S295">
            <v>0</v>
          </cell>
          <cell r="T295">
            <v>0</v>
          </cell>
          <cell r="U295">
            <v>57</v>
          </cell>
          <cell r="AB295">
            <v>0</v>
          </cell>
          <cell r="AC295">
            <v>0</v>
          </cell>
          <cell r="AD295">
            <v>57</v>
          </cell>
          <cell r="AP295">
            <v>0</v>
          </cell>
        </row>
        <row r="296">
          <cell r="H296" t="str">
            <v>베트남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AP296">
            <v>0</v>
          </cell>
        </row>
        <row r="297">
          <cell r="H297" t="str">
            <v>베트남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AP297">
            <v>0</v>
          </cell>
        </row>
        <row r="298">
          <cell r="H298" t="str">
            <v>베트남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AP298">
            <v>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1227431</v>
          </cell>
          <cell r="B2">
            <v>0</v>
          </cell>
          <cell r="C2">
            <v>0</v>
          </cell>
          <cell r="D2">
            <v>0</v>
          </cell>
          <cell r="E2">
            <v>96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Y2">
            <v>96</v>
          </cell>
        </row>
        <row r="3">
          <cell r="A3">
            <v>1227433</v>
          </cell>
          <cell r="B3">
            <v>0</v>
          </cell>
          <cell r="C3">
            <v>0</v>
          </cell>
          <cell r="D3">
            <v>0</v>
          </cell>
          <cell r="E3">
            <v>96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Y3">
            <v>96</v>
          </cell>
        </row>
        <row r="4">
          <cell r="A4">
            <v>1229673</v>
          </cell>
          <cell r="B4">
            <v>300</v>
          </cell>
          <cell r="C4">
            <v>300</v>
          </cell>
          <cell r="D4">
            <v>300</v>
          </cell>
          <cell r="E4">
            <v>300</v>
          </cell>
          <cell r="F4">
            <v>300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300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Y4">
            <v>1500</v>
          </cell>
        </row>
        <row r="5">
          <cell r="A5">
            <v>1230854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100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Y5">
            <v>0</v>
          </cell>
        </row>
        <row r="6">
          <cell r="A6">
            <v>1237088</v>
          </cell>
          <cell r="B6">
            <v>488</v>
          </cell>
          <cell r="C6">
            <v>1134</v>
          </cell>
          <cell r="D6">
            <v>854</v>
          </cell>
          <cell r="E6">
            <v>792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1406</v>
          </cell>
          <cell r="M6">
            <v>684</v>
          </cell>
          <cell r="N6">
            <v>0</v>
          </cell>
          <cell r="O6">
            <v>0</v>
          </cell>
          <cell r="P6">
            <v>644</v>
          </cell>
          <cell r="Q6">
            <v>394</v>
          </cell>
          <cell r="R6">
            <v>0</v>
          </cell>
          <cell r="S6">
            <v>1772</v>
          </cell>
          <cell r="T6">
            <v>1356</v>
          </cell>
          <cell r="U6">
            <v>0</v>
          </cell>
          <cell r="V6">
            <v>0</v>
          </cell>
          <cell r="Y6">
            <v>5358</v>
          </cell>
        </row>
        <row r="7">
          <cell r="A7">
            <v>1237748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558</v>
          </cell>
          <cell r="T7">
            <v>456</v>
          </cell>
          <cell r="U7">
            <v>0</v>
          </cell>
          <cell r="V7">
            <v>0</v>
          </cell>
          <cell r="Y7">
            <v>0</v>
          </cell>
        </row>
        <row r="8">
          <cell r="A8">
            <v>1236091</v>
          </cell>
          <cell r="B8">
            <v>0</v>
          </cell>
          <cell r="C8">
            <v>0</v>
          </cell>
          <cell r="D8">
            <v>150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100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Y8">
            <v>150</v>
          </cell>
        </row>
        <row r="9">
          <cell r="A9">
            <v>1238128</v>
          </cell>
          <cell r="B9">
            <v>712</v>
          </cell>
          <cell r="C9">
            <v>900</v>
          </cell>
          <cell r="D9">
            <v>578</v>
          </cell>
          <cell r="E9">
            <v>84</v>
          </cell>
          <cell r="F9">
            <v>378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378</v>
          </cell>
          <cell r="M9">
            <v>378</v>
          </cell>
          <cell r="N9">
            <v>0</v>
          </cell>
          <cell r="O9">
            <v>0</v>
          </cell>
          <cell r="P9">
            <v>378</v>
          </cell>
          <cell r="Q9">
            <v>570</v>
          </cell>
          <cell r="R9">
            <v>734</v>
          </cell>
          <cell r="S9">
            <v>579</v>
          </cell>
          <cell r="T9">
            <v>346</v>
          </cell>
          <cell r="U9">
            <v>0</v>
          </cell>
          <cell r="V9">
            <v>0</v>
          </cell>
          <cell r="Y9">
            <v>3408</v>
          </cell>
        </row>
        <row r="10">
          <cell r="A10">
            <v>1236962</v>
          </cell>
          <cell r="B10">
            <v>300</v>
          </cell>
          <cell r="C10">
            <v>0</v>
          </cell>
          <cell r="D10">
            <v>300</v>
          </cell>
          <cell r="E10">
            <v>500</v>
          </cell>
          <cell r="F10">
            <v>170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398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Y10">
            <v>1270</v>
          </cell>
        </row>
        <row r="11">
          <cell r="A11">
            <v>1233761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350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Y11">
            <v>350</v>
          </cell>
        </row>
        <row r="12">
          <cell r="A12">
            <v>1239651</v>
          </cell>
          <cell r="B12">
            <v>0</v>
          </cell>
          <cell r="C12">
            <v>500</v>
          </cell>
          <cell r="D12">
            <v>0</v>
          </cell>
          <cell r="E12">
            <v>228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500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Y12">
            <v>728</v>
          </cell>
        </row>
        <row r="13">
          <cell r="A13">
            <v>1239988</v>
          </cell>
          <cell r="B13">
            <v>0</v>
          </cell>
          <cell r="C13">
            <v>0</v>
          </cell>
          <cell r="D13">
            <v>168</v>
          </cell>
          <cell r="E13">
            <v>356</v>
          </cell>
          <cell r="F13">
            <v>356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356</v>
          </cell>
          <cell r="M13">
            <v>294</v>
          </cell>
          <cell r="N13">
            <v>0</v>
          </cell>
          <cell r="O13">
            <v>0</v>
          </cell>
          <cell r="P13">
            <v>284</v>
          </cell>
          <cell r="Q13">
            <v>366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Y13">
            <v>1530</v>
          </cell>
        </row>
        <row r="14">
          <cell r="A14">
            <v>1240180</v>
          </cell>
          <cell r="B14">
            <v>380</v>
          </cell>
          <cell r="C14">
            <v>358</v>
          </cell>
          <cell r="D14">
            <v>142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34</v>
          </cell>
          <cell r="N14">
            <v>0</v>
          </cell>
          <cell r="O14">
            <v>0</v>
          </cell>
          <cell r="P14">
            <v>68</v>
          </cell>
          <cell r="Q14">
            <v>358</v>
          </cell>
          <cell r="R14">
            <v>224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Y14">
            <v>914</v>
          </cell>
        </row>
        <row r="15">
          <cell r="A15">
            <v>1240184</v>
          </cell>
          <cell r="B15">
            <v>380</v>
          </cell>
          <cell r="C15">
            <v>358</v>
          </cell>
          <cell r="D15">
            <v>142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34</v>
          </cell>
          <cell r="N15">
            <v>0</v>
          </cell>
          <cell r="O15">
            <v>0</v>
          </cell>
          <cell r="P15">
            <v>68</v>
          </cell>
          <cell r="Q15">
            <v>358</v>
          </cell>
          <cell r="R15">
            <v>124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Y15">
            <v>914</v>
          </cell>
        </row>
        <row r="16">
          <cell r="A16">
            <v>1240308</v>
          </cell>
          <cell r="B16">
            <v>300</v>
          </cell>
          <cell r="C16">
            <v>0</v>
          </cell>
          <cell r="D16">
            <v>0</v>
          </cell>
          <cell r="E16">
            <v>0</v>
          </cell>
          <cell r="F16">
            <v>150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300</v>
          </cell>
          <cell r="N16">
            <v>0</v>
          </cell>
          <cell r="O16">
            <v>0</v>
          </cell>
          <cell r="P16">
            <v>450</v>
          </cell>
          <cell r="Q16">
            <v>0</v>
          </cell>
          <cell r="R16">
            <v>580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Y16">
            <v>750</v>
          </cell>
        </row>
        <row r="17">
          <cell r="A17">
            <v>1241601</v>
          </cell>
          <cell r="B17">
            <v>0</v>
          </cell>
          <cell r="C17">
            <v>0</v>
          </cell>
          <cell r="D17">
            <v>528</v>
          </cell>
          <cell r="E17">
            <v>804</v>
          </cell>
          <cell r="F17">
            <v>420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670</v>
          </cell>
          <cell r="M17">
            <v>952</v>
          </cell>
          <cell r="N17">
            <v>0</v>
          </cell>
          <cell r="O17">
            <v>0</v>
          </cell>
          <cell r="P17">
            <v>1000</v>
          </cell>
          <cell r="Q17">
            <v>764</v>
          </cell>
          <cell r="R17">
            <v>566</v>
          </cell>
          <cell r="S17">
            <v>1318</v>
          </cell>
          <cell r="T17">
            <v>1014</v>
          </cell>
          <cell r="U17">
            <v>0</v>
          </cell>
          <cell r="V17">
            <v>0</v>
          </cell>
          <cell r="Y17">
            <v>3374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1227431</v>
          </cell>
          <cell r="B2">
            <v>0</v>
          </cell>
          <cell r="C2">
            <v>96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V2">
            <v>96</v>
          </cell>
        </row>
        <row r="3">
          <cell r="A3">
            <v>1227433</v>
          </cell>
          <cell r="B3">
            <v>0</v>
          </cell>
          <cell r="C3">
            <v>96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V3">
            <v>96</v>
          </cell>
        </row>
        <row r="4">
          <cell r="A4">
            <v>1229673</v>
          </cell>
          <cell r="B4">
            <v>300</v>
          </cell>
          <cell r="C4">
            <v>300</v>
          </cell>
          <cell r="D4">
            <v>300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300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V4">
            <v>1200</v>
          </cell>
        </row>
        <row r="5">
          <cell r="A5">
            <v>1230854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100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100</v>
          </cell>
        </row>
        <row r="6">
          <cell r="A6">
            <v>1237088</v>
          </cell>
          <cell r="B6">
            <v>854</v>
          </cell>
          <cell r="C6">
            <v>792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1406</v>
          </cell>
          <cell r="K6">
            <v>684</v>
          </cell>
          <cell r="L6">
            <v>0</v>
          </cell>
          <cell r="M6">
            <v>0</v>
          </cell>
          <cell r="N6">
            <v>644</v>
          </cell>
          <cell r="O6">
            <v>394</v>
          </cell>
          <cell r="P6">
            <v>424</v>
          </cell>
          <cell r="Q6">
            <v>1556</v>
          </cell>
          <cell r="R6">
            <v>1356</v>
          </cell>
          <cell r="S6">
            <v>0</v>
          </cell>
          <cell r="T6">
            <v>0</v>
          </cell>
          <cell r="V6">
            <v>8110</v>
          </cell>
        </row>
        <row r="7">
          <cell r="A7">
            <v>1237748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558</v>
          </cell>
          <cell r="R7">
            <v>456</v>
          </cell>
          <cell r="S7">
            <v>0</v>
          </cell>
          <cell r="T7">
            <v>0</v>
          </cell>
          <cell r="V7">
            <v>1014</v>
          </cell>
        </row>
        <row r="8">
          <cell r="A8">
            <v>1236091</v>
          </cell>
          <cell r="B8">
            <v>150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100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250</v>
          </cell>
        </row>
        <row r="9">
          <cell r="A9">
            <v>1238128</v>
          </cell>
          <cell r="B9">
            <v>578</v>
          </cell>
          <cell r="C9">
            <v>84</v>
          </cell>
          <cell r="D9">
            <v>378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378</v>
          </cell>
          <cell r="K9">
            <v>378</v>
          </cell>
          <cell r="L9">
            <v>0</v>
          </cell>
          <cell r="M9">
            <v>0</v>
          </cell>
          <cell r="N9">
            <v>378</v>
          </cell>
          <cell r="O9">
            <v>490</v>
          </cell>
          <cell r="P9">
            <v>698</v>
          </cell>
          <cell r="Q9">
            <v>529</v>
          </cell>
          <cell r="R9">
            <v>312</v>
          </cell>
          <cell r="S9">
            <v>0</v>
          </cell>
          <cell r="T9">
            <v>0</v>
          </cell>
          <cell r="V9">
            <v>4203</v>
          </cell>
        </row>
        <row r="10">
          <cell r="A10">
            <v>1236962</v>
          </cell>
          <cell r="B10">
            <v>300</v>
          </cell>
          <cell r="C10">
            <v>500</v>
          </cell>
          <cell r="D10">
            <v>170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398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1368</v>
          </cell>
        </row>
        <row r="11">
          <cell r="A11">
            <v>1233761</v>
          </cell>
          <cell r="B11">
            <v>0</v>
          </cell>
          <cell r="C11">
            <v>0</v>
          </cell>
          <cell r="D11">
            <v>350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350</v>
          </cell>
        </row>
        <row r="12">
          <cell r="A12">
            <v>1239651</v>
          </cell>
          <cell r="B12">
            <v>0</v>
          </cell>
          <cell r="C12">
            <v>228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728</v>
          </cell>
        </row>
        <row r="13">
          <cell r="A13">
            <v>1239988</v>
          </cell>
          <cell r="B13">
            <v>168</v>
          </cell>
          <cell r="C13">
            <v>356</v>
          </cell>
          <cell r="D13">
            <v>356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356</v>
          </cell>
          <cell r="K13">
            <v>294</v>
          </cell>
          <cell r="L13">
            <v>0</v>
          </cell>
          <cell r="M13">
            <v>0</v>
          </cell>
          <cell r="N13">
            <v>284</v>
          </cell>
          <cell r="O13">
            <v>442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2256</v>
          </cell>
        </row>
        <row r="14">
          <cell r="A14">
            <v>1240180</v>
          </cell>
          <cell r="B14">
            <v>142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</v>
          </cell>
          <cell r="L14">
            <v>0</v>
          </cell>
          <cell r="M14">
            <v>0</v>
          </cell>
          <cell r="N14">
            <v>68</v>
          </cell>
          <cell r="O14">
            <v>358</v>
          </cell>
          <cell r="P14">
            <v>224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826</v>
          </cell>
        </row>
        <row r="15">
          <cell r="A15">
            <v>1240184</v>
          </cell>
          <cell r="B15">
            <v>142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34</v>
          </cell>
          <cell r="L15">
            <v>0</v>
          </cell>
          <cell r="M15">
            <v>0</v>
          </cell>
          <cell r="N15">
            <v>68</v>
          </cell>
          <cell r="O15">
            <v>358</v>
          </cell>
          <cell r="P15">
            <v>124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726</v>
          </cell>
        </row>
        <row r="16">
          <cell r="A16">
            <v>1240308</v>
          </cell>
          <cell r="B16">
            <v>0</v>
          </cell>
          <cell r="C16">
            <v>0</v>
          </cell>
          <cell r="D16">
            <v>150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300</v>
          </cell>
          <cell r="L16">
            <v>0</v>
          </cell>
          <cell r="M16">
            <v>0</v>
          </cell>
          <cell r="N16">
            <v>450</v>
          </cell>
          <cell r="O16">
            <v>0</v>
          </cell>
          <cell r="P16">
            <v>280</v>
          </cell>
          <cell r="Q16">
            <v>300</v>
          </cell>
          <cell r="R16">
            <v>0</v>
          </cell>
          <cell r="S16">
            <v>0</v>
          </cell>
          <cell r="T16">
            <v>0</v>
          </cell>
          <cell r="V16">
            <v>1480</v>
          </cell>
        </row>
        <row r="17">
          <cell r="A17">
            <v>1241601</v>
          </cell>
          <cell r="B17">
            <v>528</v>
          </cell>
          <cell r="C17">
            <v>804</v>
          </cell>
          <cell r="D17">
            <v>420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670</v>
          </cell>
          <cell r="K17">
            <v>952</v>
          </cell>
          <cell r="L17">
            <v>0</v>
          </cell>
          <cell r="M17">
            <v>0</v>
          </cell>
          <cell r="N17">
            <v>1000</v>
          </cell>
          <cell r="O17">
            <v>764</v>
          </cell>
          <cell r="P17">
            <v>566</v>
          </cell>
          <cell r="Q17">
            <v>1318</v>
          </cell>
          <cell r="R17">
            <v>1014</v>
          </cell>
          <cell r="S17">
            <v>0</v>
          </cell>
          <cell r="T17">
            <v>0</v>
          </cell>
          <cell r="V17">
            <v>8036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1232846</v>
          </cell>
          <cell r="B2">
            <v>94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289</v>
          </cell>
          <cell r="O2">
            <v>352</v>
          </cell>
          <cell r="P2">
            <v>79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X2">
            <v>814</v>
          </cell>
        </row>
        <row r="3">
          <cell r="A3">
            <v>1232895</v>
          </cell>
          <cell r="B3">
            <v>94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289</v>
          </cell>
          <cell r="O3">
            <v>352</v>
          </cell>
          <cell r="P3">
            <v>79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X3">
            <v>814</v>
          </cell>
        </row>
        <row r="4">
          <cell r="A4">
            <v>1233384</v>
          </cell>
          <cell r="B4">
            <v>94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289</v>
          </cell>
          <cell r="O4">
            <v>352</v>
          </cell>
          <cell r="P4">
            <v>79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X4">
            <v>814</v>
          </cell>
        </row>
        <row r="5">
          <cell r="A5">
            <v>1232775</v>
          </cell>
          <cell r="B5">
            <v>165</v>
          </cell>
          <cell r="C5">
            <v>245</v>
          </cell>
          <cell r="D5">
            <v>284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308</v>
          </cell>
          <cell r="K5">
            <v>242</v>
          </cell>
          <cell r="L5">
            <v>0</v>
          </cell>
          <cell r="M5">
            <v>0</v>
          </cell>
          <cell r="N5">
            <v>311</v>
          </cell>
          <cell r="O5">
            <v>100</v>
          </cell>
          <cell r="P5">
            <v>178</v>
          </cell>
          <cell r="Q5">
            <v>435</v>
          </cell>
          <cell r="R5">
            <v>424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X5">
            <v>2692</v>
          </cell>
        </row>
        <row r="6">
          <cell r="A6">
            <v>1238605</v>
          </cell>
          <cell r="B6">
            <v>187</v>
          </cell>
          <cell r="C6">
            <v>185</v>
          </cell>
          <cell r="D6">
            <v>122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92</v>
          </cell>
          <cell r="P6">
            <v>189</v>
          </cell>
          <cell r="Q6">
            <v>28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X6">
            <v>803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216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T2">
            <v>216</v>
          </cell>
        </row>
        <row r="3">
          <cell r="A3">
            <v>1220847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920</v>
          </cell>
          <cell r="M3">
            <v>0</v>
          </cell>
          <cell r="N3">
            <v>0</v>
          </cell>
          <cell r="O3">
            <v>0</v>
          </cell>
          <cell r="P3">
            <v>4330</v>
          </cell>
          <cell r="Q3">
            <v>0</v>
          </cell>
          <cell r="R3">
            <v>0</v>
          </cell>
          <cell r="T3">
            <v>5250</v>
          </cell>
        </row>
        <row r="4">
          <cell r="A4">
            <v>1227306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180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375</v>
          </cell>
          <cell r="P4">
            <v>225</v>
          </cell>
          <cell r="Q4">
            <v>0</v>
          </cell>
          <cell r="R4">
            <v>0</v>
          </cell>
          <cell r="T4">
            <v>780</v>
          </cell>
        </row>
        <row r="5">
          <cell r="A5">
            <v>1227359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44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T5">
            <v>44</v>
          </cell>
        </row>
        <row r="6">
          <cell r="A6">
            <v>1225464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472</v>
          </cell>
          <cell r="I6">
            <v>284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T6">
            <v>756</v>
          </cell>
        </row>
        <row r="7">
          <cell r="A7">
            <v>1231797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130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T7">
            <v>130</v>
          </cell>
        </row>
        <row r="8">
          <cell r="A8">
            <v>1232066</v>
          </cell>
          <cell r="B8">
            <v>234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T8">
            <v>234</v>
          </cell>
        </row>
        <row r="9">
          <cell r="A9">
            <v>1232693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521</v>
          </cell>
          <cell r="G9">
            <v>613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1134</v>
          </cell>
        </row>
        <row r="10">
          <cell r="A10">
            <v>1233025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521</v>
          </cell>
          <cell r="G10">
            <v>613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1134</v>
          </cell>
        </row>
        <row r="11">
          <cell r="A11">
            <v>1232528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539</v>
          </cell>
          <cell r="J11">
            <v>0</v>
          </cell>
          <cell r="K11">
            <v>0</v>
          </cell>
          <cell r="L11">
            <v>674</v>
          </cell>
          <cell r="M11">
            <v>539</v>
          </cell>
          <cell r="N11">
            <v>539</v>
          </cell>
          <cell r="O11">
            <v>613</v>
          </cell>
          <cell r="P11">
            <v>2795</v>
          </cell>
          <cell r="Q11">
            <v>0</v>
          </cell>
          <cell r="R11">
            <v>0</v>
          </cell>
          <cell r="T11">
            <v>5699</v>
          </cell>
        </row>
        <row r="12">
          <cell r="A12">
            <v>1232846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361</v>
          </cell>
          <cell r="I12">
            <v>0</v>
          </cell>
          <cell r="J12">
            <v>0</v>
          </cell>
          <cell r="K12">
            <v>0</v>
          </cell>
          <cell r="L12">
            <v>576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T12">
            <v>937</v>
          </cell>
        </row>
        <row r="13">
          <cell r="A13">
            <v>1229050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315</v>
          </cell>
          <cell r="H13">
            <v>30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345</v>
          </cell>
        </row>
        <row r="14">
          <cell r="A14">
            <v>1231090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510</v>
          </cell>
          <cell r="M14">
            <v>0</v>
          </cell>
          <cell r="N14">
            <v>0</v>
          </cell>
          <cell r="O14">
            <v>0</v>
          </cell>
          <cell r="P14">
            <v>570</v>
          </cell>
          <cell r="Q14">
            <v>0</v>
          </cell>
          <cell r="R14">
            <v>0</v>
          </cell>
          <cell r="T14">
            <v>1080</v>
          </cell>
        </row>
        <row r="15">
          <cell r="A15">
            <v>1233383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116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116</v>
          </cell>
        </row>
        <row r="16">
          <cell r="A16">
            <v>1235097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250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250</v>
          </cell>
        </row>
        <row r="17">
          <cell r="A17">
            <v>1235845</v>
          </cell>
          <cell r="B17">
            <v>93</v>
          </cell>
          <cell r="C17">
            <v>0</v>
          </cell>
          <cell r="D17">
            <v>0</v>
          </cell>
          <cell r="E17">
            <v>0</v>
          </cell>
          <cell r="F17">
            <v>622</v>
          </cell>
          <cell r="G17">
            <v>185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900</v>
          </cell>
        </row>
        <row r="18">
          <cell r="A18">
            <v>1236601</v>
          </cell>
          <cell r="B18">
            <v>82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82</v>
          </cell>
        </row>
        <row r="19">
          <cell r="A19">
            <v>1236619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56</v>
          </cell>
          <cell r="M19">
            <v>0</v>
          </cell>
          <cell r="N19">
            <v>0</v>
          </cell>
          <cell r="O19">
            <v>198</v>
          </cell>
          <cell r="P19">
            <v>0</v>
          </cell>
          <cell r="Q19">
            <v>0</v>
          </cell>
          <cell r="R19">
            <v>0</v>
          </cell>
          <cell r="T19">
            <v>254</v>
          </cell>
        </row>
        <row r="20">
          <cell r="A20">
            <v>1236930</v>
          </cell>
          <cell r="B20">
            <v>235</v>
          </cell>
          <cell r="C20">
            <v>0</v>
          </cell>
          <cell r="D20">
            <v>0</v>
          </cell>
          <cell r="E20">
            <v>0</v>
          </cell>
          <cell r="F20">
            <v>573</v>
          </cell>
          <cell r="G20">
            <v>295</v>
          </cell>
          <cell r="H20">
            <v>330</v>
          </cell>
          <cell r="I20">
            <v>267</v>
          </cell>
          <cell r="J20">
            <v>0</v>
          </cell>
          <cell r="K20">
            <v>0</v>
          </cell>
          <cell r="L20">
            <v>350</v>
          </cell>
          <cell r="M20">
            <v>606</v>
          </cell>
          <cell r="N20">
            <v>90</v>
          </cell>
          <cell r="O20">
            <v>200</v>
          </cell>
          <cell r="P20">
            <v>1120</v>
          </cell>
          <cell r="Q20">
            <v>0</v>
          </cell>
          <cell r="R20">
            <v>0</v>
          </cell>
          <cell r="T20">
            <v>4066</v>
          </cell>
        </row>
        <row r="21">
          <cell r="A21">
            <v>1237468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192</v>
          </cell>
          <cell r="M21">
            <v>0</v>
          </cell>
          <cell r="N21">
            <v>0</v>
          </cell>
          <cell r="O21">
            <v>37</v>
          </cell>
          <cell r="P21">
            <v>0</v>
          </cell>
          <cell r="Q21">
            <v>0</v>
          </cell>
          <cell r="R21">
            <v>0</v>
          </cell>
          <cell r="T21">
            <v>229</v>
          </cell>
        </row>
        <row r="22">
          <cell r="A22">
            <v>1232775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295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295</v>
          </cell>
        </row>
        <row r="23">
          <cell r="A23">
            <v>1237457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54</v>
          </cell>
          <cell r="P23">
            <v>0</v>
          </cell>
          <cell r="Q23">
            <v>0</v>
          </cell>
          <cell r="R23">
            <v>0</v>
          </cell>
          <cell r="T23">
            <v>54</v>
          </cell>
        </row>
        <row r="24">
          <cell r="A24">
            <v>1237386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45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45</v>
          </cell>
        </row>
        <row r="25">
          <cell r="A25">
            <v>1234905</v>
          </cell>
          <cell r="B25">
            <v>224</v>
          </cell>
          <cell r="C25">
            <v>0</v>
          </cell>
          <cell r="D25">
            <v>0</v>
          </cell>
          <cell r="E25">
            <v>0</v>
          </cell>
          <cell r="F25">
            <v>40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264</v>
          </cell>
        </row>
        <row r="26">
          <cell r="A26">
            <v>1238480</v>
          </cell>
          <cell r="B26">
            <v>977</v>
          </cell>
          <cell r="C26">
            <v>0</v>
          </cell>
          <cell r="D26">
            <v>0</v>
          </cell>
          <cell r="E26">
            <v>0</v>
          </cell>
          <cell r="F26">
            <v>1308</v>
          </cell>
          <cell r="G26">
            <v>857</v>
          </cell>
          <cell r="H26">
            <v>1522</v>
          </cell>
          <cell r="I26">
            <v>1086</v>
          </cell>
          <cell r="J26">
            <v>0</v>
          </cell>
          <cell r="K26">
            <v>0</v>
          </cell>
          <cell r="L26">
            <v>1758</v>
          </cell>
          <cell r="M26">
            <v>1640</v>
          </cell>
          <cell r="N26">
            <v>876</v>
          </cell>
          <cell r="O26">
            <v>1308</v>
          </cell>
          <cell r="P26">
            <v>1452</v>
          </cell>
          <cell r="Q26">
            <v>0</v>
          </cell>
          <cell r="R26">
            <v>0</v>
          </cell>
          <cell r="T26">
            <v>12784</v>
          </cell>
        </row>
        <row r="27">
          <cell r="A27">
            <v>1238453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57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T27">
            <v>57</v>
          </cell>
        </row>
        <row r="28">
          <cell r="A28">
            <v>1240029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400</v>
          </cell>
          <cell r="P28">
            <v>300</v>
          </cell>
          <cell r="Q28">
            <v>0</v>
          </cell>
          <cell r="R28">
            <v>0</v>
          </cell>
          <cell r="T28">
            <v>700</v>
          </cell>
        </row>
        <row r="29">
          <cell r="A29">
            <v>1240032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400</v>
          </cell>
          <cell r="P29">
            <v>300</v>
          </cell>
          <cell r="Q29">
            <v>0</v>
          </cell>
          <cell r="R29">
            <v>0</v>
          </cell>
          <cell r="T29">
            <v>700</v>
          </cell>
        </row>
        <row r="30">
          <cell r="A30">
            <v>1240180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310</v>
          </cell>
          <cell r="M30">
            <v>100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410</v>
          </cell>
        </row>
        <row r="31">
          <cell r="A31">
            <v>1240184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310</v>
          </cell>
          <cell r="M31">
            <v>100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410</v>
          </cell>
        </row>
        <row r="32">
          <cell r="A32">
            <v>1216452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76</v>
          </cell>
        </row>
        <row r="33">
          <cell r="A33">
            <v>1232894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301</v>
          </cell>
          <cell r="I33">
            <v>0</v>
          </cell>
          <cell r="J33">
            <v>0</v>
          </cell>
          <cell r="K33">
            <v>0</v>
          </cell>
          <cell r="L33">
            <v>576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877</v>
          </cell>
        </row>
        <row r="34">
          <cell r="A34">
            <v>1233387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576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T34">
            <v>576</v>
          </cell>
        </row>
        <row r="35">
          <cell r="A35">
            <v>1233385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301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T35">
            <v>301</v>
          </cell>
        </row>
        <row r="36">
          <cell r="A36">
            <v>1232895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60</v>
          </cell>
        </row>
        <row r="37">
          <cell r="A37">
            <v>1232922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60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T37">
            <v>60</v>
          </cell>
        </row>
        <row r="38">
          <cell r="A38">
            <v>1233580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200</v>
          </cell>
          <cell r="P38">
            <v>0</v>
          </cell>
          <cell r="Q38">
            <v>0</v>
          </cell>
          <cell r="R38">
            <v>0</v>
          </cell>
          <cell r="T38">
            <v>200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192</v>
          </cell>
          <cell r="N2">
            <v>308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U2">
            <v>500</v>
          </cell>
        </row>
        <row r="3">
          <cell r="A3">
            <v>1226384</v>
          </cell>
          <cell r="B3">
            <v>330</v>
          </cell>
          <cell r="C3">
            <v>330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100</v>
          </cell>
          <cell r="I3">
            <v>500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U3">
            <v>1260</v>
          </cell>
        </row>
        <row r="4">
          <cell r="A4">
            <v>1226388</v>
          </cell>
          <cell r="B4">
            <v>330</v>
          </cell>
          <cell r="C4">
            <v>330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100</v>
          </cell>
          <cell r="I4">
            <v>500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U4">
            <v>1260</v>
          </cell>
        </row>
        <row r="5">
          <cell r="A5">
            <v>1229673</v>
          </cell>
          <cell r="B5">
            <v>200</v>
          </cell>
          <cell r="C5">
            <v>200</v>
          </cell>
          <cell r="D5">
            <v>0</v>
          </cell>
          <cell r="E5">
            <v>0</v>
          </cell>
          <cell r="F5">
            <v>200</v>
          </cell>
          <cell r="G5">
            <v>200</v>
          </cell>
          <cell r="H5">
            <v>0</v>
          </cell>
          <cell r="I5">
            <v>250</v>
          </cell>
          <cell r="J5">
            <v>250</v>
          </cell>
          <cell r="K5">
            <v>0</v>
          </cell>
          <cell r="L5">
            <v>0</v>
          </cell>
          <cell r="M5">
            <v>200</v>
          </cell>
          <cell r="N5">
            <v>200</v>
          </cell>
          <cell r="O5">
            <v>222</v>
          </cell>
          <cell r="P5">
            <v>200</v>
          </cell>
          <cell r="Q5">
            <v>0</v>
          </cell>
          <cell r="R5">
            <v>0</v>
          </cell>
          <cell r="S5">
            <v>0</v>
          </cell>
          <cell r="U5">
            <v>2122</v>
          </cell>
        </row>
        <row r="6">
          <cell r="A6">
            <v>1230854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100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100</v>
          </cell>
        </row>
        <row r="7">
          <cell r="A7">
            <v>1235623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416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416</v>
          </cell>
        </row>
        <row r="8">
          <cell r="A8">
            <v>1237088</v>
          </cell>
          <cell r="B8">
            <v>1024</v>
          </cell>
          <cell r="C8">
            <v>666</v>
          </cell>
          <cell r="D8">
            <v>0</v>
          </cell>
          <cell r="E8">
            <v>0</v>
          </cell>
          <cell r="F8">
            <v>848</v>
          </cell>
          <cell r="G8">
            <v>610</v>
          </cell>
          <cell r="H8">
            <v>0</v>
          </cell>
          <cell r="I8">
            <v>258</v>
          </cell>
          <cell r="J8">
            <v>744</v>
          </cell>
          <cell r="K8">
            <v>0</v>
          </cell>
          <cell r="L8">
            <v>0</v>
          </cell>
          <cell r="M8">
            <v>920</v>
          </cell>
          <cell r="N8">
            <v>960</v>
          </cell>
          <cell r="O8">
            <v>0</v>
          </cell>
          <cell r="P8">
            <v>300</v>
          </cell>
          <cell r="Q8">
            <v>0</v>
          </cell>
          <cell r="R8">
            <v>0</v>
          </cell>
          <cell r="S8">
            <v>0</v>
          </cell>
          <cell r="U8">
            <v>6330</v>
          </cell>
        </row>
        <row r="9">
          <cell r="A9">
            <v>1237748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522</v>
          </cell>
          <cell r="Q9">
            <v>50</v>
          </cell>
          <cell r="R9">
            <v>0</v>
          </cell>
          <cell r="S9">
            <v>0</v>
          </cell>
          <cell r="U9">
            <v>572</v>
          </cell>
        </row>
        <row r="10">
          <cell r="A10">
            <v>1236091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350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650</v>
          </cell>
        </row>
        <row r="11">
          <cell r="A11">
            <v>1238128</v>
          </cell>
          <cell r="B11">
            <v>1180</v>
          </cell>
          <cell r="C11">
            <v>928</v>
          </cell>
          <cell r="D11">
            <v>0</v>
          </cell>
          <cell r="E11">
            <v>0</v>
          </cell>
          <cell r="F11">
            <v>112</v>
          </cell>
          <cell r="G11">
            <v>386</v>
          </cell>
          <cell r="H11">
            <v>464</v>
          </cell>
          <cell r="I11">
            <v>590</v>
          </cell>
          <cell r="J11">
            <v>464</v>
          </cell>
          <cell r="K11">
            <v>0</v>
          </cell>
          <cell r="L11">
            <v>0</v>
          </cell>
          <cell r="M11">
            <v>200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4324</v>
          </cell>
        </row>
        <row r="12">
          <cell r="A12">
            <v>1236962</v>
          </cell>
          <cell r="B12">
            <v>200</v>
          </cell>
          <cell r="C12">
            <v>200</v>
          </cell>
          <cell r="D12">
            <v>0</v>
          </cell>
          <cell r="E12">
            <v>0</v>
          </cell>
          <cell r="F12">
            <v>186</v>
          </cell>
          <cell r="G12">
            <v>200</v>
          </cell>
          <cell r="H12">
            <v>214</v>
          </cell>
          <cell r="I12">
            <v>200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300</v>
          </cell>
          <cell r="P12">
            <v>300</v>
          </cell>
          <cell r="Q12">
            <v>200</v>
          </cell>
          <cell r="R12">
            <v>0</v>
          </cell>
          <cell r="S12">
            <v>0</v>
          </cell>
          <cell r="U12">
            <v>2000</v>
          </cell>
        </row>
        <row r="13">
          <cell r="A13">
            <v>1233761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140</v>
          </cell>
          <cell r="R13">
            <v>0</v>
          </cell>
          <cell r="S13">
            <v>0</v>
          </cell>
          <cell r="U13">
            <v>440</v>
          </cell>
        </row>
        <row r="14">
          <cell r="A14">
            <v>1239651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401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500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901</v>
          </cell>
        </row>
        <row r="15">
          <cell r="A15">
            <v>1241134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182</v>
          </cell>
          <cell r="J15">
            <v>54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43</v>
          </cell>
          <cell r="Q15">
            <v>0</v>
          </cell>
          <cell r="R15">
            <v>0</v>
          </cell>
          <cell r="S15">
            <v>0</v>
          </cell>
          <cell r="U15">
            <v>279</v>
          </cell>
        </row>
        <row r="16">
          <cell r="A16">
            <v>1239988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150</v>
          </cell>
          <cell r="K16">
            <v>0</v>
          </cell>
          <cell r="L16">
            <v>0</v>
          </cell>
          <cell r="M16">
            <v>501</v>
          </cell>
          <cell r="N16">
            <v>502</v>
          </cell>
          <cell r="O16">
            <v>394</v>
          </cell>
          <cell r="P16">
            <v>502</v>
          </cell>
          <cell r="Q16">
            <v>394</v>
          </cell>
          <cell r="R16">
            <v>0</v>
          </cell>
          <cell r="S16">
            <v>0</v>
          </cell>
          <cell r="U16">
            <v>2443</v>
          </cell>
        </row>
        <row r="17">
          <cell r="A17">
            <v>1240180</v>
          </cell>
          <cell r="B17">
            <v>410</v>
          </cell>
          <cell r="C17">
            <v>322</v>
          </cell>
          <cell r="D17">
            <v>0</v>
          </cell>
          <cell r="E17">
            <v>0</v>
          </cell>
          <cell r="F17">
            <v>420</v>
          </cell>
          <cell r="G17">
            <v>582</v>
          </cell>
          <cell r="H17">
            <v>648</v>
          </cell>
          <cell r="I17">
            <v>664</v>
          </cell>
          <cell r="J17">
            <v>266</v>
          </cell>
          <cell r="K17">
            <v>0</v>
          </cell>
          <cell r="L17">
            <v>0</v>
          </cell>
          <cell r="M17">
            <v>404</v>
          </cell>
          <cell r="N17">
            <v>404</v>
          </cell>
          <cell r="O17">
            <v>318</v>
          </cell>
          <cell r="P17">
            <v>404</v>
          </cell>
          <cell r="Q17">
            <v>318</v>
          </cell>
          <cell r="R17">
            <v>0</v>
          </cell>
          <cell r="S17">
            <v>0</v>
          </cell>
          <cell r="U17">
            <v>5160</v>
          </cell>
        </row>
        <row r="18">
          <cell r="A18">
            <v>1240184</v>
          </cell>
          <cell r="B18">
            <v>410</v>
          </cell>
          <cell r="C18">
            <v>322</v>
          </cell>
          <cell r="D18">
            <v>0</v>
          </cell>
          <cell r="E18">
            <v>0</v>
          </cell>
          <cell r="F18">
            <v>420</v>
          </cell>
          <cell r="G18">
            <v>582</v>
          </cell>
          <cell r="H18">
            <v>648</v>
          </cell>
          <cell r="I18">
            <v>410</v>
          </cell>
          <cell r="J18">
            <v>70</v>
          </cell>
          <cell r="K18">
            <v>0</v>
          </cell>
          <cell r="L18">
            <v>0</v>
          </cell>
          <cell r="M18">
            <v>404</v>
          </cell>
          <cell r="N18">
            <v>404</v>
          </cell>
          <cell r="O18">
            <v>318</v>
          </cell>
          <cell r="P18">
            <v>404</v>
          </cell>
          <cell r="Q18">
            <v>234</v>
          </cell>
          <cell r="R18">
            <v>0</v>
          </cell>
          <cell r="S18">
            <v>0</v>
          </cell>
          <cell r="U18">
            <v>4626</v>
          </cell>
        </row>
        <row r="19">
          <cell r="A19">
            <v>1240308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450</v>
          </cell>
          <cell r="I19">
            <v>420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450</v>
          </cell>
          <cell r="Q19">
            <v>376</v>
          </cell>
          <cell r="R19">
            <v>0</v>
          </cell>
          <cell r="S19">
            <v>0</v>
          </cell>
          <cell r="U19">
            <v>1696</v>
          </cell>
        </row>
        <row r="20">
          <cell r="A20">
            <v>1241601</v>
          </cell>
          <cell r="B20">
            <v>764</v>
          </cell>
          <cell r="C20">
            <v>600</v>
          </cell>
          <cell r="D20">
            <v>0</v>
          </cell>
          <cell r="E20">
            <v>0</v>
          </cell>
          <cell r="F20">
            <v>930</v>
          </cell>
          <cell r="G20">
            <v>1182</v>
          </cell>
          <cell r="H20">
            <v>614</v>
          </cell>
          <cell r="I20">
            <v>508</v>
          </cell>
          <cell r="J20">
            <v>784</v>
          </cell>
          <cell r="K20">
            <v>0</v>
          </cell>
          <cell r="L20">
            <v>0</v>
          </cell>
          <cell r="M20">
            <v>782</v>
          </cell>
          <cell r="N20">
            <v>618</v>
          </cell>
          <cell r="O20">
            <v>0</v>
          </cell>
          <cell r="P20">
            <v>542</v>
          </cell>
          <cell r="Q20">
            <v>614</v>
          </cell>
          <cell r="R20">
            <v>0</v>
          </cell>
          <cell r="S20">
            <v>0</v>
          </cell>
          <cell r="U20">
            <v>7938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192</v>
          </cell>
          <cell r="M2">
            <v>308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T2">
            <v>500</v>
          </cell>
        </row>
        <row r="3">
          <cell r="A3">
            <v>1226384</v>
          </cell>
          <cell r="B3">
            <v>330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500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T3">
            <v>930</v>
          </cell>
        </row>
        <row r="4">
          <cell r="A4">
            <v>1226388</v>
          </cell>
          <cell r="B4">
            <v>330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500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T4">
            <v>930</v>
          </cell>
        </row>
        <row r="5">
          <cell r="A5">
            <v>1229673</v>
          </cell>
          <cell r="B5">
            <v>200</v>
          </cell>
          <cell r="C5">
            <v>0</v>
          </cell>
          <cell r="D5">
            <v>0</v>
          </cell>
          <cell r="E5">
            <v>200</v>
          </cell>
          <cell r="F5">
            <v>200</v>
          </cell>
          <cell r="G5">
            <v>0</v>
          </cell>
          <cell r="H5">
            <v>250</v>
          </cell>
          <cell r="I5">
            <v>250</v>
          </cell>
          <cell r="J5">
            <v>0</v>
          </cell>
          <cell r="K5">
            <v>0</v>
          </cell>
          <cell r="L5">
            <v>200</v>
          </cell>
          <cell r="M5">
            <v>200</v>
          </cell>
          <cell r="N5">
            <v>222</v>
          </cell>
          <cell r="O5">
            <v>200</v>
          </cell>
          <cell r="P5">
            <v>0</v>
          </cell>
          <cell r="Q5">
            <v>0</v>
          </cell>
          <cell r="R5">
            <v>0</v>
          </cell>
          <cell r="T5">
            <v>1922</v>
          </cell>
        </row>
        <row r="6">
          <cell r="A6">
            <v>1230854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T6">
            <v>100</v>
          </cell>
        </row>
        <row r="7">
          <cell r="A7">
            <v>1235623</v>
          </cell>
          <cell r="B7">
            <v>0</v>
          </cell>
          <cell r="C7">
            <v>0</v>
          </cell>
          <cell r="D7">
            <v>0</v>
          </cell>
          <cell r="E7">
            <v>416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T7">
            <v>416</v>
          </cell>
        </row>
        <row r="8">
          <cell r="A8">
            <v>1237088</v>
          </cell>
          <cell r="B8">
            <v>666</v>
          </cell>
          <cell r="C8">
            <v>0</v>
          </cell>
          <cell r="D8">
            <v>0</v>
          </cell>
          <cell r="E8">
            <v>848</v>
          </cell>
          <cell r="F8">
            <v>610</v>
          </cell>
          <cell r="G8">
            <v>0</v>
          </cell>
          <cell r="H8">
            <v>258</v>
          </cell>
          <cell r="I8">
            <v>744</v>
          </cell>
          <cell r="J8">
            <v>0</v>
          </cell>
          <cell r="K8">
            <v>0</v>
          </cell>
          <cell r="L8">
            <v>920</v>
          </cell>
          <cell r="M8">
            <v>960</v>
          </cell>
          <cell r="N8">
            <v>0</v>
          </cell>
          <cell r="O8">
            <v>300</v>
          </cell>
          <cell r="P8">
            <v>0</v>
          </cell>
          <cell r="Q8">
            <v>0</v>
          </cell>
          <cell r="R8">
            <v>0</v>
          </cell>
          <cell r="T8">
            <v>5306</v>
          </cell>
        </row>
        <row r="9">
          <cell r="A9">
            <v>1237748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522</v>
          </cell>
          <cell r="P9">
            <v>50</v>
          </cell>
          <cell r="Q9">
            <v>0</v>
          </cell>
          <cell r="R9">
            <v>0</v>
          </cell>
          <cell r="T9">
            <v>572</v>
          </cell>
        </row>
        <row r="10">
          <cell r="A10">
            <v>1236091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350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650</v>
          </cell>
        </row>
        <row r="11">
          <cell r="A11">
            <v>1238128</v>
          </cell>
          <cell r="B11">
            <v>928</v>
          </cell>
          <cell r="C11">
            <v>0</v>
          </cell>
          <cell r="D11">
            <v>0</v>
          </cell>
          <cell r="E11">
            <v>112</v>
          </cell>
          <cell r="F11">
            <v>386</v>
          </cell>
          <cell r="G11">
            <v>430</v>
          </cell>
          <cell r="H11">
            <v>590</v>
          </cell>
          <cell r="I11">
            <v>464</v>
          </cell>
          <cell r="J11">
            <v>0</v>
          </cell>
          <cell r="K11">
            <v>0</v>
          </cell>
          <cell r="L11">
            <v>234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3144</v>
          </cell>
        </row>
        <row r="12">
          <cell r="A12">
            <v>1236962</v>
          </cell>
          <cell r="B12">
            <v>200</v>
          </cell>
          <cell r="C12">
            <v>0</v>
          </cell>
          <cell r="D12">
            <v>0</v>
          </cell>
          <cell r="E12">
            <v>186</v>
          </cell>
          <cell r="F12">
            <v>200</v>
          </cell>
          <cell r="G12">
            <v>214</v>
          </cell>
          <cell r="H12">
            <v>200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300</v>
          </cell>
          <cell r="O12">
            <v>300</v>
          </cell>
          <cell r="P12">
            <v>200</v>
          </cell>
          <cell r="Q12">
            <v>0</v>
          </cell>
          <cell r="R12">
            <v>0</v>
          </cell>
          <cell r="T12">
            <v>1800</v>
          </cell>
        </row>
        <row r="13">
          <cell r="A13">
            <v>1233761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300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140</v>
          </cell>
          <cell r="Q13">
            <v>0</v>
          </cell>
          <cell r="R13">
            <v>0</v>
          </cell>
          <cell r="T13">
            <v>440</v>
          </cell>
        </row>
        <row r="14">
          <cell r="A14">
            <v>1239651</v>
          </cell>
          <cell r="B14">
            <v>0</v>
          </cell>
          <cell r="C14">
            <v>0</v>
          </cell>
          <cell r="D14">
            <v>0</v>
          </cell>
          <cell r="E14">
            <v>400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500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900</v>
          </cell>
        </row>
        <row r="15">
          <cell r="A15">
            <v>1241134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182</v>
          </cell>
          <cell r="I15">
            <v>54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43</v>
          </cell>
          <cell r="P15">
            <v>0</v>
          </cell>
          <cell r="Q15">
            <v>0</v>
          </cell>
          <cell r="R15">
            <v>0</v>
          </cell>
          <cell r="T15">
            <v>279</v>
          </cell>
        </row>
        <row r="16">
          <cell r="A16">
            <v>1239988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150</v>
          </cell>
          <cell r="J16">
            <v>0</v>
          </cell>
          <cell r="K16">
            <v>0</v>
          </cell>
          <cell r="L16">
            <v>501</v>
          </cell>
          <cell r="M16">
            <v>502</v>
          </cell>
          <cell r="N16">
            <v>394</v>
          </cell>
          <cell r="O16">
            <v>502</v>
          </cell>
          <cell r="P16">
            <v>394</v>
          </cell>
          <cell r="Q16">
            <v>0</v>
          </cell>
          <cell r="R16">
            <v>0</v>
          </cell>
          <cell r="T16">
            <v>2443</v>
          </cell>
        </row>
        <row r="17">
          <cell r="A17">
            <v>1240180</v>
          </cell>
          <cell r="B17">
            <v>322</v>
          </cell>
          <cell r="C17">
            <v>0</v>
          </cell>
          <cell r="D17">
            <v>0</v>
          </cell>
          <cell r="E17">
            <v>420</v>
          </cell>
          <cell r="F17">
            <v>582</v>
          </cell>
          <cell r="G17">
            <v>648</v>
          </cell>
          <cell r="H17">
            <v>664</v>
          </cell>
          <cell r="I17">
            <v>266</v>
          </cell>
          <cell r="J17">
            <v>0</v>
          </cell>
          <cell r="K17">
            <v>0</v>
          </cell>
          <cell r="L17">
            <v>404</v>
          </cell>
          <cell r="M17">
            <v>404</v>
          </cell>
          <cell r="N17">
            <v>318</v>
          </cell>
          <cell r="O17">
            <v>404</v>
          </cell>
          <cell r="P17">
            <v>318</v>
          </cell>
          <cell r="Q17">
            <v>0</v>
          </cell>
          <cell r="R17">
            <v>0</v>
          </cell>
          <cell r="T17">
            <v>4750</v>
          </cell>
        </row>
        <row r="18">
          <cell r="A18">
            <v>1240184</v>
          </cell>
          <cell r="B18">
            <v>322</v>
          </cell>
          <cell r="C18">
            <v>0</v>
          </cell>
          <cell r="D18">
            <v>0</v>
          </cell>
          <cell r="E18">
            <v>420</v>
          </cell>
          <cell r="F18">
            <v>582</v>
          </cell>
          <cell r="G18">
            <v>648</v>
          </cell>
          <cell r="H18">
            <v>410</v>
          </cell>
          <cell r="I18">
            <v>70</v>
          </cell>
          <cell r="J18">
            <v>0</v>
          </cell>
          <cell r="K18">
            <v>0</v>
          </cell>
          <cell r="L18">
            <v>404</v>
          </cell>
          <cell r="M18">
            <v>404</v>
          </cell>
          <cell r="N18">
            <v>318</v>
          </cell>
          <cell r="O18">
            <v>404</v>
          </cell>
          <cell r="P18">
            <v>234</v>
          </cell>
          <cell r="Q18">
            <v>0</v>
          </cell>
          <cell r="R18">
            <v>0</v>
          </cell>
          <cell r="T18">
            <v>4216</v>
          </cell>
        </row>
        <row r="19">
          <cell r="A19">
            <v>1240308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450</v>
          </cell>
          <cell r="H19">
            <v>420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450</v>
          </cell>
          <cell r="P19">
            <v>376</v>
          </cell>
          <cell r="Q19">
            <v>0</v>
          </cell>
          <cell r="R19">
            <v>0</v>
          </cell>
          <cell r="T19">
            <v>1696</v>
          </cell>
        </row>
        <row r="20">
          <cell r="A20">
            <v>1241601</v>
          </cell>
          <cell r="B20">
            <v>600</v>
          </cell>
          <cell r="C20">
            <v>0</v>
          </cell>
          <cell r="D20">
            <v>0</v>
          </cell>
          <cell r="E20">
            <v>930</v>
          </cell>
          <cell r="F20">
            <v>1182</v>
          </cell>
          <cell r="G20">
            <v>614</v>
          </cell>
          <cell r="H20">
            <v>508</v>
          </cell>
          <cell r="I20">
            <v>784</v>
          </cell>
          <cell r="J20">
            <v>0</v>
          </cell>
          <cell r="K20">
            <v>0</v>
          </cell>
          <cell r="L20">
            <v>782</v>
          </cell>
          <cell r="M20">
            <v>618</v>
          </cell>
          <cell r="N20">
            <v>0</v>
          </cell>
          <cell r="O20">
            <v>542</v>
          </cell>
          <cell r="P20">
            <v>614</v>
          </cell>
          <cell r="Q20">
            <v>0</v>
          </cell>
          <cell r="R20">
            <v>0</v>
          </cell>
          <cell r="T20">
            <v>7174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216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U2">
            <v>216</v>
          </cell>
        </row>
        <row r="3">
          <cell r="A3">
            <v>1230692</v>
          </cell>
          <cell r="B3">
            <v>200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U3">
            <v>200</v>
          </cell>
        </row>
        <row r="4">
          <cell r="A4">
            <v>1227306</v>
          </cell>
          <cell r="B4">
            <v>244</v>
          </cell>
          <cell r="C4">
            <v>275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510</v>
          </cell>
          <cell r="Q4">
            <v>320</v>
          </cell>
          <cell r="R4">
            <v>0</v>
          </cell>
          <cell r="S4">
            <v>0</v>
          </cell>
          <cell r="U4">
            <v>1349</v>
          </cell>
        </row>
        <row r="5">
          <cell r="A5">
            <v>1227359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U5">
            <v>1</v>
          </cell>
        </row>
        <row r="6">
          <cell r="A6">
            <v>1231090</v>
          </cell>
          <cell r="B6">
            <v>0</v>
          </cell>
          <cell r="C6">
            <v>30</v>
          </cell>
          <cell r="D6">
            <v>0</v>
          </cell>
          <cell r="E6">
            <v>0</v>
          </cell>
          <cell r="F6">
            <v>60</v>
          </cell>
          <cell r="G6">
            <v>290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510</v>
          </cell>
          <cell r="N6">
            <v>0</v>
          </cell>
          <cell r="O6">
            <v>550</v>
          </cell>
          <cell r="P6">
            <v>550</v>
          </cell>
          <cell r="Q6">
            <v>820</v>
          </cell>
          <cell r="R6">
            <v>0</v>
          </cell>
          <cell r="S6">
            <v>0</v>
          </cell>
          <cell r="U6">
            <v>2810</v>
          </cell>
        </row>
        <row r="7">
          <cell r="A7">
            <v>1229776</v>
          </cell>
          <cell r="B7">
            <v>0</v>
          </cell>
          <cell r="C7">
            <v>30</v>
          </cell>
          <cell r="D7">
            <v>0</v>
          </cell>
          <cell r="E7">
            <v>0</v>
          </cell>
          <cell r="F7">
            <v>60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200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290</v>
          </cell>
        </row>
        <row r="8">
          <cell r="A8">
            <v>1225464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550</v>
          </cell>
          <cell r="Q8">
            <v>0</v>
          </cell>
          <cell r="R8">
            <v>0</v>
          </cell>
          <cell r="S8">
            <v>0</v>
          </cell>
          <cell r="U8">
            <v>550</v>
          </cell>
        </row>
        <row r="9">
          <cell r="A9">
            <v>1231797</v>
          </cell>
          <cell r="B9">
            <v>130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130</v>
          </cell>
        </row>
        <row r="10">
          <cell r="A10">
            <v>1232066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200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200</v>
          </cell>
        </row>
        <row r="11">
          <cell r="A11">
            <v>1229088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5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5</v>
          </cell>
        </row>
        <row r="12">
          <cell r="A12">
            <v>1232693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291</v>
          </cell>
          <cell r="K12">
            <v>0</v>
          </cell>
          <cell r="L12">
            <v>0</v>
          </cell>
          <cell r="M12">
            <v>989</v>
          </cell>
          <cell r="N12">
            <v>463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1743</v>
          </cell>
        </row>
        <row r="13">
          <cell r="A13">
            <v>1233025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291</v>
          </cell>
          <cell r="K13">
            <v>0</v>
          </cell>
          <cell r="L13">
            <v>0</v>
          </cell>
          <cell r="M13">
            <v>989</v>
          </cell>
          <cell r="N13">
            <v>463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1743</v>
          </cell>
        </row>
        <row r="14">
          <cell r="A14">
            <v>1234222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157</v>
          </cell>
          <cell r="I14">
            <v>63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220</v>
          </cell>
        </row>
        <row r="15">
          <cell r="A15">
            <v>1232528</v>
          </cell>
          <cell r="B15">
            <v>686</v>
          </cell>
          <cell r="C15">
            <v>781</v>
          </cell>
          <cell r="D15">
            <v>0</v>
          </cell>
          <cell r="E15">
            <v>0</v>
          </cell>
          <cell r="F15">
            <v>1372</v>
          </cell>
          <cell r="G15">
            <v>753</v>
          </cell>
          <cell r="H15">
            <v>420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951</v>
          </cell>
          <cell r="N15">
            <v>700</v>
          </cell>
          <cell r="O15">
            <v>600</v>
          </cell>
          <cell r="P15">
            <v>600</v>
          </cell>
          <cell r="Q15">
            <v>4735</v>
          </cell>
          <cell r="R15">
            <v>0</v>
          </cell>
          <cell r="S15">
            <v>0</v>
          </cell>
          <cell r="U15">
            <v>11598</v>
          </cell>
        </row>
        <row r="16">
          <cell r="A16">
            <v>1232846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</v>
          </cell>
          <cell r="N16">
            <v>0</v>
          </cell>
          <cell r="O16">
            <v>712</v>
          </cell>
          <cell r="P16">
            <v>379</v>
          </cell>
          <cell r="Q16">
            <v>0</v>
          </cell>
          <cell r="R16">
            <v>0</v>
          </cell>
          <cell r="S16">
            <v>0</v>
          </cell>
          <cell r="U16">
            <v>1093</v>
          </cell>
        </row>
        <row r="17">
          <cell r="A17">
            <v>1229050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151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151</v>
          </cell>
        </row>
        <row r="18">
          <cell r="A18">
            <v>1220847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920</v>
          </cell>
          <cell r="N18">
            <v>0</v>
          </cell>
          <cell r="O18">
            <v>0</v>
          </cell>
          <cell r="P18">
            <v>0</v>
          </cell>
          <cell r="Q18">
            <v>4330</v>
          </cell>
          <cell r="R18">
            <v>0</v>
          </cell>
          <cell r="S18">
            <v>0</v>
          </cell>
          <cell r="U18">
            <v>5250</v>
          </cell>
        </row>
        <row r="19">
          <cell r="A19">
            <v>1234217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50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50</v>
          </cell>
        </row>
        <row r="20">
          <cell r="A20">
            <v>1234111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50</v>
          </cell>
        </row>
        <row r="21">
          <cell r="A21">
            <v>1234110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50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50</v>
          </cell>
        </row>
        <row r="22">
          <cell r="A22">
            <v>1232775</v>
          </cell>
          <cell r="B22">
            <v>295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48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183</v>
          </cell>
          <cell r="R22">
            <v>0</v>
          </cell>
          <cell r="S22">
            <v>0</v>
          </cell>
          <cell r="U22">
            <v>526</v>
          </cell>
        </row>
        <row r="23">
          <cell r="A23">
            <v>1235097</v>
          </cell>
          <cell r="B23">
            <v>0</v>
          </cell>
          <cell r="C23">
            <v>48</v>
          </cell>
          <cell r="D23">
            <v>0</v>
          </cell>
          <cell r="E23">
            <v>0</v>
          </cell>
          <cell r="F23">
            <v>343</v>
          </cell>
          <cell r="G23">
            <v>343</v>
          </cell>
          <cell r="H23">
            <v>47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781</v>
          </cell>
        </row>
        <row r="24">
          <cell r="A24">
            <v>1235958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1</v>
          </cell>
        </row>
        <row r="25">
          <cell r="A25">
            <v>1236600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260</v>
          </cell>
          <cell r="J25">
            <v>419</v>
          </cell>
          <cell r="K25">
            <v>0</v>
          </cell>
          <cell r="L25">
            <v>0</v>
          </cell>
          <cell r="M25">
            <v>421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1100</v>
          </cell>
        </row>
        <row r="26">
          <cell r="A26">
            <v>1236619</v>
          </cell>
          <cell r="B26">
            <v>0</v>
          </cell>
          <cell r="C26">
            <v>198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198</v>
          </cell>
        </row>
        <row r="27">
          <cell r="A27">
            <v>1236930</v>
          </cell>
          <cell r="B27">
            <v>336</v>
          </cell>
          <cell r="C27">
            <v>267</v>
          </cell>
          <cell r="D27">
            <v>0</v>
          </cell>
          <cell r="E27">
            <v>0</v>
          </cell>
          <cell r="F27">
            <v>339</v>
          </cell>
          <cell r="G27">
            <v>339</v>
          </cell>
          <cell r="H27">
            <v>175</v>
          </cell>
          <cell r="I27">
            <v>633</v>
          </cell>
          <cell r="J27">
            <v>492</v>
          </cell>
          <cell r="K27">
            <v>0</v>
          </cell>
          <cell r="L27">
            <v>0</v>
          </cell>
          <cell r="M27">
            <v>1062</v>
          </cell>
          <cell r="N27">
            <v>664</v>
          </cell>
          <cell r="O27">
            <v>145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4452</v>
          </cell>
        </row>
        <row r="28">
          <cell r="A28">
            <v>1232982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116</v>
          </cell>
          <cell r="I28">
            <v>284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400</v>
          </cell>
        </row>
        <row r="29">
          <cell r="A29">
            <v>1237468</v>
          </cell>
          <cell r="B29">
            <v>0</v>
          </cell>
          <cell r="C29">
            <v>248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37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285</v>
          </cell>
        </row>
        <row r="30">
          <cell r="A30">
            <v>1237457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56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>
            <v>56</v>
          </cell>
        </row>
        <row r="31">
          <cell r="A31">
            <v>1237386</v>
          </cell>
          <cell r="B31">
            <v>80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22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102</v>
          </cell>
        </row>
        <row r="32">
          <cell r="A32">
            <v>1234905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300</v>
          </cell>
          <cell r="Q32">
            <v>480</v>
          </cell>
          <cell r="R32">
            <v>0</v>
          </cell>
          <cell r="S32">
            <v>0</v>
          </cell>
          <cell r="U32">
            <v>780</v>
          </cell>
        </row>
        <row r="33">
          <cell r="A33">
            <v>1238480</v>
          </cell>
          <cell r="B33">
            <v>1528</v>
          </cell>
          <cell r="C33">
            <v>615</v>
          </cell>
          <cell r="D33">
            <v>0</v>
          </cell>
          <cell r="E33">
            <v>0</v>
          </cell>
          <cell r="F33">
            <v>868</v>
          </cell>
          <cell r="G33">
            <v>797</v>
          </cell>
          <cell r="H33">
            <v>586</v>
          </cell>
          <cell r="I33">
            <v>1231</v>
          </cell>
          <cell r="J33">
            <v>1196</v>
          </cell>
          <cell r="K33">
            <v>0</v>
          </cell>
          <cell r="L33">
            <v>0</v>
          </cell>
          <cell r="M33">
            <v>1805</v>
          </cell>
          <cell r="N33">
            <v>2286</v>
          </cell>
          <cell r="O33">
            <v>775</v>
          </cell>
          <cell r="P33">
            <v>1306</v>
          </cell>
          <cell r="Q33">
            <v>1955</v>
          </cell>
          <cell r="R33">
            <v>0</v>
          </cell>
          <cell r="S33">
            <v>0</v>
          </cell>
          <cell r="U33">
            <v>14948</v>
          </cell>
        </row>
        <row r="34">
          <cell r="A34">
            <v>1238453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215</v>
          </cell>
          <cell r="O34">
            <v>300</v>
          </cell>
          <cell r="P34">
            <v>126</v>
          </cell>
          <cell r="Q34">
            <v>0</v>
          </cell>
          <cell r="R34">
            <v>0</v>
          </cell>
          <cell r="S34">
            <v>0</v>
          </cell>
          <cell r="U34">
            <v>641</v>
          </cell>
        </row>
        <row r="35">
          <cell r="A35">
            <v>1240029</v>
          </cell>
          <cell r="B35">
            <v>0</v>
          </cell>
          <cell r="C35">
            <v>136</v>
          </cell>
          <cell r="D35">
            <v>0</v>
          </cell>
          <cell r="E35">
            <v>0</v>
          </cell>
          <cell r="F35">
            <v>362</v>
          </cell>
          <cell r="G35">
            <v>94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592</v>
          </cell>
        </row>
        <row r="36">
          <cell r="A36">
            <v>1240032</v>
          </cell>
          <cell r="B36">
            <v>0</v>
          </cell>
          <cell r="C36">
            <v>136</v>
          </cell>
          <cell r="D36">
            <v>0</v>
          </cell>
          <cell r="E36">
            <v>0</v>
          </cell>
          <cell r="F36">
            <v>362</v>
          </cell>
          <cell r="G36">
            <v>94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592</v>
          </cell>
        </row>
        <row r="37">
          <cell r="A37">
            <v>1216452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643</v>
          </cell>
          <cell r="H37">
            <v>452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73</v>
          </cell>
          <cell r="O37">
            <v>0</v>
          </cell>
          <cell r="P37">
            <v>90</v>
          </cell>
          <cell r="Q37">
            <v>0</v>
          </cell>
          <cell r="R37">
            <v>495</v>
          </cell>
          <cell r="S37">
            <v>0</v>
          </cell>
          <cell r="U37">
            <v>1753</v>
          </cell>
        </row>
        <row r="38">
          <cell r="A38">
            <v>1232894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</v>
          </cell>
          <cell r="N38">
            <v>0</v>
          </cell>
          <cell r="O38">
            <v>712</v>
          </cell>
          <cell r="P38">
            <v>379</v>
          </cell>
          <cell r="Q38">
            <v>0</v>
          </cell>
          <cell r="R38">
            <v>0</v>
          </cell>
          <cell r="S38">
            <v>0</v>
          </cell>
          <cell r="U38">
            <v>1093</v>
          </cell>
        </row>
        <row r="39">
          <cell r="A39">
            <v>1233386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512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512</v>
          </cell>
        </row>
        <row r="40">
          <cell r="A40">
            <v>1233387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200</v>
          </cell>
          <cell r="P40">
            <v>128</v>
          </cell>
          <cell r="Q40">
            <v>0</v>
          </cell>
          <cell r="R40">
            <v>0</v>
          </cell>
          <cell r="S40">
            <v>0</v>
          </cell>
          <cell r="U40">
            <v>328</v>
          </cell>
        </row>
        <row r="41">
          <cell r="A41">
            <v>1233385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2</v>
          </cell>
          <cell r="N41">
            <v>0</v>
          </cell>
          <cell r="O41">
            <v>0</v>
          </cell>
          <cell r="P41">
            <v>251</v>
          </cell>
          <cell r="Q41">
            <v>0</v>
          </cell>
          <cell r="R41">
            <v>0</v>
          </cell>
          <cell r="S41">
            <v>0</v>
          </cell>
          <cell r="U41">
            <v>253</v>
          </cell>
        </row>
        <row r="42">
          <cell r="A42">
            <v>1233580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81</v>
          </cell>
          <cell r="J42">
            <v>119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200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192</v>
          </cell>
          <cell r="C2">
            <v>308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>
            <v>500</v>
          </cell>
        </row>
        <row r="3">
          <cell r="A3">
            <v>1229673</v>
          </cell>
          <cell r="B3">
            <v>200</v>
          </cell>
          <cell r="C3">
            <v>200</v>
          </cell>
          <cell r="D3">
            <v>222</v>
          </cell>
          <cell r="E3">
            <v>200</v>
          </cell>
          <cell r="F3">
            <v>0</v>
          </cell>
          <cell r="G3">
            <v>0</v>
          </cell>
          <cell r="H3">
            <v>0</v>
          </cell>
          <cell r="I3">
            <v>200</v>
          </cell>
          <cell r="J3">
            <v>300</v>
          </cell>
          <cell r="K3">
            <v>200</v>
          </cell>
          <cell r="L3">
            <v>300</v>
          </cell>
          <cell r="M3">
            <v>200</v>
          </cell>
          <cell r="N3">
            <v>0</v>
          </cell>
          <cell r="O3">
            <v>0</v>
          </cell>
          <cell r="Q3">
            <v>2022</v>
          </cell>
        </row>
        <row r="4">
          <cell r="A4">
            <v>1230854</v>
          </cell>
          <cell r="B4">
            <v>100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100</v>
          </cell>
        </row>
        <row r="5">
          <cell r="A5">
            <v>1235623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198</v>
          </cell>
          <cell r="K5">
            <v>358</v>
          </cell>
          <cell r="L5">
            <v>934</v>
          </cell>
          <cell r="M5">
            <v>382</v>
          </cell>
          <cell r="N5">
            <v>0</v>
          </cell>
          <cell r="O5">
            <v>0</v>
          </cell>
          <cell r="Q5">
            <v>1872</v>
          </cell>
        </row>
        <row r="6">
          <cell r="A6">
            <v>1237088</v>
          </cell>
          <cell r="B6">
            <v>920</v>
          </cell>
          <cell r="C6">
            <v>960</v>
          </cell>
          <cell r="D6">
            <v>0</v>
          </cell>
          <cell r="E6">
            <v>300</v>
          </cell>
          <cell r="F6">
            <v>0</v>
          </cell>
          <cell r="G6">
            <v>0</v>
          </cell>
          <cell r="H6">
            <v>0</v>
          </cell>
          <cell r="I6">
            <v>806</v>
          </cell>
          <cell r="J6">
            <v>672</v>
          </cell>
          <cell r="K6">
            <v>280</v>
          </cell>
          <cell r="L6">
            <v>698</v>
          </cell>
          <cell r="M6">
            <v>232</v>
          </cell>
          <cell r="N6">
            <v>0</v>
          </cell>
          <cell r="O6">
            <v>0</v>
          </cell>
          <cell r="Q6">
            <v>4868</v>
          </cell>
        </row>
        <row r="7">
          <cell r="A7">
            <v>1237748</v>
          </cell>
          <cell r="B7">
            <v>0</v>
          </cell>
          <cell r="C7">
            <v>0</v>
          </cell>
          <cell r="D7">
            <v>0</v>
          </cell>
          <cell r="E7">
            <v>572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260</v>
          </cell>
          <cell r="N7">
            <v>0</v>
          </cell>
          <cell r="O7">
            <v>0</v>
          </cell>
          <cell r="Q7">
            <v>832</v>
          </cell>
        </row>
        <row r="8">
          <cell r="A8">
            <v>1236091</v>
          </cell>
          <cell r="B8">
            <v>300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300</v>
          </cell>
        </row>
        <row r="9">
          <cell r="A9">
            <v>1238128</v>
          </cell>
          <cell r="B9">
            <v>234</v>
          </cell>
          <cell r="C9">
            <v>0</v>
          </cell>
          <cell r="D9">
            <v>0</v>
          </cell>
          <cell r="E9">
            <v>30</v>
          </cell>
          <cell r="F9">
            <v>378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642</v>
          </cell>
        </row>
        <row r="10">
          <cell r="A10">
            <v>1236962</v>
          </cell>
          <cell r="B10">
            <v>0</v>
          </cell>
          <cell r="C10">
            <v>0</v>
          </cell>
          <cell r="D10">
            <v>300</v>
          </cell>
          <cell r="E10">
            <v>300</v>
          </cell>
          <cell r="F10">
            <v>200</v>
          </cell>
          <cell r="G10">
            <v>0</v>
          </cell>
          <cell r="H10">
            <v>0</v>
          </cell>
          <cell r="I10">
            <v>0</v>
          </cell>
          <cell r="J10">
            <v>200</v>
          </cell>
          <cell r="K10">
            <v>200</v>
          </cell>
          <cell r="L10">
            <v>200</v>
          </cell>
          <cell r="M10">
            <v>200</v>
          </cell>
          <cell r="N10">
            <v>0</v>
          </cell>
          <cell r="O10">
            <v>0</v>
          </cell>
          <cell r="Q10">
            <v>1600</v>
          </cell>
        </row>
        <row r="11">
          <cell r="A11">
            <v>1233761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140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140</v>
          </cell>
        </row>
        <row r="12">
          <cell r="A12">
            <v>1239651</v>
          </cell>
          <cell r="B12">
            <v>0</v>
          </cell>
          <cell r="C12">
            <v>0</v>
          </cell>
          <cell r="D12">
            <v>500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300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800</v>
          </cell>
        </row>
        <row r="13">
          <cell r="A13">
            <v>1239988</v>
          </cell>
          <cell r="B13">
            <v>510</v>
          </cell>
          <cell r="C13">
            <v>510</v>
          </cell>
          <cell r="D13">
            <v>400</v>
          </cell>
          <cell r="E13">
            <v>510</v>
          </cell>
          <cell r="F13">
            <v>366</v>
          </cell>
          <cell r="G13">
            <v>0</v>
          </cell>
          <cell r="H13">
            <v>0</v>
          </cell>
          <cell r="I13">
            <v>250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2546</v>
          </cell>
        </row>
        <row r="14">
          <cell r="A14">
            <v>1240180</v>
          </cell>
          <cell r="B14">
            <v>404</v>
          </cell>
          <cell r="C14">
            <v>200</v>
          </cell>
          <cell r="D14">
            <v>286</v>
          </cell>
          <cell r="E14">
            <v>592</v>
          </cell>
          <cell r="F14">
            <v>592</v>
          </cell>
          <cell r="G14">
            <v>0</v>
          </cell>
          <cell r="H14">
            <v>0</v>
          </cell>
          <cell r="I14">
            <v>610</v>
          </cell>
          <cell r="J14">
            <v>824</v>
          </cell>
          <cell r="K14">
            <v>164</v>
          </cell>
          <cell r="L14">
            <v>426</v>
          </cell>
          <cell r="M14">
            <v>316</v>
          </cell>
          <cell r="N14">
            <v>0</v>
          </cell>
          <cell r="O14">
            <v>0</v>
          </cell>
          <cell r="Q14">
            <v>4414</v>
          </cell>
        </row>
        <row r="15">
          <cell r="A15">
            <v>1240184</v>
          </cell>
          <cell r="B15">
            <v>404</v>
          </cell>
          <cell r="C15">
            <v>200</v>
          </cell>
          <cell r="D15">
            <v>286</v>
          </cell>
          <cell r="E15">
            <v>592</v>
          </cell>
          <cell r="F15">
            <v>592</v>
          </cell>
          <cell r="G15">
            <v>0</v>
          </cell>
          <cell r="H15">
            <v>0</v>
          </cell>
          <cell r="I15">
            <v>610</v>
          </cell>
          <cell r="J15">
            <v>640</v>
          </cell>
          <cell r="K15">
            <v>164</v>
          </cell>
          <cell r="L15">
            <v>426</v>
          </cell>
          <cell r="M15">
            <v>316</v>
          </cell>
          <cell r="N15">
            <v>0</v>
          </cell>
          <cell r="O15">
            <v>0</v>
          </cell>
          <cell r="Q15">
            <v>4230</v>
          </cell>
        </row>
        <row r="16">
          <cell r="A16">
            <v>1240308</v>
          </cell>
          <cell r="B16">
            <v>0</v>
          </cell>
          <cell r="C16">
            <v>0</v>
          </cell>
          <cell r="D16">
            <v>0</v>
          </cell>
          <cell r="E16">
            <v>450</v>
          </cell>
          <cell r="F16">
            <v>376</v>
          </cell>
          <cell r="G16">
            <v>0</v>
          </cell>
          <cell r="H16">
            <v>0</v>
          </cell>
          <cell r="I16">
            <v>350</v>
          </cell>
          <cell r="J16">
            <v>150</v>
          </cell>
          <cell r="K16">
            <v>0</v>
          </cell>
          <cell r="L16">
            <v>400</v>
          </cell>
          <cell r="M16">
            <v>0</v>
          </cell>
          <cell r="N16">
            <v>0</v>
          </cell>
          <cell r="O16">
            <v>0</v>
          </cell>
          <cell r="Q16">
            <v>1726</v>
          </cell>
        </row>
        <row r="17">
          <cell r="A17">
            <v>1241134</v>
          </cell>
          <cell r="B17">
            <v>0</v>
          </cell>
          <cell r="C17">
            <v>0</v>
          </cell>
          <cell r="D17">
            <v>87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87</v>
          </cell>
        </row>
        <row r="18">
          <cell r="A18">
            <v>1241601</v>
          </cell>
          <cell r="B18">
            <v>852</v>
          </cell>
          <cell r="C18">
            <v>372</v>
          </cell>
          <cell r="D18">
            <v>770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1482</v>
          </cell>
          <cell r="J18">
            <v>1032</v>
          </cell>
          <cell r="K18">
            <v>594</v>
          </cell>
          <cell r="L18">
            <v>1396</v>
          </cell>
          <cell r="M18">
            <v>1476</v>
          </cell>
          <cell r="N18">
            <v>0</v>
          </cell>
          <cell r="O18">
            <v>0</v>
          </cell>
          <cell r="Q18">
            <v>7974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216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>
            <v>216</v>
          </cell>
        </row>
        <row r="3">
          <cell r="A3">
            <v>1227359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Q3">
            <v>1</v>
          </cell>
        </row>
        <row r="4">
          <cell r="A4">
            <v>1231090</v>
          </cell>
          <cell r="B4">
            <v>60</v>
          </cell>
          <cell r="C4">
            <v>290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510</v>
          </cell>
          <cell r="J4">
            <v>200</v>
          </cell>
          <cell r="K4">
            <v>350</v>
          </cell>
          <cell r="L4">
            <v>550</v>
          </cell>
          <cell r="M4">
            <v>820</v>
          </cell>
          <cell r="N4">
            <v>0</v>
          </cell>
          <cell r="O4">
            <v>0</v>
          </cell>
          <cell r="Q4">
            <v>2780</v>
          </cell>
        </row>
        <row r="5">
          <cell r="A5">
            <v>1229776</v>
          </cell>
          <cell r="B5">
            <v>60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200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Q5">
            <v>260</v>
          </cell>
        </row>
        <row r="6">
          <cell r="A6">
            <v>1225464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550</v>
          </cell>
          <cell r="M6">
            <v>0</v>
          </cell>
          <cell r="N6">
            <v>0</v>
          </cell>
          <cell r="O6">
            <v>0</v>
          </cell>
          <cell r="Q6">
            <v>550</v>
          </cell>
        </row>
        <row r="7">
          <cell r="A7">
            <v>1232066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200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Q7">
            <v>200</v>
          </cell>
        </row>
        <row r="8">
          <cell r="A8">
            <v>1229088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5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5</v>
          </cell>
        </row>
        <row r="9">
          <cell r="A9">
            <v>1232693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291</v>
          </cell>
          <cell r="G9">
            <v>0</v>
          </cell>
          <cell r="H9">
            <v>0</v>
          </cell>
          <cell r="I9">
            <v>989</v>
          </cell>
          <cell r="J9">
            <v>463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1743</v>
          </cell>
        </row>
        <row r="10">
          <cell r="A10">
            <v>1233025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291</v>
          </cell>
          <cell r="G10">
            <v>0</v>
          </cell>
          <cell r="H10">
            <v>0</v>
          </cell>
          <cell r="I10">
            <v>989</v>
          </cell>
          <cell r="J10">
            <v>463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1743</v>
          </cell>
        </row>
        <row r="11">
          <cell r="A11">
            <v>1234222</v>
          </cell>
          <cell r="B11">
            <v>0</v>
          </cell>
          <cell r="C11">
            <v>0</v>
          </cell>
          <cell r="D11">
            <v>157</v>
          </cell>
          <cell r="E11">
            <v>63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220</v>
          </cell>
        </row>
        <row r="12">
          <cell r="A12">
            <v>1232528</v>
          </cell>
          <cell r="B12">
            <v>1372</v>
          </cell>
          <cell r="C12">
            <v>753</v>
          </cell>
          <cell r="D12">
            <v>420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445</v>
          </cell>
          <cell r="J12">
            <v>0</v>
          </cell>
          <cell r="K12">
            <v>2</v>
          </cell>
          <cell r="L12">
            <v>780</v>
          </cell>
          <cell r="M12">
            <v>3895</v>
          </cell>
          <cell r="N12">
            <v>0</v>
          </cell>
          <cell r="O12">
            <v>0</v>
          </cell>
          <cell r="Q12">
            <v>7667</v>
          </cell>
        </row>
        <row r="13">
          <cell r="A13">
            <v>1232846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712</v>
          </cell>
          <cell r="J13">
            <v>1000</v>
          </cell>
          <cell r="K13">
            <v>1109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2821</v>
          </cell>
        </row>
        <row r="14">
          <cell r="A14">
            <v>1229050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151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151</v>
          </cell>
        </row>
        <row r="15">
          <cell r="A15">
            <v>1220847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920</v>
          </cell>
          <cell r="J15">
            <v>0</v>
          </cell>
          <cell r="K15">
            <v>0</v>
          </cell>
          <cell r="L15">
            <v>0</v>
          </cell>
          <cell r="M15">
            <v>4330</v>
          </cell>
          <cell r="N15">
            <v>0</v>
          </cell>
          <cell r="O15">
            <v>0</v>
          </cell>
          <cell r="Q15">
            <v>5250</v>
          </cell>
        </row>
        <row r="16">
          <cell r="A16">
            <v>1234217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50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50</v>
          </cell>
        </row>
        <row r="17">
          <cell r="A17">
            <v>1234111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50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50</v>
          </cell>
        </row>
        <row r="18">
          <cell r="A18">
            <v>1234110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50</v>
          </cell>
        </row>
        <row r="19">
          <cell r="A19">
            <v>1232775</v>
          </cell>
          <cell r="B19">
            <v>0</v>
          </cell>
          <cell r="C19">
            <v>0</v>
          </cell>
          <cell r="D19">
            <v>0</v>
          </cell>
          <cell r="E19">
            <v>48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183</v>
          </cell>
          <cell r="N19">
            <v>0</v>
          </cell>
          <cell r="O19">
            <v>0</v>
          </cell>
          <cell r="Q19">
            <v>231</v>
          </cell>
        </row>
        <row r="20">
          <cell r="A20">
            <v>1235097</v>
          </cell>
          <cell r="B20">
            <v>343</v>
          </cell>
          <cell r="C20">
            <v>343</v>
          </cell>
          <cell r="D20">
            <v>47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733</v>
          </cell>
        </row>
        <row r="21">
          <cell r="A21">
            <v>1235958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1</v>
          </cell>
        </row>
        <row r="22">
          <cell r="A22">
            <v>1236600</v>
          </cell>
          <cell r="B22">
            <v>0</v>
          </cell>
          <cell r="C22">
            <v>0</v>
          </cell>
          <cell r="D22">
            <v>0</v>
          </cell>
          <cell r="E22">
            <v>260</v>
          </cell>
          <cell r="F22">
            <v>419</v>
          </cell>
          <cell r="G22">
            <v>0</v>
          </cell>
          <cell r="H22">
            <v>0</v>
          </cell>
          <cell r="I22">
            <v>421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1100</v>
          </cell>
        </row>
        <row r="23">
          <cell r="A23">
            <v>1236930</v>
          </cell>
          <cell r="B23">
            <v>339</v>
          </cell>
          <cell r="C23">
            <v>339</v>
          </cell>
          <cell r="D23">
            <v>175</v>
          </cell>
          <cell r="E23">
            <v>633</v>
          </cell>
          <cell r="F23">
            <v>492</v>
          </cell>
          <cell r="G23">
            <v>0</v>
          </cell>
          <cell r="H23">
            <v>0</v>
          </cell>
          <cell r="I23">
            <v>1062</v>
          </cell>
          <cell r="J23">
            <v>664</v>
          </cell>
          <cell r="K23">
            <v>147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Q23">
            <v>3851</v>
          </cell>
        </row>
        <row r="24">
          <cell r="A24">
            <v>1232982</v>
          </cell>
          <cell r="B24">
            <v>0</v>
          </cell>
          <cell r="C24">
            <v>0</v>
          </cell>
          <cell r="D24">
            <v>116</v>
          </cell>
          <cell r="E24">
            <v>284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Q24">
            <v>400</v>
          </cell>
        </row>
        <row r="25">
          <cell r="A25">
            <v>1237468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>
            <v>37</v>
          </cell>
        </row>
        <row r="26">
          <cell r="A26">
            <v>1237457</v>
          </cell>
          <cell r="B26">
            <v>0</v>
          </cell>
          <cell r="C26">
            <v>56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56</v>
          </cell>
        </row>
        <row r="27">
          <cell r="A27">
            <v>1237386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22</v>
          </cell>
        </row>
        <row r="28">
          <cell r="A28">
            <v>1234905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300</v>
          </cell>
          <cell r="M28">
            <v>480</v>
          </cell>
          <cell r="N28">
            <v>0</v>
          </cell>
          <cell r="O28">
            <v>0</v>
          </cell>
          <cell r="Q28">
            <v>780</v>
          </cell>
        </row>
        <row r="29">
          <cell r="A29">
            <v>1238480</v>
          </cell>
          <cell r="B29">
            <v>868</v>
          </cell>
          <cell r="C29">
            <v>797</v>
          </cell>
          <cell r="D29">
            <v>586</v>
          </cell>
          <cell r="E29">
            <v>1231</v>
          </cell>
          <cell r="F29">
            <v>1196</v>
          </cell>
          <cell r="G29">
            <v>0</v>
          </cell>
          <cell r="H29">
            <v>0</v>
          </cell>
          <cell r="I29">
            <v>1511</v>
          </cell>
          <cell r="J29">
            <v>1322</v>
          </cell>
          <cell r="K29">
            <v>1327</v>
          </cell>
          <cell r="L29">
            <v>1892</v>
          </cell>
          <cell r="M29">
            <v>1955</v>
          </cell>
          <cell r="N29">
            <v>0</v>
          </cell>
          <cell r="O29">
            <v>0</v>
          </cell>
          <cell r="Q29">
            <v>12685</v>
          </cell>
        </row>
        <row r="30">
          <cell r="A30">
            <v>1238453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215</v>
          </cell>
          <cell r="K30">
            <v>300</v>
          </cell>
          <cell r="L30">
            <v>126</v>
          </cell>
          <cell r="M30">
            <v>0</v>
          </cell>
          <cell r="N30">
            <v>0</v>
          </cell>
          <cell r="O30">
            <v>0</v>
          </cell>
          <cell r="Q30">
            <v>641</v>
          </cell>
        </row>
        <row r="31">
          <cell r="A31">
            <v>1240029</v>
          </cell>
          <cell r="B31">
            <v>362</v>
          </cell>
          <cell r="C31">
            <v>94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456</v>
          </cell>
        </row>
        <row r="32">
          <cell r="A32">
            <v>1240032</v>
          </cell>
          <cell r="B32">
            <v>362</v>
          </cell>
          <cell r="C32">
            <v>94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456</v>
          </cell>
        </row>
        <row r="33">
          <cell r="A33">
            <v>1216452</v>
          </cell>
          <cell r="B33">
            <v>0</v>
          </cell>
          <cell r="C33">
            <v>643</v>
          </cell>
          <cell r="D33">
            <v>452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73</v>
          </cell>
          <cell r="K33">
            <v>782</v>
          </cell>
          <cell r="L33">
            <v>90</v>
          </cell>
          <cell r="M33">
            <v>0</v>
          </cell>
          <cell r="N33">
            <v>495</v>
          </cell>
          <cell r="O33">
            <v>0</v>
          </cell>
          <cell r="Q33">
            <v>2535</v>
          </cell>
        </row>
        <row r="34">
          <cell r="A34">
            <v>1232894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712</v>
          </cell>
          <cell r="J34">
            <v>1000</v>
          </cell>
          <cell r="K34">
            <v>1109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Q34">
            <v>2821</v>
          </cell>
        </row>
        <row r="35">
          <cell r="A35">
            <v>1233386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512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Q35">
            <v>512</v>
          </cell>
        </row>
        <row r="36">
          <cell r="A36">
            <v>1233387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200</v>
          </cell>
          <cell r="J36">
            <v>1000</v>
          </cell>
          <cell r="K36">
            <v>856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2056</v>
          </cell>
        </row>
        <row r="37">
          <cell r="A37">
            <v>1233385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Q37">
            <v>253</v>
          </cell>
        </row>
        <row r="38">
          <cell r="A38">
            <v>1233580</v>
          </cell>
          <cell r="B38">
            <v>0</v>
          </cell>
          <cell r="C38">
            <v>0</v>
          </cell>
          <cell r="D38">
            <v>0</v>
          </cell>
          <cell r="E38">
            <v>81</v>
          </cell>
          <cell r="F38">
            <v>119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Q38">
            <v>200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1234614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24</v>
          </cell>
          <cell r="J2">
            <v>276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>
            <v>300</v>
          </cell>
        </row>
        <row r="3">
          <cell r="A3">
            <v>1229673</v>
          </cell>
          <cell r="B3">
            <v>200</v>
          </cell>
          <cell r="C3">
            <v>300</v>
          </cell>
          <cell r="D3">
            <v>200</v>
          </cell>
          <cell r="E3">
            <v>300</v>
          </cell>
          <cell r="F3">
            <v>200</v>
          </cell>
          <cell r="G3">
            <v>0</v>
          </cell>
          <cell r="H3">
            <v>0</v>
          </cell>
          <cell r="I3">
            <v>300</v>
          </cell>
          <cell r="J3">
            <v>0</v>
          </cell>
          <cell r="K3">
            <v>0</v>
          </cell>
          <cell r="L3">
            <v>252</v>
          </cell>
          <cell r="M3">
            <v>0</v>
          </cell>
          <cell r="N3">
            <v>0</v>
          </cell>
          <cell r="O3">
            <v>0</v>
          </cell>
          <cell r="Q3">
            <v>1752</v>
          </cell>
        </row>
        <row r="4">
          <cell r="A4">
            <v>1230854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0</v>
          </cell>
        </row>
        <row r="5">
          <cell r="A5">
            <v>1233492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356</v>
          </cell>
          <cell r="K5">
            <v>144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Q5">
            <v>500</v>
          </cell>
        </row>
        <row r="6">
          <cell r="A6">
            <v>1233498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356</v>
          </cell>
          <cell r="K6">
            <v>144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Q6">
            <v>500</v>
          </cell>
        </row>
        <row r="7">
          <cell r="A7">
            <v>1233623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356</v>
          </cell>
          <cell r="K7">
            <v>144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Q7">
            <v>500</v>
          </cell>
        </row>
        <row r="8">
          <cell r="A8">
            <v>1235623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52</v>
          </cell>
          <cell r="G8">
            <v>0</v>
          </cell>
          <cell r="H8">
            <v>0</v>
          </cell>
          <cell r="I8">
            <v>884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936</v>
          </cell>
        </row>
        <row r="9">
          <cell r="A9">
            <v>1237088</v>
          </cell>
          <cell r="B9">
            <v>1004</v>
          </cell>
          <cell r="C9">
            <v>474</v>
          </cell>
          <cell r="D9">
            <v>260</v>
          </cell>
          <cell r="E9">
            <v>322</v>
          </cell>
          <cell r="F9">
            <v>232</v>
          </cell>
          <cell r="G9">
            <v>0</v>
          </cell>
          <cell r="H9">
            <v>0</v>
          </cell>
          <cell r="I9">
            <v>736</v>
          </cell>
          <cell r="J9">
            <v>816</v>
          </cell>
          <cell r="K9">
            <v>788</v>
          </cell>
          <cell r="L9">
            <v>202</v>
          </cell>
          <cell r="M9">
            <v>870</v>
          </cell>
          <cell r="N9">
            <v>0</v>
          </cell>
          <cell r="O9">
            <v>0</v>
          </cell>
          <cell r="Q9">
            <v>5704</v>
          </cell>
        </row>
        <row r="10">
          <cell r="A10">
            <v>1237748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312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312</v>
          </cell>
        </row>
        <row r="11">
          <cell r="A11">
            <v>1236091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</row>
        <row r="12">
          <cell r="A12">
            <v>1238128</v>
          </cell>
          <cell r="B12">
            <v>72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30</v>
          </cell>
          <cell r="L12">
            <v>464</v>
          </cell>
          <cell r="M12">
            <v>464</v>
          </cell>
          <cell r="N12">
            <v>0</v>
          </cell>
          <cell r="O12">
            <v>0</v>
          </cell>
          <cell r="Q12">
            <v>1030</v>
          </cell>
        </row>
        <row r="13">
          <cell r="A13">
            <v>1238480</v>
          </cell>
          <cell r="B13">
            <v>0</v>
          </cell>
          <cell r="C13">
            <v>60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60</v>
          </cell>
        </row>
        <row r="14">
          <cell r="A14">
            <v>1236962</v>
          </cell>
          <cell r="B14">
            <v>0</v>
          </cell>
          <cell r="C14">
            <v>200</v>
          </cell>
          <cell r="D14">
            <v>200</v>
          </cell>
          <cell r="E14">
            <v>200</v>
          </cell>
          <cell r="F14">
            <v>200</v>
          </cell>
          <cell r="G14">
            <v>0</v>
          </cell>
          <cell r="H14">
            <v>0</v>
          </cell>
          <cell r="I14">
            <v>200</v>
          </cell>
          <cell r="J14">
            <v>200</v>
          </cell>
          <cell r="K14">
            <v>300</v>
          </cell>
          <cell r="L14">
            <v>300</v>
          </cell>
          <cell r="M14">
            <v>200</v>
          </cell>
          <cell r="N14">
            <v>0</v>
          </cell>
          <cell r="O14">
            <v>0</v>
          </cell>
          <cell r="Q14">
            <v>2000</v>
          </cell>
        </row>
        <row r="15">
          <cell r="A15">
            <v>1233761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Q15">
            <v>0</v>
          </cell>
        </row>
        <row r="16">
          <cell r="A16">
            <v>1239651</v>
          </cell>
          <cell r="B16">
            <v>0</v>
          </cell>
          <cell r="C16">
            <v>300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200</v>
          </cell>
          <cell r="J16">
            <v>300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800</v>
          </cell>
        </row>
        <row r="17">
          <cell r="A17">
            <v>1239988</v>
          </cell>
          <cell r="B17">
            <v>250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330</v>
          </cell>
          <cell r="M17">
            <v>400</v>
          </cell>
          <cell r="N17">
            <v>0</v>
          </cell>
          <cell r="O17">
            <v>0</v>
          </cell>
          <cell r="Q17">
            <v>980</v>
          </cell>
        </row>
        <row r="18">
          <cell r="A18">
            <v>1240180</v>
          </cell>
          <cell r="B18">
            <v>660</v>
          </cell>
          <cell r="C18">
            <v>824</v>
          </cell>
          <cell r="D18">
            <v>164</v>
          </cell>
          <cell r="E18">
            <v>334</v>
          </cell>
          <cell r="F18">
            <v>316</v>
          </cell>
          <cell r="G18">
            <v>0</v>
          </cell>
          <cell r="H18">
            <v>0</v>
          </cell>
          <cell r="I18">
            <v>426</v>
          </cell>
          <cell r="J18">
            <v>426</v>
          </cell>
          <cell r="K18">
            <v>334</v>
          </cell>
          <cell r="L18">
            <v>216</v>
          </cell>
          <cell r="M18">
            <v>322</v>
          </cell>
          <cell r="N18">
            <v>0</v>
          </cell>
          <cell r="O18">
            <v>0</v>
          </cell>
          <cell r="Q18">
            <v>4022</v>
          </cell>
        </row>
        <row r="19">
          <cell r="A19">
            <v>1240184</v>
          </cell>
          <cell r="B19">
            <v>660</v>
          </cell>
          <cell r="C19">
            <v>640</v>
          </cell>
          <cell r="D19">
            <v>164</v>
          </cell>
          <cell r="E19">
            <v>334</v>
          </cell>
          <cell r="F19">
            <v>316</v>
          </cell>
          <cell r="G19">
            <v>0</v>
          </cell>
          <cell r="H19">
            <v>0</v>
          </cell>
          <cell r="I19">
            <v>426</v>
          </cell>
          <cell r="J19">
            <v>426</v>
          </cell>
          <cell r="K19">
            <v>334</v>
          </cell>
          <cell r="L19">
            <v>216</v>
          </cell>
          <cell r="M19">
            <v>322</v>
          </cell>
          <cell r="N19">
            <v>0</v>
          </cell>
          <cell r="O19">
            <v>0</v>
          </cell>
          <cell r="Q19">
            <v>3838</v>
          </cell>
        </row>
        <row r="20">
          <cell r="A20">
            <v>1240308</v>
          </cell>
          <cell r="B20">
            <v>200</v>
          </cell>
          <cell r="C20">
            <v>300</v>
          </cell>
          <cell r="D20">
            <v>0</v>
          </cell>
          <cell r="E20">
            <v>400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270</v>
          </cell>
          <cell r="M20">
            <v>0</v>
          </cell>
          <cell r="N20">
            <v>0</v>
          </cell>
          <cell r="O20">
            <v>0</v>
          </cell>
          <cell r="Q20">
            <v>1170</v>
          </cell>
        </row>
        <row r="21">
          <cell r="A21">
            <v>1241601</v>
          </cell>
          <cell r="B21">
            <v>1266</v>
          </cell>
          <cell r="C21">
            <v>1176</v>
          </cell>
          <cell r="D21">
            <v>862</v>
          </cell>
          <cell r="E21">
            <v>2246</v>
          </cell>
          <cell r="F21">
            <v>1600</v>
          </cell>
          <cell r="G21">
            <v>0</v>
          </cell>
          <cell r="H21">
            <v>0</v>
          </cell>
          <cell r="I21">
            <v>1564</v>
          </cell>
          <cell r="J21">
            <v>1564</v>
          </cell>
          <cell r="K21">
            <v>1228</v>
          </cell>
          <cell r="L21">
            <v>798</v>
          </cell>
          <cell r="M21">
            <v>338</v>
          </cell>
          <cell r="N21">
            <v>0</v>
          </cell>
          <cell r="O21">
            <v>0</v>
          </cell>
          <cell r="Q21">
            <v>12642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B3">
            <v>1216452</v>
          </cell>
          <cell r="C3">
            <v>0</v>
          </cell>
          <cell r="D3">
            <v>324</v>
          </cell>
          <cell r="E3">
            <v>2880</v>
          </cell>
          <cell r="F3">
            <v>576</v>
          </cell>
          <cell r="G3">
            <v>0</v>
          </cell>
          <cell r="H3">
            <v>2214</v>
          </cell>
          <cell r="I3">
            <v>0</v>
          </cell>
          <cell r="J3">
            <v>900</v>
          </cell>
          <cell r="K3">
            <v>0</v>
          </cell>
          <cell r="L3">
            <v>1212</v>
          </cell>
          <cell r="N3">
            <v>8106</v>
          </cell>
        </row>
        <row r="4">
          <cell r="B4">
            <v>1220847</v>
          </cell>
          <cell r="C4">
            <v>100</v>
          </cell>
          <cell r="D4">
            <v>0</v>
          </cell>
          <cell r="E4">
            <v>1260</v>
          </cell>
          <cell r="F4">
            <v>50</v>
          </cell>
          <cell r="G4">
            <v>1050</v>
          </cell>
          <cell r="H4">
            <v>0</v>
          </cell>
          <cell r="I4">
            <v>0</v>
          </cell>
          <cell r="J4">
            <v>0</v>
          </cell>
          <cell r="K4">
            <v>784</v>
          </cell>
          <cell r="L4">
            <v>0</v>
          </cell>
          <cell r="N4">
            <v>3244</v>
          </cell>
        </row>
        <row r="5">
          <cell r="B5">
            <v>1221967</v>
          </cell>
          <cell r="C5">
            <v>450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351</v>
          </cell>
          <cell r="J5">
            <v>0</v>
          </cell>
          <cell r="K5">
            <v>68</v>
          </cell>
          <cell r="L5">
            <v>0</v>
          </cell>
          <cell r="N5">
            <v>869</v>
          </cell>
        </row>
        <row r="6">
          <cell r="B6">
            <v>1225464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756</v>
          </cell>
          <cell r="H6">
            <v>0</v>
          </cell>
          <cell r="I6">
            <v>0</v>
          </cell>
          <cell r="J6">
            <v>0</v>
          </cell>
          <cell r="K6">
            <v>1578</v>
          </cell>
          <cell r="L6">
            <v>0</v>
          </cell>
          <cell r="N6">
            <v>2334</v>
          </cell>
        </row>
        <row r="7">
          <cell r="B7">
            <v>1227306</v>
          </cell>
          <cell r="C7">
            <v>846</v>
          </cell>
          <cell r="D7">
            <v>104</v>
          </cell>
          <cell r="E7">
            <v>0</v>
          </cell>
          <cell r="F7">
            <v>0</v>
          </cell>
          <cell r="G7">
            <v>1600</v>
          </cell>
          <cell r="H7">
            <v>0</v>
          </cell>
          <cell r="I7">
            <v>0</v>
          </cell>
          <cell r="J7">
            <v>400</v>
          </cell>
          <cell r="K7">
            <v>700</v>
          </cell>
          <cell r="L7">
            <v>150</v>
          </cell>
          <cell r="N7">
            <v>3800</v>
          </cell>
        </row>
        <row r="8">
          <cell r="B8">
            <v>1229050</v>
          </cell>
          <cell r="C8">
            <v>0</v>
          </cell>
          <cell r="D8">
            <v>0</v>
          </cell>
          <cell r="E8">
            <v>205</v>
          </cell>
          <cell r="F8">
            <v>0</v>
          </cell>
          <cell r="G8">
            <v>0</v>
          </cell>
          <cell r="H8">
            <v>0</v>
          </cell>
          <cell r="I8">
            <v>225</v>
          </cell>
          <cell r="J8">
            <v>0</v>
          </cell>
          <cell r="K8">
            <v>0</v>
          </cell>
          <cell r="L8">
            <v>0</v>
          </cell>
          <cell r="N8">
            <v>430</v>
          </cell>
        </row>
        <row r="9">
          <cell r="B9">
            <v>1229088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200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N9">
            <v>200</v>
          </cell>
        </row>
        <row r="10">
          <cell r="B10">
            <v>1229776</v>
          </cell>
          <cell r="C10">
            <v>580</v>
          </cell>
          <cell r="D10">
            <v>0</v>
          </cell>
          <cell r="E10">
            <v>0</v>
          </cell>
          <cell r="F10">
            <v>180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300</v>
          </cell>
          <cell r="N10">
            <v>1060</v>
          </cell>
        </row>
        <row r="11">
          <cell r="B11">
            <v>1230685</v>
          </cell>
          <cell r="C11">
            <v>400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400</v>
          </cell>
          <cell r="L11">
            <v>0</v>
          </cell>
          <cell r="N11">
            <v>800</v>
          </cell>
        </row>
        <row r="12">
          <cell r="B12">
            <v>1230791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140</v>
          </cell>
          <cell r="L12">
            <v>0</v>
          </cell>
          <cell r="N12">
            <v>140</v>
          </cell>
        </row>
        <row r="13">
          <cell r="B13">
            <v>1231011</v>
          </cell>
          <cell r="C13">
            <v>300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N13">
            <v>300</v>
          </cell>
        </row>
        <row r="14">
          <cell r="B14">
            <v>1231090</v>
          </cell>
          <cell r="C14">
            <v>580</v>
          </cell>
          <cell r="D14">
            <v>0</v>
          </cell>
          <cell r="E14">
            <v>1790</v>
          </cell>
          <cell r="F14">
            <v>180</v>
          </cell>
          <cell r="G14">
            <v>0</v>
          </cell>
          <cell r="H14">
            <v>0</v>
          </cell>
          <cell r="I14">
            <v>990</v>
          </cell>
          <cell r="J14">
            <v>0</v>
          </cell>
          <cell r="K14">
            <v>300</v>
          </cell>
          <cell r="L14">
            <v>300</v>
          </cell>
          <cell r="N14">
            <v>4140</v>
          </cell>
        </row>
        <row r="15">
          <cell r="B15">
            <v>1231578</v>
          </cell>
          <cell r="C15">
            <v>400</v>
          </cell>
          <cell r="D15">
            <v>0</v>
          </cell>
          <cell r="E15">
            <v>600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200</v>
          </cell>
          <cell r="L15">
            <v>300</v>
          </cell>
          <cell r="N15">
            <v>1500</v>
          </cell>
        </row>
        <row r="16">
          <cell r="B16">
            <v>1231797</v>
          </cell>
          <cell r="C16">
            <v>35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154</v>
          </cell>
          <cell r="I16">
            <v>0</v>
          </cell>
          <cell r="J16">
            <v>0</v>
          </cell>
          <cell r="K16">
            <v>0</v>
          </cell>
          <cell r="L16">
            <v>137</v>
          </cell>
          <cell r="N16">
            <v>326</v>
          </cell>
        </row>
        <row r="17">
          <cell r="B17">
            <v>1231860</v>
          </cell>
          <cell r="C17">
            <v>0</v>
          </cell>
          <cell r="D17">
            <v>0</v>
          </cell>
          <cell r="E17">
            <v>100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100</v>
          </cell>
        </row>
        <row r="18">
          <cell r="B18">
            <v>1232066</v>
          </cell>
          <cell r="C18">
            <v>0</v>
          </cell>
          <cell r="D18">
            <v>0</v>
          </cell>
          <cell r="E18">
            <v>252</v>
          </cell>
          <cell r="F18">
            <v>0</v>
          </cell>
          <cell r="G18">
            <v>0</v>
          </cell>
          <cell r="H18">
            <v>0</v>
          </cell>
          <cell r="I18">
            <v>252</v>
          </cell>
          <cell r="J18">
            <v>0</v>
          </cell>
          <cell r="K18">
            <v>0</v>
          </cell>
          <cell r="L18">
            <v>0</v>
          </cell>
          <cell r="N18">
            <v>504</v>
          </cell>
        </row>
        <row r="19">
          <cell r="B19">
            <v>1232528</v>
          </cell>
          <cell r="C19">
            <v>2781</v>
          </cell>
          <cell r="D19">
            <v>2781</v>
          </cell>
          <cell r="E19">
            <v>2934</v>
          </cell>
          <cell r="F19">
            <v>7063</v>
          </cell>
          <cell r="G19">
            <v>540</v>
          </cell>
          <cell r="H19">
            <v>0</v>
          </cell>
          <cell r="I19">
            <v>1836</v>
          </cell>
          <cell r="J19">
            <v>0</v>
          </cell>
          <cell r="K19">
            <v>8428</v>
          </cell>
          <cell r="L19">
            <v>0</v>
          </cell>
          <cell r="N19">
            <v>26363</v>
          </cell>
        </row>
        <row r="20">
          <cell r="B20">
            <v>1232553</v>
          </cell>
          <cell r="C20">
            <v>0</v>
          </cell>
          <cell r="D20">
            <v>0</v>
          </cell>
          <cell r="E20">
            <v>108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N20">
            <v>108</v>
          </cell>
        </row>
        <row r="21">
          <cell r="B21">
            <v>1232693</v>
          </cell>
          <cell r="C21">
            <v>0</v>
          </cell>
          <cell r="D21">
            <v>0</v>
          </cell>
          <cell r="E21">
            <v>3843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82</v>
          </cell>
          <cell r="L21">
            <v>0</v>
          </cell>
          <cell r="N21">
            <v>3925</v>
          </cell>
        </row>
        <row r="22">
          <cell r="B22">
            <v>1232775</v>
          </cell>
          <cell r="C22">
            <v>1287</v>
          </cell>
          <cell r="D22">
            <v>739</v>
          </cell>
          <cell r="E22">
            <v>0</v>
          </cell>
          <cell r="F22">
            <v>320</v>
          </cell>
          <cell r="G22">
            <v>1350</v>
          </cell>
          <cell r="H22">
            <v>610</v>
          </cell>
          <cell r="I22">
            <v>161</v>
          </cell>
          <cell r="J22">
            <v>0</v>
          </cell>
          <cell r="K22">
            <v>1156</v>
          </cell>
          <cell r="L22">
            <v>960</v>
          </cell>
          <cell r="N22">
            <v>6583</v>
          </cell>
        </row>
        <row r="23">
          <cell r="B23">
            <v>1232846</v>
          </cell>
          <cell r="C23">
            <v>3468</v>
          </cell>
          <cell r="D23">
            <v>300</v>
          </cell>
          <cell r="E23">
            <v>536</v>
          </cell>
          <cell r="F23">
            <v>1076</v>
          </cell>
          <cell r="G23">
            <v>1076</v>
          </cell>
          <cell r="H23">
            <v>472</v>
          </cell>
          <cell r="I23">
            <v>300</v>
          </cell>
          <cell r="J23">
            <v>300</v>
          </cell>
          <cell r="K23">
            <v>1249</v>
          </cell>
          <cell r="L23">
            <v>583</v>
          </cell>
          <cell r="N23">
            <v>9360</v>
          </cell>
        </row>
        <row r="24">
          <cell r="B24">
            <v>1232894</v>
          </cell>
          <cell r="C24">
            <v>2401</v>
          </cell>
          <cell r="D24">
            <v>0</v>
          </cell>
          <cell r="E24">
            <v>336</v>
          </cell>
          <cell r="F24">
            <v>576</v>
          </cell>
          <cell r="G24">
            <v>576</v>
          </cell>
          <cell r="H24">
            <v>0</v>
          </cell>
          <cell r="I24">
            <v>0</v>
          </cell>
          <cell r="J24">
            <v>0</v>
          </cell>
          <cell r="K24">
            <v>949</v>
          </cell>
          <cell r="L24">
            <v>0</v>
          </cell>
          <cell r="N24">
            <v>4838</v>
          </cell>
        </row>
        <row r="25">
          <cell r="B25">
            <v>1232895</v>
          </cell>
          <cell r="C25">
            <v>1067</v>
          </cell>
          <cell r="D25">
            <v>300</v>
          </cell>
          <cell r="E25">
            <v>200</v>
          </cell>
          <cell r="F25">
            <v>500</v>
          </cell>
          <cell r="G25">
            <v>500</v>
          </cell>
          <cell r="H25">
            <v>472</v>
          </cell>
          <cell r="I25">
            <v>300</v>
          </cell>
          <cell r="J25">
            <v>300</v>
          </cell>
          <cell r="K25">
            <v>300</v>
          </cell>
          <cell r="L25">
            <v>583</v>
          </cell>
          <cell r="N25">
            <v>4522</v>
          </cell>
        </row>
        <row r="26">
          <cell r="B26">
            <v>1232922</v>
          </cell>
          <cell r="C26">
            <v>370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272</v>
          </cell>
          <cell r="I26">
            <v>0</v>
          </cell>
          <cell r="J26">
            <v>0</v>
          </cell>
          <cell r="K26">
            <v>0</v>
          </cell>
          <cell r="L26">
            <v>283</v>
          </cell>
          <cell r="N26">
            <v>925</v>
          </cell>
        </row>
        <row r="27">
          <cell r="B27">
            <v>1232982</v>
          </cell>
          <cell r="C27">
            <v>450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N27">
            <v>450</v>
          </cell>
        </row>
        <row r="28">
          <cell r="B28">
            <v>1233025</v>
          </cell>
          <cell r="C28">
            <v>0</v>
          </cell>
          <cell r="D28">
            <v>0</v>
          </cell>
          <cell r="E28">
            <v>3843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82</v>
          </cell>
          <cell r="L28">
            <v>0</v>
          </cell>
          <cell r="N28">
            <v>3925</v>
          </cell>
        </row>
        <row r="29">
          <cell r="B29">
            <v>1233165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370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N29">
            <v>370</v>
          </cell>
        </row>
        <row r="30">
          <cell r="B30">
            <v>1233383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151</v>
          </cell>
          <cell r="I30">
            <v>0</v>
          </cell>
          <cell r="J30">
            <v>0</v>
          </cell>
          <cell r="K30">
            <v>0</v>
          </cell>
          <cell r="L30">
            <v>143</v>
          </cell>
          <cell r="N30">
            <v>294</v>
          </cell>
        </row>
        <row r="31">
          <cell r="B31">
            <v>1233384</v>
          </cell>
          <cell r="C31">
            <v>697</v>
          </cell>
          <cell r="D31">
            <v>300</v>
          </cell>
          <cell r="E31">
            <v>200</v>
          </cell>
          <cell r="F31">
            <v>500</v>
          </cell>
          <cell r="G31">
            <v>500</v>
          </cell>
          <cell r="H31">
            <v>200</v>
          </cell>
          <cell r="I31">
            <v>300</v>
          </cell>
          <cell r="J31">
            <v>300</v>
          </cell>
          <cell r="K31">
            <v>300</v>
          </cell>
          <cell r="L31">
            <v>300</v>
          </cell>
          <cell r="N31">
            <v>3597</v>
          </cell>
        </row>
        <row r="32">
          <cell r="B32">
            <v>1233385</v>
          </cell>
          <cell r="C32">
            <v>253</v>
          </cell>
          <cell r="D32">
            <v>0</v>
          </cell>
          <cell r="E32">
            <v>336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N32">
            <v>589</v>
          </cell>
        </row>
        <row r="33">
          <cell r="B33">
            <v>1233386</v>
          </cell>
          <cell r="C33">
            <v>1120</v>
          </cell>
          <cell r="D33">
            <v>0</v>
          </cell>
          <cell r="E33">
            <v>0</v>
          </cell>
          <cell r="F33">
            <v>576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512</v>
          </cell>
          <cell r="L33">
            <v>0</v>
          </cell>
          <cell r="N33">
            <v>2208</v>
          </cell>
        </row>
        <row r="34">
          <cell r="B34">
            <v>1233387</v>
          </cell>
          <cell r="C34">
            <v>1028</v>
          </cell>
          <cell r="D34">
            <v>0</v>
          </cell>
          <cell r="E34">
            <v>0</v>
          </cell>
          <cell r="F34">
            <v>0</v>
          </cell>
          <cell r="G34">
            <v>576</v>
          </cell>
          <cell r="H34">
            <v>0</v>
          </cell>
          <cell r="I34">
            <v>0</v>
          </cell>
          <cell r="J34">
            <v>0</v>
          </cell>
          <cell r="K34">
            <v>437</v>
          </cell>
          <cell r="L34">
            <v>0</v>
          </cell>
          <cell r="N34">
            <v>2041</v>
          </cell>
        </row>
        <row r="35">
          <cell r="B35">
            <v>1233580</v>
          </cell>
          <cell r="C35">
            <v>0</v>
          </cell>
          <cell r="D35">
            <v>0</v>
          </cell>
          <cell r="E35">
            <v>50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50</v>
          </cell>
        </row>
        <row r="36">
          <cell r="B36">
            <v>1233587</v>
          </cell>
          <cell r="C36">
            <v>0</v>
          </cell>
          <cell r="D36">
            <v>10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10</v>
          </cell>
        </row>
        <row r="37">
          <cell r="B37">
            <v>1234110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170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170</v>
          </cell>
        </row>
        <row r="38">
          <cell r="B38">
            <v>1234111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170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170</v>
          </cell>
        </row>
        <row r="39">
          <cell r="B39">
            <v>1234217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170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170</v>
          </cell>
        </row>
        <row r="40">
          <cell r="B40">
            <v>1234222</v>
          </cell>
          <cell r="C40">
            <v>0</v>
          </cell>
          <cell r="D40">
            <v>61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868</v>
          </cell>
          <cell r="J40">
            <v>0</v>
          </cell>
          <cell r="K40">
            <v>0</v>
          </cell>
          <cell r="L40">
            <v>0</v>
          </cell>
          <cell r="N40">
            <v>929</v>
          </cell>
        </row>
        <row r="41">
          <cell r="B41">
            <v>1234614</v>
          </cell>
          <cell r="C41">
            <v>468</v>
          </cell>
          <cell r="D41">
            <v>0</v>
          </cell>
          <cell r="E41">
            <v>216</v>
          </cell>
          <cell r="F41">
            <v>216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900</v>
          </cell>
        </row>
        <row r="42">
          <cell r="B42">
            <v>1234905</v>
          </cell>
          <cell r="C42">
            <v>1750</v>
          </cell>
          <cell r="D42">
            <v>1027</v>
          </cell>
          <cell r="E42">
            <v>550</v>
          </cell>
          <cell r="F42">
            <v>950</v>
          </cell>
          <cell r="G42">
            <v>300</v>
          </cell>
          <cell r="H42">
            <v>450</v>
          </cell>
          <cell r="I42">
            <v>750</v>
          </cell>
          <cell r="J42">
            <v>750</v>
          </cell>
          <cell r="K42">
            <v>850</v>
          </cell>
          <cell r="L42">
            <v>950</v>
          </cell>
          <cell r="N42">
            <v>8327</v>
          </cell>
        </row>
        <row r="43">
          <cell r="B43">
            <v>1235097</v>
          </cell>
          <cell r="C43">
            <v>400</v>
          </cell>
          <cell r="D43">
            <v>400</v>
          </cell>
          <cell r="E43">
            <v>0</v>
          </cell>
          <cell r="F43">
            <v>321</v>
          </cell>
          <cell r="G43">
            <v>0</v>
          </cell>
          <cell r="H43">
            <v>0</v>
          </cell>
          <cell r="I43">
            <v>374</v>
          </cell>
          <cell r="J43">
            <v>300</v>
          </cell>
          <cell r="K43">
            <v>300</v>
          </cell>
          <cell r="L43">
            <v>500</v>
          </cell>
          <cell r="N43">
            <v>2595</v>
          </cell>
        </row>
        <row r="44">
          <cell r="B44">
            <v>1235845</v>
          </cell>
          <cell r="C44">
            <v>1850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359</v>
          </cell>
          <cell r="J44">
            <v>0</v>
          </cell>
          <cell r="K44">
            <v>0</v>
          </cell>
          <cell r="L44">
            <v>0</v>
          </cell>
          <cell r="N44">
            <v>2209</v>
          </cell>
        </row>
        <row r="45">
          <cell r="B45">
            <v>1236387</v>
          </cell>
          <cell r="C45">
            <v>110</v>
          </cell>
          <cell r="D45">
            <v>0</v>
          </cell>
          <cell r="E45">
            <v>0</v>
          </cell>
          <cell r="F45">
            <v>0</v>
          </cell>
          <cell r="G45">
            <v>600</v>
          </cell>
          <cell r="H45">
            <v>400</v>
          </cell>
          <cell r="I45">
            <v>500</v>
          </cell>
          <cell r="J45">
            <v>0</v>
          </cell>
          <cell r="K45">
            <v>400</v>
          </cell>
          <cell r="L45">
            <v>500</v>
          </cell>
          <cell r="N45">
            <v>2510</v>
          </cell>
        </row>
        <row r="46">
          <cell r="B46">
            <v>1236600</v>
          </cell>
          <cell r="C46">
            <v>999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913</v>
          </cell>
          <cell r="I46">
            <v>0</v>
          </cell>
          <cell r="J46">
            <v>0</v>
          </cell>
          <cell r="K46">
            <v>0</v>
          </cell>
          <cell r="L46">
            <v>873</v>
          </cell>
          <cell r="N46">
            <v>2785</v>
          </cell>
        </row>
        <row r="47">
          <cell r="B47">
            <v>1236601</v>
          </cell>
          <cell r="C47">
            <v>143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105</v>
          </cell>
          <cell r="I47">
            <v>0</v>
          </cell>
          <cell r="J47">
            <v>0</v>
          </cell>
          <cell r="K47">
            <v>0</v>
          </cell>
          <cell r="L47">
            <v>100</v>
          </cell>
          <cell r="N47">
            <v>348</v>
          </cell>
        </row>
        <row r="48">
          <cell r="B48">
            <v>1236930</v>
          </cell>
          <cell r="C48">
            <v>2202</v>
          </cell>
          <cell r="D48">
            <v>1179</v>
          </cell>
          <cell r="E48">
            <v>1604</v>
          </cell>
          <cell r="F48">
            <v>1308</v>
          </cell>
          <cell r="G48">
            <v>1820</v>
          </cell>
          <cell r="H48">
            <v>950</v>
          </cell>
          <cell r="I48">
            <v>1772</v>
          </cell>
          <cell r="J48">
            <v>850</v>
          </cell>
          <cell r="K48">
            <v>2378</v>
          </cell>
          <cell r="L48">
            <v>1350</v>
          </cell>
          <cell r="N48">
            <v>15413</v>
          </cell>
        </row>
        <row r="49">
          <cell r="B49">
            <v>1237210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375</v>
          </cell>
          <cell r="J49">
            <v>160</v>
          </cell>
          <cell r="K49">
            <v>0</v>
          </cell>
          <cell r="L49">
            <v>0</v>
          </cell>
          <cell r="N49">
            <v>535</v>
          </cell>
        </row>
        <row r="50">
          <cell r="B50">
            <v>1237386</v>
          </cell>
          <cell r="C50">
            <v>150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N50">
            <v>150</v>
          </cell>
        </row>
        <row r="51">
          <cell r="B51">
            <v>1237468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216</v>
          </cell>
          <cell r="H51">
            <v>82</v>
          </cell>
          <cell r="I51">
            <v>0</v>
          </cell>
          <cell r="J51">
            <v>0</v>
          </cell>
          <cell r="K51">
            <v>0</v>
          </cell>
          <cell r="L51">
            <v>79</v>
          </cell>
          <cell r="N51">
            <v>377</v>
          </cell>
        </row>
        <row r="52">
          <cell r="B52">
            <v>1238453</v>
          </cell>
          <cell r="C52">
            <v>0</v>
          </cell>
          <cell r="D52">
            <v>191</v>
          </cell>
          <cell r="E52">
            <v>0</v>
          </cell>
          <cell r="F52">
            <v>0</v>
          </cell>
          <cell r="G52">
            <v>0</v>
          </cell>
          <cell r="H52">
            <v>190</v>
          </cell>
          <cell r="I52">
            <v>0</v>
          </cell>
          <cell r="J52">
            <v>0</v>
          </cell>
          <cell r="K52">
            <v>0</v>
          </cell>
          <cell r="L52">
            <v>175</v>
          </cell>
          <cell r="N52">
            <v>556</v>
          </cell>
        </row>
        <row r="53">
          <cell r="B53">
            <v>1238480</v>
          </cell>
          <cell r="C53">
            <v>2738</v>
          </cell>
          <cell r="D53">
            <v>2914</v>
          </cell>
          <cell r="E53">
            <v>7462</v>
          </cell>
          <cell r="F53">
            <v>5829</v>
          </cell>
          <cell r="G53">
            <v>5255</v>
          </cell>
          <cell r="H53">
            <v>3790</v>
          </cell>
          <cell r="I53">
            <v>4439</v>
          </cell>
          <cell r="J53">
            <v>3485</v>
          </cell>
          <cell r="K53">
            <v>4842</v>
          </cell>
          <cell r="L53">
            <v>2000</v>
          </cell>
          <cell r="N53">
            <v>42754</v>
          </cell>
        </row>
        <row r="54">
          <cell r="B54">
            <v>1238605</v>
          </cell>
          <cell r="C54">
            <v>560</v>
          </cell>
          <cell r="D54">
            <v>0</v>
          </cell>
          <cell r="E54">
            <v>0</v>
          </cell>
          <cell r="F54">
            <v>0</v>
          </cell>
          <cell r="G54">
            <v>426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N54">
            <v>986</v>
          </cell>
        </row>
        <row r="55">
          <cell r="B55">
            <v>1240180</v>
          </cell>
          <cell r="C55">
            <v>250</v>
          </cell>
          <cell r="D55">
            <v>300</v>
          </cell>
          <cell r="E55">
            <v>0</v>
          </cell>
          <cell r="F55">
            <v>0</v>
          </cell>
          <cell r="G55">
            <v>150</v>
          </cell>
          <cell r="H55">
            <v>202</v>
          </cell>
          <cell r="I55">
            <v>0</v>
          </cell>
          <cell r="J55">
            <v>0</v>
          </cell>
          <cell r="K55">
            <v>948</v>
          </cell>
          <cell r="L55">
            <v>800</v>
          </cell>
          <cell r="N55">
            <v>2650</v>
          </cell>
        </row>
        <row r="56">
          <cell r="B56">
            <v>1240184</v>
          </cell>
          <cell r="C56">
            <v>250</v>
          </cell>
          <cell r="D56">
            <v>300</v>
          </cell>
          <cell r="E56">
            <v>0</v>
          </cell>
          <cell r="F56">
            <v>0</v>
          </cell>
          <cell r="G56">
            <v>150</v>
          </cell>
          <cell r="H56">
            <v>202</v>
          </cell>
          <cell r="I56">
            <v>0</v>
          </cell>
          <cell r="J56">
            <v>0</v>
          </cell>
          <cell r="K56">
            <v>948</v>
          </cell>
          <cell r="L56">
            <v>800</v>
          </cell>
          <cell r="N56">
            <v>2650</v>
          </cell>
        </row>
        <row r="57">
          <cell r="B57">
            <v>1241343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20</v>
          </cell>
          <cell r="K57">
            <v>0</v>
          </cell>
          <cell r="L57">
            <v>0</v>
          </cell>
          <cell r="N57">
            <v>20</v>
          </cell>
        </row>
        <row r="58">
          <cell r="B58">
            <v>1241347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20</v>
          </cell>
          <cell r="K58">
            <v>0</v>
          </cell>
          <cell r="L58">
            <v>0</v>
          </cell>
          <cell r="N58">
            <v>20</v>
          </cell>
        </row>
        <row r="59">
          <cell r="B59">
            <v>1241387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151</v>
          </cell>
          <cell r="K59">
            <v>0</v>
          </cell>
          <cell r="L59">
            <v>0</v>
          </cell>
          <cell r="N59">
            <v>151</v>
          </cell>
        </row>
        <row r="60">
          <cell r="B60">
            <v>1241474</v>
          </cell>
          <cell r="C60">
            <v>0</v>
          </cell>
          <cell r="D60">
            <v>0</v>
          </cell>
          <cell r="E60">
            <v>37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N60">
            <v>37</v>
          </cell>
        </row>
        <row r="61">
          <cell r="B61">
            <v>1241480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26</v>
          </cell>
          <cell r="K61">
            <v>0</v>
          </cell>
          <cell r="L61">
            <v>0</v>
          </cell>
          <cell r="N61">
            <v>26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400</v>
          </cell>
          <cell r="R2">
            <v>400</v>
          </cell>
          <cell r="S2">
            <v>260</v>
          </cell>
          <cell r="T2">
            <v>0</v>
          </cell>
          <cell r="U2">
            <v>0</v>
          </cell>
          <cell r="W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400</v>
          </cell>
          <cell r="R3">
            <v>400</v>
          </cell>
          <cell r="S3">
            <v>260</v>
          </cell>
          <cell r="T3">
            <v>0</v>
          </cell>
          <cell r="U3">
            <v>0</v>
          </cell>
          <cell r="W3">
            <v>1060</v>
          </cell>
        </row>
        <row r="4">
          <cell r="A4">
            <v>1229673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344</v>
          </cell>
          <cell r="L4">
            <v>218</v>
          </cell>
          <cell r="M4">
            <v>0</v>
          </cell>
          <cell r="N4">
            <v>0</v>
          </cell>
          <cell r="O4">
            <v>200</v>
          </cell>
          <cell r="P4">
            <v>200</v>
          </cell>
          <cell r="Q4">
            <v>200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W4">
            <v>1162</v>
          </cell>
        </row>
        <row r="5">
          <cell r="A5">
            <v>1230854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200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W5">
            <v>200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300</v>
          </cell>
          <cell r="T6">
            <v>0</v>
          </cell>
          <cell r="U6">
            <v>0</v>
          </cell>
          <cell r="W6">
            <v>300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300</v>
          </cell>
          <cell r="T7">
            <v>0</v>
          </cell>
          <cell r="U7">
            <v>0</v>
          </cell>
          <cell r="W7">
            <v>300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300</v>
          </cell>
          <cell r="T8">
            <v>0</v>
          </cell>
          <cell r="U8">
            <v>0</v>
          </cell>
          <cell r="W8">
            <v>300</v>
          </cell>
        </row>
        <row r="9">
          <cell r="A9">
            <v>1237088</v>
          </cell>
          <cell r="B9">
            <v>842</v>
          </cell>
          <cell r="C9">
            <v>298</v>
          </cell>
          <cell r="D9">
            <v>1022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538</v>
          </cell>
          <cell r="K9">
            <v>500</v>
          </cell>
          <cell r="L9">
            <v>586</v>
          </cell>
          <cell r="M9">
            <v>0</v>
          </cell>
          <cell r="N9">
            <v>0</v>
          </cell>
          <cell r="O9">
            <v>0</v>
          </cell>
          <cell r="P9">
            <v>552</v>
          </cell>
          <cell r="Q9">
            <v>404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W9">
            <v>4742</v>
          </cell>
        </row>
        <row r="10">
          <cell r="A10">
            <v>1231898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230</v>
          </cell>
          <cell r="P10">
            <v>250</v>
          </cell>
          <cell r="Q10">
            <v>240</v>
          </cell>
          <cell r="R10">
            <v>0</v>
          </cell>
          <cell r="S10">
            <v>384</v>
          </cell>
          <cell r="T10">
            <v>0</v>
          </cell>
          <cell r="U10">
            <v>0</v>
          </cell>
          <cell r="W10">
            <v>1104</v>
          </cell>
        </row>
        <row r="11">
          <cell r="A11">
            <v>1237586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230</v>
          </cell>
          <cell r="P11">
            <v>250</v>
          </cell>
          <cell r="Q11">
            <v>240</v>
          </cell>
          <cell r="R11">
            <v>0</v>
          </cell>
          <cell r="S11">
            <v>384</v>
          </cell>
          <cell r="T11">
            <v>0</v>
          </cell>
          <cell r="U11">
            <v>0</v>
          </cell>
          <cell r="W11">
            <v>1104</v>
          </cell>
        </row>
        <row r="12">
          <cell r="A12">
            <v>1236091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250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250</v>
          </cell>
          <cell r="S12">
            <v>0</v>
          </cell>
          <cell r="T12">
            <v>0</v>
          </cell>
          <cell r="U12">
            <v>0</v>
          </cell>
          <cell r="W12">
            <v>500</v>
          </cell>
        </row>
        <row r="13">
          <cell r="A13">
            <v>1234905</v>
          </cell>
          <cell r="B13">
            <v>420</v>
          </cell>
          <cell r="C13">
            <v>122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542</v>
          </cell>
        </row>
        <row r="14">
          <cell r="A14">
            <v>1238128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350</v>
          </cell>
          <cell r="M14">
            <v>0</v>
          </cell>
          <cell r="N14">
            <v>0</v>
          </cell>
          <cell r="O14">
            <v>352</v>
          </cell>
          <cell r="P14">
            <v>590</v>
          </cell>
          <cell r="Q14">
            <v>464</v>
          </cell>
          <cell r="R14">
            <v>258</v>
          </cell>
          <cell r="S14">
            <v>0</v>
          </cell>
          <cell r="T14">
            <v>0</v>
          </cell>
          <cell r="U14">
            <v>0</v>
          </cell>
          <cell r="W14">
            <v>2014</v>
          </cell>
        </row>
        <row r="15">
          <cell r="A15">
            <v>1236962</v>
          </cell>
          <cell r="B15">
            <v>144</v>
          </cell>
          <cell r="C15">
            <v>144</v>
          </cell>
          <cell r="D15">
            <v>144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200</v>
          </cell>
          <cell r="K15">
            <v>192</v>
          </cell>
          <cell r="L15">
            <v>224</v>
          </cell>
          <cell r="M15">
            <v>0</v>
          </cell>
          <cell r="N15">
            <v>0</v>
          </cell>
          <cell r="O15">
            <v>200</v>
          </cell>
          <cell r="P15">
            <v>0</v>
          </cell>
          <cell r="Q15">
            <v>0</v>
          </cell>
          <cell r="R15">
            <v>124</v>
          </cell>
          <cell r="S15">
            <v>150</v>
          </cell>
          <cell r="T15">
            <v>0</v>
          </cell>
          <cell r="U15">
            <v>0</v>
          </cell>
          <cell r="W15">
            <v>1522</v>
          </cell>
        </row>
        <row r="16">
          <cell r="A16">
            <v>1233761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150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150</v>
          </cell>
        </row>
        <row r="17">
          <cell r="A17">
            <v>1239651</v>
          </cell>
          <cell r="B17">
            <v>150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306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400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856</v>
          </cell>
        </row>
        <row r="18">
          <cell r="A18">
            <v>1240180</v>
          </cell>
          <cell r="B18">
            <v>431</v>
          </cell>
          <cell r="C18">
            <v>320</v>
          </cell>
          <cell r="D18">
            <v>430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338</v>
          </cell>
          <cell r="K18">
            <v>532</v>
          </cell>
          <cell r="L18">
            <v>796</v>
          </cell>
          <cell r="M18">
            <v>0</v>
          </cell>
          <cell r="N18">
            <v>0</v>
          </cell>
          <cell r="O18">
            <v>384</v>
          </cell>
          <cell r="P18">
            <v>430</v>
          </cell>
          <cell r="Q18">
            <v>339</v>
          </cell>
          <cell r="R18">
            <v>430</v>
          </cell>
          <cell r="S18">
            <v>430</v>
          </cell>
          <cell r="T18">
            <v>0</v>
          </cell>
          <cell r="U18">
            <v>0</v>
          </cell>
          <cell r="W18">
            <v>4860</v>
          </cell>
        </row>
        <row r="19">
          <cell r="A19">
            <v>1240184</v>
          </cell>
          <cell r="B19">
            <v>431</v>
          </cell>
          <cell r="C19">
            <v>320</v>
          </cell>
          <cell r="D19">
            <v>430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338</v>
          </cell>
          <cell r="K19">
            <v>532</v>
          </cell>
          <cell r="L19">
            <v>760</v>
          </cell>
          <cell r="M19">
            <v>0</v>
          </cell>
          <cell r="N19">
            <v>0</v>
          </cell>
          <cell r="O19">
            <v>258</v>
          </cell>
          <cell r="P19">
            <v>430</v>
          </cell>
          <cell r="Q19">
            <v>139</v>
          </cell>
          <cell r="R19">
            <v>386</v>
          </cell>
          <cell r="S19">
            <v>0</v>
          </cell>
          <cell r="T19">
            <v>0</v>
          </cell>
          <cell r="U19">
            <v>0</v>
          </cell>
          <cell r="W19">
            <v>4024</v>
          </cell>
        </row>
        <row r="20">
          <cell r="A20">
            <v>1240308</v>
          </cell>
          <cell r="B20">
            <v>200</v>
          </cell>
          <cell r="C20">
            <v>200</v>
          </cell>
          <cell r="D20">
            <v>200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200</v>
          </cell>
          <cell r="P20">
            <v>250</v>
          </cell>
          <cell r="Q20">
            <v>0</v>
          </cell>
          <cell r="R20">
            <v>400</v>
          </cell>
          <cell r="S20">
            <v>0</v>
          </cell>
          <cell r="T20">
            <v>0</v>
          </cell>
          <cell r="U20">
            <v>0</v>
          </cell>
          <cell r="W20">
            <v>1450</v>
          </cell>
        </row>
        <row r="21">
          <cell r="A21">
            <v>1241601</v>
          </cell>
          <cell r="B21">
            <v>1210</v>
          </cell>
          <cell r="C21">
            <v>1382</v>
          </cell>
          <cell r="D21">
            <v>2198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964</v>
          </cell>
          <cell r="K21">
            <v>1644</v>
          </cell>
          <cell r="L21">
            <v>838</v>
          </cell>
          <cell r="M21">
            <v>0</v>
          </cell>
          <cell r="N21">
            <v>0</v>
          </cell>
          <cell r="O21">
            <v>690</v>
          </cell>
          <cell r="P21">
            <v>1600</v>
          </cell>
          <cell r="Q21">
            <v>678</v>
          </cell>
          <cell r="R21">
            <v>1808</v>
          </cell>
          <cell r="S21">
            <v>2062</v>
          </cell>
          <cell r="T21">
            <v>0</v>
          </cell>
          <cell r="U21">
            <v>0</v>
          </cell>
          <cell r="W21">
            <v>15074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400</v>
          </cell>
          <cell r="H2">
            <v>400</v>
          </cell>
          <cell r="I2">
            <v>260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T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400</v>
          </cell>
          <cell r="H3">
            <v>400</v>
          </cell>
          <cell r="I3">
            <v>260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T3">
            <v>1060</v>
          </cell>
        </row>
        <row r="4">
          <cell r="A4">
            <v>1229673</v>
          </cell>
          <cell r="B4">
            <v>218</v>
          </cell>
          <cell r="C4">
            <v>0</v>
          </cell>
          <cell r="D4">
            <v>0</v>
          </cell>
          <cell r="E4">
            <v>200</v>
          </cell>
          <cell r="F4">
            <v>200</v>
          </cell>
          <cell r="G4">
            <v>200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200</v>
          </cell>
          <cell r="M4">
            <v>200</v>
          </cell>
          <cell r="N4">
            <v>0</v>
          </cell>
          <cell r="O4">
            <v>300</v>
          </cell>
          <cell r="P4">
            <v>300</v>
          </cell>
          <cell r="Q4">
            <v>0</v>
          </cell>
          <cell r="R4">
            <v>0</v>
          </cell>
          <cell r="T4">
            <v>1818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T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300</v>
          </cell>
          <cell r="J6">
            <v>0</v>
          </cell>
          <cell r="K6">
            <v>0</v>
          </cell>
          <cell r="L6">
            <v>782</v>
          </cell>
          <cell r="M6">
            <v>50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T6">
            <v>1132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300</v>
          </cell>
          <cell r="J7">
            <v>0</v>
          </cell>
          <cell r="K7">
            <v>0</v>
          </cell>
          <cell r="L7">
            <v>782</v>
          </cell>
          <cell r="M7">
            <v>50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T7">
            <v>1132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300</v>
          </cell>
          <cell r="J8">
            <v>0</v>
          </cell>
          <cell r="K8">
            <v>0</v>
          </cell>
          <cell r="L8">
            <v>782</v>
          </cell>
          <cell r="M8">
            <v>50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T8">
            <v>1132</v>
          </cell>
        </row>
        <row r="9">
          <cell r="A9">
            <v>1233877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150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150</v>
          </cell>
        </row>
        <row r="10">
          <cell r="A10">
            <v>1235623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24</v>
          </cell>
          <cell r="P10">
            <v>912</v>
          </cell>
          <cell r="Q10">
            <v>0</v>
          </cell>
          <cell r="R10">
            <v>0</v>
          </cell>
          <cell r="T10">
            <v>936</v>
          </cell>
        </row>
        <row r="11">
          <cell r="A11">
            <v>1237088</v>
          </cell>
          <cell r="B11">
            <v>586</v>
          </cell>
          <cell r="C11">
            <v>0</v>
          </cell>
          <cell r="D11">
            <v>0</v>
          </cell>
          <cell r="E11">
            <v>0</v>
          </cell>
          <cell r="F11">
            <v>552</v>
          </cell>
          <cell r="G11">
            <v>404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866</v>
          </cell>
          <cell r="M11">
            <v>826</v>
          </cell>
          <cell r="N11">
            <v>406</v>
          </cell>
          <cell r="O11">
            <v>706</v>
          </cell>
          <cell r="P11">
            <v>550</v>
          </cell>
          <cell r="Q11">
            <v>0</v>
          </cell>
          <cell r="R11">
            <v>0</v>
          </cell>
          <cell r="T11">
            <v>4896</v>
          </cell>
        </row>
        <row r="12">
          <cell r="A12">
            <v>1231898</v>
          </cell>
          <cell r="B12">
            <v>0</v>
          </cell>
          <cell r="C12">
            <v>0</v>
          </cell>
          <cell r="D12">
            <v>0</v>
          </cell>
          <cell r="E12">
            <v>230</v>
          </cell>
          <cell r="F12">
            <v>250</v>
          </cell>
          <cell r="G12">
            <v>240</v>
          </cell>
          <cell r="H12">
            <v>0</v>
          </cell>
          <cell r="I12">
            <v>384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T12">
            <v>1104</v>
          </cell>
        </row>
        <row r="13">
          <cell r="A13">
            <v>1237586</v>
          </cell>
          <cell r="B13">
            <v>0</v>
          </cell>
          <cell r="C13">
            <v>0</v>
          </cell>
          <cell r="D13">
            <v>0</v>
          </cell>
          <cell r="E13">
            <v>230</v>
          </cell>
          <cell r="F13">
            <v>250</v>
          </cell>
          <cell r="G13">
            <v>240</v>
          </cell>
          <cell r="H13">
            <v>0</v>
          </cell>
          <cell r="I13">
            <v>384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1104</v>
          </cell>
        </row>
        <row r="14">
          <cell r="A14">
            <v>1236091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250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250</v>
          </cell>
        </row>
        <row r="15">
          <cell r="A15">
            <v>1234905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514</v>
          </cell>
          <cell r="M15">
            <v>512</v>
          </cell>
          <cell r="N15">
            <v>334</v>
          </cell>
          <cell r="O15">
            <v>426</v>
          </cell>
          <cell r="P15">
            <v>426</v>
          </cell>
          <cell r="Q15">
            <v>0</v>
          </cell>
          <cell r="R15">
            <v>0</v>
          </cell>
          <cell r="T15">
            <v>2212</v>
          </cell>
        </row>
        <row r="16">
          <cell r="A16">
            <v>1238128</v>
          </cell>
          <cell r="B16">
            <v>350</v>
          </cell>
          <cell r="C16">
            <v>0</v>
          </cell>
          <cell r="D16">
            <v>0</v>
          </cell>
          <cell r="E16">
            <v>352</v>
          </cell>
          <cell r="F16">
            <v>590</v>
          </cell>
          <cell r="G16">
            <v>464</v>
          </cell>
          <cell r="H16">
            <v>258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2014</v>
          </cell>
        </row>
        <row r="17">
          <cell r="A17">
            <v>1237748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126</v>
          </cell>
          <cell r="O17">
            <v>810</v>
          </cell>
          <cell r="P17">
            <v>0</v>
          </cell>
          <cell r="Q17">
            <v>0</v>
          </cell>
          <cell r="R17">
            <v>0</v>
          </cell>
          <cell r="T17">
            <v>936</v>
          </cell>
        </row>
        <row r="18">
          <cell r="A18">
            <v>1236962</v>
          </cell>
          <cell r="B18">
            <v>224</v>
          </cell>
          <cell r="C18">
            <v>0</v>
          </cell>
          <cell r="D18">
            <v>0</v>
          </cell>
          <cell r="E18">
            <v>200</v>
          </cell>
          <cell r="F18">
            <v>0</v>
          </cell>
          <cell r="G18">
            <v>0</v>
          </cell>
          <cell r="H18">
            <v>124</v>
          </cell>
          <cell r="I18">
            <v>150</v>
          </cell>
          <cell r="J18">
            <v>0</v>
          </cell>
          <cell r="K18">
            <v>0</v>
          </cell>
          <cell r="L18">
            <v>0</v>
          </cell>
          <cell r="M18">
            <v>200</v>
          </cell>
          <cell r="N18">
            <v>222</v>
          </cell>
          <cell r="O18">
            <v>200</v>
          </cell>
          <cell r="P18">
            <v>200</v>
          </cell>
          <cell r="Q18">
            <v>0</v>
          </cell>
          <cell r="R18">
            <v>0</v>
          </cell>
          <cell r="T18">
            <v>1520</v>
          </cell>
        </row>
        <row r="19">
          <cell r="A19">
            <v>1233761</v>
          </cell>
          <cell r="B19">
            <v>0</v>
          </cell>
          <cell r="C19">
            <v>0</v>
          </cell>
          <cell r="D19">
            <v>0</v>
          </cell>
          <cell r="E19">
            <v>150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200</v>
          </cell>
          <cell r="P19">
            <v>0</v>
          </cell>
          <cell r="Q19">
            <v>0</v>
          </cell>
          <cell r="R19">
            <v>0</v>
          </cell>
          <cell r="T19">
            <v>350</v>
          </cell>
        </row>
        <row r="20">
          <cell r="A20">
            <v>1239651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400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250</v>
          </cell>
          <cell r="O20">
            <v>0</v>
          </cell>
          <cell r="P20">
            <v>350</v>
          </cell>
          <cell r="Q20">
            <v>0</v>
          </cell>
          <cell r="R20">
            <v>0</v>
          </cell>
          <cell r="T20">
            <v>1000</v>
          </cell>
        </row>
        <row r="21">
          <cell r="A21">
            <v>1240180</v>
          </cell>
          <cell r="B21">
            <v>796</v>
          </cell>
          <cell r="C21">
            <v>0</v>
          </cell>
          <cell r="D21">
            <v>0</v>
          </cell>
          <cell r="E21">
            <v>384</v>
          </cell>
          <cell r="F21">
            <v>430</v>
          </cell>
          <cell r="G21">
            <v>339</v>
          </cell>
          <cell r="H21">
            <v>430</v>
          </cell>
          <cell r="I21">
            <v>430</v>
          </cell>
          <cell r="J21">
            <v>0</v>
          </cell>
          <cell r="K21">
            <v>0</v>
          </cell>
          <cell r="L21">
            <v>50</v>
          </cell>
          <cell r="M21">
            <v>334</v>
          </cell>
          <cell r="N21">
            <v>338</v>
          </cell>
          <cell r="O21">
            <v>430</v>
          </cell>
          <cell r="P21">
            <v>430</v>
          </cell>
          <cell r="Q21">
            <v>0</v>
          </cell>
          <cell r="R21">
            <v>0</v>
          </cell>
          <cell r="T21">
            <v>4391</v>
          </cell>
        </row>
        <row r="22">
          <cell r="A22">
            <v>1240184</v>
          </cell>
          <cell r="B22">
            <v>760</v>
          </cell>
          <cell r="C22">
            <v>0</v>
          </cell>
          <cell r="D22">
            <v>0</v>
          </cell>
          <cell r="E22">
            <v>258</v>
          </cell>
          <cell r="F22">
            <v>430</v>
          </cell>
          <cell r="G22">
            <v>139</v>
          </cell>
          <cell r="H22">
            <v>386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134</v>
          </cell>
          <cell r="N22">
            <v>338</v>
          </cell>
          <cell r="O22">
            <v>430</v>
          </cell>
          <cell r="P22">
            <v>430</v>
          </cell>
          <cell r="Q22">
            <v>0</v>
          </cell>
          <cell r="R22">
            <v>0</v>
          </cell>
          <cell r="T22">
            <v>3305</v>
          </cell>
        </row>
        <row r="23">
          <cell r="A23">
            <v>1240308</v>
          </cell>
          <cell r="B23">
            <v>0</v>
          </cell>
          <cell r="C23">
            <v>0</v>
          </cell>
          <cell r="D23">
            <v>0</v>
          </cell>
          <cell r="E23">
            <v>200</v>
          </cell>
          <cell r="F23">
            <v>250</v>
          </cell>
          <cell r="G23">
            <v>184</v>
          </cell>
          <cell r="H23">
            <v>152</v>
          </cell>
          <cell r="I23">
            <v>266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300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1352</v>
          </cell>
        </row>
        <row r="24">
          <cell r="A24">
            <v>1241601</v>
          </cell>
          <cell r="B24">
            <v>838</v>
          </cell>
          <cell r="C24">
            <v>0</v>
          </cell>
          <cell r="D24">
            <v>0</v>
          </cell>
          <cell r="E24">
            <v>690</v>
          </cell>
          <cell r="F24">
            <v>1600</v>
          </cell>
          <cell r="G24">
            <v>678</v>
          </cell>
          <cell r="H24">
            <v>1808</v>
          </cell>
          <cell r="I24">
            <v>2062</v>
          </cell>
          <cell r="J24">
            <v>0</v>
          </cell>
          <cell r="K24">
            <v>0</v>
          </cell>
          <cell r="L24">
            <v>1272</v>
          </cell>
          <cell r="M24">
            <v>800</v>
          </cell>
          <cell r="N24">
            <v>600</v>
          </cell>
          <cell r="O24">
            <v>0</v>
          </cell>
          <cell r="P24">
            <v>750</v>
          </cell>
          <cell r="Q24">
            <v>0</v>
          </cell>
          <cell r="R24">
            <v>0</v>
          </cell>
          <cell r="T24">
            <v>11098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400</v>
          </cell>
          <cell r="C2">
            <v>400</v>
          </cell>
          <cell r="D2">
            <v>260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V2">
            <v>1060</v>
          </cell>
        </row>
        <row r="3">
          <cell r="A3">
            <v>1226388</v>
          </cell>
          <cell r="B3">
            <v>400</v>
          </cell>
          <cell r="C3">
            <v>400</v>
          </cell>
          <cell r="D3">
            <v>260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V3">
            <v>1060</v>
          </cell>
        </row>
        <row r="4">
          <cell r="A4">
            <v>1229673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400</v>
          </cell>
          <cell r="H4">
            <v>0</v>
          </cell>
          <cell r="I4">
            <v>0</v>
          </cell>
          <cell r="J4">
            <v>300</v>
          </cell>
          <cell r="K4">
            <v>300</v>
          </cell>
          <cell r="L4">
            <v>0</v>
          </cell>
          <cell r="M4">
            <v>0</v>
          </cell>
          <cell r="N4">
            <v>0</v>
          </cell>
          <cell r="O4">
            <v>250</v>
          </cell>
          <cell r="P4">
            <v>270</v>
          </cell>
          <cell r="Q4">
            <v>250</v>
          </cell>
          <cell r="R4">
            <v>0</v>
          </cell>
          <cell r="S4">
            <v>0</v>
          </cell>
          <cell r="T4">
            <v>0</v>
          </cell>
          <cell r="V4">
            <v>1970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100</v>
          </cell>
          <cell r="R5">
            <v>0</v>
          </cell>
          <cell r="S5">
            <v>0</v>
          </cell>
          <cell r="T5">
            <v>0</v>
          </cell>
          <cell r="V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300</v>
          </cell>
          <cell r="E6">
            <v>0</v>
          </cell>
          <cell r="F6">
            <v>0</v>
          </cell>
          <cell r="G6">
            <v>782</v>
          </cell>
          <cell r="H6">
            <v>50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458</v>
          </cell>
          <cell r="Q6">
            <v>54</v>
          </cell>
          <cell r="R6">
            <v>0</v>
          </cell>
          <cell r="S6">
            <v>0</v>
          </cell>
          <cell r="T6">
            <v>0</v>
          </cell>
          <cell r="V6">
            <v>1644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300</v>
          </cell>
          <cell r="E7">
            <v>0</v>
          </cell>
          <cell r="F7">
            <v>0</v>
          </cell>
          <cell r="G7">
            <v>782</v>
          </cell>
          <cell r="H7">
            <v>50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458</v>
          </cell>
          <cell r="Q7">
            <v>54</v>
          </cell>
          <cell r="R7">
            <v>0</v>
          </cell>
          <cell r="S7">
            <v>0</v>
          </cell>
          <cell r="T7">
            <v>0</v>
          </cell>
          <cell r="V7">
            <v>1644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300</v>
          </cell>
          <cell r="E8">
            <v>0</v>
          </cell>
          <cell r="F8">
            <v>0</v>
          </cell>
          <cell r="G8">
            <v>782</v>
          </cell>
          <cell r="H8">
            <v>50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458</v>
          </cell>
          <cell r="Q8">
            <v>54</v>
          </cell>
          <cell r="R8">
            <v>0</v>
          </cell>
          <cell r="S8">
            <v>0</v>
          </cell>
          <cell r="T8">
            <v>0</v>
          </cell>
          <cell r="V8">
            <v>1644</v>
          </cell>
        </row>
        <row r="9">
          <cell r="A9">
            <v>1233877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150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150</v>
          </cell>
        </row>
        <row r="10">
          <cell r="A10">
            <v>1235623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912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936</v>
          </cell>
        </row>
        <row r="11">
          <cell r="A11">
            <v>1237088</v>
          </cell>
          <cell r="B11">
            <v>404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1094</v>
          </cell>
          <cell r="H11">
            <v>560</v>
          </cell>
          <cell r="I11">
            <v>134</v>
          </cell>
          <cell r="J11">
            <v>552</v>
          </cell>
          <cell r="K11">
            <v>550</v>
          </cell>
          <cell r="L11">
            <v>0</v>
          </cell>
          <cell r="M11">
            <v>0</v>
          </cell>
          <cell r="N11">
            <v>0</v>
          </cell>
          <cell r="O11">
            <v>612</v>
          </cell>
          <cell r="P11">
            <v>660</v>
          </cell>
          <cell r="Q11">
            <v>1072</v>
          </cell>
          <cell r="R11">
            <v>0</v>
          </cell>
          <cell r="S11">
            <v>0</v>
          </cell>
          <cell r="T11">
            <v>0</v>
          </cell>
          <cell r="V11">
            <v>5638</v>
          </cell>
        </row>
        <row r="12">
          <cell r="A12">
            <v>1231898</v>
          </cell>
          <cell r="B12">
            <v>240</v>
          </cell>
          <cell r="C12">
            <v>0</v>
          </cell>
          <cell r="D12">
            <v>384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248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872</v>
          </cell>
        </row>
        <row r="13">
          <cell r="A13">
            <v>1237586</v>
          </cell>
          <cell r="B13">
            <v>240</v>
          </cell>
          <cell r="C13">
            <v>0</v>
          </cell>
          <cell r="D13">
            <v>384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248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872</v>
          </cell>
        </row>
        <row r="14">
          <cell r="A14">
            <v>1236091</v>
          </cell>
          <cell r="B14">
            <v>0</v>
          </cell>
          <cell r="C14">
            <v>250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250</v>
          </cell>
        </row>
        <row r="15">
          <cell r="A15">
            <v>1234905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514</v>
          </cell>
          <cell r="H15">
            <v>512</v>
          </cell>
          <cell r="I15">
            <v>334</v>
          </cell>
          <cell r="J15">
            <v>426</v>
          </cell>
          <cell r="K15">
            <v>626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2412</v>
          </cell>
        </row>
        <row r="16">
          <cell r="A16">
            <v>1238128</v>
          </cell>
          <cell r="B16">
            <v>464</v>
          </cell>
          <cell r="C16">
            <v>258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468</v>
          </cell>
          <cell r="L16">
            <v>0</v>
          </cell>
          <cell r="M16">
            <v>0</v>
          </cell>
          <cell r="N16">
            <v>0</v>
          </cell>
          <cell r="O16">
            <v>1028</v>
          </cell>
          <cell r="P16">
            <v>488</v>
          </cell>
          <cell r="Q16">
            <v>892</v>
          </cell>
          <cell r="R16">
            <v>0</v>
          </cell>
          <cell r="S16">
            <v>0</v>
          </cell>
          <cell r="T16">
            <v>0</v>
          </cell>
          <cell r="V16">
            <v>3598</v>
          </cell>
        </row>
        <row r="17">
          <cell r="A17">
            <v>1237748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126</v>
          </cell>
          <cell r="J17">
            <v>810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936</v>
          </cell>
        </row>
        <row r="18">
          <cell r="A18">
            <v>1236962</v>
          </cell>
          <cell r="B18">
            <v>0</v>
          </cell>
          <cell r="C18">
            <v>124</v>
          </cell>
          <cell r="D18">
            <v>150</v>
          </cell>
          <cell r="E18">
            <v>0</v>
          </cell>
          <cell r="F18">
            <v>0</v>
          </cell>
          <cell r="G18">
            <v>0</v>
          </cell>
          <cell r="H18">
            <v>200</v>
          </cell>
          <cell r="I18">
            <v>222</v>
          </cell>
          <cell r="J18">
            <v>200</v>
          </cell>
          <cell r="K18">
            <v>200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1096</v>
          </cell>
        </row>
        <row r="19">
          <cell r="A19">
            <v>1233761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100</v>
          </cell>
          <cell r="R19">
            <v>0</v>
          </cell>
          <cell r="S19">
            <v>0</v>
          </cell>
          <cell r="T19">
            <v>0</v>
          </cell>
          <cell r="V19">
            <v>100</v>
          </cell>
        </row>
        <row r="20">
          <cell r="A20">
            <v>1239651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250</v>
          </cell>
          <cell r="J20">
            <v>0</v>
          </cell>
          <cell r="K20">
            <v>350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600</v>
          </cell>
        </row>
        <row r="21">
          <cell r="A21">
            <v>1240180</v>
          </cell>
          <cell r="B21">
            <v>339</v>
          </cell>
          <cell r="C21">
            <v>430</v>
          </cell>
          <cell r="D21">
            <v>430</v>
          </cell>
          <cell r="E21">
            <v>0</v>
          </cell>
          <cell r="F21">
            <v>0</v>
          </cell>
          <cell r="G21">
            <v>50</v>
          </cell>
          <cell r="H21">
            <v>334</v>
          </cell>
          <cell r="I21">
            <v>338</v>
          </cell>
          <cell r="J21">
            <v>430</v>
          </cell>
          <cell r="K21">
            <v>548</v>
          </cell>
          <cell r="L21">
            <v>0</v>
          </cell>
          <cell r="M21">
            <v>0</v>
          </cell>
          <cell r="N21">
            <v>0</v>
          </cell>
          <cell r="O21">
            <v>460</v>
          </cell>
          <cell r="P21">
            <v>172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3531</v>
          </cell>
        </row>
        <row r="22">
          <cell r="A22">
            <v>1240184</v>
          </cell>
          <cell r="B22">
            <v>139</v>
          </cell>
          <cell r="C22">
            <v>386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134</v>
          </cell>
          <cell r="I22">
            <v>338</v>
          </cell>
          <cell r="J22">
            <v>430</v>
          </cell>
          <cell r="K22">
            <v>548</v>
          </cell>
          <cell r="L22">
            <v>0</v>
          </cell>
          <cell r="M22">
            <v>0</v>
          </cell>
          <cell r="N22">
            <v>0</v>
          </cell>
          <cell r="O22">
            <v>460</v>
          </cell>
          <cell r="P22">
            <v>172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2607</v>
          </cell>
        </row>
        <row r="23">
          <cell r="A23">
            <v>1240308</v>
          </cell>
          <cell r="B23">
            <v>184</v>
          </cell>
          <cell r="C23">
            <v>152</v>
          </cell>
          <cell r="D23">
            <v>266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300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902</v>
          </cell>
        </row>
        <row r="24">
          <cell r="A24">
            <v>1241601</v>
          </cell>
          <cell r="B24">
            <v>678</v>
          </cell>
          <cell r="C24">
            <v>1808</v>
          </cell>
          <cell r="D24">
            <v>2062</v>
          </cell>
          <cell r="E24">
            <v>0</v>
          </cell>
          <cell r="F24">
            <v>0</v>
          </cell>
          <cell r="G24">
            <v>1272</v>
          </cell>
          <cell r="H24">
            <v>800</v>
          </cell>
          <cell r="I24">
            <v>600</v>
          </cell>
          <cell r="J24">
            <v>0</v>
          </cell>
          <cell r="K24">
            <v>1246</v>
          </cell>
          <cell r="L24">
            <v>0</v>
          </cell>
          <cell r="M24">
            <v>0</v>
          </cell>
          <cell r="N24">
            <v>0</v>
          </cell>
          <cell r="O24">
            <v>700</v>
          </cell>
          <cell r="P24">
            <v>788</v>
          </cell>
          <cell r="Q24">
            <v>694</v>
          </cell>
          <cell r="R24">
            <v>0</v>
          </cell>
          <cell r="S24">
            <v>0</v>
          </cell>
          <cell r="T24">
            <v>0</v>
          </cell>
          <cell r="V24">
            <v>10648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160</v>
          </cell>
          <cell r="P2">
            <v>350</v>
          </cell>
          <cell r="Q2">
            <v>0</v>
          </cell>
          <cell r="R2">
            <v>250</v>
          </cell>
          <cell r="S2">
            <v>300</v>
          </cell>
          <cell r="T2">
            <v>0</v>
          </cell>
          <cell r="U2">
            <v>0</v>
          </cell>
          <cell r="X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160</v>
          </cell>
          <cell r="P3">
            <v>350</v>
          </cell>
          <cell r="Q3">
            <v>0</v>
          </cell>
          <cell r="R3">
            <v>250</v>
          </cell>
          <cell r="S3">
            <v>300</v>
          </cell>
          <cell r="T3">
            <v>0</v>
          </cell>
          <cell r="U3">
            <v>0</v>
          </cell>
          <cell r="X3">
            <v>1060</v>
          </cell>
        </row>
        <row r="4">
          <cell r="A4">
            <v>1229673</v>
          </cell>
          <cell r="B4">
            <v>0</v>
          </cell>
          <cell r="C4">
            <v>0</v>
          </cell>
          <cell r="D4">
            <v>300</v>
          </cell>
          <cell r="E4">
            <v>300</v>
          </cell>
          <cell r="F4">
            <v>0</v>
          </cell>
          <cell r="G4">
            <v>0</v>
          </cell>
          <cell r="H4">
            <v>0</v>
          </cell>
          <cell r="I4">
            <v>300</v>
          </cell>
          <cell r="J4">
            <v>300</v>
          </cell>
          <cell r="K4">
            <v>300</v>
          </cell>
          <cell r="L4">
            <v>0</v>
          </cell>
          <cell r="M4">
            <v>0</v>
          </cell>
          <cell r="N4">
            <v>0</v>
          </cell>
          <cell r="O4">
            <v>190</v>
          </cell>
          <cell r="P4">
            <v>110</v>
          </cell>
          <cell r="Q4">
            <v>0</v>
          </cell>
          <cell r="R4">
            <v>200</v>
          </cell>
          <cell r="S4">
            <v>0</v>
          </cell>
          <cell r="T4">
            <v>0</v>
          </cell>
          <cell r="U4">
            <v>0</v>
          </cell>
          <cell r="X4">
            <v>2000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50</v>
          </cell>
          <cell r="J5">
            <v>50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X5">
            <v>100</v>
          </cell>
        </row>
        <row r="6">
          <cell r="A6">
            <v>1233492</v>
          </cell>
          <cell r="B6">
            <v>50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290</v>
          </cell>
          <cell r="K6">
            <v>222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X6">
            <v>562</v>
          </cell>
        </row>
        <row r="7">
          <cell r="A7">
            <v>1233498</v>
          </cell>
          <cell r="B7">
            <v>50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290</v>
          </cell>
          <cell r="K7">
            <v>222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X7">
            <v>562</v>
          </cell>
        </row>
        <row r="8">
          <cell r="A8">
            <v>1233623</v>
          </cell>
          <cell r="B8">
            <v>50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290</v>
          </cell>
          <cell r="K8">
            <v>222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X8">
            <v>562</v>
          </cell>
        </row>
        <row r="9">
          <cell r="A9">
            <v>1233877</v>
          </cell>
          <cell r="B9">
            <v>0</v>
          </cell>
          <cell r="C9">
            <v>150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X9">
            <v>150</v>
          </cell>
        </row>
        <row r="10">
          <cell r="A10">
            <v>1235623</v>
          </cell>
          <cell r="B10">
            <v>0</v>
          </cell>
          <cell r="C10">
            <v>0</v>
          </cell>
          <cell r="D10">
            <v>118</v>
          </cell>
          <cell r="E10">
            <v>818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X10">
            <v>936</v>
          </cell>
        </row>
        <row r="11">
          <cell r="A11">
            <v>1237088</v>
          </cell>
          <cell r="B11">
            <v>560</v>
          </cell>
          <cell r="C11">
            <v>414</v>
          </cell>
          <cell r="D11">
            <v>552</v>
          </cell>
          <cell r="E11">
            <v>338</v>
          </cell>
          <cell r="F11">
            <v>0</v>
          </cell>
          <cell r="G11">
            <v>0</v>
          </cell>
          <cell r="H11">
            <v>0</v>
          </cell>
          <cell r="I11">
            <v>612</v>
          </cell>
          <cell r="J11">
            <v>660</v>
          </cell>
          <cell r="K11">
            <v>1360</v>
          </cell>
          <cell r="L11">
            <v>0</v>
          </cell>
          <cell r="M11">
            <v>0</v>
          </cell>
          <cell r="N11">
            <v>0</v>
          </cell>
          <cell r="O11">
            <v>200</v>
          </cell>
          <cell r="P11">
            <v>762</v>
          </cell>
          <cell r="Q11">
            <v>0</v>
          </cell>
          <cell r="R11">
            <v>716</v>
          </cell>
          <cell r="S11">
            <v>866</v>
          </cell>
          <cell r="T11">
            <v>0</v>
          </cell>
          <cell r="U11">
            <v>0</v>
          </cell>
          <cell r="X11">
            <v>7040</v>
          </cell>
        </row>
        <row r="12">
          <cell r="A12">
            <v>1237748</v>
          </cell>
          <cell r="B12">
            <v>0</v>
          </cell>
          <cell r="C12">
            <v>208</v>
          </cell>
          <cell r="D12">
            <v>728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630</v>
          </cell>
          <cell r="P12">
            <v>840</v>
          </cell>
          <cell r="Q12">
            <v>0</v>
          </cell>
          <cell r="R12">
            <v>90</v>
          </cell>
          <cell r="S12">
            <v>0</v>
          </cell>
          <cell r="T12">
            <v>0</v>
          </cell>
          <cell r="U12">
            <v>0</v>
          </cell>
          <cell r="X12">
            <v>2496</v>
          </cell>
        </row>
        <row r="13">
          <cell r="A13">
            <v>1231898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612</v>
          </cell>
          <cell r="J13">
            <v>380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X13">
            <v>992</v>
          </cell>
        </row>
        <row r="14">
          <cell r="A14">
            <v>1237586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612</v>
          </cell>
          <cell r="J14">
            <v>380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X14">
            <v>992</v>
          </cell>
        </row>
        <row r="15">
          <cell r="A15">
            <v>1234905</v>
          </cell>
          <cell r="B15">
            <v>512</v>
          </cell>
          <cell r="C15">
            <v>334</v>
          </cell>
          <cell r="D15">
            <v>426</v>
          </cell>
          <cell r="E15">
            <v>626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X15">
            <v>1898</v>
          </cell>
        </row>
        <row r="16">
          <cell r="A16">
            <v>1238128</v>
          </cell>
          <cell r="B16">
            <v>0</v>
          </cell>
          <cell r="C16">
            <v>0</v>
          </cell>
          <cell r="D16">
            <v>0</v>
          </cell>
          <cell r="E16">
            <v>526</v>
          </cell>
          <cell r="F16">
            <v>0</v>
          </cell>
          <cell r="G16">
            <v>0</v>
          </cell>
          <cell r="H16">
            <v>0</v>
          </cell>
          <cell r="I16">
            <v>986</v>
          </cell>
          <cell r="J16">
            <v>526</v>
          </cell>
          <cell r="K16">
            <v>432</v>
          </cell>
          <cell r="L16">
            <v>0</v>
          </cell>
          <cell r="M16">
            <v>0</v>
          </cell>
          <cell r="N16">
            <v>0</v>
          </cell>
          <cell r="O16">
            <v>1180</v>
          </cell>
          <cell r="P16">
            <v>1180</v>
          </cell>
          <cell r="Q16">
            <v>0</v>
          </cell>
          <cell r="R16">
            <v>1684</v>
          </cell>
          <cell r="S16">
            <v>2940</v>
          </cell>
          <cell r="T16">
            <v>0</v>
          </cell>
          <cell r="U16">
            <v>0</v>
          </cell>
          <cell r="X16">
            <v>9454</v>
          </cell>
        </row>
        <row r="17">
          <cell r="A17">
            <v>1236962</v>
          </cell>
          <cell r="B17">
            <v>200</v>
          </cell>
          <cell r="C17">
            <v>422</v>
          </cell>
          <cell r="D17">
            <v>200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X17">
            <v>822</v>
          </cell>
        </row>
        <row r="18">
          <cell r="A18">
            <v>1233761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X18">
            <v>100</v>
          </cell>
        </row>
        <row r="19">
          <cell r="A19">
            <v>1239651</v>
          </cell>
          <cell r="B19">
            <v>0</v>
          </cell>
          <cell r="C19">
            <v>250</v>
          </cell>
          <cell r="D19">
            <v>0</v>
          </cell>
          <cell r="E19">
            <v>350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300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X19">
            <v>900</v>
          </cell>
        </row>
        <row r="20">
          <cell r="A20">
            <v>1240180</v>
          </cell>
          <cell r="B20">
            <v>334</v>
          </cell>
          <cell r="C20">
            <v>338</v>
          </cell>
          <cell r="D20">
            <v>430</v>
          </cell>
          <cell r="E20">
            <v>548</v>
          </cell>
          <cell r="F20">
            <v>0</v>
          </cell>
          <cell r="G20">
            <v>0</v>
          </cell>
          <cell r="H20">
            <v>0</v>
          </cell>
          <cell r="I20">
            <v>460</v>
          </cell>
          <cell r="J20">
            <v>172</v>
          </cell>
          <cell r="K20">
            <v>154</v>
          </cell>
          <cell r="L20">
            <v>0</v>
          </cell>
          <cell r="M20">
            <v>0</v>
          </cell>
          <cell r="N20">
            <v>0</v>
          </cell>
          <cell r="O20">
            <v>430</v>
          </cell>
          <cell r="P20">
            <v>430</v>
          </cell>
          <cell r="Q20">
            <v>0</v>
          </cell>
          <cell r="R20">
            <v>430</v>
          </cell>
          <cell r="S20">
            <v>150</v>
          </cell>
          <cell r="T20">
            <v>0</v>
          </cell>
          <cell r="U20">
            <v>0</v>
          </cell>
          <cell r="X20">
            <v>3876</v>
          </cell>
        </row>
        <row r="21">
          <cell r="A21">
            <v>1240184</v>
          </cell>
          <cell r="B21">
            <v>134</v>
          </cell>
          <cell r="C21">
            <v>338</v>
          </cell>
          <cell r="D21">
            <v>430</v>
          </cell>
          <cell r="E21">
            <v>548</v>
          </cell>
          <cell r="F21">
            <v>0</v>
          </cell>
          <cell r="G21">
            <v>0</v>
          </cell>
          <cell r="H21">
            <v>0</v>
          </cell>
          <cell r="I21">
            <v>460</v>
          </cell>
          <cell r="J21">
            <v>172</v>
          </cell>
          <cell r="K21">
            <v>154</v>
          </cell>
          <cell r="L21">
            <v>0</v>
          </cell>
          <cell r="M21">
            <v>0</v>
          </cell>
          <cell r="N21">
            <v>0</v>
          </cell>
          <cell r="O21">
            <v>430</v>
          </cell>
          <cell r="P21">
            <v>430</v>
          </cell>
          <cell r="Q21">
            <v>0</v>
          </cell>
          <cell r="R21">
            <v>430</v>
          </cell>
          <cell r="S21">
            <v>150</v>
          </cell>
          <cell r="T21">
            <v>0</v>
          </cell>
          <cell r="U21">
            <v>0</v>
          </cell>
          <cell r="X21">
            <v>3676</v>
          </cell>
        </row>
        <row r="22">
          <cell r="A22">
            <v>1241601</v>
          </cell>
          <cell r="B22">
            <v>800</v>
          </cell>
          <cell r="C22">
            <v>600</v>
          </cell>
          <cell r="D22">
            <v>0</v>
          </cell>
          <cell r="E22">
            <v>1246</v>
          </cell>
          <cell r="F22">
            <v>0</v>
          </cell>
          <cell r="G22">
            <v>0</v>
          </cell>
          <cell r="H22">
            <v>0</v>
          </cell>
          <cell r="I22">
            <v>700</v>
          </cell>
          <cell r="J22">
            <v>788</v>
          </cell>
          <cell r="K22">
            <v>658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X22">
            <v>4792</v>
          </cell>
        </row>
        <row r="23">
          <cell r="A23">
            <v>1240308</v>
          </cell>
          <cell r="B23">
            <v>0</v>
          </cell>
          <cell r="C23">
            <v>0</v>
          </cell>
          <cell r="D23">
            <v>300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X23">
            <v>300</v>
          </cell>
        </row>
        <row r="24">
          <cell r="A24">
            <v>1242242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52</v>
          </cell>
          <cell r="T24">
            <v>0</v>
          </cell>
          <cell r="U24">
            <v>0</v>
          </cell>
          <cell r="X24">
            <v>52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160</v>
          </cell>
          <cell r="O2">
            <v>350</v>
          </cell>
          <cell r="P2">
            <v>0</v>
          </cell>
          <cell r="Q2">
            <v>250</v>
          </cell>
          <cell r="R2">
            <v>300</v>
          </cell>
          <cell r="S2">
            <v>0</v>
          </cell>
          <cell r="T2">
            <v>0</v>
          </cell>
          <cell r="V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160</v>
          </cell>
          <cell r="O3">
            <v>350</v>
          </cell>
          <cell r="P3">
            <v>0</v>
          </cell>
          <cell r="Q3">
            <v>250</v>
          </cell>
          <cell r="R3">
            <v>300</v>
          </cell>
          <cell r="S3">
            <v>0</v>
          </cell>
          <cell r="T3">
            <v>0</v>
          </cell>
          <cell r="V3">
            <v>1060</v>
          </cell>
        </row>
        <row r="4">
          <cell r="A4">
            <v>1229673</v>
          </cell>
          <cell r="B4">
            <v>0</v>
          </cell>
          <cell r="C4">
            <v>300</v>
          </cell>
          <cell r="D4">
            <v>300</v>
          </cell>
          <cell r="E4">
            <v>0</v>
          </cell>
          <cell r="F4">
            <v>0</v>
          </cell>
          <cell r="G4">
            <v>0</v>
          </cell>
          <cell r="H4">
            <v>300</v>
          </cell>
          <cell r="I4">
            <v>300</v>
          </cell>
          <cell r="J4">
            <v>300</v>
          </cell>
          <cell r="K4">
            <v>0</v>
          </cell>
          <cell r="L4">
            <v>0</v>
          </cell>
          <cell r="M4">
            <v>0</v>
          </cell>
          <cell r="N4">
            <v>190</v>
          </cell>
          <cell r="O4">
            <v>110</v>
          </cell>
          <cell r="P4">
            <v>0</v>
          </cell>
          <cell r="Q4">
            <v>200</v>
          </cell>
          <cell r="R4">
            <v>0</v>
          </cell>
          <cell r="S4">
            <v>0</v>
          </cell>
          <cell r="T4">
            <v>0</v>
          </cell>
          <cell r="V4">
            <v>2000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50</v>
          </cell>
          <cell r="I5">
            <v>50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290</v>
          </cell>
          <cell r="J6">
            <v>222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512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290</v>
          </cell>
          <cell r="J7">
            <v>222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512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290</v>
          </cell>
          <cell r="J8">
            <v>222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512</v>
          </cell>
        </row>
        <row r="9">
          <cell r="A9">
            <v>1233877</v>
          </cell>
          <cell r="B9">
            <v>150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150</v>
          </cell>
        </row>
        <row r="10">
          <cell r="A10">
            <v>1235623</v>
          </cell>
          <cell r="B10">
            <v>0</v>
          </cell>
          <cell r="C10">
            <v>118</v>
          </cell>
          <cell r="D10">
            <v>818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936</v>
          </cell>
        </row>
        <row r="11">
          <cell r="A11">
            <v>1237088</v>
          </cell>
          <cell r="B11">
            <v>414</v>
          </cell>
          <cell r="C11">
            <v>552</v>
          </cell>
          <cell r="D11">
            <v>338</v>
          </cell>
          <cell r="E11">
            <v>0</v>
          </cell>
          <cell r="F11">
            <v>0</v>
          </cell>
          <cell r="G11">
            <v>0</v>
          </cell>
          <cell r="H11">
            <v>1062</v>
          </cell>
          <cell r="I11">
            <v>762</v>
          </cell>
          <cell r="J11">
            <v>1360</v>
          </cell>
          <cell r="K11">
            <v>0</v>
          </cell>
          <cell r="L11">
            <v>0</v>
          </cell>
          <cell r="M11">
            <v>0</v>
          </cell>
          <cell r="N11">
            <v>200</v>
          </cell>
          <cell r="O11">
            <v>762</v>
          </cell>
          <cell r="P11">
            <v>0</v>
          </cell>
          <cell r="Q11">
            <v>716</v>
          </cell>
          <cell r="R11">
            <v>866</v>
          </cell>
          <cell r="S11">
            <v>0</v>
          </cell>
          <cell r="T11">
            <v>0</v>
          </cell>
          <cell r="V11">
            <v>7032</v>
          </cell>
        </row>
        <row r="12">
          <cell r="A12">
            <v>1237748</v>
          </cell>
          <cell r="B12">
            <v>208</v>
          </cell>
          <cell r="C12">
            <v>728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630</v>
          </cell>
          <cell r="O12">
            <v>840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0</v>
          </cell>
          <cell r="V12">
            <v>2496</v>
          </cell>
        </row>
        <row r="13">
          <cell r="A13">
            <v>1231898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248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248</v>
          </cell>
        </row>
        <row r="14">
          <cell r="A14">
            <v>1237586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248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248</v>
          </cell>
        </row>
        <row r="15">
          <cell r="A15">
            <v>1234905</v>
          </cell>
          <cell r="B15">
            <v>334</v>
          </cell>
          <cell r="C15">
            <v>426</v>
          </cell>
          <cell r="D15">
            <v>626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1386</v>
          </cell>
        </row>
        <row r="16">
          <cell r="A16">
            <v>1238128</v>
          </cell>
          <cell r="B16">
            <v>0</v>
          </cell>
          <cell r="C16">
            <v>0</v>
          </cell>
          <cell r="D16">
            <v>526</v>
          </cell>
          <cell r="E16">
            <v>0</v>
          </cell>
          <cell r="F16">
            <v>0</v>
          </cell>
          <cell r="G16">
            <v>0</v>
          </cell>
          <cell r="H16">
            <v>986</v>
          </cell>
          <cell r="I16">
            <v>526</v>
          </cell>
          <cell r="J16">
            <v>432</v>
          </cell>
          <cell r="K16">
            <v>0</v>
          </cell>
          <cell r="L16">
            <v>0</v>
          </cell>
          <cell r="M16">
            <v>0</v>
          </cell>
          <cell r="N16">
            <v>1690</v>
          </cell>
          <cell r="O16">
            <v>1770</v>
          </cell>
          <cell r="P16">
            <v>0</v>
          </cell>
          <cell r="Q16">
            <v>2274</v>
          </cell>
          <cell r="R16">
            <v>3342</v>
          </cell>
          <cell r="S16">
            <v>0</v>
          </cell>
          <cell r="T16">
            <v>0</v>
          </cell>
          <cell r="V16">
            <v>11546</v>
          </cell>
        </row>
        <row r="17">
          <cell r="A17">
            <v>1236962</v>
          </cell>
          <cell r="B17">
            <v>422</v>
          </cell>
          <cell r="C17">
            <v>200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622</v>
          </cell>
        </row>
        <row r="18">
          <cell r="A18">
            <v>1233761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100</v>
          </cell>
        </row>
        <row r="19">
          <cell r="A19">
            <v>1239651</v>
          </cell>
          <cell r="B19">
            <v>250</v>
          </cell>
          <cell r="C19">
            <v>0</v>
          </cell>
          <cell r="D19">
            <v>350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300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900</v>
          </cell>
        </row>
        <row r="20">
          <cell r="A20">
            <v>1240180</v>
          </cell>
          <cell r="B20">
            <v>338</v>
          </cell>
          <cell r="C20">
            <v>430</v>
          </cell>
          <cell r="D20">
            <v>548</v>
          </cell>
          <cell r="E20">
            <v>0</v>
          </cell>
          <cell r="F20">
            <v>0</v>
          </cell>
          <cell r="G20">
            <v>0</v>
          </cell>
          <cell r="H20">
            <v>460</v>
          </cell>
          <cell r="I20">
            <v>172</v>
          </cell>
          <cell r="J20">
            <v>154</v>
          </cell>
          <cell r="K20">
            <v>0</v>
          </cell>
          <cell r="L20">
            <v>0</v>
          </cell>
          <cell r="M20">
            <v>0</v>
          </cell>
          <cell r="N20">
            <v>50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2152</v>
          </cell>
        </row>
        <row r="21">
          <cell r="A21">
            <v>1240184</v>
          </cell>
          <cell r="B21">
            <v>338</v>
          </cell>
          <cell r="C21">
            <v>430</v>
          </cell>
          <cell r="D21">
            <v>548</v>
          </cell>
          <cell r="E21">
            <v>0</v>
          </cell>
          <cell r="F21">
            <v>0</v>
          </cell>
          <cell r="G21">
            <v>0</v>
          </cell>
          <cell r="H21">
            <v>460</v>
          </cell>
          <cell r="I21">
            <v>172</v>
          </cell>
          <cell r="J21">
            <v>154</v>
          </cell>
          <cell r="K21">
            <v>0</v>
          </cell>
          <cell r="L21">
            <v>0</v>
          </cell>
          <cell r="M21">
            <v>0</v>
          </cell>
          <cell r="N21">
            <v>50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2152</v>
          </cell>
        </row>
        <row r="22">
          <cell r="A22">
            <v>1241601</v>
          </cell>
          <cell r="B22">
            <v>600</v>
          </cell>
          <cell r="C22">
            <v>0</v>
          </cell>
          <cell r="D22">
            <v>1246</v>
          </cell>
          <cell r="E22">
            <v>0</v>
          </cell>
          <cell r="F22">
            <v>0</v>
          </cell>
          <cell r="G22">
            <v>0</v>
          </cell>
          <cell r="H22">
            <v>700</v>
          </cell>
          <cell r="I22">
            <v>788</v>
          </cell>
          <cell r="J22">
            <v>658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3992</v>
          </cell>
        </row>
        <row r="23">
          <cell r="A23">
            <v>1240308</v>
          </cell>
          <cell r="B23">
            <v>0</v>
          </cell>
          <cell r="C23">
            <v>300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300</v>
          </cell>
        </row>
        <row r="24">
          <cell r="A24">
            <v>1242242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52</v>
          </cell>
          <cell r="S24">
            <v>0</v>
          </cell>
          <cell r="T24">
            <v>0</v>
          </cell>
          <cell r="V24">
            <v>52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160</v>
          </cell>
          <cell r="N2">
            <v>350</v>
          </cell>
          <cell r="O2">
            <v>0</v>
          </cell>
          <cell r="P2">
            <v>250</v>
          </cell>
          <cell r="Q2">
            <v>300</v>
          </cell>
          <cell r="R2">
            <v>0</v>
          </cell>
          <cell r="S2">
            <v>0</v>
          </cell>
          <cell r="U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160</v>
          </cell>
          <cell r="N3">
            <v>350</v>
          </cell>
          <cell r="O3">
            <v>0</v>
          </cell>
          <cell r="P3">
            <v>250</v>
          </cell>
          <cell r="Q3">
            <v>300</v>
          </cell>
          <cell r="R3">
            <v>0</v>
          </cell>
          <cell r="S3">
            <v>0</v>
          </cell>
          <cell r="U3">
            <v>1060</v>
          </cell>
        </row>
        <row r="4">
          <cell r="A4">
            <v>1229673</v>
          </cell>
          <cell r="B4">
            <v>300</v>
          </cell>
          <cell r="C4">
            <v>300</v>
          </cell>
          <cell r="D4">
            <v>0</v>
          </cell>
          <cell r="E4">
            <v>0</v>
          </cell>
          <cell r="F4">
            <v>0</v>
          </cell>
          <cell r="G4">
            <v>300</v>
          </cell>
          <cell r="H4">
            <v>300</v>
          </cell>
          <cell r="I4">
            <v>300</v>
          </cell>
          <cell r="J4">
            <v>0</v>
          </cell>
          <cell r="K4">
            <v>0</v>
          </cell>
          <cell r="L4">
            <v>0</v>
          </cell>
          <cell r="M4">
            <v>190</v>
          </cell>
          <cell r="N4">
            <v>110</v>
          </cell>
          <cell r="O4">
            <v>0</v>
          </cell>
          <cell r="P4">
            <v>200</v>
          </cell>
          <cell r="Q4">
            <v>0</v>
          </cell>
          <cell r="R4">
            <v>0</v>
          </cell>
          <cell r="S4">
            <v>0</v>
          </cell>
          <cell r="U4">
            <v>2000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U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312</v>
          </cell>
          <cell r="I6">
            <v>222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534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312</v>
          </cell>
          <cell r="I7">
            <v>222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534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312</v>
          </cell>
          <cell r="I8">
            <v>222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534</v>
          </cell>
        </row>
        <row r="9">
          <cell r="A9">
            <v>1235623</v>
          </cell>
          <cell r="B9">
            <v>118</v>
          </cell>
          <cell r="C9">
            <v>818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936</v>
          </cell>
        </row>
        <row r="10">
          <cell r="A10">
            <v>1237088</v>
          </cell>
          <cell r="B10">
            <v>552</v>
          </cell>
          <cell r="C10">
            <v>338</v>
          </cell>
          <cell r="D10">
            <v>0</v>
          </cell>
          <cell r="E10">
            <v>0</v>
          </cell>
          <cell r="F10">
            <v>0</v>
          </cell>
          <cell r="G10">
            <v>1062</v>
          </cell>
          <cell r="H10">
            <v>942</v>
          </cell>
          <cell r="I10">
            <v>1360</v>
          </cell>
          <cell r="J10">
            <v>0</v>
          </cell>
          <cell r="K10">
            <v>0</v>
          </cell>
          <cell r="L10">
            <v>0</v>
          </cell>
          <cell r="M10">
            <v>472</v>
          </cell>
          <cell r="N10">
            <v>496</v>
          </cell>
          <cell r="O10">
            <v>0</v>
          </cell>
          <cell r="P10">
            <v>716</v>
          </cell>
          <cell r="Q10">
            <v>866</v>
          </cell>
          <cell r="R10">
            <v>0</v>
          </cell>
          <cell r="S10">
            <v>0</v>
          </cell>
          <cell r="U10">
            <v>6804</v>
          </cell>
        </row>
        <row r="11">
          <cell r="A11">
            <v>1237748</v>
          </cell>
          <cell r="B11">
            <v>728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630</v>
          </cell>
          <cell r="N11">
            <v>840</v>
          </cell>
          <cell r="O11">
            <v>0</v>
          </cell>
          <cell r="P11">
            <v>90</v>
          </cell>
          <cell r="Q11">
            <v>0</v>
          </cell>
          <cell r="R11">
            <v>0</v>
          </cell>
          <cell r="S11">
            <v>0</v>
          </cell>
          <cell r="U11">
            <v>2288</v>
          </cell>
        </row>
        <row r="12">
          <cell r="A12">
            <v>1231898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248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248</v>
          </cell>
        </row>
        <row r="13">
          <cell r="A13">
            <v>1237586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248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248</v>
          </cell>
        </row>
        <row r="14">
          <cell r="A14">
            <v>1234905</v>
          </cell>
          <cell r="B14">
            <v>426</v>
          </cell>
          <cell r="C14">
            <v>626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1052</v>
          </cell>
        </row>
        <row r="15">
          <cell r="A15">
            <v>1238128</v>
          </cell>
          <cell r="B15">
            <v>0</v>
          </cell>
          <cell r="C15">
            <v>854</v>
          </cell>
          <cell r="D15">
            <v>0</v>
          </cell>
          <cell r="E15">
            <v>0</v>
          </cell>
          <cell r="F15">
            <v>0</v>
          </cell>
          <cell r="G15">
            <v>790</v>
          </cell>
          <cell r="H15">
            <v>394</v>
          </cell>
          <cell r="I15">
            <v>432</v>
          </cell>
          <cell r="J15">
            <v>0</v>
          </cell>
          <cell r="K15">
            <v>0</v>
          </cell>
          <cell r="L15">
            <v>0</v>
          </cell>
          <cell r="M15">
            <v>1690</v>
          </cell>
          <cell r="N15">
            <v>1770</v>
          </cell>
          <cell r="O15">
            <v>0</v>
          </cell>
          <cell r="P15">
            <v>2120</v>
          </cell>
          <cell r="Q15">
            <v>2526</v>
          </cell>
          <cell r="R15">
            <v>0</v>
          </cell>
          <cell r="S15">
            <v>0</v>
          </cell>
          <cell r="U15">
            <v>10576</v>
          </cell>
        </row>
        <row r="16">
          <cell r="A16">
            <v>1236962</v>
          </cell>
          <cell r="B16">
            <v>200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200</v>
          </cell>
        </row>
        <row r="17">
          <cell r="A17">
            <v>1233761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100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100</v>
          </cell>
        </row>
        <row r="18">
          <cell r="A18">
            <v>1236930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60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>
            <v>60</v>
          </cell>
        </row>
        <row r="19">
          <cell r="A19">
            <v>1239651</v>
          </cell>
          <cell r="B19">
            <v>0</v>
          </cell>
          <cell r="C19">
            <v>350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650</v>
          </cell>
        </row>
        <row r="20">
          <cell r="A20">
            <v>1240180</v>
          </cell>
          <cell r="B20">
            <v>430</v>
          </cell>
          <cell r="C20">
            <v>548</v>
          </cell>
          <cell r="D20">
            <v>0</v>
          </cell>
          <cell r="E20">
            <v>0</v>
          </cell>
          <cell r="F20">
            <v>0</v>
          </cell>
          <cell r="G20">
            <v>460</v>
          </cell>
          <cell r="H20">
            <v>172</v>
          </cell>
          <cell r="I20">
            <v>154</v>
          </cell>
          <cell r="J20">
            <v>0</v>
          </cell>
          <cell r="K20">
            <v>0</v>
          </cell>
          <cell r="L20">
            <v>0</v>
          </cell>
          <cell r="M20">
            <v>50</v>
          </cell>
          <cell r="N20">
            <v>0</v>
          </cell>
          <cell r="O20">
            <v>0</v>
          </cell>
          <cell r="P20">
            <v>92</v>
          </cell>
          <cell r="Q20">
            <v>736</v>
          </cell>
          <cell r="R20">
            <v>0</v>
          </cell>
          <cell r="S20">
            <v>0</v>
          </cell>
          <cell r="U20">
            <v>2642</v>
          </cell>
        </row>
        <row r="21">
          <cell r="A21">
            <v>1240184</v>
          </cell>
          <cell r="B21">
            <v>430</v>
          </cell>
          <cell r="C21">
            <v>548</v>
          </cell>
          <cell r="D21">
            <v>0</v>
          </cell>
          <cell r="E21">
            <v>0</v>
          </cell>
          <cell r="F21">
            <v>0</v>
          </cell>
          <cell r="G21">
            <v>460</v>
          </cell>
          <cell r="H21">
            <v>172</v>
          </cell>
          <cell r="I21">
            <v>154</v>
          </cell>
          <cell r="J21">
            <v>0</v>
          </cell>
          <cell r="K21">
            <v>0</v>
          </cell>
          <cell r="L21">
            <v>0</v>
          </cell>
          <cell r="M21">
            <v>50</v>
          </cell>
          <cell r="N21">
            <v>0</v>
          </cell>
          <cell r="O21">
            <v>0</v>
          </cell>
          <cell r="P21">
            <v>92</v>
          </cell>
          <cell r="Q21">
            <v>736</v>
          </cell>
          <cell r="R21">
            <v>0</v>
          </cell>
          <cell r="S21">
            <v>0</v>
          </cell>
          <cell r="U21">
            <v>2642</v>
          </cell>
        </row>
        <row r="22">
          <cell r="A22">
            <v>1241601</v>
          </cell>
          <cell r="B22">
            <v>0</v>
          </cell>
          <cell r="C22">
            <v>1246</v>
          </cell>
          <cell r="D22">
            <v>0</v>
          </cell>
          <cell r="E22">
            <v>0</v>
          </cell>
          <cell r="F22">
            <v>0</v>
          </cell>
          <cell r="G22">
            <v>700</v>
          </cell>
          <cell r="H22">
            <v>788</v>
          </cell>
          <cell r="I22">
            <v>658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U22">
            <v>3392</v>
          </cell>
        </row>
        <row r="23">
          <cell r="A23">
            <v>1240308</v>
          </cell>
          <cell r="B23">
            <v>300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300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1226384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160</v>
          </cell>
          <cell r="M2">
            <v>350</v>
          </cell>
          <cell r="N2">
            <v>0</v>
          </cell>
          <cell r="O2">
            <v>250</v>
          </cell>
          <cell r="P2">
            <v>300</v>
          </cell>
          <cell r="Q2">
            <v>0</v>
          </cell>
          <cell r="R2">
            <v>0</v>
          </cell>
          <cell r="S2">
            <v>1060</v>
          </cell>
        </row>
        <row r="3">
          <cell r="A3">
            <v>1226388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160</v>
          </cell>
          <cell r="M3">
            <v>350</v>
          </cell>
          <cell r="N3">
            <v>0</v>
          </cell>
          <cell r="O3">
            <v>250</v>
          </cell>
          <cell r="P3">
            <v>300</v>
          </cell>
          <cell r="Q3">
            <v>0</v>
          </cell>
          <cell r="R3">
            <v>0</v>
          </cell>
          <cell r="S3">
            <v>1060</v>
          </cell>
        </row>
        <row r="4">
          <cell r="A4">
            <v>1229673</v>
          </cell>
          <cell r="B4">
            <v>300</v>
          </cell>
          <cell r="C4">
            <v>0</v>
          </cell>
          <cell r="D4">
            <v>0</v>
          </cell>
          <cell r="E4">
            <v>0</v>
          </cell>
          <cell r="F4">
            <v>300</v>
          </cell>
          <cell r="G4">
            <v>300</v>
          </cell>
          <cell r="H4">
            <v>300</v>
          </cell>
          <cell r="I4">
            <v>0</v>
          </cell>
          <cell r="J4">
            <v>0</v>
          </cell>
          <cell r="K4">
            <v>0</v>
          </cell>
          <cell r="L4">
            <v>190</v>
          </cell>
          <cell r="M4">
            <v>110</v>
          </cell>
          <cell r="N4">
            <v>0</v>
          </cell>
          <cell r="O4">
            <v>200</v>
          </cell>
          <cell r="P4">
            <v>0</v>
          </cell>
          <cell r="Q4">
            <v>0</v>
          </cell>
          <cell r="R4">
            <v>0</v>
          </cell>
          <cell r="S4">
            <v>1700</v>
          </cell>
        </row>
        <row r="5">
          <cell r="A5">
            <v>1231202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100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100</v>
          </cell>
        </row>
        <row r="6">
          <cell r="A6">
            <v>1233492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280</v>
          </cell>
          <cell r="H6">
            <v>232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512</v>
          </cell>
        </row>
        <row r="7">
          <cell r="A7">
            <v>1233498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280</v>
          </cell>
          <cell r="H7">
            <v>232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512</v>
          </cell>
        </row>
        <row r="8">
          <cell r="A8">
            <v>1233623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280</v>
          </cell>
          <cell r="H8">
            <v>232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512</v>
          </cell>
        </row>
        <row r="9">
          <cell r="A9">
            <v>1235623</v>
          </cell>
          <cell r="B9">
            <v>818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818</v>
          </cell>
        </row>
        <row r="10">
          <cell r="A10">
            <v>1237088</v>
          </cell>
          <cell r="B10">
            <v>338</v>
          </cell>
          <cell r="C10">
            <v>0</v>
          </cell>
          <cell r="D10">
            <v>0</v>
          </cell>
          <cell r="E10">
            <v>0</v>
          </cell>
          <cell r="F10">
            <v>1062</v>
          </cell>
          <cell r="G10">
            <v>862</v>
          </cell>
          <cell r="H10">
            <v>1360</v>
          </cell>
          <cell r="I10">
            <v>0</v>
          </cell>
          <cell r="J10">
            <v>0</v>
          </cell>
          <cell r="K10">
            <v>0</v>
          </cell>
          <cell r="L10">
            <v>472</v>
          </cell>
          <cell r="M10">
            <v>496</v>
          </cell>
          <cell r="N10">
            <v>0</v>
          </cell>
          <cell r="O10">
            <v>716</v>
          </cell>
          <cell r="P10">
            <v>866</v>
          </cell>
          <cell r="Q10">
            <v>0</v>
          </cell>
          <cell r="R10">
            <v>0</v>
          </cell>
          <cell r="S10">
            <v>6172</v>
          </cell>
        </row>
        <row r="11">
          <cell r="A11">
            <v>1237748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630</v>
          </cell>
          <cell r="M11">
            <v>150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780</v>
          </cell>
        </row>
        <row r="12">
          <cell r="A12">
            <v>1231898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248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248</v>
          </cell>
        </row>
        <row r="13">
          <cell r="A13">
            <v>1237586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248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248</v>
          </cell>
        </row>
        <row r="14">
          <cell r="A14">
            <v>1234905</v>
          </cell>
          <cell r="B14">
            <v>626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210</v>
          </cell>
          <cell r="M14">
            <v>416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1252</v>
          </cell>
        </row>
        <row r="15">
          <cell r="A15">
            <v>1238128</v>
          </cell>
          <cell r="B15">
            <v>854</v>
          </cell>
          <cell r="C15">
            <v>0</v>
          </cell>
          <cell r="D15">
            <v>0</v>
          </cell>
          <cell r="E15">
            <v>0</v>
          </cell>
          <cell r="F15">
            <v>790</v>
          </cell>
          <cell r="G15">
            <v>368</v>
          </cell>
          <cell r="H15">
            <v>432</v>
          </cell>
          <cell r="I15">
            <v>0</v>
          </cell>
          <cell r="J15">
            <v>0</v>
          </cell>
          <cell r="K15">
            <v>0</v>
          </cell>
          <cell r="L15">
            <v>1372</v>
          </cell>
          <cell r="M15">
            <v>1642</v>
          </cell>
          <cell r="N15">
            <v>0</v>
          </cell>
          <cell r="O15">
            <v>1770</v>
          </cell>
          <cell r="P15">
            <v>2526</v>
          </cell>
          <cell r="Q15">
            <v>0</v>
          </cell>
          <cell r="R15">
            <v>0</v>
          </cell>
          <cell r="S15">
            <v>9754</v>
          </cell>
        </row>
        <row r="16">
          <cell r="A16">
            <v>1233761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100</v>
          </cell>
        </row>
        <row r="17">
          <cell r="A17">
            <v>1236930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60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60</v>
          </cell>
        </row>
        <row r="18">
          <cell r="A18">
            <v>1239651</v>
          </cell>
          <cell r="B18">
            <v>350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300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650</v>
          </cell>
        </row>
        <row r="19">
          <cell r="A19">
            <v>1240180</v>
          </cell>
          <cell r="B19">
            <v>548</v>
          </cell>
          <cell r="C19">
            <v>0</v>
          </cell>
          <cell r="D19">
            <v>0</v>
          </cell>
          <cell r="E19">
            <v>0</v>
          </cell>
          <cell r="F19">
            <v>460</v>
          </cell>
          <cell r="G19">
            <v>172</v>
          </cell>
          <cell r="H19">
            <v>136</v>
          </cell>
          <cell r="I19">
            <v>0</v>
          </cell>
          <cell r="J19">
            <v>0</v>
          </cell>
          <cell r="K19">
            <v>0</v>
          </cell>
          <cell r="L19">
            <v>50</v>
          </cell>
          <cell r="M19">
            <v>0</v>
          </cell>
          <cell r="N19">
            <v>0</v>
          </cell>
          <cell r="O19">
            <v>430</v>
          </cell>
          <cell r="P19">
            <v>736</v>
          </cell>
          <cell r="Q19">
            <v>0</v>
          </cell>
          <cell r="R19">
            <v>0</v>
          </cell>
          <cell r="S19">
            <v>2532</v>
          </cell>
        </row>
        <row r="20">
          <cell r="A20">
            <v>1240184</v>
          </cell>
          <cell r="B20">
            <v>548</v>
          </cell>
          <cell r="C20">
            <v>0</v>
          </cell>
          <cell r="D20">
            <v>0</v>
          </cell>
          <cell r="E20">
            <v>0</v>
          </cell>
          <cell r="F20">
            <v>460</v>
          </cell>
          <cell r="G20">
            <v>172</v>
          </cell>
          <cell r="H20">
            <v>136</v>
          </cell>
          <cell r="I20">
            <v>0</v>
          </cell>
          <cell r="J20">
            <v>0</v>
          </cell>
          <cell r="K20">
            <v>0</v>
          </cell>
          <cell r="L20">
            <v>50</v>
          </cell>
          <cell r="M20">
            <v>0</v>
          </cell>
          <cell r="N20">
            <v>0</v>
          </cell>
          <cell r="O20">
            <v>430</v>
          </cell>
          <cell r="P20">
            <v>736</v>
          </cell>
          <cell r="Q20">
            <v>0</v>
          </cell>
          <cell r="R20">
            <v>0</v>
          </cell>
          <cell r="S20">
            <v>2532</v>
          </cell>
        </row>
        <row r="21">
          <cell r="A21">
            <v>1241601</v>
          </cell>
          <cell r="B21">
            <v>1246</v>
          </cell>
          <cell r="C21">
            <v>0</v>
          </cell>
          <cell r="D21">
            <v>0</v>
          </cell>
          <cell r="E21">
            <v>0</v>
          </cell>
          <cell r="F21">
            <v>700</v>
          </cell>
          <cell r="G21">
            <v>744</v>
          </cell>
          <cell r="H21">
            <v>666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3356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02049-70C5-4088-8BDD-0E05D33F6A18}" name="표8" displayName="표8" ref="A1:F469" totalsRowShown="0">
  <autoFilter ref="A1:F469" xr:uid="{00000000-0009-0000-0100-000008000000}"/>
  <tableColumns count="6">
    <tableColumn id="1" xr3:uid="{33CCB880-288F-4B05-B32D-10C2F43082A7}" name="Code No." dataDxfId="5"/>
    <tableColumn id="2" xr3:uid="{18382A87-1A6D-4A13-A531-1B59EF00731F}" name="코웨이" dataDxfId="4"/>
    <tableColumn id="3" xr3:uid="{0FC36C02-B640-4679-8F13-66DF4179FE31}" name="Project" dataDxfId="3"/>
    <tableColumn id="4" xr3:uid="{D6EF24CB-FD62-4784-A045-5C82967E8402}" name="모델" dataDxfId="2"/>
    <tableColumn id="5" xr3:uid="{2E025BF3-6D7F-4F0B-A8A9-8D94F927CBB4}" name="구분" dataDxfId="1"/>
    <tableColumn id="6" xr3:uid="{1E723BA8-E6CE-4AD7-8485-01173C269A82}" name="Code No.2" dataDxfId="0">
      <calculatedColumnFormula>A2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EC60-6D5D-44C3-B38D-8DD8294C84F4}">
  <dimension ref="A1:R73"/>
  <sheetViews>
    <sheetView topLeftCell="A18" zoomScale="145" zoomScaleNormal="145" workbookViewId="0">
      <selection activeCell="L36" sqref="L36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6" width="9.5" style="9" customWidth="1"/>
    <col min="7" max="7" width="9.33203125" style="9" customWidth="1"/>
    <col min="8" max="17" width="9.5" style="9" customWidth="1"/>
    <col min="18" max="18" width="9.5" style="9" bestFit="1" customWidth="1"/>
    <col min="19" max="16384" width="9.33203125" style="5"/>
  </cols>
  <sheetData>
    <row r="1" spans="1:18">
      <c r="A1" s="74" t="s">
        <v>0</v>
      </c>
      <c r="B1" s="69" t="s">
        <v>733</v>
      </c>
      <c r="C1" s="69" t="s">
        <v>734</v>
      </c>
      <c r="D1" s="70" t="s">
        <v>735</v>
      </c>
      <c r="E1" s="69" t="s">
        <v>738</v>
      </c>
      <c r="F1" s="69" t="s">
        <v>739</v>
      </c>
      <c r="G1" s="69" t="s">
        <v>740</v>
      </c>
      <c r="H1" s="69" t="s">
        <v>741</v>
      </c>
      <c r="I1" s="69" t="s">
        <v>742</v>
      </c>
      <c r="J1" s="69" t="s">
        <v>743</v>
      </c>
      <c r="K1" s="70" t="s">
        <v>744</v>
      </c>
      <c r="L1" s="69" t="s">
        <v>747</v>
      </c>
      <c r="M1" s="69" t="s">
        <v>748</v>
      </c>
      <c r="N1" s="69" t="s">
        <v>749</v>
      </c>
      <c r="O1" s="69" t="s">
        <v>750</v>
      </c>
      <c r="P1" s="69" t="s">
        <v>751</v>
      </c>
      <c r="Q1" s="69" t="s">
        <v>752</v>
      </c>
      <c r="R1" s="70" t="s">
        <v>753</v>
      </c>
    </row>
    <row r="2" spans="1:18">
      <c r="A2" s="30">
        <v>1221154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50</v>
      </c>
      <c r="O2" s="32">
        <v>0</v>
      </c>
      <c r="P2" s="32">
        <v>0</v>
      </c>
      <c r="Q2" s="32">
        <v>0</v>
      </c>
      <c r="R2" s="32">
        <v>0</v>
      </c>
    </row>
    <row r="3" spans="1:18">
      <c r="A3" s="30">
        <v>1234614</v>
      </c>
      <c r="B3" s="32">
        <v>182</v>
      </c>
      <c r="C3" s="32">
        <v>0</v>
      </c>
      <c r="D3" s="32">
        <v>0</v>
      </c>
      <c r="E3" s="32">
        <v>396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352</v>
      </c>
      <c r="O3" s="32">
        <v>50</v>
      </c>
      <c r="P3" s="32">
        <v>0</v>
      </c>
      <c r="Q3" s="32">
        <v>0</v>
      </c>
      <c r="R3" s="32">
        <v>0</v>
      </c>
    </row>
    <row r="4" spans="1:18">
      <c r="A4" s="30">
        <v>1226384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360</v>
      </c>
      <c r="M4" s="32">
        <v>100</v>
      </c>
      <c r="N4" s="32">
        <v>400</v>
      </c>
      <c r="O4" s="32">
        <v>0</v>
      </c>
      <c r="P4" s="32">
        <v>0</v>
      </c>
      <c r="Q4" s="32">
        <v>0</v>
      </c>
      <c r="R4" s="32">
        <v>0</v>
      </c>
    </row>
    <row r="5" spans="1:18">
      <c r="A5" s="30">
        <v>1226388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360</v>
      </c>
      <c r="M5" s="32">
        <v>100</v>
      </c>
      <c r="N5" s="32">
        <v>400</v>
      </c>
      <c r="O5" s="32">
        <v>0</v>
      </c>
      <c r="P5" s="32">
        <v>0</v>
      </c>
      <c r="Q5" s="32">
        <v>0</v>
      </c>
      <c r="R5" s="32">
        <v>0</v>
      </c>
    </row>
    <row r="6" spans="1:18">
      <c r="A6" s="30">
        <v>1229673</v>
      </c>
      <c r="B6" s="32">
        <v>374</v>
      </c>
      <c r="C6" s="32">
        <v>0</v>
      </c>
      <c r="D6" s="32">
        <v>0</v>
      </c>
      <c r="E6" s="32">
        <v>200</v>
      </c>
      <c r="F6" s="32">
        <v>200</v>
      </c>
      <c r="G6" s="17">
        <v>200</v>
      </c>
      <c r="H6" s="32">
        <v>200</v>
      </c>
      <c r="I6" s="32">
        <v>242</v>
      </c>
      <c r="J6" s="32">
        <v>0</v>
      </c>
      <c r="K6" s="32">
        <v>0</v>
      </c>
      <c r="L6" s="32">
        <v>250</v>
      </c>
      <c r="M6" s="32">
        <v>250</v>
      </c>
      <c r="N6" s="32">
        <v>250</v>
      </c>
      <c r="O6" s="32">
        <v>250</v>
      </c>
      <c r="P6" s="32">
        <v>200</v>
      </c>
      <c r="Q6" s="32">
        <v>0</v>
      </c>
      <c r="R6" s="32">
        <v>0</v>
      </c>
    </row>
    <row r="7" spans="1:18">
      <c r="A7" s="30">
        <v>1230854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200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</row>
    <row r="8" spans="1:18">
      <c r="A8" s="30">
        <v>1233632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346</v>
      </c>
      <c r="I8" s="32">
        <v>330</v>
      </c>
      <c r="J8" s="32">
        <v>0</v>
      </c>
      <c r="K8" s="32">
        <v>0</v>
      </c>
      <c r="L8" s="32">
        <v>406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</row>
    <row r="9" spans="1:18">
      <c r="A9" s="30">
        <v>1232693</v>
      </c>
      <c r="B9" s="32">
        <v>342</v>
      </c>
      <c r="C9" s="32">
        <v>0</v>
      </c>
      <c r="D9" s="32">
        <v>0</v>
      </c>
      <c r="E9" s="32">
        <v>141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</row>
    <row r="10" spans="1:18">
      <c r="A10" s="30">
        <v>1233025</v>
      </c>
      <c r="B10" s="32">
        <v>342</v>
      </c>
      <c r="C10" s="32">
        <v>0</v>
      </c>
      <c r="D10" s="32">
        <v>0</v>
      </c>
      <c r="E10" s="32">
        <v>141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</row>
    <row r="11" spans="1:18">
      <c r="A11" s="30">
        <v>1237088</v>
      </c>
      <c r="B11" s="32">
        <v>278</v>
      </c>
      <c r="C11" s="32">
        <v>0</v>
      </c>
      <c r="D11" s="32">
        <v>0</v>
      </c>
      <c r="E11" s="32">
        <v>764</v>
      </c>
      <c r="F11" s="32">
        <v>1022</v>
      </c>
      <c r="G11" s="17">
        <v>694</v>
      </c>
      <c r="H11" s="32">
        <v>1286</v>
      </c>
      <c r="I11" s="32">
        <v>1570</v>
      </c>
      <c r="J11" s="32">
        <v>0</v>
      </c>
      <c r="K11" s="32">
        <v>0</v>
      </c>
      <c r="L11" s="32">
        <v>1276</v>
      </c>
      <c r="M11" s="32">
        <v>906</v>
      </c>
      <c r="N11" s="32">
        <v>1006</v>
      </c>
      <c r="O11" s="32">
        <v>942</v>
      </c>
      <c r="P11" s="32">
        <v>1496</v>
      </c>
      <c r="Q11" s="32">
        <v>0</v>
      </c>
      <c r="R11" s="32">
        <v>0</v>
      </c>
    </row>
    <row r="12" spans="1:18">
      <c r="A12" s="30">
        <v>1237748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260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</row>
    <row r="13" spans="1:18">
      <c r="A13" s="30">
        <v>1231898</v>
      </c>
      <c r="B13" s="32">
        <v>0</v>
      </c>
      <c r="C13" s="32">
        <v>0</v>
      </c>
      <c r="D13" s="32">
        <v>0</v>
      </c>
      <c r="E13" s="32">
        <v>0</v>
      </c>
      <c r="F13" s="32">
        <v>500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</row>
    <row r="14" spans="1:18">
      <c r="A14" s="30">
        <v>1237586</v>
      </c>
      <c r="B14" s="32">
        <v>0</v>
      </c>
      <c r="C14" s="32">
        <v>0</v>
      </c>
      <c r="D14" s="32">
        <v>0</v>
      </c>
      <c r="E14" s="32">
        <v>0</v>
      </c>
      <c r="F14" s="32">
        <v>500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</row>
    <row r="15" spans="1:18">
      <c r="A15" s="30">
        <v>1236091</v>
      </c>
      <c r="B15" s="32">
        <v>0</v>
      </c>
      <c r="C15" s="32">
        <v>0</v>
      </c>
      <c r="D15" s="32">
        <v>0</v>
      </c>
      <c r="E15" s="32">
        <v>200</v>
      </c>
      <c r="F15" s="32">
        <v>100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200</v>
      </c>
      <c r="O15" s="32">
        <v>0</v>
      </c>
      <c r="P15" s="32">
        <v>0</v>
      </c>
      <c r="Q15" s="32">
        <v>0</v>
      </c>
      <c r="R15" s="32">
        <v>0</v>
      </c>
    </row>
    <row r="16" spans="1:18">
      <c r="A16" s="30">
        <v>1238128</v>
      </c>
      <c r="B16" s="32">
        <v>332</v>
      </c>
      <c r="C16" s="32">
        <v>0</v>
      </c>
      <c r="D16" s="32">
        <v>0</v>
      </c>
      <c r="E16" s="32">
        <v>582</v>
      </c>
      <c r="F16" s="32">
        <v>244</v>
      </c>
      <c r="G16" s="32">
        <v>0</v>
      </c>
      <c r="H16" s="32">
        <v>404</v>
      </c>
      <c r="I16" s="32">
        <v>377</v>
      </c>
      <c r="J16" s="32">
        <v>0</v>
      </c>
      <c r="K16" s="32">
        <v>0</v>
      </c>
      <c r="L16" s="32">
        <v>480</v>
      </c>
      <c r="M16" s="32">
        <v>480</v>
      </c>
      <c r="N16" s="32">
        <v>378</v>
      </c>
      <c r="O16" s="32">
        <v>912</v>
      </c>
      <c r="P16" s="32">
        <v>960</v>
      </c>
      <c r="Q16" s="32">
        <v>0</v>
      </c>
      <c r="R16" s="32">
        <v>0</v>
      </c>
    </row>
    <row r="17" spans="1:18">
      <c r="A17" s="30">
        <v>1236962</v>
      </c>
      <c r="B17" s="32">
        <v>0</v>
      </c>
      <c r="C17" s="32">
        <v>0</v>
      </c>
      <c r="D17" s="32">
        <v>0</v>
      </c>
      <c r="E17" s="32">
        <v>0</v>
      </c>
      <c r="F17" s="32">
        <v>300</v>
      </c>
      <c r="G17" s="17">
        <v>200</v>
      </c>
      <c r="H17" s="32">
        <v>400</v>
      </c>
      <c r="I17" s="32">
        <v>400</v>
      </c>
      <c r="J17" s="32">
        <v>0</v>
      </c>
      <c r="K17" s="32">
        <v>0</v>
      </c>
      <c r="L17" s="32">
        <v>250</v>
      </c>
      <c r="M17" s="32">
        <v>250</v>
      </c>
      <c r="N17" s="32">
        <v>0</v>
      </c>
      <c r="O17" s="32">
        <v>250</v>
      </c>
      <c r="P17" s="32">
        <v>250</v>
      </c>
      <c r="Q17" s="32">
        <v>0</v>
      </c>
      <c r="R17" s="32">
        <v>0</v>
      </c>
    </row>
    <row r="18" spans="1:18">
      <c r="A18" s="30">
        <v>1233761</v>
      </c>
      <c r="B18" s="32">
        <v>300</v>
      </c>
      <c r="C18" s="32">
        <v>0</v>
      </c>
      <c r="D18" s="32">
        <v>0</v>
      </c>
      <c r="E18" s="32">
        <v>0</v>
      </c>
      <c r="F18" s="32">
        <v>200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250</v>
      </c>
      <c r="P18" s="32">
        <v>0</v>
      </c>
      <c r="Q18" s="32">
        <v>0</v>
      </c>
      <c r="R18" s="32">
        <v>0</v>
      </c>
    </row>
    <row r="19" spans="1:18">
      <c r="A19" s="30">
        <v>1239651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250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</row>
    <row r="20" spans="1:18">
      <c r="A20" s="30">
        <v>1241134</v>
      </c>
      <c r="B20" s="32">
        <v>0</v>
      </c>
      <c r="C20" s="32">
        <v>0</v>
      </c>
      <c r="D20" s="32">
        <v>0</v>
      </c>
      <c r="E20" s="32">
        <v>0</v>
      </c>
      <c r="F20" s="32">
        <v>126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</row>
    <row r="21" spans="1:18">
      <c r="A21" s="30">
        <v>1239988</v>
      </c>
      <c r="B21" s="32">
        <v>0</v>
      </c>
      <c r="C21" s="32">
        <v>0</v>
      </c>
      <c r="D21" s="32">
        <v>0</v>
      </c>
      <c r="E21" s="32">
        <v>382</v>
      </c>
      <c r="F21" s="32">
        <v>454</v>
      </c>
      <c r="G21" s="17">
        <v>356</v>
      </c>
      <c r="H21" s="32">
        <v>454</v>
      </c>
      <c r="I21" s="32">
        <v>356</v>
      </c>
      <c r="J21" s="32">
        <v>0</v>
      </c>
      <c r="K21" s="32">
        <v>0</v>
      </c>
      <c r="L21" s="32">
        <v>454</v>
      </c>
      <c r="M21" s="32">
        <v>454</v>
      </c>
      <c r="N21" s="32">
        <v>356</v>
      </c>
      <c r="O21" s="32">
        <v>454</v>
      </c>
      <c r="P21" s="32">
        <v>454</v>
      </c>
      <c r="Q21" s="32">
        <v>0</v>
      </c>
      <c r="R21" s="32">
        <v>0</v>
      </c>
    </row>
    <row r="22" spans="1:18">
      <c r="A22" s="30">
        <v>1240180</v>
      </c>
      <c r="B22" s="32">
        <v>228</v>
      </c>
      <c r="C22" s="32">
        <v>0</v>
      </c>
      <c r="D22" s="32">
        <v>0</v>
      </c>
      <c r="E22" s="32">
        <v>242</v>
      </c>
      <c r="F22" s="32">
        <v>516</v>
      </c>
      <c r="G22" s="17">
        <v>560</v>
      </c>
      <c r="H22" s="32">
        <v>100</v>
      </c>
      <c r="I22" s="32">
        <v>0</v>
      </c>
      <c r="J22" s="32">
        <v>0</v>
      </c>
      <c r="K22" s="32">
        <v>0</v>
      </c>
      <c r="L22" s="32">
        <v>0</v>
      </c>
      <c r="M22" s="32">
        <v>390</v>
      </c>
      <c r="N22" s="32">
        <v>280</v>
      </c>
      <c r="O22" s="32">
        <v>358</v>
      </c>
      <c r="P22" s="32">
        <v>358</v>
      </c>
      <c r="Q22" s="32">
        <v>0</v>
      </c>
      <c r="R22" s="32">
        <v>0</v>
      </c>
    </row>
    <row r="23" spans="1:18">
      <c r="A23" s="30">
        <v>1240184</v>
      </c>
      <c r="B23" s="32">
        <v>228</v>
      </c>
      <c r="C23" s="32">
        <v>0</v>
      </c>
      <c r="D23" s="32">
        <v>0</v>
      </c>
      <c r="E23" s="32">
        <v>242</v>
      </c>
      <c r="F23" s="32">
        <v>516</v>
      </c>
      <c r="G23" s="17">
        <v>560</v>
      </c>
      <c r="H23" s="32">
        <v>100</v>
      </c>
      <c r="I23" s="32">
        <v>0</v>
      </c>
      <c r="J23" s="32">
        <v>0</v>
      </c>
      <c r="K23" s="32">
        <v>0</v>
      </c>
      <c r="L23" s="32">
        <v>0</v>
      </c>
      <c r="M23" s="32">
        <v>390</v>
      </c>
      <c r="N23" s="32">
        <v>280</v>
      </c>
      <c r="O23" s="32">
        <v>358</v>
      </c>
      <c r="P23" s="32">
        <v>358</v>
      </c>
      <c r="Q23" s="32">
        <v>0</v>
      </c>
      <c r="R23" s="32">
        <v>0</v>
      </c>
    </row>
    <row r="24" spans="1:18">
      <c r="A24" s="30">
        <v>1240308</v>
      </c>
      <c r="B24" s="32">
        <v>0</v>
      </c>
      <c r="C24" s="32">
        <v>0</v>
      </c>
      <c r="D24" s="32">
        <v>0</v>
      </c>
      <c r="E24" s="32">
        <v>250</v>
      </c>
      <c r="F24" s="32">
        <v>0</v>
      </c>
      <c r="G24" s="17">
        <v>500</v>
      </c>
      <c r="H24" s="32">
        <v>250</v>
      </c>
      <c r="I24" s="32">
        <v>0</v>
      </c>
      <c r="J24" s="32">
        <v>0</v>
      </c>
      <c r="K24" s="32">
        <v>0</v>
      </c>
      <c r="L24" s="32">
        <v>0</v>
      </c>
      <c r="M24" s="32">
        <v>200</v>
      </c>
      <c r="N24" s="32">
        <v>0</v>
      </c>
      <c r="O24" s="32">
        <v>350</v>
      </c>
      <c r="P24" s="32">
        <v>200</v>
      </c>
      <c r="Q24" s="32">
        <v>0</v>
      </c>
      <c r="R24" s="32">
        <v>0</v>
      </c>
    </row>
    <row r="28" spans="1:18">
      <c r="A28" s="74" t="s">
        <v>0</v>
      </c>
      <c r="B28" s="69" t="s">
        <v>733</v>
      </c>
      <c r="C28" s="69" t="s">
        <v>734</v>
      </c>
      <c r="D28" s="70" t="s">
        <v>735</v>
      </c>
      <c r="E28" s="69" t="s">
        <v>738</v>
      </c>
      <c r="F28" s="69" t="s">
        <v>739</v>
      </c>
      <c r="G28" s="69" t="s">
        <v>740</v>
      </c>
      <c r="H28" s="69" t="s">
        <v>741</v>
      </c>
      <c r="I28" s="69" t="s">
        <v>742</v>
      </c>
      <c r="J28" s="69" t="s">
        <v>743</v>
      </c>
      <c r="K28" s="70" t="s">
        <v>744</v>
      </c>
      <c r="L28" s="69" t="s">
        <v>747</v>
      </c>
      <c r="M28" s="69" t="s">
        <v>748</v>
      </c>
      <c r="N28" s="69" t="s">
        <v>749</v>
      </c>
      <c r="O28" s="69" t="s">
        <v>750</v>
      </c>
      <c r="P28" s="69" t="s">
        <v>751</v>
      </c>
      <c r="Q28" s="69" t="s">
        <v>752</v>
      </c>
      <c r="R28" s="70" t="s">
        <v>753</v>
      </c>
    </row>
    <row r="29" spans="1:18">
      <c r="A29" s="30">
        <v>1237608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350</v>
      </c>
      <c r="N29" s="32">
        <v>250</v>
      </c>
      <c r="O29" s="32">
        <v>0</v>
      </c>
      <c r="P29" s="32">
        <v>0</v>
      </c>
      <c r="Q29" s="32">
        <v>0</v>
      </c>
      <c r="R29" s="32">
        <v>0</v>
      </c>
    </row>
    <row r="30" spans="1:18">
      <c r="A30" s="30">
        <v>1232846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327</v>
      </c>
      <c r="N30" s="32">
        <v>352</v>
      </c>
      <c r="O30" s="32">
        <v>21</v>
      </c>
      <c r="P30" s="32">
        <v>0</v>
      </c>
      <c r="Q30" s="32">
        <v>0</v>
      </c>
      <c r="R30" s="32">
        <v>0</v>
      </c>
    </row>
    <row r="31" spans="1:18">
      <c r="A31" s="30">
        <v>1232895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327</v>
      </c>
      <c r="N31" s="32">
        <v>352</v>
      </c>
      <c r="O31" s="32">
        <v>21</v>
      </c>
      <c r="P31" s="32">
        <v>0</v>
      </c>
      <c r="Q31" s="32">
        <v>0</v>
      </c>
      <c r="R31" s="32">
        <v>0</v>
      </c>
    </row>
    <row r="32" spans="1:18">
      <c r="A32" s="30">
        <v>1233384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327</v>
      </c>
      <c r="N32" s="32">
        <v>352</v>
      </c>
      <c r="O32" s="32">
        <v>21</v>
      </c>
      <c r="P32" s="32">
        <v>0</v>
      </c>
      <c r="Q32" s="32">
        <v>0</v>
      </c>
      <c r="R32" s="32">
        <v>0</v>
      </c>
    </row>
    <row r="33" spans="1:18">
      <c r="A33" s="30">
        <v>1236110</v>
      </c>
      <c r="B33" s="32">
        <v>150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300</v>
      </c>
      <c r="P33" s="32">
        <v>0</v>
      </c>
      <c r="Q33" s="32">
        <v>0</v>
      </c>
      <c r="R33" s="32">
        <v>0</v>
      </c>
    </row>
    <row r="34" spans="1:18">
      <c r="A34" s="30">
        <v>1236387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17">
        <v>265</v>
      </c>
      <c r="H34" s="17">
        <v>395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</row>
    <row r="35" spans="1:18">
      <c r="A35" s="30">
        <v>1232775</v>
      </c>
      <c r="B35" s="32">
        <v>226</v>
      </c>
      <c r="C35" s="32">
        <v>0</v>
      </c>
      <c r="D35" s="32">
        <v>0</v>
      </c>
      <c r="E35" s="32">
        <v>575</v>
      </c>
      <c r="F35" s="32">
        <v>616</v>
      </c>
      <c r="G35" s="17">
        <v>277</v>
      </c>
      <c r="H35" s="17">
        <v>311</v>
      </c>
      <c r="I35" s="17">
        <v>14</v>
      </c>
      <c r="J35" s="32">
        <v>0</v>
      </c>
      <c r="K35" s="32">
        <v>0</v>
      </c>
      <c r="L35" s="32">
        <v>0</v>
      </c>
      <c r="M35" s="32">
        <v>288</v>
      </c>
      <c r="N35" s="32">
        <v>243</v>
      </c>
      <c r="O35" s="32">
        <v>309</v>
      </c>
      <c r="P35" s="32">
        <v>309</v>
      </c>
      <c r="Q35" s="32">
        <v>0</v>
      </c>
      <c r="R35" s="32">
        <v>0</v>
      </c>
    </row>
    <row r="36" spans="1:18">
      <c r="A36" s="30">
        <v>1238605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189</v>
      </c>
      <c r="J36" s="32">
        <v>0</v>
      </c>
      <c r="K36" s="32">
        <v>0</v>
      </c>
      <c r="L36" s="32">
        <v>238</v>
      </c>
      <c r="M36" s="32">
        <v>6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</row>
    <row r="40" spans="1:18">
      <c r="A40" s="74" t="s">
        <v>0</v>
      </c>
      <c r="B40" s="69" t="s">
        <v>733</v>
      </c>
      <c r="C40" s="69" t="s">
        <v>734</v>
      </c>
      <c r="D40" s="70" t="s">
        <v>735</v>
      </c>
      <c r="E40" s="69" t="s">
        <v>738</v>
      </c>
      <c r="F40" s="69" t="s">
        <v>739</v>
      </c>
      <c r="G40" s="69" t="s">
        <v>740</v>
      </c>
      <c r="H40" s="69" t="s">
        <v>741</v>
      </c>
      <c r="I40" s="69" t="s">
        <v>742</v>
      </c>
      <c r="J40" s="69" t="s">
        <v>743</v>
      </c>
      <c r="K40" s="70" t="s">
        <v>744</v>
      </c>
      <c r="L40" s="69" t="s">
        <v>747</v>
      </c>
      <c r="M40" s="69" t="s">
        <v>748</v>
      </c>
      <c r="N40" s="69" t="s">
        <v>749</v>
      </c>
      <c r="O40" s="69" t="s">
        <v>750</v>
      </c>
      <c r="P40" s="69" t="s">
        <v>751</v>
      </c>
      <c r="Q40" s="69" t="s">
        <v>752</v>
      </c>
      <c r="R40" s="70" t="s">
        <v>753</v>
      </c>
    </row>
    <row r="41" spans="1:18">
      <c r="A41" s="30">
        <v>1221967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176</v>
      </c>
      <c r="O41" s="32">
        <v>0</v>
      </c>
      <c r="P41" s="32">
        <v>0</v>
      </c>
      <c r="Q41" s="32">
        <v>0</v>
      </c>
      <c r="R41" s="32">
        <v>0</v>
      </c>
    </row>
    <row r="42" spans="1:18">
      <c r="A42" s="30">
        <v>1227306</v>
      </c>
      <c r="B42" s="32">
        <v>0</v>
      </c>
      <c r="C42" s="32">
        <v>0</v>
      </c>
      <c r="D42" s="32">
        <v>0</v>
      </c>
      <c r="E42" s="32">
        <v>452</v>
      </c>
      <c r="F42" s="32">
        <v>45</v>
      </c>
      <c r="G42" s="32">
        <v>277</v>
      </c>
      <c r="H42" s="32">
        <v>123</v>
      </c>
      <c r="I42" s="32">
        <v>0</v>
      </c>
      <c r="J42" s="32">
        <v>0</v>
      </c>
      <c r="K42" s="32">
        <v>0</v>
      </c>
      <c r="L42" s="32">
        <v>0</v>
      </c>
      <c r="M42" s="32">
        <v>510</v>
      </c>
      <c r="N42" s="32">
        <v>400</v>
      </c>
      <c r="O42" s="32">
        <v>0</v>
      </c>
      <c r="P42" s="32">
        <v>0</v>
      </c>
      <c r="Q42" s="32">
        <v>0</v>
      </c>
      <c r="R42" s="32">
        <v>0</v>
      </c>
    </row>
    <row r="43" spans="1:18">
      <c r="A43" s="30">
        <v>1227359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86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</row>
    <row r="44" spans="1:18">
      <c r="A44" s="30">
        <v>1229088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500</v>
      </c>
      <c r="O44" s="32">
        <v>0</v>
      </c>
      <c r="P44" s="32">
        <v>0</v>
      </c>
      <c r="Q44" s="32">
        <v>0</v>
      </c>
      <c r="R44" s="32">
        <v>0</v>
      </c>
    </row>
    <row r="45" spans="1:18">
      <c r="A45" s="30">
        <v>1231090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200</v>
      </c>
      <c r="Q45" s="32">
        <v>0</v>
      </c>
      <c r="R45" s="32">
        <v>0</v>
      </c>
    </row>
    <row r="46" spans="1:18">
      <c r="A46" s="30">
        <v>1229776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200</v>
      </c>
      <c r="Q46" s="32">
        <v>0</v>
      </c>
      <c r="R46" s="32">
        <v>0</v>
      </c>
    </row>
    <row r="47" spans="1:18">
      <c r="A47" s="30">
        <v>1231797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113</v>
      </c>
      <c r="O47" s="32">
        <v>0</v>
      </c>
      <c r="P47" s="32">
        <v>0</v>
      </c>
      <c r="Q47" s="32">
        <v>0</v>
      </c>
      <c r="R47" s="32">
        <v>0</v>
      </c>
    </row>
    <row r="48" spans="1:18">
      <c r="A48" s="30">
        <v>1232528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163</v>
      </c>
      <c r="M48" s="32">
        <v>686</v>
      </c>
      <c r="N48" s="32">
        <v>539</v>
      </c>
      <c r="O48" s="32">
        <v>649</v>
      </c>
      <c r="P48" s="32">
        <v>0</v>
      </c>
      <c r="Q48" s="32">
        <v>0</v>
      </c>
      <c r="R48" s="32">
        <v>0</v>
      </c>
    </row>
    <row r="49" spans="1:18">
      <c r="A49" s="30">
        <v>1233587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10</v>
      </c>
      <c r="O49" s="32">
        <v>0</v>
      </c>
      <c r="P49" s="32">
        <v>0</v>
      </c>
      <c r="Q49" s="32">
        <v>0</v>
      </c>
      <c r="R49" s="32">
        <v>0</v>
      </c>
    </row>
    <row r="50" spans="1:18">
      <c r="A50" s="30">
        <v>1232846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176</v>
      </c>
      <c r="O50" s="32">
        <v>0</v>
      </c>
      <c r="P50" s="32">
        <v>0</v>
      </c>
      <c r="Q50" s="32">
        <v>0</v>
      </c>
      <c r="R50" s="32">
        <v>0</v>
      </c>
    </row>
    <row r="51" spans="1:18">
      <c r="A51" s="30">
        <v>1232693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54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</row>
    <row r="52" spans="1:18">
      <c r="A52" s="30">
        <v>1233025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54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</row>
    <row r="53" spans="1:18">
      <c r="A53" s="30">
        <v>1235097</v>
      </c>
      <c r="B53" s="32">
        <v>0</v>
      </c>
      <c r="C53" s="32">
        <v>0</v>
      </c>
      <c r="D53" s="32">
        <v>0</v>
      </c>
      <c r="E53" s="32">
        <v>0</v>
      </c>
      <c r="F53" s="32">
        <v>290</v>
      </c>
      <c r="G53" s="32">
        <v>38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350</v>
      </c>
      <c r="P53" s="32">
        <v>200</v>
      </c>
      <c r="Q53" s="32">
        <v>0</v>
      </c>
      <c r="R53" s="32">
        <v>0</v>
      </c>
    </row>
    <row r="54" spans="1:18">
      <c r="A54" s="30">
        <v>1235958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12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</row>
    <row r="55" spans="1:18">
      <c r="A55" s="30">
        <v>1235845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461</v>
      </c>
      <c r="H55" s="32" t="s">
        <v>756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</row>
    <row r="56" spans="1:18">
      <c r="A56" s="30">
        <v>1236600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30</v>
      </c>
      <c r="I56" s="32">
        <v>419</v>
      </c>
      <c r="J56" s="32">
        <v>0</v>
      </c>
      <c r="K56" s="32">
        <v>0</v>
      </c>
      <c r="L56" s="32">
        <v>299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</row>
    <row r="57" spans="1:18">
      <c r="A57" s="30">
        <v>1236601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74</v>
      </c>
      <c r="M57" s="32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</row>
    <row r="58" spans="1:18">
      <c r="A58" s="30">
        <v>1236930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249</v>
      </c>
      <c r="H58" s="32">
        <v>336</v>
      </c>
      <c r="I58" s="32">
        <v>45</v>
      </c>
      <c r="J58" s="32">
        <v>0</v>
      </c>
      <c r="K58" s="32">
        <v>0</v>
      </c>
      <c r="L58" s="32">
        <v>116</v>
      </c>
      <c r="M58" s="32">
        <v>0</v>
      </c>
      <c r="N58" s="32">
        <v>300</v>
      </c>
      <c r="O58" s="32">
        <v>200</v>
      </c>
      <c r="P58" s="32">
        <v>0</v>
      </c>
      <c r="Q58" s="32">
        <v>0</v>
      </c>
      <c r="R58" s="32">
        <v>0</v>
      </c>
    </row>
    <row r="59" spans="1:18">
      <c r="A59" s="30">
        <v>1237468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87</v>
      </c>
      <c r="O59" s="32">
        <v>0</v>
      </c>
      <c r="P59" s="32">
        <v>0</v>
      </c>
      <c r="Q59" s="32">
        <v>0</v>
      </c>
      <c r="R59" s="32">
        <v>0</v>
      </c>
    </row>
    <row r="60" spans="1:18">
      <c r="A60" s="30">
        <v>1237457</v>
      </c>
      <c r="B60" s="32">
        <v>0</v>
      </c>
      <c r="C60" s="32">
        <v>0</v>
      </c>
      <c r="D60" s="32">
        <v>0</v>
      </c>
      <c r="E60" s="32">
        <v>0</v>
      </c>
      <c r="F60" s="32">
        <v>18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</row>
    <row r="61" spans="1:18">
      <c r="A61" s="30">
        <v>1234905</v>
      </c>
      <c r="B61" s="32">
        <v>275</v>
      </c>
      <c r="C61" s="32">
        <v>0</v>
      </c>
      <c r="D61" s="32">
        <v>0</v>
      </c>
      <c r="E61" s="32">
        <v>395</v>
      </c>
      <c r="F61" s="32">
        <v>381</v>
      </c>
      <c r="G61" s="32">
        <v>0</v>
      </c>
      <c r="H61" s="32">
        <v>163</v>
      </c>
      <c r="I61" s="32">
        <v>383</v>
      </c>
      <c r="J61" s="32">
        <v>0</v>
      </c>
      <c r="K61" s="32">
        <v>0</v>
      </c>
      <c r="L61" s="32">
        <v>600</v>
      </c>
      <c r="M61" s="32">
        <v>200</v>
      </c>
      <c r="N61" s="32">
        <v>0</v>
      </c>
      <c r="O61" s="32">
        <v>200</v>
      </c>
      <c r="P61" s="32">
        <v>400</v>
      </c>
      <c r="Q61" s="32">
        <v>0</v>
      </c>
      <c r="R61" s="32">
        <v>0</v>
      </c>
    </row>
    <row r="62" spans="1:18">
      <c r="A62" s="30">
        <v>1238480</v>
      </c>
      <c r="B62" s="32">
        <v>1184</v>
      </c>
      <c r="C62" s="32">
        <v>0</v>
      </c>
      <c r="D62" s="32">
        <v>0</v>
      </c>
      <c r="E62" s="32">
        <v>1526</v>
      </c>
      <c r="F62" s="32">
        <v>1653</v>
      </c>
      <c r="G62" s="32">
        <v>686</v>
      </c>
      <c r="H62" s="32">
        <v>869</v>
      </c>
      <c r="I62" s="32">
        <v>685</v>
      </c>
      <c r="J62" s="32">
        <v>0</v>
      </c>
      <c r="K62" s="32">
        <v>0</v>
      </c>
      <c r="L62" s="32">
        <v>873</v>
      </c>
      <c r="M62" s="32">
        <v>757</v>
      </c>
      <c r="N62" s="32">
        <v>700</v>
      </c>
      <c r="O62" s="32">
        <v>1396</v>
      </c>
      <c r="P62" s="32">
        <v>1663</v>
      </c>
      <c r="Q62" s="32">
        <v>0</v>
      </c>
      <c r="R62" s="32">
        <v>0</v>
      </c>
    </row>
    <row r="63" spans="1:18">
      <c r="A63" s="30">
        <v>1238453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107</v>
      </c>
      <c r="M63" s="32">
        <v>293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</row>
    <row r="64" spans="1:18">
      <c r="A64" s="30">
        <v>1232775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216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</row>
    <row r="65" spans="1:18">
      <c r="A65" s="30">
        <v>1240029</v>
      </c>
      <c r="B65" s="32">
        <v>358</v>
      </c>
      <c r="C65" s="32">
        <v>0</v>
      </c>
      <c r="D65" s="32">
        <v>0</v>
      </c>
      <c r="E65" s="32">
        <v>492</v>
      </c>
      <c r="F65" s="32">
        <v>377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281</v>
      </c>
      <c r="Q65" s="32">
        <v>0</v>
      </c>
      <c r="R65" s="32">
        <v>0</v>
      </c>
    </row>
    <row r="66" spans="1:18">
      <c r="A66" s="30">
        <v>1240032</v>
      </c>
      <c r="B66" s="32">
        <v>358</v>
      </c>
      <c r="C66" s="32">
        <v>0</v>
      </c>
      <c r="D66" s="32">
        <v>0</v>
      </c>
      <c r="E66" s="32">
        <v>492</v>
      </c>
      <c r="F66" s="32">
        <v>377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281</v>
      </c>
      <c r="Q66" s="32">
        <v>0</v>
      </c>
      <c r="R66" s="32">
        <v>0</v>
      </c>
    </row>
    <row r="67" spans="1:18">
      <c r="A67" s="30">
        <v>1240180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114</v>
      </c>
      <c r="J67" s="32">
        <v>0</v>
      </c>
      <c r="K67" s="32">
        <v>0</v>
      </c>
      <c r="L67" s="32">
        <v>236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</row>
    <row r="68" spans="1:18">
      <c r="A68" s="30">
        <v>1240184</v>
      </c>
      <c r="B68" s="32">
        <v>0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114</v>
      </c>
      <c r="J68" s="32">
        <v>0</v>
      </c>
      <c r="K68" s="32">
        <v>0</v>
      </c>
      <c r="L68" s="32">
        <v>236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</row>
    <row r="69" spans="1:18">
      <c r="A69" s="30">
        <v>1216452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594</v>
      </c>
      <c r="H69" s="32">
        <v>929</v>
      </c>
      <c r="I69" s="32">
        <v>387</v>
      </c>
      <c r="J69" s="32">
        <v>0</v>
      </c>
      <c r="K69" s="32">
        <v>0</v>
      </c>
      <c r="L69" s="32">
        <v>0</v>
      </c>
      <c r="M69" s="32">
        <v>191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</row>
    <row r="70" spans="1:18">
      <c r="A70" s="30">
        <v>1230791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275</v>
      </c>
      <c r="J70" s="32">
        <v>0</v>
      </c>
      <c r="K70" s="32">
        <v>0</v>
      </c>
      <c r="L70" s="32">
        <v>625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</row>
    <row r="71" spans="1:18">
      <c r="A71" s="30">
        <v>1231011</v>
      </c>
      <c r="B71" s="32">
        <v>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400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</row>
    <row r="72" spans="1:18">
      <c r="A72" s="30">
        <v>1232895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176</v>
      </c>
      <c r="O72" s="32">
        <v>0</v>
      </c>
      <c r="P72" s="32">
        <v>0</v>
      </c>
      <c r="Q72" s="32">
        <v>0</v>
      </c>
      <c r="R72" s="32">
        <v>0</v>
      </c>
    </row>
    <row r="73" spans="1:18">
      <c r="A73" s="30">
        <v>1232922</v>
      </c>
      <c r="B73" s="32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176</v>
      </c>
      <c r="O73" s="32">
        <v>0</v>
      </c>
      <c r="P73" s="32">
        <v>0</v>
      </c>
      <c r="Q73" s="32">
        <v>0</v>
      </c>
      <c r="R73" s="32">
        <v>0</v>
      </c>
    </row>
  </sheetData>
  <autoFilter ref="A1:R24" xr:uid="{C849EC60-6D5D-44C3-B38D-8DD8294C84F4}"/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7108-DC52-41AF-B720-94AD934910EB}">
  <dimension ref="A1:O77"/>
  <sheetViews>
    <sheetView topLeftCell="A36" zoomScale="145" zoomScaleNormal="145" workbookViewId="0">
      <selection activeCell="M53" sqref="M53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4" width="9.5" style="9" customWidth="1"/>
    <col min="15" max="15" width="9.5" style="9" bestFit="1" customWidth="1"/>
    <col min="16" max="16384" width="9.33203125" style="5"/>
  </cols>
  <sheetData>
    <row r="1" spans="1:15">
      <c r="A1" s="74" t="s">
        <v>0</v>
      </c>
      <c r="B1" s="69" t="s">
        <v>738</v>
      </c>
      <c r="C1" s="69" t="s">
        <v>739</v>
      </c>
      <c r="D1" s="69" t="s">
        <v>740</v>
      </c>
      <c r="E1" s="69" t="s">
        <v>741</v>
      </c>
      <c r="F1" s="69" t="s">
        <v>742</v>
      </c>
      <c r="G1" s="69" t="s">
        <v>743</v>
      </c>
      <c r="H1" s="70" t="s">
        <v>744</v>
      </c>
      <c r="I1" s="69" t="s">
        <v>747</v>
      </c>
      <c r="J1" s="69" t="s">
        <v>748</v>
      </c>
      <c r="K1" s="69" t="s">
        <v>749</v>
      </c>
      <c r="L1" s="69" t="s">
        <v>750</v>
      </c>
      <c r="M1" s="69" t="s">
        <v>751</v>
      </c>
      <c r="N1" s="69" t="s">
        <v>752</v>
      </c>
      <c r="O1" s="70" t="s">
        <v>753</v>
      </c>
    </row>
    <row r="2" spans="1:15">
      <c r="A2" s="30">
        <v>1221154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50</v>
      </c>
      <c r="L2" s="32">
        <v>0</v>
      </c>
      <c r="M2" s="32">
        <v>0</v>
      </c>
      <c r="N2" s="32">
        <v>0</v>
      </c>
      <c r="O2" s="32">
        <v>0</v>
      </c>
    </row>
    <row r="3" spans="1:15">
      <c r="A3" s="30">
        <v>1234614</v>
      </c>
      <c r="B3" s="32">
        <v>396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352</v>
      </c>
      <c r="L3" s="32">
        <v>50</v>
      </c>
      <c r="M3" s="32">
        <v>0</v>
      </c>
      <c r="N3" s="32">
        <v>0</v>
      </c>
      <c r="O3" s="32">
        <v>0</v>
      </c>
    </row>
    <row r="4" spans="1:15">
      <c r="A4" s="30">
        <v>1226384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360</v>
      </c>
      <c r="J4" s="32">
        <v>100</v>
      </c>
      <c r="K4" s="32">
        <v>400</v>
      </c>
      <c r="L4" s="32">
        <v>0</v>
      </c>
      <c r="M4" s="32">
        <v>0</v>
      </c>
      <c r="N4" s="32">
        <v>0</v>
      </c>
      <c r="O4" s="32">
        <v>0</v>
      </c>
    </row>
    <row r="5" spans="1:15">
      <c r="A5" s="30">
        <v>1226388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360</v>
      </c>
      <c r="J5" s="32">
        <v>100</v>
      </c>
      <c r="K5" s="32">
        <v>400</v>
      </c>
      <c r="L5" s="32">
        <v>0</v>
      </c>
      <c r="M5" s="32">
        <v>0</v>
      </c>
      <c r="N5" s="32">
        <v>0</v>
      </c>
      <c r="O5" s="32">
        <v>0</v>
      </c>
    </row>
    <row r="6" spans="1:15">
      <c r="A6" s="30">
        <v>1229673</v>
      </c>
      <c r="B6" s="32">
        <v>200</v>
      </c>
      <c r="C6" s="32">
        <v>200</v>
      </c>
      <c r="D6" s="32">
        <v>200</v>
      </c>
      <c r="E6" s="17">
        <v>200</v>
      </c>
      <c r="F6" s="32">
        <v>242</v>
      </c>
      <c r="G6" s="32">
        <v>0</v>
      </c>
      <c r="H6" s="32">
        <v>0</v>
      </c>
      <c r="I6" s="32">
        <v>250</v>
      </c>
      <c r="J6" s="32">
        <v>250</v>
      </c>
      <c r="K6" s="32">
        <v>250</v>
      </c>
      <c r="L6" s="32">
        <v>250</v>
      </c>
      <c r="M6" s="32">
        <v>200</v>
      </c>
      <c r="N6" s="32">
        <v>0</v>
      </c>
      <c r="O6" s="32">
        <v>0</v>
      </c>
    </row>
    <row r="7" spans="1:15">
      <c r="A7" s="30">
        <v>1230854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200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</row>
    <row r="8" spans="1:15">
      <c r="A8" s="30">
        <v>1233632</v>
      </c>
      <c r="B8" s="32">
        <v>0</v>
      </c>
      <c r="C8" s="32">
        <v>0</v>
      </c>
      <c r="D8" s="32">
        <v>0</v>
      </c>
      <c r="E8" s="17">
        <v>346</v>
      </c>
      <c r="F8" s="32">
        <v>330</v>
      </c>
      <c r="G8" s="32">
        <v>0</v>
      </c>
      <c r="H8" s="32">
        <v>0</v>
      </c>
      <c r="I8" s="32">
        <v>406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</row>
    <row r="9" spans="1:15">
      <c r="A9" s="30">
        <v>1232693</v>
      </c>
      <c r="B9" s="32">
        <v>141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</row>
    <row r="10" spans="1:15">
      <c r="A10" s="30">
        <v>1233025</v>
      </c>
      <c r="B10" s="32">
        <v>141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</row>
    <row r="11" spans="1:15">
      <c r="A11" s="30">
        <v>1237088</v>
      </c>
      <c r="B11" s="32">
        <v>764</v>
      </c>
      <c r="C11" s="32">
        <v>1022</v>
      </c>
      <c r="D11" s="32">
        <v>694</v>
      </c>
      <c r="E11" s="17">
        <v>1286</v>
      </c>
      <c r="F11" s="32">
        <v>1570</v>
      </c>
      <c r="G11" s="32">
        <v>0</v>
      </c>
      <c r="H11" s="32">
        <v>0</v>
      </c>
      <c r="I11" s="32">
        <v>1276</v>
      </c>
      <c r="J11" s="32">
        <v>906</v>
      </c>
      <c r="K11" s="32">
        <v>1006</v>
      </c>
      <c r="L11" s="32">
        <v>942</v>
      </c>
      <c r="M11" s="32">
        <v>1496</v>
      </c>
      <c r="N11" s="32">
        <v>0</v>
      </c>
      <c r="O11" s="32">
        <v>0</v>
      </c>
    </row>
    <row r="12" spans="1:15">
      <c r="A12" s="30">
        <v>1237748</v>
      </c>
      <c r="B12" s="32">
        <v>0</v>
      </c>
      <c r="C12" s="32">
        <v>0</v>
      </c>
      <c r="D12" s="32">
        <v>0</v>
      </c>
      <c r="E12" s="17">
        <v>260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</row>
    <row r="13" spans="1:15">
      <c r="A13" s="30">
        <v>1231898</v>
      </c>
      <c r="B13" s="32">
        <v>0</v>
      </c>
      <c r="C13" s="32">
        <v>500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</row>
    <row r="14" spans="1:15">
      <c r="A14" s="30">
        <v>1237586</v>
      </c>
      <c r="B14" s="32">
        <v>0</v>
      </c>
      <c r="C14" s="32">
        <v>500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</row>
    <row r="15" spans="1:15">
      <c r="A15" s="30">
        <v>1236091</v>
      </c>
      <c r="B15" s="32">
        <v>200</v>
      </c>
      <c r="C15" s="32">
        <v>100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200</v>
      </c>
      <c r="L15" s="32">
        <v>0</v>
      </c>
      <c r="M15" s="32">
        <v>0</v>
      </c>
      <c r="N15" s="32">
        <v>0</v>
      </c>
      <c r="O15" s="32">
        <v>0</v>
      </c>
    </row>
    <row r="16" spans="1:15">
      <c r="A16" s="30">
        <v>1238128</v>
      </c>
      <c r="B16" s="32">
        <v>582</v>
      </c>
      <c r="C16" s="32">
        <v>244</v>
      </c>
      <c r="D16" s="32">
        <v>0</v>
      </c>
      <c r="E16" s="17">
        <v>404</v>
      </c>
      <c r="F16" s="32">
        <v>377</v>
      </c>
      <c r="G16" s="32">
        <v>0</v>
      </c>
      <c r="H16" s="32">
        <v>0</v>
      </c>
      <c r="I16" s="32">
        <v>480</v>
      </c>
      <c r="J16" s="32">
        <v>480</v>
      </c>
      <c r="K16" s="32">
        <v>378</v>
      </c>
      <c r="L16" s="32">
        <v>912</v>
      </c>
      <c r="M16" s="32">
        <v>960</v>
      </c>
      <c r="N16" s="32">
        <v>0</v>
      </c>
      <c r="O16" s="32">
        <v>0</v>
      </c>
    </row>
    <row r="17" spans="1:15">
      <c r="A17" s="30">
        <v>1236962</v>
      </c>
      <c r="B17" s="32">
        <v>0</v>
      </c>
      <c r="C17" s="32">
        <v>300</v>
      </c>
      <c r="D17" s="32">
        <v>200</v>
      </c>
      <c r="E17" s="17">
        <v>400</v>
      </c>
      <c r="F17" s="32">
        <v>400</v>
      </c>
      <c r="G17" s="32">
        <v>0</v>
      </c>
      <c r="H17" s="32">
        <v>0</v>
      </c>
      <c r="I17" s="32">
        <v>250</v>
      </c>
      <c r="J17" s="32">
        <v>250</v>
      </c>
      <c r="K17" s="32">
        <v>0</v>
      </c>
      <c r="L17" s="32">
        <v>250</v>
      </c>
      <c r="M17" s="32">
        <v>250</v>
      </c>
      <c r="N17" s="32">
        <v>0</v>
      </c>
      <c r="O17" s="32">
        <v>0</v>
      </c>
    </row>
    <row r="18" spans="1:15">
      <c r="A18" s="30">
        <v>1233761</v>
      </c>
      <c r="B18" s="32">
        <v>0</v>
      </c>
      <c r="C18" s="32">
        <v>200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250</v>
      </c>
      <c r="M18" s="32">
        <v>0</v>
      </c>
      <c r="N18" s="32">
        <v>0</v>
      </c>
      <c r="O18" s="32">
        <v>0</v>
      </c>
    </row>
    <row r="19" spans="1:15">
      <c r="A19" s="30">
        <v>1239651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250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</row>
    <row r="20" spans="1:15">
      <c r="A20" s="30">
        <v>1241134</v>
      </c>
      <c r="B20" s="32">
        <v>0</v>
      </c>
      <c r="C20" s="32">
        <v>126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</row>
    <row r="21" spans="1:15">
      <c r="A21" s="30">
        <v>1239988</v>
      </c>
      <c r="B21" s="32">
        <v>382</v>
      </c>
      <c r="C21" s="32">
        <v>454</v>
      </c>
      <c r="D21" s="32">
        <v>356</v>
      </c>
      <c r="E21" s="17">
        <v>454</v>
      </c>
      <c r="F21" s="32">
        <v>356</v>
      </c>
      <c r="G21" s="32">
        <v>0</v>
      </c>
      <c r="H21" s="32">
        <v>0</v>
      </c>
      <c r="I21" s="32">
        <v>454</v>
      </c>
      <c r="J21" s="32">
        <v>454</v>
      </c>
      <c r="K21" s="32">
        <v>356</v>
      </c>
      <c r="L21" s="32">
        <v>454</v>
      </c>
      <c r="M21" s="32">
        <v>454</v>
      </c>
      <c r="N21" s="32">
        <v>0</v>
      </c>
      <c r="O21" s="32">
        <v>0</v>
      </c>
    </row>
    <row r="22" spans="1:15">
      <c r="A22" s="30">
        <v>1240180</v>
      </c>
      <c r="B22" s="32">
        <v>242</v>
      </c>
      <c r="C22" s="32">
        <v>516</v>
      </c>
      <c r="D22" s="32">
        <v>560</v>
      </c>
      <c r="E22" s="17">
        <v>100</v>
      </c>
      <c r="F22" s="32">
        <v>0</v>
      </c>
      <c r="G22" s="32">
        <v>0</v>
      </c>
      <c r="H22" s="32">
        <v>0</v>
      </c>
      <c r="I22" s="32">
        <v>0</v>
      </c>
      <c r="J22" s="32">
        <v>390</v>
      </c>
      <c r="K22" s="32">
        <v>280</v>
      </c>
      <c r="L22" s="32">
        <v>358</v>
      </c>
      <c r="M22" s="32">
        <v>358</v>
      </c>
      <c r="N22" s="32">
        <v>0</v>
      </c>
      <c r="O22" s="32">
        <v>0</v>
      </c>
    </row>
    <row r="23" spans="1:15">
      <c r="A23" s="30">
        <v>1240184</v>
      </c>
      <c r="B23" s="32">
        <v>242</v>
      </c>
      <c r="C23" s="32">
        <v>516</v>
      </c>
      <c r="D23" s="32">
        <v>560</v>
      </c>
      <c r="E23" s="17">
        <v>100</v>
      </c>
      <c r="F23" s="32">
        <v>0</v>
      </c>
      <c r="G23" s="32">
        <v>0</v>
      </c>
      <c r="H23" s="32">
        <v>0</v>
      </c>
      <c r="I23" s="32">
        <v>0</v>
      </c>
      <c r="J23" s="32">
        <v>390</v>
      </c>
      <c r="K23" s="32">
        <v>280</v>
      </c>
      <c r="L23" s="32">
        <v>358</v>
      </c>
      <c r="M23" s="32">
        <v>358</v>
      </c>
      <c r="N23" s="32">
        <v>0</v>
      </c>
      <c r="O23" s="32">
        <v>0</v>
      </c>
    </row>
    <row r="24" spans="1:15">
      <c r="A24" s="30">
        <v>1240308</v>
      </c>
      <c r="B24" s="32">
        <v>250</v>
      </c>
      <c r="C24" s="32">
        <v>0</v>
      </c>
      <c r="D24" s="32">
        <v>500</v>
      </c>
      <c r="E24" s="17">
        <v>250</v>
      </c>
      <c r="F24" s="32">
        <v>0</v>
      </c>
      <c r="G24" s="32">
        <v>0</v>
      </c>
      <c r="H24" s="32">
        <v>0</v>
      </c>
      <c r="I24" s="32">
        <v>0</v>
      </c>
      <c r="J24" s="32">
        <v>200</v>
      </c>
      <c r="K24" s="32">
        <v>0</v>
      </c>
      <c r="L24" s="32">
        <v>350</v>
      </c>
      <c r="M24" s="32">
        <v>200</v>
      </c>
      <c r="N24" s="32">
        <v>0</v>
      </c>
      <c r="O24" s="32">
        <v>0</v>
      </c>
    </row>
    <row r="29" spans="1:15">
      <c r="A29" s="5" t="s">
        <v>0</v>
      </c>
      <c r="B29" s="9" t="s">
        <v>738</v>
      </c>
      <c r="C29" s="9" t="s">
        <v>739</v>
      </c>
      <c r="D29" s="9" t="s">
        <v>740</v>
      </c>
      <c r="E29" s="9" t="s">
        <v>741</v>
      </c>
      <c r="F29" s="9" t="s">
        <v>742</v>
      </c>
      <c r="G29" s="9" t="s">
        <v>743</v>
      </c>
      <c r="H29" s="9" t="s">
        <v>744</v>
      </c>
      <c r="I29" s="9" t="s">
        <v>747</v>
      </c>
      <c r="J29" s="9" t="s">
        <v>748</v>
      </c>
      <c r="K29" s="9" t="s">
        <v>749</v>
      </c>
      <c r="L29" s="9" t="s">
        <v>750</v>
      </c>
      <c r="M29" s="9" t="s">
        <v>751</v>
      </c>
      <c r="N29" s="9" t="s">
        <v>752</v>
      </c>
      <c r="O29" s="9" t="s">
        <v>753</v>
      </c>
    </row>
    <row r="30" spans="1:15">
      <c r="A30" s="5">
        <v>1237608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350</v>
      </c>
      <c r="K30" s="9">
        <v>250</v>
      </c>
      <c r="L30" s="9">
        <v>0</v>
      </c>
      <c r="M30" s="9">
        <v>0</v>
      </c>
      <c r="N30" s="9">
        <v>0</v>
      </c>
      <c r="O30" s="9">
        <v>0</v>
      </c>
    </row>
    <row r="31" spans="1:15">
      <c r="A31" s="5">
        <v>1232846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327</v>
      </c>
      <c r="K31" s="9">
        <v>352</v>
      </c>
      <c r="L31" s="9">
        <v>21</v>
      </c>
      <c r="M31" s="9">
        <v>0</v>
      </c>
      <c r="N31" s="9">
        <v>0</v>
      </c>
      <c r="O31" s="9">
        <v>0</v>
      </c>
    </row>
    <row r="32" spans="1:15">
      <c r="A32" s="5">
        <v>1232895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327</v>
      </c>
      <c r="K32" s="9">
        <v>352</v>
      </c>
      <c r="L32" s="9">
        <v>21</v>
      </c>
      <c r="M32" s="9">
        <v>0</v>
      </c>
      <c r="N32" s="9">
        <v>0</v>
      </c>
      <c r="O32" s="9">
        <v>0</v>
      </c>
    </row>
    <row r="33" spans="1:15">
      <c r="A33" s="5">
        <v>1233384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327</v>
      </c>
      <c r="K33" s="9">
        <v>352</v>
      </c>
      <c r="L33" s="9">
        <v>21</v>
      </c>
      <c r="M33" s="9">
        <v>0</v>
      </c>
      <c r="N33" s="9">
        <v>0</v>
      </c>
      <c r="O33" s="9">
        <v>0</v>
      </c>
    </row>
    <row r="34" spans="1:15">
      <c r="A34" s="5">
        <v>1236110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300</v>
      </c>
      <c r="M34" s="9">
        <v>0</v>
      </c>
      <c r="N34" s="9">
        <v>0</v>
      </c>
      <c r="O34" s="9">
        <v>0</v>
      </c>
    </row>
    <row r="35" spans="1:15">
      <c r="A35" s="5">
        <v>1236387</v>
      </c>
      <c r="B35" s="9">
        <v>0</v>
      </c>
      <c r="C35" s="9">
        <v>0</v>
      </c>
      <c r="D35" s="98">
        <v>265</v>
      </c>
      <c r="E35" s="98">
        <v>395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>
      <c r="A36" s="5">
        <v>1232775</v>
      </c>
      <c r="B36" s="9">
        <v>575</v>
      </c>
      <c r="C36" s="9">
        <v>616</v>
      </c>
      <c r="D36" s="98">
        <v>277</v>
      </c>
      <c r="E36" s="98">
        <v>311</v>
      </c>
      <c r="F36" s="98">
        <v>14</v>
      </c>
      <c r="G36" s="9">
        <v>0</v>
      </c>
      <c r="H36" s="9">
        <v>0</v>
      </c>
      <c r="I36" s="9">
        <v>0</v>
      </c>
      <c r="J36" s="9">
        <v>288</v>
      </c>
      <c r="K36" s="9">
        <v>243</v>
      </c>
      <c r="L36" s="9">
        <v>309</v>
      </c>
      <c r="M36" s="9">
        <v>309</v>
      </c>
      <c r="N36" s="9">
        <v>0</v>
      </c>
      <c r="O36" s="9">
        <v>0</v>
      </c>
    </row>
    <row r="37" spans="1:15">
      <c r="A37" s="5">
        <v>1238605</v>
      </c>
      <c r="B37" s="9">
        <v>0</v>
      </c>
      <c r="C37" s="9">
        <v>0</v>
      </c>
      <c r="D37" s="9">
        <v>0</v>
      </c>
      <c r="E37" s="9">
        <v>0</v>
      </c>
      <c r="F37" s="9">
        <v>189</v>
      </c>
      <c r="G37" s="9">
        <v>0</v>
      </c>
      <c r="H37" s="9">
        <v>0</v>
      </c>
      <c r="I37" s="9">
        <v>238</v>
      </c>
      <c r="J37" s="9">
        <v>6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42" spans="1:15">
      <c r="A42" s="5" t="s">
        <v>0</v>
      </c>
      <c r="B42" s="9" t="s">
        <v>738</v>
      </c>
      <c r="C42" s="9" t="s">
        <v>739</v>
      </c>
      <c r="D42" s="9" t="s">
        <v>740</v>
      </c>
      <c r="E42" s="9" t="s">
        <v>741</v>
      </c>
      <c r="F42" s="9" t="s">
        <v>742</v>
      </c>
      <c r="G42" s="9" t="s">
        <v>743</v>
      </c>
      <c r="H42" s="9" t="s">
        <v>744</v>
      </c>
      <c r="I42" s="9" t="s">
        <v>747</v>
      </c>
      <c r="J42" s="9" t="s">
        <v>748</v>
      </c>
      <c r="K42" s="9" t="s">
        <v>749</v>
      </c>
      <c r="L42" s="9" t="s">
        <v>750</v>
      </c>
      <c r="M42" s="9" t="s">
        <v>751</v>
      </c>
      <c r="N42" s="9" t="s">
        <v>752</v>
      </c>
      <c r="O42" s="9" t="s">
        <v>753</v>
      </c>
    </row>
    <row r="43" spans="1:15">
      <c r="A43" s="5">
        <v>1221967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176</v>
      </c>
      <c r="L43" s="9">
        <v>0</v>
      </c>
      <c r="M43" s="9">
        <v>0</v>
      </c>
      <c r="N43" s="9">
        <v>0</v>
      </c>
      <c r="O43" s="9">
        <v>0</v>
      </c>
    </row>
    <row r="44" spans="1:15">
      <c r="A44" s="5">
        <v>1227306</v>
      </c>
      <c r="B44" s="9">
        <v>452</v>
      </c>
      <c r="C44" s="9">
        <v>45</v>
      </c>
      <c r="D44" s="9">
        <v>277</v>
      </c>
      <c r="E44" s="9">
        <v>123</v>
      </c>
      <c r="F44" s="9">
        <v>0</v>
      </c>
      <c r="G44" s="9">
        <v>0</v>
      </c>
      <c r="H44" s="9">
        <v>0</v>
      </c>
      <c r="I44" s="9">
        <v>0</v>
      </c>
      <c r="J44" s="9">
        <v>510</v>
      </c>
      <c r="K44" s="9">
        <v>400</v>
      </c>
      <c r="L44" s="9">
        <v>0</v>
      </c>
      <c r="M44" s="9">
        <v>0</v>
      </c>
      <c r="N44" s="9">
        <v>0</v>
      </c>
      <c r="O44" s="9">
        <v>0</v>
      </c>
    </row>
    <row r="45" spans="1:15">
      <c r="A45" s="5">
        <v>1227359</v>
      </c>
      <c r="B45" s="9">
        <v>0</v>
      </c>
      <c r="C45" s="9">
        <v>0</v>
      </c>
      <c r="D45" s="9">
        <v>0</v>
      </c>
      <c r="E45" s="18">
        <v>86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>
      <c r="A46" s="5">
        <v>1229088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500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5">
        <v>1231090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200</v>
      </c>
      <c r="N47" s="9">
        <v>0</v>
      </c>
      <c r="O47" s="9">
        <v>0</v>
      </c>
    </row>
    <row r="48" spans="1:15">
      <c r="A48" s="5">
        <v>1229776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200</v>
      </c>
      <c r="N48" s="9">
        <v>0</v>
      </c>
      <c r="O48" s="9">
        <v>0</v>
      </c>
    </row>
    <row r="49" spans="1:15">
      <c r="A49" s="5">
        <v>1231797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113</v>
      </c>
      <c r="L49" s="9">
        <v>0</v>
      </c>
      <c r="M49" s="9">
        <v>0</v>
      </c>
      <c r="N49" s="9">
        <v>0</v>
      </c>
      <c r="O49" s="9">
        <v>0</v>
      </c>
    </row>
    <row r="50" spans="1:15">
      <c r="A50" s="5">
        <v>1232528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163</v>
      </c>
      <c r="J50" s="9">
        <v>686</v>
      </c>
      <c r="K50" s="9">
        <v>539</v>
      </c>
      <c r="L50" s="9">
        <v>649</v>
      </c>
      <c r="M50" s="9">
        <v>0</v>
      </c>
      <c r="N50" s="9">
        <v>0</v>
      </c>
      <c r="O50" s="9">
        <v>0</v>
      </c>
    </row>
    <row r="51" spans="1:15">
      <c r="A51" s="5">
        <v>1233587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10</v>
      </c>
      <c r="L51" s="9">
        <v>0</v>
      </c>
      <c r="M51" s="9">
        <v>0</v>
      </c>
      <c r="N51" s="9">
        <v>0</v>
      </c>
      <c r="O51" s="9">
        <v>0</v>
      </c>
    </row>
    <row r="52" spans="1:15">
      <c r="A52" s="5">
        <v>1232846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176</v>
      </c>
      <c r="L52" s="9">
        <v>0</v>
      </c>
      <c r="M52" s="9">
        <v>0</v>
      </c>
      <c r="N52" s="9">
        <v>0</v>
      </c>
      <c r="O52" s="9">
        <v>0</v>
      </c>
    </row>
    <row r="53" spans="1:15">
      <c r="A53" s="5">
        <v>1232693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54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1:15">
      <c r="A54" s="5">
        <v>1233025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54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</row>
    <row r="55" spans="1:15">
      <c r="A55" s="5">
        <v>1235097</v>
      </c>
      <c r="B55" s="9">
        <v>0</v>
      </c>
      <c r="C55" s="9">
        <v>290</v>
      </c>
      <c r="D55" s="9">
        <v>38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350</v>
      </c>
      <c r="M55" s="9">
        <v>200</v>
      </c>
      <c r="N55" s="9">
        <v>0</v>
      </c>
      <c r="O55" s="9">
        <v>0</v>
      </c>
    </row>
    <row r="56" spans="1:15">
      <c r="A56" s="5">
        <v>1235958</v>
      </c>
      <c r="B56" s="9">
        <v>0</v>
      </c>
      <c r="C56" s="9">
        <v>0</v>
      </c>
      <c r="D56" s="9">
        <v>0</v>
      </c>
      <c r="E56" s="18">
        <v>12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1:15">
      <c r="A57" s="5">
        <v>1235845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1038</v>
      </c>
      <c r="N57" s="9">
        <v>0</v>
      </c>
      <c r="O57" s="9">
        <v>0</v>
      </c>
    </row>
    <row r="58" spans="1:15">
      <c r="A58" s="5">
        <v>1236600</v>
      </c>
      <c r="B58" s="9">
        <v>0</v>
      </c>
      <c r="C58" s="9">
        <v>0</v>
      </c>
      <c r="D58" s="9">
        <v>0</v>
      </c>
      <c r="E58" s="18">
        <v>289</v>
      </c>
      <c r="F58" s="9">
        <v>419</v>
      </c>
      <c r="G58" s="9">
        <v>0</v>
      </c>
      <c r="H58" s="9">
        <v>0</v>
      </c>
      <c r="I58" s="9">
        <v>242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  <row r="59" spans="1:15">
      <c r="A59" s="5">
        <v>1236601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74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>
      <c r="A60" s="5">
        <v>1236619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10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</row>
    <row r="61" spans="1:15">
      <c r="A61" s="5">
        <v>1236930</v>
      </c>
      <c r="B61" s="9">
        <v>0</v>
      </c>
      <c r="C61" s="9">
        <v>0</v>
      </c>
      <c r="D61" s="9">
        <v>249</v>
      </c>
      <c r="E61" s="9">
        <v>336</v>
      </c>
      <c r="F61" s="18">
        <v>45</v>
      </c>
      <c r="G61" s="9">
        <v>0</v>
      </c>
      <c r="H61" s="9">
        <v>0</v>
      </c>
      <c r="I61" s="9">
        <v>116</v>
      </c>
      <c r="J61" s="9">
        <v>0</v>
      </c>
      <c r="K61" s="9">
        <v>300</v>
      </c>
      <c r="L61" s="9">
        <v>200</v>
      </c>
      <c r="M61" s="9">
        <v>0</v>
      </c>
      <c r="N61" s="9">
        <v>0</v>
      </c>
      <c r="O61" s="9">
        <v>0</v>
      </c>
    </row>
    <row r="62" spans="1:15">
      <c r="A62" s="5">
        <v>1237468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87</v>
      </c>
      <c r="L62" s="9">
        <v>0</v>
      </c>
      <c r="M62" s="9">
        <v>0</v>
      </c>
      <c r="N62" s="9">
        <v>0</v>
      </c>
      <c r="O62" s="9">
        <v>0</v>
      </c>
    </row>
    <row r="63" spans="1:15">
      <c r="A63" s="5">
        <v>1237457</v>
      </c>
      <c r="B63" s="9">
        <v>0</v>
      </c>
      <c r="C63" s="9">
        <v>18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10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>
      <c r="A64" s="5">
        <v>1237386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10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</row>
    <row r="65" spans="1:15">
      <c r="A65" s="5">
        <v>1234905</v>
      </c>
      <c r="B65" s="9">
        <v>395</v>
      </c>
      <c r="C65" s="9">
        <v>381</v>
      </c>
      <c r="D65" s="9">
        <v>0</v>
      </c>
      <c r="E65" s="9">
        <v>163</v>
      </c>
      <c r="F65" s="110">
        <v>383</v>
      </c>
      <c r="G65" s="9">
        <v>0</v>
      </c>
      <c r="H65" s="9">
        <v>0</v>
      </c>
      <c r="I65" s="9">
        <v>600</v>
      </c>
      <c r="J65" s="9">
        <v>200</v>
      </c>
      <c r="K65" s="9">
        <v>0</v>
      </c>
      <c r="L65" s="9">
        <v>200</v>
      </c>
      <c r="M65" s="9">
        <v>400</v>
      </c>
      <c r="N65" s="9">
        <v>0</v>
      </c>
      <c r="O65" s="9">
        <v>0</v>
      </c>
    </row>
    <row r="66" spans="1:15">
      <c r="A66" s="5">
        <v>1238480</v>
      </c>
      <c r="B66" s="9">
        <v>1526</v>
      </c>
      <c r="C66" s="9">
        <v>1660</v>
      </c>
      <c r="D66" s="9">
        <v>1009</v>
      </c>
      <c r="E66" s="18">
        <v>1061</v>
      </c>
      <c r="F66" s="9">
        <v>685</v>
      </c>
      <c r="G66" s="9">
        <v>0</v>
      </c>
      <c r="H66" s="9">
        <v>0</v>
      </c>
      <c r="I66" s="9">
        <v>873</v>
      </c>
      <c r="J66" s="9">
        <v>757</v>
      </c>
      <c r="K66" s="9">
        <v>700</v>
      </c>
      <c r="L66" s="9">
        <v>1197</v>
      </c>
      <c r="M66" s="9">
        <v>1340</v>
      </c>
      <c r="N66" s="9">
        <v>0</v>
      </c>
      <c r="O66" s="9">
        <v>0</v>
      </c>
    </row>
    <row r="67" spans="1:15">
      <c r="A67" s="5">
        <v>1238453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107</v>
      </c>
      <c r="J67" s="9">
        <v>293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</row>
    <row r="68" spans="1:15">
      <c r="A68" s="5">
        <v>1232775</v>
      </c>
      <c r="B68" s="9">
        <v>0</v>
      </c>
      <c r="C68" s="9">
        <v>0</v>
      </c>
      <c r="D68" s="9">
        <v>0</v>
      </c>
      <c r="E68" s="9">
        <v>0</v>
      </c>
      <c r="F68" s="9">
        <v>216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>
      <c r="A69" s="5">
        <v>1240029</v>
      </c>
      <c r="B69" s="9">
        <v>492</v>
      </c>
      <c r="C69" s="9">
        <v>377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281</v>
      </c>
      <c r="N69" s="9">
        <v>0</v>
      </c>
      <c r="O69" s="9">
        <v>0</v>
      </c>
    </row>
    <row r="70" spans="1:15">
      <c r="A70" s="5">
        <v>1240032</v>
      </c>
      <c r="B70" s="9">
        <v>492</v>
      </c>
      <c r="C70" s="9">
        <v>377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281</v>
      </c>
      <c r="N70" s="9">
        <v>0</v>
      </c>
      <c r="O70" s="9">
        <v>0</v>
      </c>
    </row>
    <row r="71" spans="1:15">
      <c r="A71" s="5">
        <v>1240180</v>
      </c>
      <c r="B71" s="9">
        <v>0</v>
      </c>
      <c r="C71" s="9">
        <v>0</v>
      </c>
      <c r="D71" s="9">
        <v>0</v>
      </c>
      <c r="E71" s="9">
        <v>0</v>
      </c>
      <c r="F71" s="18">
        <v>114</v>
      </c>
      <c r="G71" s="9">
        <v>0</v>
      </c>
      <c r="H71" s="9">
        <v>0</v>
      </c>
      <c r="I71" s="9">
        <v>236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</row>
    <row r="72" spans="1:15">
      <c r="A72" s="5">
        <v>1240184</v>
      </c>
      <c r="B72" s="9">
        <v>0</v>
      </c>
      <c r="C72" s="9">
        <v>0</v>
      </c>
      <c r="D72" s="9">
        <v>0</v>
      </c>
      <c r="E72" s="9">
        <v>0</v>
      </c>
      <c r="F72" s="18">
        <v>114</v>
      </c>
      <c r="G72" s="9">
        <v>0</v>
      </c>
      <c r="H72" s="9">
        <v>0</v>
      </c>
      <c r="I72" s="9">
        <v>236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</row>
    <row r="73" spans="1:15">
      <c r="A73" s="5">
        <v>1216452</v>
      </c>
      <c r="B73" s="9">
        <v>0</v>
      </c>
      <c r="C73" s="9">
        <v>0</v>
      </c>
      <c r="D73" s="18">
        <v>594</v>
      </c>
      <c r="E73" s="9">
        <v>929</v>
      </c>
      <c r="F73" s="9">
        <v>387</v>
      </c>
      <c r="G73" s="9">
        <v>0</v>
      </c>
      <c r="H73" s="9">
        <v>0</v>
      </c>
      <c r="I73" s="9">
        <v>0</v>
      </c>
      <c r="J73" s="9">
        <v>191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1:15">
      <c r="A74" s="5">
        <v>1230791</v>
      </c>
      <c r="B74" s="9">
        <v>0</v>
      </c>
      <c r="C74" s="9">
        <v>0</v>
      </c>
      <c r="D74" s="9">
        <v>0</v>
      </c>
      <c r="E74" s="9">
        <v>0</v>
      </c>
      <c r="F74" s="9">
        <v>275</v>
      </c>
      <c r="G74" s="9">
        <v>0</v>
      </c>
      <c r="H74" s="9">
        <v>0</v>
      </c>
      <c r="I74" s="9">
        <v>625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</row>
    <row r="75" spans="1:15">
      <c r="A75" s="5">
        <v>1231011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400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>
      <c r="A76" s="5">
        <v>1232895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176</v>
      </c>
      <c r="L76" s="9">
        <v>0</v>
      </c>
      <c r="M76" s="9">
        <v>0</v>
      </c>
      <c r="N76" s="9">
        <v>0</v>
      </c>
      <c r="O76" s="9">
        <v>0</v>
      </c>
    </row>
    <row r="77" spans="1:15">
      <c r="A77" s="5">
        <v>1232922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176</v>
      </c>
      <c r="L77" s="9">
        <v>0</v>
      </c>
      <c r="M77" s="9">
        <v>0</v>
      </c>
      <c r="N77" s="9">
        <v>0</v>
      </c>
      <c r="O77" s="9">
        <v>0</v>
      </c>
    </row>
  </sheetData>
  <autoFilter ref="A1:O24" xr:uid="{438C7108-DC52-41AF-B720-94AD934910EB}"/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7057-CD42-49C3-A4A1-C12018521503}">
  <dimension ref="A1:V86"/>
  <sheetViews>
    <sheetView topLeftCell="A25" zoomScale="145" zoomScaleNormal="145" workbookViewId="0">
      <selection activeCell="G79" sqref="G79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3" width="9.5" style="9" customWidth="1"/>
    <col min="4" max="4" width="9.6640625" style="9" customWidth="1"/>
    <col min="5" max="20" width="9.5" style="9" customWidth="1"/>
    <col min="21" max="21" width="9.5" style="9" bestFit="1" customWidth="1"/>
    <col min="22" max="16384" width="9.33203125" style="5"/>
  </cols>
  <sheetData>
    <row r="1" spans="1:22">
      <c r="A1" s="74" t="s">
        <v>0</v>
      </c>
      <c r="B1" s="69" t="s">
        <v>739</v>
      </c>
      <c r="C1" s="69" t="s">
        <v>740</v>
      </c>
      <c r="D1" s="69" t="s">
        <v>741</v>
      </c>
      <c r="E1" s="69" t="s">
        <v>742</v>
      </c>
      <c r="F1" s="69" t="s">
        <v>743</v>
      </c>
      <c r="G1" s="70" t="s">
        <v>744</v>
      </c>
      <c r="H1" s="69" t="s">
        <v>747</v>
      </c>
      <c r="I1" s="69" t="s">
        <v>748</v>
      </c>
      <c r="J1" s="69" t="s">
        <v>749</v>
      </c>
      <c r="K1" s="69" t="s">
        <v>750</v>
      </c>
      <c r="L1" s="69" t="s">
        <v>751</v>
      </c>
      <c r="M1" s="69" t="s">
        <v>752</v>
      </c>
      <c r="N1" s="70" t="s">
        <v>753</v>
      </c>
      <c r="O1" s="69" t="s">
        <v>757</v>
      </c>
      <c r="P1" s="69" t="s">
        <v>758</v>
      </c>
      <c r="Q1" s="69" t="s">
        <v>759</v>
      </c>
      <c r="R1" s="69" t="s">
        <v>760</v>
      </c>
      <c r="S1" s="69" t="s">
        <v>761</v>
      </c>
      <c r="T1" s="69" t="s">
        <v>762</v>
      </c>
      <c r="U1" s="70" t="s">
        <v>763</v>
      </c>
    </row>
    <row r="2" spans="1:22">
      <c r="A2" s="30">
        <v>1221154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50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  <c r="T2" s="32">
        <v>0</v>
      </c>
      <c r="U2" s="32">
        <v>0</v>
      </c>
      <c r="V2" s="78">
        <f>SUM(B2:U2)</f>
        <v>50</v>
      </c>
    </row>
    <row r="3" spans="1:22">
      <c r="A3" s="111">
        <v>1234614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352</v>
      </c>
      <c r="K3" s="32">
        <v>50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354</v>
      </c>
      <c r="R3" s="32">
        <v>516</v>
      </c>
      <c r="S3" s="32">
        <v>0</v>
      </c>
      <c r="T3" s="32">
        <v>0</v>
      </c>
      <c r="U3" s="32">
        <v>0</v>
      </c>
      <c r="V3" s="78">
        <f t="shared" ref="V3:V22" si="0">SUM(B3:U3)</f>
        <v>1272</v>
      </c>
    </row>
    <row r="4" spans="1:22">
      <c r="A4" s="111">
        <v>1226384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360</v>
      </c>
      <c r="I4" s="32">
        <v>100</v>
      </c>
      <c r="J4" s="32">
        <v>400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  <c r="V4" s="78">
        <f t="shared" si="0"/>
        <v>860</v>
      </c>
    </row>
    <row r="5" spans="1:22">
      <c r="A5" s="30">
        <v>1226388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360</v>
      </c>
      <c r="I5" s="32">
        <v>100</v>
      </c>
      <c r="J5" s="32">
        <v>400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78">
        <f t="shared" si="0"/>
        <v>860</v>
      </c>
    </row>
    <row r="6" spans="1:22">
      <c r="A6" s="30">
        <v>1229673</v>
      </c>
      <c r="B6" s="32">
        <v>200</v>
      </c>
      <c r="C6" s="32">
        <v>200</v>
      </c>
      <c r="D6" s="32">
        <v>200</v>
      </c>
      <c r="E6" s="17">
        <v>242</v>
      </c>
      <c r="F6" s="32">
        <v>0</v>
      </c>
      <c r="G6" s="32">
        <v>0</v>
      </c>
      <c r="H6" s="32">
        <v>250</v>
      </c>
      <c r="I6" s="32">
        <v>250</v>
      </c>
      <c r="J6" s="32">
        <v>250</v>
      </c>
      <c r="K6" s="32">
        <v>250</v>
      </c>
      <c r="L6" s="32">
        <v>200</v>
      </c>
      <c r="M6" s="32">
        <v>0</v>
      </c>
      <c r="N6" s="32">
        <v>0</v>
      </c>
      <c r="O6" s="32">
        <v>300</v>
      </c>
      <c r="P6" s="32">
        <v>200</v>
      </c>
      <c r="Q6" s="32">
        <v>200</v>
      </c>
      <c r="R6" s="32">
        <v>200</v>
      </c>
      <c r="S6" s="32">
        <v>300</v>
      </c>
      <c r="T6" s="32">
        <v>0</v>
      </c>
      <c r="U6" s="32">
        <v>0</v>
      </c>
      <c r="V6" s="78">
        <f t="shared" si="0"/>
        <v>3242</v>
      </c>
    </row>
    <row r="7" spans="1:22">
      <c r="A7" s="30">
        <v>1230854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200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78">
        <f t="shared" si="0"/>
        <v>200</v>
      </c>
    </row>
    <row r="8" spans="1:22">
      <c r="A8" s="30">
        <v>1233632</v>
      </c>
      <c r="B8" s="32">
        <v>0</v>
      </c>
      <c r="C8" s="32">
        <v>0</v>
      </c>
      <c r="D8" s="32">
        <v>346</v>
      </c>
      <c r="E8" s="17">
        <v>330</v>
      </c>
      <c r="F8" s="32">
        <v>0</v>
      </c>
      <c r="G8" s="32">
        <v>0</v>
      </c>
      <c r="H8" s="32">
        <v>406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248</v>
      </c>
      <c r="Q8" s="32">
        <v>153</v>
      </c>
      <c r="R8" s="32">
        <v>0</v>
      </c>
      <c r="S8" s="32">
        <v>0</v>
      </c>
      <c r="T8" s="32">
        <v>0</v>
      </c>
      <c r="U8" s="32">
        <v>0</v>
      </c>
      <c r="V8" s="78">
        <f t="shared" si="0"/>
        <v>1483</v>
      </c>
    </row>
    <row r="9" spans="1:22">
      <c r="A9" s="30">
        <v>1237088</v>
      </c>
      <c r="B9" s="32">
        <v>1022</v>
      </c>
      <c r="C9" s="32">
        <v>694</v>
      </c>
      <c r="D9" s="32">
        <v>1286</v>
      </c>
      <c r="E9" s="17">
        <v>1570</v>
      </c>
      <c r="F9" s="32">
        <v>0</v>
      </c>
      <c r="G9" s="32">
        <v>0</v>
      </c>
      <c r="H9" s="32">
        <v>1276</v>
      </c>
      <c r="I9" s="32">
        <v>906</v>
      </c>
      <c r="J9" s="32">
        <v>1006</v>
      </c>
      <c r="K9" s="32">
        <v>942</v>
      </c>
      <c r="L9" s="32">
        <v>1496</v>
      </c>
      <c r="M9" s="32">
        <v>0</v>
      </c>
      <c r="N9" s="32">
        <v>0</v>
      </c>
      <c r="O9" s="32">
        <v>1388</v>
      </c>
      <c r="P9" s="32">
        <v>724</v>
      </c>
      <c r="Q9" s="32">
        <v>928</v>
      </c>
      <c r="R9" s="32">
        <v>524</v>
      </c>
      <c r="S9" s="32">
        <v>1129</v>
      </c>
      <c r="T9" s="32">
        <v>0</v>
      </c>
      <c r="U9" s="32">
        <v>0</v>
      </c>
      <c r="V9" s="78">
        <f t="shared" si="0"/>
        <v>14891</v>
      </c>
    </row>
    <row r="10" spans="1:22">
      <c r="A10" s="30">
        <v>1237748</v>
      </c>
      <c r="B10" s="32">
        <v>0</v>
      </c>
      <c r="C10" s="32">
        <v>0</v>
      </c>
      <c r="D10" s="32">
        <v>260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78">
        <f t="shared" si="0"/>
        <v>260</v>
      </c>
    </row>
    <row r="11" spans="1:22">
      <c r="A11" s="30">
        <v>1231898</v>
      </c>
      <c r="B11" s="32">
        <v>500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78">
        <f t="shared" si="0"/>
        <v>500</v>
      </c>
    </row>
    <row r="12" spans="1:22">
      <c r="A12" s="30">
        <v>1237586</v>
      </c>
      <c r="B12" s="32">
        <v>500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78">
        <f t="shared" si="0"/>
        <v>500</v>
      </c>
    </row>
    <row r="13" spans="1:22">
      <c r="A13" s="30">
        <v>1236091</v>
      </c>
      <c r="B13" s="32">
        <v>100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200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78">
        <f t="shared" si="0"/>
        <v>300</v>
      </c>
    </row>
    <row r="14" spans="1:22">
      <c r="A14" s="30">
        <v>1238128</v>
      </c>
      <c r="B14" s="32">
        <v>244</v>
      </c>
      <c r="C14" s="32">
        <v>0</v>
      </c>
      <c r="D14" s="32">
        <v>404</v>
      </c>
      <c r="E14" s="17">
        <v>377</v>
      </c>
      <c r="F14" s="32">
        <v>0</v>
      </c>
      <c r="G14" s="32">
        <v>0</v>
      </c>
      <c r="H14" s="32">
        <v>480</v>
      </c>
      <c r="I14" s="32">
        <v>480</v>
      </c>
      <c r="J14" s="32">
        <v>378</v>
      </c>
      <c r="K14" s="32">
        <v>912</v>
      </c>
      <c r="L14" s="32">
        <v>960</v>
      </c>
      <c r="M14" s="32">
        <v>0</v>
      </c>
      <c r="N14" s="32">
        <v>0</v>
      </c>
      <c r="O14" s="32">
        <v>546</v>
      </c>
      <c r="P14" s="32">
        <v>480</v>
      </c>
      <c r="Q14" s="32">
        <v>50</v>
      </c>
      <c r="R14" s="32">
        <v>294</v>
      </c>
      <c r="S14" s="32">
        <v>378</v>
      </c>
      <c r="T14" s="32">
        <v>0</v>
      </c>
      <c r="U14" s="32">
        <v>0</v>
      </c>
      <c r="V14" s="78">
        <f t="shared" si="0"/>
        <v>5983</v>
      </c>
    </row>
    <row r="15" spans="1:22">
      <c r="A15" s="30">
        <v>1236962</v>
      </c>
      <c r="B15" s="32">
        <v>300</v>
      </c>
      <c r="C15" s="32">
        <v>200</v>
      </c>
      <c r="D15" s="32">
        <v>400</v>
      </c>
      <c r="E15" s="17">
        <v>400</v>
      </c>
      <c r="F15" s="32">
        <v>0</v>
      </c>
      <c r="G15" s="32">
        <v>0</v>
      </c>
      <c r="H15" s="32">
        <v>250</v>
      </c>
      <c r="I15" s="32">
        <v>250</v>
      </c>
      <c r="J15" s="32">
        <v>0</v>
      </c>
      <c r="K15" s="32">
        <v>250</v>
      </c>
      <c r="L15" s="32">
        <v>250</v>
      </c>
      <c r="M15" s="32">
        <v>0</v>
      </c>
      <c r="N15" s="32">
        <v>0</v>
      </c>
      <c r="O15" s="32">
        <v>200</v>
      </c>
      <c r="P15" s="32">
        <v>400</v>
      </c>
      <c r="Q15" s="32">
        <v>200</v>
      </c>
      <c r="R15" s="32">
        <v>200</v>
      </c>
      <c r="S15" s="32">
        <v>300</v>
      </c>
      <c r="T15" s="32">
        <v>0</v>
      </c>
      <c r="U15" s="32">
        <v>0</v>
      </c>
      <c r="V15" s="78">
        <f t="shared" si="0"/>
        <v>3600</v>
      </c>
    </row>
    <row r="16" spans="1:22">
      <c r="A16" s="30">
        <v>1233761</v>
      </c>
      <c r="B16" s="32">
        <v>200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250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150</v>
      </c>
      <c r="S16" s="32">
        <v>0</v>
      </c>
      <c r="T16" s="32">
        <v>0</v>
      </c>
      <c r="U16" s="32">
        <v>0</v>
      </c>
      <c r="V16" s="78">
        <f t="shared" si="0"/>
        <v>600</v>
      </c>
    </row>
    <row r="17" spans="1:22">
      <c r="A17" s="30">
        <v>1239651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250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205</v>
      </c>
      <c r="P17" s="32">
        <v>0</v>
      </c>
      <c r="Q17" s="32">
        <v>0</v>
      </c>
      <c r="R17" s="32">
        <v>300</v>
      </c>
      <c r="S17" s="32">
        <v>0</v>
      </c>
      <c r="T17" s="32">
        <v>0</v>
      </c>
      <c r="U17" s="32">
        <v>0</v>
      </c>
      <c r="V17" s="78">
        <f t="shared" si="0"/>
        <v>755</v>
      </c>
    </row>
    <row r="18" spans="1:22">
      <c r="A18" s="30">
        <v>1241134</v>
      </c>
      <c r="B18" s="32">
        <v>126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78">
        <f t="shared" si="0"/>
        <v>126</v>
      </c>
    </row>
    <row r="19" spans="1:22">
      <c r="A19" s="30">
        <v>1239988</v>
      </c>
      <c r="B19" s="32">
        <v>454</v>
      </c>
      <c r="C19" s="32">
        <v>356</v>
      </c>
      <c r="D19" s="32">
        <v>454</v>
      </c>
      <c r="E19" s="17">
        <v>356</v>
      </c>
      <c r="F19" s="32">
        <v>0</v>
      </c>
      <c r="G19" s="32">
        <v>0</v>
      </c>
      <c r="H19" s="32">
        <v>454</v>
      </c>
      <c r="I19" s="32">
        <v>454</v>
      </c>
      <c r="J19" s="32">
        <v>356</v>
      </c>
      <c r="K19" s="32">
        <v>454</v>
      </c>
      <c r="L19" s="32">
        <v>454</v>
      </c>
      <c r="M19" s="32">
        <v>0</v>
      </c>
      <c r="N19" s="32">
        <v>0</v>
      </c>
      <c r="O19" s="32">
        <v>454</v>
      </c>
      <c r="P19" s="32">
        <v>454</v>
      </c>
      <c r="Q19" s="32">
        <v>356</v>
      </c>
      <c r="R19" s="32">
        <v>56</v>
      </c>
      <c r="S19" s="32">
        <v>356</v>
      </c>
      <c r="T19" s="32">
        <v>0</v>
      </c>
      <c r="U19" s="32">
        <v>0</v>
      </c>
      <c r="V19" s="78">
        <f t="shared" si="0"/>
        <v>5468</v>
      </c>
    </row>
    <row r="20" spans="1:22">
      <c r="A20" s="30">
        <v>1240180</v>
      </c>
      <c r="B20" s="32">
        <v>516</v>
      </c>
      <c r="C20" s="32">
        <v>560</v>
      </c>
      <c r="D20" s="32">
        <v>100</v>
      </c>
      <c r="E20" s="32">
        <v>0</v>
      </c>
      <c r="F20" s="32">
        <v>0</v>
      </c>
      <c r="G20" s="32">
        <v>0</v>
      </c>
      <c r="H20" s="32">
        <v>0</v>
      </c>
      <c r="I20" s="32">
        <v>390</v>
      </c>
      <c r="J20" s="32">
        <v>280</v>
      </c>
      <c r="K20" s="32">
        <v>358</v>
      </c>
      <c r="L20" s="32">
        <v>358</v>
      </c>
      <c r="M20" s="32">
        <v>0</v>
      </c>
      <c r="N20" s="32">
        <v>0</v>
      </c>
      <c r="O20" s="32">
        <v>358</v>
      </c>
      <c r="P20" s="32">
        <v>142</v>
      </c>
      <c r="Q20" s="32">
        <v>152</v>
      </c>
      <c r="R20" s="32">
        <v>358</v>
      </c>
      <c r="S20" s="32">
        <v>280</v>
      </c>
      <c r="T20" s="32">
        <v>0</v>
      </c>
      <c r="U20" s="32">
        <v>0</v>
      </c>
      <c r="V20" s="78">
        <f t="shared" si="0"/>
        <v>3852</v>
      </c>
    </row>
    <row r="21" spans="1:22">
      <c r="A21" s="30">
        <v>1240184</v>
      </c>
      <c r="B21" s="32">
        <v>516</v>
      </c>
      <c r="C21" s="32">
        <v>560</v>
      </c>
      <c r="D21" s="32">
        <v>100</v>
      </c>
      <c r="E21" s="32">
        <v>0</v>
      </c>
      <c r="F21" s="32">
        <v>0</v>
      </c>
      <c r="G21" s="32">
        <v>0</v>
      </c>
      <c r="H21" s="32">
        <v>0</v>
      </c>
      <c r="I21" s="32">
        <v>390</v>
      </c>
      <c r="J21" s="32">
        <v>280</v>
      </c>
      <c r="K21" s="32">
        <v>358</v>
      </c>
      <c r="L21" s="32">
        <v>358</v>
      </c>
      <c r="M21" s="32">
        <v>0</v>
      </c>
      <c r="N21" s="32">
        <v>0</v>
      </c>
      <c r="O21" s="32">
        <v>358</v>
      </c>
      <c r="P21" s="32">
        <v>142</v>
      </c>
      <c r="Q21" s="32">
        <v>152</v>
      </c>
      <c r="R21" s="32">
        <v>358</v>
      </c>
      <c r="S21" s="32">
        <v>180</v>
      </c>
      <c r="T21" s="32">
        <v>0</v>
      </c>
      <c r="U21" s="32">
        <v>0</v>
      </c>
      <c r="V21" s="78">
        <f t="shared" si="0"/>
        <v>3752</v>
      </c>
    </row>
    <row r="22" spans="1:22">
      <c r="A22" s="30">
        <v>1240308</v>
      </c>
      <c r="B22" s="32">
        <v>0</v>
      </c>
      <c r="C22" s="32">
        <v>500</v>
      </c>
      <c r="D22" s="32">
        <v>250</v>
      </c>
      <c r="E22" s="32">
        <v>0</v>
      </c>
      <c r="F22" s="32">
        <v>0</v>
      </c>
      <c r="G22" s="32">
        <v>0</v>
      </c>
      <c r="H22" s="32">
        <v>0</v>
      </c>
      <c r="I22" s="32">
        <v>200</v>
      </c>
      <c r="J22" s="32">
        <v>0</v>
      </c>
      <c r="K22" s="32">
        <v>350</v>
      </c>
      <c r="L22" s="32">
        <v>200</v>
      </c>
      <c r="M22" s="32">
        <v>0</v>
      </c>
      <c r="N22" s="32">
        <v>0</v>
      </c>
      <c r="O22" s="32">
        <v>0</v>
      </c>
      <c r="P22" s="32">
        <v>450</v>
      </c>
      <c r="Q22" s="32">
        <v>300</v>
      </c>
      <c r="R22" s="32">
        <v>0</v>
      </c>
      <c r="S22" s="32">
        <v>0</v>
      </c>
      <c r="T22" s="32">
        <v>0</v>
      </c>
      <c r="U22" s="32">
        <v>0</v>
      </c>
      <c r="V22" s="78">
        <f t="shared" si="0"/>
        <v>2250</v>
      </c>
    </row>
    <row r="26" spans="1:22">
      <c r="A26" s="74" t="s">
        <v>0</v>
      </c>
      <c r="B26" s="69" t="s">
        <v>739</v>
      </c>
      <c r="C26" s="69" t="s">
        <v>740</v>
      </c>
      <c r="D26" s="69" t="s">
        <v>741</v>
      </c>
      <c r="E26" s="69" t="s">
        <v>742</v>
      </c>
      <c r="F26" s="69" t="s">
        <v>743</v>
      </c>
      <c r="G26" s="70" t="s">
        <v>744</v>
      </c>
      <c r="H26" s="69" t="s">
        <v>747</v>
      </c>
      <c r="I26" s="69" t="s">
        <v>748</v>
      </c>
      <c r="J26" s="69" t="s">
        <v>749</v>
      </c>
      <c r="K26" s="69" t="s">
        <v>750</v>
      </c>
      <c r="L26" s="69" t="s">
        <v>751</v>
      </c>
      <c r="M26" s="69" t="s">
        <v>752</v>
      </c>
      <c r="N26" s="70" t="s">
        <v>753</v>
      </c>
      <c r="O26" s="69" t="s">
        <v>757</v>
      </c>
      <c r="P26" s="69" t="s">
        <v>758</v>
      </c>
      <c r="Q26" s="69" t="s">
        <v>759</v>
      </c>
      <c r="R26" s="69" t="s">
        <v>760</v>
      </c>
      <c r="S26" s="69" t="s">
        <v>761</v>
      </c>
      <c r="T26" s="69" t="s">
        <v>762</v>
      </c>
      <c r="U26" s="70" t="s">
        <v>763</v>
      </c>
    </row>
    <row r="27" spans="1:22">
      <c r="A27" s="30">
        <v>1237608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115">
        <v>350</v>
      </c>
      <c r="J27" s="32">
        <v>250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</row>
    <row r="28" spans="1:22">
      <c r="A28" s="111">
        <v>1233384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115">
        <v>327</v>
      </c>
      <c r="J28" s="32">
        <v>352</v>
      </c>
      <c r="K28" s="32">
        <v>21</v>
      </c>
      <c r="L28" s="32">
        <v>0</v>
      </c>
      <c r="M28" s="32">
        <v>0</v>
      </c>
      <c r="N28" s="32">
        <v>0</v>
      </c>
      <c r="O28" s="32">
        <v>0</v>
      </c>
      <c r="P28" s="32">
        <v>72</v>
      </c>
      <c r="Q28" s="32">
        <v>352</v>
      </c>
      <c r="R28" s="32">
        <v>449</v>
      </c>
      <c r="S28" s="32">
        <v>7</v>
      </c>
      <c r="T28" s="32">
        <v>0</v>
      </c>
      <c r="U28" s="32">
        <v>0</v>
      </c>
    </row>
    <row r="29" spans="1:22">
      <c r="A29" s="111">
        <v>1232895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115">
        <v>327</v>
      </c>
      <c r="J29" s="32">
        <v>352</v>
      </c>
      <c r="K29" s="32">
        <v>21</v>
      </c>
      <c r="L29" s="32">
        <v>0</v>
      </c>
      <c r="M29" s="32">
        <v>0</v>
      </c>
      <c r="N29" s="32">
        <v>0</v>
      </c>
      <c r="O29" s="32">
        <v>0</v>
      </c>
      <c r="P29" s="32">
        <v>72</v>
      </c>
      <c r="Q29" s="32">
        <v>352</v>
      </c>
      <c r="R29" s="32">
        <v>449</v>
      </c>
      <c r="S29" s="32">
        <v>7</v>
      </c>
      <c r="T29" s="32">
        <v>0</v>
      </c>
      <c r="U29" s="32">
        <v>0</v>
      </c>
    </row>
    <row r="30" spans="1:22">
      <c r="A30" s="30">
        <v>1232846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115">
        <v>327</v>
      </c>
      <c r="J30" s="32">
        <v>352</v>
      </c>
      <c r="K30" s="32">
        <v>21</v>
      </c>
      <c r="L30" s="32">
        <v>0</v>
      </c>
      <c r="M30" s="32">
        <v>0</v>
      </c>
      <c r="N30" s="32">
        <v>0</v>
      </c>
      <c r="O30" s="32">
        <v>0</v>
      </c>
      <c r="P30" s="32">
        <v>72</v>
      </c>
      <c r="Q30" s="32">
        <v>352</v>
      </c>
      <c r="R30" s="32">
        <v>449</v>
      </c>
      <c r="S30" s="32">
        <v>7</v>
      </c>
      <c r="T30" s="32">
        <v>0</v>
      </c>
      <c r="U30" s="32">
        <v>0</v>
      </c>
    </row>
    <row r="31" spans="1:22">
      <c r="A31" s="116">
        <v>1233165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115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250</v>
      </c>
      <c r="T31" s="32">
        <v>0</v>
      </c>
      <c r="U31" s="32">
        <v>0</v>
      </c>
    </row>
    <row r="32" spans="1:22">
      <c r="A32" s="116">
        <v>1236110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115">
        <v>0</v>
      </c>
      <c r="J32" s="32">
        <v>0</v>
      </c>
      <c r="K32" s="32">
        <v>300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</row>
    <row r="33" spans="1:21">
      <c r="A33" s="30">
        <v>1236387</v>
      </c>
      <c r="B33" s="32">
        <v>0</v>
      </c>
      <c r="C33" s="75">
        <v>265</v>
      </c>
      <c r="D33" s="75">
        <v>395</v>
      </c>
      <c r="E33" s="32">
        <v>0</v>
      </c>
      <c r="F33" s="32">
        <v>0</v>
      </c>
      <c r="G33" s="32">
        <v>0</v>
      </c>
      <c r="H33" s="32">
        <v>0</v>
      </c>
      <c r="I33" s="115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411</v>
      </c>
      <c r="P33" s="32">
        <v>325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</row>
    <row r="34" spans="1:21">
      <c r="A34" s="30">
        <v>1232775</v>
      </c>
      <c r="B34" s="75">
        <v>616</v>
      </c>
      <c r="C34" s="75">
        <v>277</v>
      </c>
      <c r="D34" s="75">
        <v>311</v>
      </c>
      <c r="E34" s="75">
        <v>14</v>
      </c>
      <c r="F34" s="32">
        <v>0</v>
      </c>
      <c r="G34" s="32">
        <v>0</v>
      </c>
      <c r="H34" s="32">
        <v>0</v>
      </c>
      <c r="I34" s="115">
        <v>288</v>
      </c>
      <c r="J34" s="32">
        <v>243</v>
      </c>
      <c r="K34" s="32">
        <v>309</v>
      </c>
      <c r="L34" s="32">
        <v>309</v>
      </c>
      <c r="M34" s="32">
        <v>0</v>
      </c>
      <c r="N34" s="32">
        <v>0</v>
      </c>
      <c r="O34" s="32">
        <v>298</v>
      </c>
      <c r="P34" s="32">
        <v>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</row>
    <row r="35" spans="1:21">
      <c r="A35" s="30">
        <v>1238605</v>
      </c>
      <c r="B35" s="32">
        <v>0</v>
      </c>
      <c r="C35" s="32">
        <v>0</v>
      </c>
      <c r="D35" s="32">
        <v>0</v>
      </c>
      <c r="E35" s="17">
        <v>189</v>
      </c>
      <c r="F35" s="17">
        <v>0</v>
      </c>
      <c r="G35" s="17">
        <v>0</v>
      </c>
      <c r="H35" s="17">
        <v>238</v>
      </c>
      <c r="I35" s="115">
        <v>6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42</v>
      </c>
      <c r="Q35" s="32">
        <v>187</v>
      </c>
      <c r="R35" s="32">
        <v>182</v>
      </c>
      <c r="S35" s="32">
        <v>4</v>
      </c>
      <c r="T35" s="32">
        <v>0</v>
      </c>
      <c r="U35" s="32">
        <v>0</v>
      </c>
    </row>
    <row r="38" spans="1:21">
      <c r="A38" s="74" t="s">
        <v>0</v>
      </c>
      <c r="B38" s="69" t="s">
        <v>739</v>
      </c>
      <c r="C38" s="69" t="s">
        <v>740</v>
      </c>
      <c r="D38" s="69" t="s">
        <v>741</v>
      </c>
      <c r="E38" s="69" t="s">
        <v>742</v>
      </c>
      <c r="F38" s="69" t="s">
        <v>743</v>
      </c>
      <c r="G38" s="70" t="s">
        <v>744</v>
      </c>
      <c r="H38" s="69" t="s">
        <v>747</v>
      </c>
      <c r="I38" s="69" t="s">
        <v>748</v>
      </c>
      <c r="J38" s="69" t="s">
        <v>749</v>
      </c>
      <c r="K38" s="69" t="s">
        <v>750</v>
      </c>
      <c r="L38" s="69" t="s">
        <v>751</v>
      </c>
      <c r="M38" s="69" t="s">
        <v>752</v>
      </c>
      <c r="N38" s="70" t="s">
        <v>753</v>
      </c>
      <c r="O38" s="69" t="s">
        <v>757</v>
      </c>
      <c r="P38" s="69" t="s">
        <v>758</v>
      </c>
      <c r="Q38" s="69" t="s">
        <v>759</v>
      </c>
      <c r="R38" s="69" t="s">
        <v>760</v>
      </c>
      <c r="S38" s="69" t="s">
        <v>761</v>
      </c>
      <c r="T38" s="69" t="s">
        <v>762</v>
      </c>
      <c r="U38" s="70" t="s">
        <v>763</v>
      </c>
    </row>
    <row r="39" spans="1:21">
      <c r="A39" s="30">
        <v>1230692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100</v>
      </c>
      <c r="R39" s="32">
        <v>0</v>
      </c>
      <c r="S39" s="32">
        <v>0</v>
      </c>
      <c r="T39" s="32">
        <v>0</v>
      </c>
      <c r="U39" s="32">
        <v>0</v>
      </c>
    </row>
    <row r="40" spans="1:21">
      <c r="A40" s="30">
        <v>1221967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176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</row>
    <row r="41" spans="1:21">
      <c r="A41" s="30">
        <v>1227306</v>
      </c>
      <c r="B41" s="32">
        <v>45</v>
      </c>
      <c r="C41" s="32">
        <v>277</v>
      </c>
      <c r="D41" s="32">
        <v>123</v>
      </c>
      <c r="E41" s="32">
        <v>0</v>
      </c>
      <c r="F41" s="32">
        <v>0</v>
      </c>
      <c r="G41" s="32">
        <v>0</v>
      </c>
      <c r="H41" s="32">
        <v>0</v>
      </c>
      <c r="I41" s="32">
        <v>200</v>
      </c>
      <c r="J41" s="32">
        <v>400</v>
      </c>
      <c r="K41" s="32">
        <v>310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200</v>
      </c>
      <c r="S41" s="32">
        <v>400</v>
      </c>
      <c r="T41" s="32">
        <v>0</v>
      </c>
      <c r="U41" s="32">
        <v>0</v>
      </c>
    </row>
    <row r="42" spans="1:21">
      <c r="A42" s="30">
        <v>1227359</v>
      </c>
      <c r="B42" s="32">
        <v>0</v>
      </c>
      <c r="C42" s="32">
        <v>0</v>
      </c>
      <c r="D42" s="32">
        <v>86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</row>
    <row r="43" spans="1:21">
      <c r="A43" s="30">
        <v>1229088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250</v>
      </c>
      <c r="J43" s="32">
        <v>250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</row>
    <row r="44" spans="1:21">
      <c r="A44" s="30">
        <v>1231090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200</v>
      </c>
      <c r="M44" s="32">
        <v>0</v>
      </c>
      <c r="N44" s="32">
        <v>0</v>
      </c>
      <c r="O44" s="32">
        <v>100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</row>
    <row r="45" spans="1:21">
      <c r="A45" s="30">
        <v>1229776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200</v>
      </c>
      <c r="M45" s="32">
        <v>0</v>
      </c>
      <c r="N45" s="32">
        <v>0</v>
      </c>
      <c r="O45" s="32">
        <v>100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</row>
    <row r="46" spans="1:21">
      <c r="A46" s="30">
        <v>1231797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113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</row>
    <row r="47" spans="1:21">
      <c r="A47" s="30">
        <v>1225464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28</v>
      </c>
      <c r="T47" s="32">
        <v>0</v>
      </c>
      <c r="U47" s="32">
        <v>0</v>
      </c>
    </row>
    <row r="48" spans="1:21">
      <c r="A48" s="30">
        <v>1234222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120</v>
      </c>
      <c r="Q48" s="32">
        <v>126</v>
      </c>
      <c r="R48" s="32">
        <v>0</v>
      </c>
      <c r="S48" s="32">
        <v>0</v>
      </c>
      <c r="T48" s="32">
        <v>0</v>
      </c>
      <c r="U48" s="32">
        <v>0</v>
      </c>
    </row>
    <row r="49" spans="1:21">
      <c r="A49" s="30">
        <v>1232528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163</v>
      </c>
      <c r="I49" s="32">
        <v>686</v>
      </c>
      <c r="J49" s="32">
        <v>539</v>
      </c>
      <c r="K49" s="32">
        <v>649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147</v>
      </c>
      <c r="T49" s="32">
        <v>0</v>
      </c>
      <c r="U49" s="32">
        <v>0</v>
      </c>
    </row>
    <row r="50" spans="1:21">
      <c r="A50" s="30">
        <v>1233587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10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</row>
    <row r="51" spans="1:21">
      <c r="A51" s="30">
        <v>1232846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176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</row>
    <row r="52" spans="1:21">
      <c r="A52" s="30">
        <v>1232693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54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</row>
    <row r="53" spans="1:21">
      <c r="A53" s="30">
        <v>1233025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54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</row>
    <row r="54" spans="1:21">
      <c r="A54" s="30">
        <v>1233383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113</v>
      </c>
      <c r="R54" s="32">
        <v>0</v>
      </c>
      <c r="S54" s="32">
        <v>0</v>
      </c>
      <c r="T54" s="32">
        <v>0</v>
      </c>
      <c r="U54" s="32">
        <v>0</v>
      </c>
    </row>
    <row r="55" spans="1:21">
      <c r="A55" s="30">
        <v>1220847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126</v>
      </c>
      <c r="T55" s="32">
        <v>0</v>
      </c>
      <c r="U55" s="32">
        <v>0</v>
      </c>
    </row>
    <row r="56" spans="1:21">
      <c r="A56" s="30">
        <v>1233735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60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</row>
    <row r="57" spans="1:21">
      <c r="A57" s="30">
        <v>1234034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40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</row>
    <row r="58" spans="1:21">
      <c r="A58" s="30">
        <v>1221254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130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</row>
    <row r="59" spans="1:21">
      <c r="A59" s="30">
        <v>1234217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220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</row>
    <row r="60" spans="1:21">
      <c r="A60" s="30">
        <v>1234111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220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</row>
    <row r="61" spans="1:21">
      <c r="A61" s="30">
        <v>1234110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220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</row>
    <row r="62" spans="1:21">
      <c r="A62" s="111">
        <v>1235097</v>
      </c>
      <c r="B62" s="32">
        <v>290</v>
      </c>
      <c r="C62" s="32">
        <v>38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200</v>
      </c>
      <c r="L62" s="32">
        <v>350</v>
      </c>
      <c r="M62" s="32">
        <v>0</v>
      </c>
      <c r="N62" s="32">
        <v>0</v>
      </c>
      <c r="O62" s="32">
        <v>400</v>
      </c>
      <c r="P62" s="32">
        <v>400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</row>
    <row r="63" spans="1:21">
      <c r="A63" s="30">
        <v>1235958</v>
      </c>
      <c r="B63" s="32">
        <v>0</v>
      </c>
      <c r="C63" s="32">
        <v>0</v>
      </c>
      <c r="D63" s="32">
        <v>12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</row>
    <row r="64" spans="1:21">
      <c r="A64" s="30">
        <v>1235845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1663</v>
      </c>
      <c r="T64" s="32">
        <v>0</v>
      </c>
      <c r="U64" s="32">
        <v>0</v>
      </c>
    </row>
    <row r="65" spans="1:21">
      <c r="A65" s="30">
        <v>1236600</v>
      </c>
      <c r="B65" s="32">
        <v>0</v>
      </c>
      <c r="C65" s="32">
        <v>0</v>
      </c>
      <c r="D65" s="32">
        <v>289</v>
      </c>
      <c r="E65" s="17">
        <v>419</v>
      </c>
      <c r="F65" s="32">
        <v>0</v>
      </c>
      <c r="G65" s="32">
        <v>0</v>
      </c>
      <c r="H65" s="32">
        <v>40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</row>
    <row r="66" spans="1:21">
      <c r="A66" s="30">
        <v>1236601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74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</row>
    <row r="67" spans="1:21">
      <c r="A67" s="30">
        <v>1236619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10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</row>
    <row r="68" spans="1:21">
      <c r="A68" s="30">
        <v>1236930</v>
      </c>
      <c r="B68" s="32">
        <v>0</v>
      </c>
      <c r="C68" s="32">
        <v>249</v>
      </c>
      <c r="D68" s="32">
        <v>336</v>
      </c>
      <c r="E68" s="32">
        <v>45</v>
      </c>
      <c r="F68" s="32">
        <v>0</v>
      </c>
      <c r="G68" s="32">
        <v>0</v>
      </c>
      <c r="H68" s="17">
        <v>116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200</v>
      </c>
      <c r="P68" s="32">
        <v>400</v>
      </c>
      <c r="Q68" s="32">
        <v>350</v>
      </c>
      <c r="R68" s="32">
        <v>350</v>
      </c>
      <c r="S68" s="32">
        <v>350</v>
      </c>
      <c r="T68" s="32">
        <v>0</v>
      </c>
      <c r="U68" s="32">
        <v>0</v>
      </c>
    </row>
    <row r="69" spans="1:21">
      <c r="A69" s="30">
        <v>1232982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325</v>
      </c>
      <c r="T69" s="32">
        <v>0</v>
      </c>
      <c r="U69" s="32">
        <v>0</v>
      </c>
    </row>
    <row r="70" spans="1:21">
      <c r="A70" s="30">
        <v>1237468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87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</row>
    <row r="71" spans="1:21">
      <c r="A71" s="30">
        <v>1237457</v>
      </c>
      <c r="B71" s="32">
        <v>18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10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</row>
    <row r="72" spans="1:21">
      <c r="A72" s="30">
        <v>1237386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10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</row>
    <row r="73" spans="1:21">
      <c r="A73" s="30">
        <v>1234905</v>
      </c>
      <c r="B73" s="32">
        <v>381</v>
      </c>
      <c r="C73" s="32">
        <v>0</v>
      </c>
      <c r="D73" s="32">
        <v>163</v>
      </c>
      <c r="E73" s="32">
        <v>383</v>
      </c>
      <c r="F73" s="32">
        <v>0</v>
      </c>
      <c r="G73" s="32">
        <v>0</v>
      </c>
      <c r="H73" s="32">
        <v>487</v>
      </c>
      <c r="I73" s="32">
        <v>213</v>
      </c>
      <c r="J73" s="32">
        <v>0</v>
      </c>
      <c r="K73" s="32">
        <v>150</v>
      </c>
      <c r="L73" s="32">
        <v>400</v>
      </c>
      <c r="M73" s="32">
        <v>0</v>
      </c>
      <c r="N73" s="32">
        <v>0</v>
      </c>
      <c r="O73" s="32">
        <v>150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</row>
    <row r="74" spans="1:21">
      <c r="A74" s="30">
        <v>1238480</v>
      </c>
      <c r="B74" s="32">
        <v>1660</v>
      </c>
      <c r="C74" s="32">
        <v>1009</v>
      </c>
      <c r="D74" s="32">
        <v>1061</v>
      </c>
      <c r="E74" s="17">
        <v>685</v>
      </c>
      <c r="F74" s="32">
        <v>0</v>
      </c>
      <c r="G74" s="32">
        <v>0</v>
      </c>
      <c r="H74" s="32">
        <v>1067</v>
      </c>
      <c r="I74" s="32">
        <v>873</v>
      </c>
      <c r="J74" s="32">
        <v>682</v>
      </c>
      <c r="K74" s="32">
        <v>1493</v>
      </c>
      <c r="L74" s="32">
        <v>1703</v>
      </c>
      <c r="M74" s="32">
        <v>0</v>
      </c>
      <c r="N74" s="32">
        <v>0</v>
      </c>
      <c r="O74" s="32">
        <v>1306</v>
      </c>
      <c r="P74" s="32">
        <v>987</v>
      </c>
      <c r="Q74" s="32">
        <v>1000</v>
      </c>
      <c r="R74" s="32">
        <v>1643</v>
      </c>
      <c r="S74" s="32">
        <v>1500</v>
      </c>
      <c r="T74" s="32">
        <v>0</v>
      </c>
      <c r="U74" s="32">
        <v>0</v>
      </c>
    </row>
    <row r="75" spans="1:21">
      <c r="A75" s="111">
        <v>1238453</v>
      </c>
      <c r="B75" s="32">
        <v>0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340</v>
      </c>
      <c r="J75" s="32">
        <v>281</v>
      </c>
      <c r="K75" s="32">
        <v>136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</row>
    <row r="76" spans="1:21">
      <c r="A76" s="30">
        <v>1232775</v>
      </c>
      <c r="B76" s="32">
        <v>0</v>
      </c>
      <c r="C76" s="32">
        <v>0</v>
      </c>
      <c r="D76" s="32">
        <v>0</v>
      </c>
      <c r="E76" s="17">
        <v>216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</row>
    <row r="77" spans="1:21">
      <c r="A77" s="30">
        <v>1240029</v>
      </c>
      <c r="B77" s="32">
        <v>377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281</v>
      </c>
      <c r="M77" s="32">
        <v>0</v>
      </c>
      <c r="N77" s="32">
        <v>0</v>
      </c>
      <c r="O77" s="32">
        <v>400</v>
      </c>
      <c r="P77" s="32">
        <v>300</v>
      </c>
      <c r="Q77" s="32">
        <v>200</v>
      </c>
      <c r="R77" s="32">
        <v>0</v>
      </c>
      <c r="S77" s="32">
        <v>0</v>
      </c>
      <c r="T77" s="32">
        <v>0</v>
      </c>
      <c r="U77" s="32">
        <v>0</v>
      </c>
    </row>
    <row r="78" spans="1:21">
      <c r="A78" s="30">
        <v>1240032</v>
      </c>
      <c r="B78" s="32">
        <v>377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281</v>
      </c>
      <c r="M78" s="32">
        <v>0</v>
      </c>
      <c r="N78" s="32">
        <v>0</v>
      </c>
      <c r="O78" s="32">
        <v>400</v>
      </c>
      <c r="P78" s="32">
        <v>300</v>
      </c>
      <c r="Q78" s="32">
        <v>200</v>
      </c>
      <c r="R78" s="32">
        <v>0</v>
      </c>
      <c r="S78" s="32">
        <v>0</v>
      </c>
      <c r="T78" s="32">
        <v>0</v>
      </c>
      <c r="U78" s="32">
        <v>0</v>
      </c>
    </row>
    <row r="79" spans="1:21">
      <c r="A79" s="30">
        <v>1240180</v>
      </c>
      <c r="B79" s="32">
        <v>0</v>
      </c>
      <c r="C79" s="32">
        <v>0</v>
      </c>
      <c r="D79" s="32">
        <v>0</v>
      </c>
      <c r="E79" s="32">
        <v>114</v>
      </c>
      <c r="F79" s="32">
        <v>0</v>
      </c>
      <c r="G79" s="32">
        <v>0</v>
      </c>
      <c r="H79" s="17">
        <v>236</v>
      </c>
      <c r="I79" s="32">
        <v>150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</row>
    <row r="80" spans="1:21">
      <c r="A80" s="30">
        <v>1240184</v>
      </c>
      <c r="B80" s="32">
        <v>0</v>
      </c>
      <c r="C80" s="32">
        <v>0</v>
      </c>
      <c r="D80" s="32">
        <v>0</v>
      </c>
      <c r="E80" s="32">
        <v>114</v>
      </c>
      <c r="F80" s="32">
        <v>0</v>
      </c>
      <c r="G80" s="32">
        <v>0</v>
      </c>
      <c r="H80" s="17">
        <v>236</v>
      </c>
      <c r="I80" s="32">
        <v>150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</row>
    <row r="81" spans="1:21">
      <c r="A81" s="111">
        <v>1216452</v>
      </c>
      <c r="B81" s="32">
        <v>0</v>
      </c>
      <c r="C81" s="32">
        <v>594</v>
      </c>
      <c r="D81" s="17">
        <v>929</v>
      </c>
      <c r="E81" s="32">
        <v>387</v>
      </c>
      <c r="F81" s="32">
        <v>0</v>
      </c>
      <c r="G81" s="32">
        <v>0</v>
      </c>
      <c r="H81" s="32">
        <v>0</v>
      </c>
      <c r="I81" s="32">
        <v>0</v>
      </c>
      <c r="J81" s="32">
        <v>191</v>
      </c>
      <c r="K81" s="32">
        <v>0</v>
      </c>
      <c r="L81" s="32">
        <v>0</v>
      </c>
      <c r="M81" s="32">
        <v>0</v>
      </c>
      <c r="N81" s="32">
        <v>0</v>
      </c>
      <c r="O81" s="32">
        <v>374</v>
      </c>
      <c r="P81" s="32">
        <v>0</v>
      </c>
      <c r="Q81" s="32">
        <v>84</v>
      </c>
      <c r="R81" s="32">
        <v>0</v>
      </c>
      <c r="S81" s="32">
        <v>0</v>
      </c>
      <c r="T81" s="32">
        <v>0</v>
      </c>
      <c r="U81" s="32">
        <v>0</v>
      </c>
    </row>
    <row r="82" spans="1:21">
      <c r="A82" s="30">
        <v>1230791</v>
      </c>
      <c r="B82" s="32">
        <v>0</v>
      </c>
      <c r="C82" s="32">
        <v>0</v>
      </c>
      <c r="D82" s="32">
        <v>0</v>
      </c>
      <c r="E82" s="32">
        <v>275</v>
      </c>
      <c r="F82" s="32">
        <v>0</v>
      </c>
      <c r="G82" s="32">
        <v>0</v>
      </c>
      <c r="H82" s="32">
        <v>625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</row>
    <row r="83" spans="1:21">
      <c r="A83" s="30">
        <v>1231011</v>
      </c>
      <c r="B83" s="32">
        <v>0</v>
      </c>
      <c r="C83" s="32">
        <v>0</v>
      </c>
      <c r="D83" s="32">
        <v>0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400</v>
      </c>
      <c r="R83" s="32">
        <v>0</v>
      </c>
      <c r="S83" s="32">
        <v>0</v>
      </c>
      <c r="T83" s="32">
        <v>0</v>
      </c>
      <c r="U83" s="32">
        <v>0</v>
      </c>
    </row>
    <row r="84" spans="1:21">
      <c r="A84" s="30">
        <v>1232895</v>
      </c>
      <c r="B84" s="32">
        <v>0</v>
      </c>
      <c r="C84" s="32">
        <v>0</v>
      </c>
      <c r="D84" s="32">
        <v>0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176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</row>
    <row r="85" spans="1:21">
      <c r="A85" s="30">
        <v>1232922</v>
      </c>
      <c r="B85" s="32">
        <v>0</v>
      </c>
      <c r="C85" s="32">
        <v>0</v>
      </c>
      <c r="D85" s="32">
        <v>0</v>
      </c>
      <c r="E85" s="32">
        <v>0</v>
      </c>
      <c r="F85" s="32">
        <v>0</v>
      </c>
      <c r="G85" s="32">
        <v>0</v>
      </c>
      <c r="H85" s="32">
        <v>0</v>
      </c>
      <c r="I85" s="32">
        <v>0</v>
      </c>
      <c r="J85" s="32">
        <v>176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</row>
    <row r="86" spans="1:21">
      <c r="A86" s="30">
        <v>1233580</v>
      </c>
      <c r="B86" s="32">
        <v>0</v>
      </c>
      <c r="C86" s="32">
        <v>0</v>
      </c>
      <c r="D86" s="32">
        <v>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130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</row>
  </sheetData>
  <autoFilter ref="A1:U22" xr:uid="{BC8D7057-CD42-49C3-A4A1-C12018521503}"/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5D26-120C-479F-998C-86C4565CD951}">
  <dimension ref="A1:T80"/>
  <sheetViews>
    <sheetView zoomScale="130" zoomScaleNormal="130" workbookViewId="0">
      <selection activeCell="A17" sqref="A17:XFD17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5" style="9" bestFit="1" customWidth="1"/>
    <col min="21" max="16384" width="9.33203125" style="5"/>
  </cols>
  <sheetData>
    <row r="1" spans="1:20">
      <c r="A1" s="74" t="s">
        <v>0</v>
      </c>
      <c r="B1" s="69" t="s">
        <v>740</v>
      </c>
      <c r="C1" s="69" t="s">
        <v>741</v>
      </c>
      <c r="D1" s="69" t="s">
        <v>742</v>
      </c>
      <c r="E1" s="69" t="s">
        <v>743</v>
      </c>
      <c r="F1" s="70" t="s">
        <v>744</v>
      </c>
      <c r="G1" s="69" t="s">
        <v>747</v>
      </c>
      <c r="H1" s="69" t="s">
        <v>748</v>
      </c>
      <c r="I1" s="69" t="s">
        <v>749</v>
      </c>
      <c r="J1" s="69" t="s">
        <v>750</v>
      </c>
      <c r="K1" s="69" t="s">
        <v>751</v>
      </c>
      <c r="L1" s="69" t="s">
        <v>752</v>
      </c>
      <c r="M1" s="70" t="s">
        <v>753</v>
      </c>
      <c r="N1" s="69" t="s">
        <v>757</v>
      </c>
      <c r="O1" s="69" t="s">
        <v>758</v>
      </c>
      <c r="P1" s="69" t="s">
        <v>759</v>
      </c>
      <c r="Q1" s="69" t="s">
        <v>760</v>
      </c>
      <c r="R1" s="69" t="s">
        <v>761</v>
      </c>
      <c r="S1" s="69" t="s">
        <v>762</v>
      </c>
      <c r="T1" s="70" t="s">
        <v>763</v>
      </c>
    </row>
    <row r="2" spans="1:20">
      <c r="A2" s="30">
        <v>1221154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50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  <c r="T2" s="32">
        <v>0</v>
      </c>
    </row>
    <row r="3" spans="1:20">
      <c r="A3" s="30">
        <v>1234614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352</v>
      </c>
      <c r="J3" s="32">
        <v>50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354</v>
      </c>
      <c r="Q3" s="32">
        <v>516</v>
      </c>
      <c r="R3" s="32">
        <v>0</v>
      </c>
      <c r="S3" s="32">
        <v>0</v>
      </c>
      <c r="T3" s="32">
        <v>0</v>
      </c>
    </row>
    <row r="4" spans="1:20">
      <c r="A4" s="30">
        <v>1226384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17">
        <v>360</v>
      </c>
      <c r="H4" s="32">
        <v>100</v>
      </c>
      <c r="I4" s="32">
        <v>400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</row>
    <row r="5" spans="1:20">
      <c r="A5" s="30">
        <v>1226388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17">
        <v>360</v>
      </c>
      <c r="H5" s="32">
        <v>100</v>
      </c>
      <c r="I5" s="32">
        <v>400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</row>
    <row r="6" spans="1:20">
      <c r="A6" s="30">
        <v>1229673</v>
      </c>
      <c r="B6" s="32">
        <v>200</v>
      </c>
      <c r="C6" s="32">
        <v>200</v>
      </c>
      <c r="D6" s="32">
        <v>242</v>
      </c>
      <c r="E6" s="32">
        <v>0</v>
      </c>
      <c r="F6" s="32">
        <v>0</v>
      </c>
      <c r="G6" s="17">
        <v>250</v>
      </c>
      <c r="H6" s="32">
        <v>250</v>
      </c>
      <c r="I6" s="32">
        <v>250</v>
      </c>
      <c r="J6" s="32">
        <v>250</v>
      </c>
      <c r="K6" s="32">
        <v>200</v>
      </c>
      <c r="L6" s="32">
        <v>0</v>
      </c>
      <c r="M6" s="32">
        <v>0</v>
      </c>
      <c r="N6" s="32">
        <v>300</v>
      </c>
      <c r="O6" s="32">
        <v>200</v>
      </c>
      <c r="P6" s="32">
        <v>200</v>
      </c>
      <c r="Q6" s="32">
        <v>200</v>
      </c>
      <c r="R6" s="32">
        <v>300</v>
      </c>
      <c r="S6" s="32">
        <v>0</v>
      </c>
      <c r="T6" s="32">
        <v>0</v>
      </c>
    </row>
    <row r="7" spans="1:20">
      <c r="A7" s="30">
        <v>1230854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17">
        <v>200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</row>
    <row r="8" spans="1:20">
      <c r="A8" s="30">
        <v>1233632</v>
      </c>
      <c r="B8" s="32">
        <v>0</v>
      </c>
      <c r="C8" s="32">
        <v>346</v>
      </c>
      <c r="D8" s="32">
        <v>330</v>
      </c>
      <c r="E8" s="32">
        <v>0</v>
      </c>
      <c r="F8" s="32">
        <v>0</v>
      </c>
      <c r="G8" s="17">
        <v>406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</row>
    <row r="9" spans="1:20">
      <c r="A9" s="30">
        <v>1237088</v>
      </c>
      <c r="B9" s="32">
        <v>694</v>
      </c>
      <c r="C9" s="32">
        <v>1286</v>
      </c>
      <c r="D9" s="32">
        <v>1570</v>
      </c>
      <c r="E9" s="32">
        <v>0</v>
      </c>
      <c r="F9" s="32">
        <v>0</v>
      </c>
      <c r="G9" s="17">
        <v>1276</v>
      </c>
      <c r="H9" s="32">
        <v>906</v>
      </c>
      <c r="I9" s="32">
        <v>1006</v>
      </c>
      <c r="J9" s="32">
        <v>942</v>
      </c>
      <c r="K9" s="32">
        <v>1496</v>
      </c>
      <c r="L9" s="32">
        <v>0</v>
      </c>
      <c r="M9" s="32">
        <v>0</v>
      </c>
      <c r="N9" s="32">
        <v>1388</v>
      </c>
      <c r="O9" s="32">
        <v>724</v>
      </c>
      <c r="P9" s="32">
        <v>928</v>
      </c>
      <c r="Q9" s="32">
        <v>524</v>
      </c>
      <c r="R9" s="32">
        <v>1129</v>
      </c>
      <c r="S9" s="32">
        <v>0</v>
      </c>
      <c r="T9" s="32">
        <v>0</v>
      </c>
    </row>
    <row r="10" spans="1:20">
      <c r="A10" s="30">
        <v>1237748</v>
      </c>
      <c r="B10" s="32">
        <v>0</v>
      </c>
      <c r="C10" s="32">
        <v>260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</row>
    <row r="11" spans="1:20">
      <c r="A11" s="30">
        <v>1236091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200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</row>
    <row r="12" spans="1:20">
      <c r="A12" s="30">
        <v>1238128</v>
      </c>
      <c r="B12" s="32">
        <v>0</v>
      </c>
      <c r="C12" s="32">
        <v>404</v>
      </c>
      <c r="D12" s="32">
        <v>377</v>
      </c>
      <c r="E12" s="32">
        <v>0</v>
      </c>
      <c r="F12" s="32">
        <v>0</v>
      </c>
      <c r="G12" s="17">
        <v>480</v>
      </c>
      <c r="H12" s="32">
        <v>480</v>
      </c>
      <c r="I12" s="32">
        <v>378</v>
      </c>
      <c r="J12" s="32">
        <v>912</v>
      </c>
      <c r="K12" s="32">
        <v>960</v>
      </c>
      <c r="L12" s="32">
        <v>0</v>
      </c>
      <c r="M12" s="32">
        <v>0</v>
      </c>
      <c r="N12" s="32">
        <v>546</v>
      </c>
      <c r="O12" s="32">
        <v>480</v>
      </c>
      <c r="P12" s="32">
        <v>50</v>
      </c>
      <c r="Q12" s="32">
        <v>294</v>
      </c>
      <c r="R12" s="32">
        <v>378</v>
      </c>
      <c r="S12" s="32">
        <v>0</v>
      </c>
      <c r="T12" s="32">
        <v>0</v>
      </c>
    </row>
    <row r="13" spans="1:20">
      <c r="A13" s="30">
        <v>1236962</v>
      </c>
      <c r="B13" s="32">
        <v>200</v>
      </c>
      <c r="C13" s="32">
        <v>400</v>
      </c>
      <c r="D13" s="32">
        <v>400</v>
      </c>
      <c r="E13" s="32">
        <v>0</v>
      </c>
      <c r="F13" s="32">
        <v>0</v>
      </c>
      <c r="G13" s="17">
        <v>250</v>
      </c>
      <c r="H13" s="32">
        <v>250</v>
      </c>
      <c r="I13" s="32">
        <v>0</v>
      </c>
      <c r="J13" s="32">
        <v>250</v>
      </c>
      <c r="K13" s="32">
        <v>250</v>
      </c>
      <c r="L13" s="32">
        <v>0</v>
      </c>
      <c r="M13" s="32">
        <v>0</v>
      </c>
      <c r="N13" s="32">
        <v>200</v>
      </c>
      <c r="O13" s="32">
        <v>400</v>
      </c>
      <c r="P13" s="32">
        <v>200</v>
      </c>
      <c r="Q13" s="32">
        <v>200</v>
      </c>
      <c r="R13" s="32">
        <v>300</v>
      </c>
      <c r="S13" s="32">
        <v>0</v>
      </c>
      <c r="T13" s="32">
        <v>0</v>
      </c>
    </row>
    <row r="14" spans="1:20">
      <c r="A14" s="30">
        <v>1233761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250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150</v>
      </c>
      <c r="R14" s="32">
        <v>0</v>
      </c>
      <c r="S14" s="32">
        <v>0</v>
      </c>
      <c r="T14" s="32">
        <v>0</v>
      </c>
    </row>
    <row r="15" spans="1:20">
      <c r="A15" s="30">
        <v>1239651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250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205</v>
      </c>
      <c r="O15" s="32">
        <v>0</v>
      </c>
      <c r="P15" s="32">
        <v>0</v>
      </c>
      <c r="Q15" s="32">
        <v>300</v>
      </c>
      <c r="R15" s="32">
        <v>0</v>
      </c>
      <c r="S15" s="32">
        <v>0</v>
      </c>
      <c r="T15" s="32">
        <v>0</v>
      </c>
    </row>
    <row r="16" spans="1:20">
      <c r="A16" s="30">
        <v>1239988</v>
      </c>
      <c r="B16" s="32">
        <v>356</v>
      </c>
      <c r="C16" s="32">
        <v>454</v>
      </c>
      <c r="D16" s="32">
        <v>356</v>
      </c>
      <c r="E16" s="32">
        <v>0</v>
      </c>
      <c r="F16" s="32">
        <v>0</v>
      </c>
      <c r="G16" s="17">
        <v>454</v>
      </c>
      <c r="H16" s="32">
        <v>454</v>
      </c>
      <c r="I16" s="32">
        <v>356</v>
      </c>
      <c r="J16" s="32">
        <v>454</v>
      </c>
      <c r="K16" s="32">
        <v>454</v>
      </c>
      <c r="L16" s="32">
        <v>0</v>
      </c>
      <c r="M16" s="32">
        <v>0</v>
      </c>
      <c r="N16" s="32">
        <v>454</v>
      </c>
      <c r="O16" s="32">
        <v>454</v>
      </c>
      <c r="P16" s="32">
        <v>356</v>
      </c>
      <c r="Q16" s="32">
        <v>56</v>
      </c>
      <c r="R16" s="32">
        <v>356</v>
      </c>
      <c r="S16" s="32">
        <v>0</v>
      </c>
      <c r="T16" s="32">
        <v>0</v>
      </c>
    </row>
    <row r="17" spans="1:20">
      <c r="A17" s="30">
        <v>1240180</v>
      </c>
      <c r="B17" s="32">
        <v>560</v>
      </c>
      <c r="C17" s="32">
        <v>100</v>
      </c>
      <c r="D17" s="32">
        <v>0</v>
      </c>
      <c r="E17" s="32">
        <v>0</v>
      </c>
      <c r="F17" s="32">
        <v>0</v>
      </c>
      <c r="G17" s="32">
        <v>0</v>
      </c>
      <c r="H17" s="32">
        <v>390</v>
      </c>
      <c r="I17" s="32">
        <v>280</v>
      </c>
      <c r="J17" s="32">
        <v>358</v>
      </c>
      <c r="K17" s="32">
        <v>358</v>
      </c>
      <c r="L17" s="32">
        <v>0</v>
      </c>
      <c r="M17" s="32">
        <v>0</v>
      </c>
      <c r="N17" s="32">
        <v>358</v>
      </c>
      <c r="O17" s="32">
        <v>390</v>
      </c>
      <c r="P17" s="32">
        <v>306</v>
      </c>
      <c r="Q17" s="32">
        <v>358</v>
      </c>
      <c r="R17" s="32">
        <v>280</v>
      </c>
      <c r="S17" s="32">
        <v>0</v>
      </c>
      <c r="T17" s="32">
        <v>0</v>
      </c>
    </row>
    <row r="18" spans="1:20">
      <c r="A18" s="30">
        <v>1240184</v>
      </c>
      <c r="B18" s="32">
        <v>560</v>
      </c>
      <c r="C18" s="32">
        <v>100</v>
      </c>
      <c r="D18" s="32">
        <v>0</v>
      </c>
      <c r="E18" s="32">
        <v>0</v>
      </c>
      <c r="F18" s="32">
        <v>0</v>
      </c>
      <c r="G18" s="32">
        <v>0</v>
      </c>
      <c r="H18" s="32">
        <v>390</v>
      </c>
      <c r="I18" s="32">
        <v>280</v>
      </c>
      <c r="J18" s="32">
        <v>358</v>
      </c>
      <c r="K18" s="32">
        <v>358</v>
      </c>
      <c r="L18" s="32">
        <v>0</v>
      </c>
      <c r="M18" s="32">
        <v>0</v>
      </c>
      <c r="N18" s="32">
        <v>358</v>
      </c>
      <c r="O18" s="32">
        <v>390</v>
      </c>
      <c r="P18" s="32">
        <v>306</v>
      </c>
      <c r="Q18" s="32">
        <v>358</v>
      </c>
      <c r="R18" s="32">
        <v>180</v>
      </c>
      <c r="S18" s="32">
        <v>0</v>
      </c>
      <c r="T18" s="32">
        <v>0</v>
      </c>
    </row>
    <row r="19" spans="1:20">
      <c r="A19" s="30">
        <v>1240308</v>
      </c>
      <c r="B19" s="32">
        <v>500</v>
      </c>
      <c r="C19" s="32">
        <v>250</v>
      </c>
      <c r="D19" s="32">
        <v>0</v>
      </c>
      <c r="E19" s="32">
        <v>0</v>
      </c>
      <c r="F19" s="32">
        <v>0</v>
      </c>
      <c r="G19" s="32">
        <v>0</v>
      </c>
      <c r="H19" s="32">
        <v>200</v>
      </c>
      <c r="I19" s="32">
        <v>0</v>
      </c>
      <c r="J19" s="32">
        <v>350</v>
      </c>
      <c r="K19" s="32">
        <v>200</v>
      </c>
      <c r="L19" s="32">
        <v>0</v>
      </c>
      <c r="M19" s="32">
        <v>0</v>
      </c>
      <c r="N19" s="32">
        <v>0</v>
      </c>
      <c r="O19" s="32">
        <v>450</v>
      </c>
      <c r="P19" s="32">
        <v>300</v>
      </c>
      <c r="Q19" s="32">
        <v>0</v>
      </c>
      <c r="R19" s="32">
        <v>0</v>
      </c>
      <c r="S19" s="32">
        <v>0</v>
      </c>
      <c r="T19" s="32">
        <v>0</v>
      </c>
    </row>
    <row r="22" spans="1:20">
      <c r="A22" s="74" t="s">
        <v>0</v>
      </c>
      <c r="B22" s="69" t="s">
        <v>740</v>
      </c>
      <c r="C22" s="69" t="s">
        <v>741</v>
      </c>
      <c r="D22" s="69" t="s">
        <v>742</v>
      </c>
      <c r="E22" s="69" t="s">
        <v>743</v>
      </c>
      <c r="F22" s="70" t="s">
        <v>744</v>
      </c>
      <c r="G22" s="69" t="s">
        <v>747</v>
      </c>
      <c r="H22" s="69" t="s">
        <v>748</v>
      </c>
      <c r="I22" s="69" t="s">
        <v>749</v>
      </c>
      <c r="J22" s="69" t="s">
        <v>750</v>
      </c>
      <c r="K22" s="69" t="s">
        <v>751</v>
      </c>
      <c r="L22" s="69" t="s">
        <v>752</v>
      </c>
      <c r="M22" s="70" t="s">
        <v>753</v>
      </c>
      <c r="N22" s="69" t="s">
        <v>757</v>
      </c>
      <c r="O22" s="69" t="s">
        <v>758</v>
      </c>
      <c r="P22" s="69" t="s">
        <v>759</v>
      </c>
      <c r="Q22" s="69" t="s">
        <v>760</v>
      </c>
      <c r="R22" s="69" t="s">
        <v>761</v>
      </c>
      <c r="S22" s="69" t="s">
        <v>762</v>
      </c>
      <c r="T22" s="70" t="s">
        <v>763</v>
      </c>
    </row>
    <row r="23" spans="1:20">
      <c r="A23" s="30">
        <v>1237608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350</v>
      </c>
      <c r="I23" s="32">
        <v>250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</row>
    <row r="24" spans="1:20">
      <c r="A24" s="30">
        <v>1232846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327</v>
      </c>
      <c r="I24" s="32">
        <v>352</v>
      </c>
      <c r="J24" s="32">
        <v>21</v>
      </c>
      <c r="K24" s="32">
        <v>0</v>
      </c>
      <c r="L24" s="32">
        <v>0</v>
      </c>
      <c r="M24" s="32">
        <v>0</v>
      </c>
      <c r="N24" s="32">
        <v>0</v>
      </c>
      <c r="O24" s="32">
        <v>403</v>
      </c>
      <c r="P24" s="32">
        <v>352</v>
      </c>
      <c r="Q24" s="32">
        <v>449</v>
      </c>
      <c r="R24" s="32">
        <v>7</v>
      </c>
      <c r="S24" s="32">
        <v>0</v>
      </c>
      <c r="T24" s="32">
        <v>0</v>
      </c>
    </row>
    <row r="25" spans="1:20">
      <c r="A25" s="30">
        <v>1232895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327</v>
      </c>
      <c r="I25" s="32">
        <v>352</v>
      </c>
      <c r="J25" s="32">
        <v>21</v>
      </c>
      <c r="K25" s="32">
        <v>0</v>
      </c>
      <c r="L25" s="32">
        <v>0</v>
      </c>
      <c r="M25" s="32">
        <v>0</v>
      </c>
      <c r="N25" s="32">
        <v>0</v>
      </c>
      <c r="O25" s="32">
        <v>403</v>
      </c>
      <c r="P25" s="32">
        <v>352</v>
      </c>
      <c r="Q25" s="32">
        <v>449</v>
      </c>
      <c r="R25" s="32">
        <v>7</v>
      </c>
      <c r="S25" s="32">
        <v>0</v>
      </c>
      <c r="T25" s="32">
        <v>0</v>
      </c>
    </row>
    <row r="26" spans="1:20">
      <c r="A26" s="30">
        <v>1233384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327</v>
      </c>
      <c r="I26" s="32">
        <v>352</v>
      </c>
      <c r="J26" s="32">
        <v>21</v>
      </c>
      <c r="K26" s="32">
        <v>0</v>
      </c>
      <c r="L26" s="32">
        <v>0</v>
      </c>
      <c r="M26" s="32">
        <v>0</v>
      </c>
      <c r="N26" s="32">
        <v>0</v>
      </c>
      <c r="O26" s="32">
        <v>403</v>
      </c>
      <c r="P26" s="32">
        <v>352</v>
      </c>
      <c r="Q26" s="32">
        <v>449</v>
      </c>
      <c r="R26" s="32">
        <v>7</v>
      </c>
      <c r="S26" s="32">
        <v>0</v>
      </c>
      <c r="T26" s="32">
        <v>0</v>
      </c>
    </row>
    <row r="27" spans="1:20">
      <c r="A27" s="30">
        <v>1233165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250</v>
      </c>
      <c r="S27" s="32">
        <v>0</v>
      </c>
      <c r="T27" s="32">
        <v>0</v>
      </c>
    </row>
    <row r="28" spans="1:20">
      <c r="A28" s="30">
        <v>1236387</v>
      </c>
      <c r="B28" s="75">
        <v>265</v>
      </c>
      <c r="C28" s="75">
        <v>395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411</v>
      </c>
      <c r="O28" s="32">
        <v>325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</row>
    <row r="29" spans="1:20">
      <c r="A29" s="30">
        <v>1232775</v>
      </c>
      <c r="B29" s="75">
        <v>277</v>
      </c>
      <c r="C29" s="75">
        <v>311</v>
      </c>
      <c r="D29" s="75">
        <v>14</v>
      </c>
      <c r="E29" s="32">
        <v>0</v>
      </c>
      <c r="F29" s="32">
        <v>0</v>
      </c>
      <c r="G29" s="32">
        <v>0</v>
      </c>
      <c r="H29" s="32">
        <v>288</v>
      </c>
      <c r="I29" s="32">
        <v>243</v>
      </c>
      <c r="J29" s="32">
        <v>309</v>
      </c>
      <c r="K29" s="32">
        <v>309</v>
      </c>
      <c r="L29" s="32">
        <v>0</v>
      </c>
      <c r="M29" s="32">
        <v>0</v>
      </c>
      <c r="N29" s="32">
        <v>298</v>
      </c>
      <c r="O29" s="32">
        <v>8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</row>
    <row r="30" spans="1:20">
      <c r="A30" s="30">
        <v>1238605</v>
      </c>
      <c r="B30" s="32">
        <v>0</v>
      </c>
      <c r="C30" s="32">
        <v>0</v>
      </c>
      <c r="D30" s="75">
        <v>189</v>
      </c>
      <c r="E30" s="75">
        <v>0</v>
      </c>
      <c r="F30" s="75">
        <v>0</v>
      </c>
      <c r="G30" s="75">
        <v>238</v>
      </c>
      <c r="H30" s="32">
        <v>6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42</v>
      </c>
      <c r="P30" s="32">
        <v>187</v>
      </c>
      <c r="Q30" s="32">
        <v>182</v>
      </c>
      <c r="R30" s="32">
        <v>4</v>
      </c>
      <c r="S30" s="32">
        <v>0</v>
      </c>
      <c r="T30" s="32">
        <v>0</v>
      </c>
    </row>
    <row r="35" spans="1:20">
      <c r="A35" s="74" t="s">
        <v>0</v>
      </c>
      <c r="B35" s="69" t="s">
        <v>740</v>
      </c>
      <c r="C35" s="69" t="s">
        <v>741</v>
      </c>
      <c r="D35" s="69" t="s">
        <v>742</v>
      </c>
      <c r="E35" s="69" t="s">
        <v>743</v>
      </c>
      <c r="F35" s="70" t="s">
        <v>744</v>
      </c>
      <c r="G35" s="69" t="s">
        <v>747</v>
      </c>
      <c r="H35" s="69" t="s">
        <v>748</v>
      </c>
      <c r="I35" s="69" t="s">
        <v>749</v>
      </c>
      <c r="J35" s="69" t="s">
        <v>750</v>
      </c>
      <c r="K35" s="69" t="s">
        <v>751</v>
      </c>
      <c r="L35" s="69" t="s">
        <v>752</v>
      </c>
      <c r="M35" s="70" t="s">
        <v>753</v>
      </c>
      <c r="N35" s="69" t="s">
        <v>757</v>
      </c>
      <c r="O35" s="69" t="s">
        <v>758</v>
      </c>
      <c r="P35" s="69" t="s">
        <v>759</v>
      </c>
      <c r="Q35" s="69" t="s">
        <v>760</v>
      </c>
      <c r="R35" s="69" t="s">
        <v>761</v>
      </c>
      <c r="S35" s="69" t="s">
        <v>762</v>
      </c>
      <c r="T35" s="70" t="s">
        <v>763</v>
      </c>
    </row>
    <row r="36" spans="1:20">
      <c r="A36" s="30">
        <v>1230692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100</v>
      </c>
      <c r="R36" s="32">
        <v>0</v>
      </c>
      <c r="S36" s="32">
        <v>0</v>
      </c>
      <c r="T36" s="32">
        <v>0</v>
      </c>
    </row>
    <row r="37" spans="1:20">
      <c r="A37" s="30">
        <v>1221967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176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</row>
    <row r="38" spans="1:20">
      <c r="A38" s="30">
        <v>1227306</v>
      </c>
      <c r="B38" s="32">
        <v>277</v>
      </c>
      <c r="C38" s="32">
        <v>123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150</v>
      </c>
      <c r="O38" s="32">
        <v>500</v>
      </c>
      <c r="P38" s="32">
        <v>400</v>
      </c>
      <c r="Q38" s="32">
        <v>110</v>
      </c>
      <c r="R38" s="32">
        <v>0</v>
      </c>
      <c r="S38" s="32">
        <v>0</v>
      </c>
      <c r="T38" s="32">
        <v>0</v>
      </c>
    </row>
    <row r="39" spans="1:20">
      <c r="A39" s="30">
        <v>1227359</v>
      </c>
      <c r="B39" s="32">
        <v>0</v>
      </c>
      <c r="C39" s="32">
        <v>86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</row>
    <row r="40" spans="1:20">
      <c r="A40" s="30">
        <v>1229088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492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</row>
    <row r="41" spans="1:20">
      <c r="A41" s="30">
        <v>1231090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200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</row>
    <row r="42" spans="1:20">
      <c r="A42" s="30">
        <v>1229776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200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</row>
    <row r="43" spans="1:20">
      <c r="A43" s="30">
        <v>1231797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113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</row>
    <row r="44" spans="1:20">
      <c r="A44" s="30">
        <v>1225464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28</v>
      </c>
      <c r="S44" s="32">
        <v>0</v>
      </c>
      <c r="T44" s="32">
        <v>0</v>
      </c>
    </row>
    <row r="45" spans="1:20">
      <c r="A45" s="30">
        <v>1234222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220</v>
      </c>
      <c r="P45" s="32">
        <v>258</v>
      </c>
      <c r="Q45" s="32">
        <v>0</v>
      </c>
      <c r="R45" s="32">
        <v>0</v>
      </c>
      <c r="S45" s="32">
        <v>0</v>
      </c>
      <c r="T45" s="32">
        <v>0</v>
      </c>
    </row>
    <row r="46" spans="1:20">
      <c r="A46" s="30">
        <v>1232528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161</v>
      </c>
      <c r="H46" s="32">
        <v>686</v>
      </c>
      <c r="I46" s="32">
        <v>539</v>
      </c>
      <c r="J46" s="32">
        <v>651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147</v>
      </c>
      <c r="S46" s="32">
        <v>0</v>
      </c>
      <c r="T46" s="32">
        <v>0</v>
      </c>
    </row>
    <row r="47" spans="1:20">
      <c r="A47" s="30">
        <v>1233587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10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</row>
    <row r="48" spans="1:20">
      <c r="A48" s="30">
        <v>1232846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34</v>
      </c>
      <c r="K48" s="32">
        <v>142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</row>
    <row r="49" spans="1:20">
      <c r="A49" s="30">
        <v>1232693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17">
        <v>54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</row>
    <row r="50" spans="1:20">
      <c r="A50" s="30">
        <v>1233025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17">
        <v>54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</row>
    <row r="51" spans="1:20">
      <c r="A51" s="30">
        <v>1233383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113</v>
      </c>
      <c r="R51" s="32">
        <v>0</v>
      </c>
      <c r="S51" s="32">
        <v>0</v>
      </c>
      <c r="T51" s="32">
        <v>0</v>
      </c>
    </row>
    <row r="52" spans="1:20">
      <c r="A52" s="30">
        <v>1220847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126</v>
      </c>
      <c r="S52" s="32">
        <v>0</v>
      </c>
      <c r="T52" s="32">
        <v>0</v>
      </c>
    </row>
    <row r="53" spans="1:20">
      <c r="A53" s="30">
        <v>1233735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90</v>
      </c>
      <c r="R53" s="32">
        <v>0</v>
      </c>
      <c r="S53" s="32">
        <v>0</v>
      </c>
      <c r="T53" s="32">
        <v>0</v>
      </c>
    </row>
    <row r="54" spans="1:20">
      <c r="A54" s="30">
        <v>1234034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40</v>
      </c>
      <c r="R54" s="32">
        <v>0</v>
      </c>
      <c r="S54" s="32">
        <v>0</v>
      </c>
      <c r="T54" s="32">
        <v>0</v>
      </c>
    </row>
    <row r="55" spans="1:20">
      <c r="A55" s="30">
        <v>1221254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130</v>
      </c>
      <c r="P55" s="32">
        <v>0</v>
      </c>
      <c r="Q55" s="32">
        <v>20</v>
      </c>
      <c r="R55" s="32">
        <v>0</v>
      </c>
      <c r="S55" s="32">
        <v>0</v>
      </c>
      <c r="T55" s="32">
        <v>0</v>
      </c>
    </row>
    <row r="56" spans="1:20">
      <c r="A56" s="30">
        <v>1234217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220</v>
      </c>
      <c r="Q56" s="32">
        <v>0</v>
      </c>
      <c r="R56" s="32">
        <v>0</v>
      </c>
      <c r="S56" s="32">
        <v>0</v>
      </c>
      <c r="T56" s="32">
        <v>0</v>
      </c>
    </row>
    <row r="57" spans="1:20">
      <c r="A57" s="30">
        <v>1234111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220</v>
      </c>
      <c r="Q57" s="32">
        <v>0</v>
      </c>
      <c r="R57" s="32">
        <v>0</v>
      </c>
      <c r="S57" s="32">
        <v>0</v>
      </c>
      <c r="T57" s="32">
        <v>0</v>
      </c>
    </row>
    <row r="58" spans="1:20">
      <c r="A58" s="30">
        <v>1234110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220</v>
      </c>
      <c r="Q58" s="32">
        <v>0</v>
      </c>
      <c r="R58" s="32">
        <v>0</v>
      </c>
      <c r="S58" s="32">
        <v>0</v>
      </c>
      <c r="T58" s="32">
        <v>0</v>
      </c>
    </row>
    <row r="59" spans="1:20">
      <c r="A59" s="30">
        <v>1235097</v>
      </c>
      <c r="B59" s="32">
        <v>38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</row>
    <row r="60" spans="1:20">
      <c r="A60" s="30">
        <v>1235958</v>
      </c>
      <c r="B60" s="32">
        <v>0</v>
      </c>
      <c r="C60" s="32">
        <v>12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</row>
    <row r="61" spans="1:20">
      <c r="A61" s="30">
        <v>1236600</v>
      </c>
      <c r="B61" s="32">
        <v>0</v>
      </c>
      <c r="C61" s="32">
        <v>289</v>
      </c>
      <c r="D61" s="32">
        <v>419</v>
      </c>
      <c r="E61" s="32">
        <v>0</v>
      </c>
      <c r="F61" s="32">
        <v>0</v>
      </c>
      <c r="G61" s="17">
        <v>40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</row>
    <row r="62" spans="1:20">
      <c r="A62" s="30">
        <v>1236601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17">
        <v>74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</row>
    <row r="63" spans="1:20">
      <c r="A63" s="30">
        <v>1236619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10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</row>
    <row r="64" spans="1:20">
      <c r="A64" s="30">
        <v>1236930</v>
      </c>
      <c r="B64" s="32">
        <v>249</v>
      </c>
      <c r="C64" s="32">
        <v>336</v>
      </c>
      <c r="D64" s="75">
        <v>45</v>
      </c>
      <c r="E64" s="75">
        <v>0</v>
      </c>
      <c r="F64" s="75">
        <v>0</v>
      </c>
      <c r="G64" s="75">
        <v>116</v>
      </c>
      <c r="H64" s="32">
        <v>0</v>
      </c>
      <c r="I64" s="32">
        <v>264</v>
      </c>
      <c r="J64" s="32">
        <v>339</v>
      </c>
      <c r="K64" s="32">
        <v>339</v>
      </c>
      <c r="L64" s="32">
        <v>0</v>
      </c>
      <c r="M64" s="32">
        <v>0</v>
      </c>
      <c r="N64" s="32">
        <v>150</v>
      </c>
      <c r="O64" s="32">
        <v>350</v>
      </c>
      <c r="P64" s="32">
        <v>350</v>
      </c>
      <c r="Q64" s="32">
        <v>350</v>
      </c>
      <c r="R64" s="32">
        <v>0</v>
      </c>
      <c r="S64" s="32">
        <v>0</v>
      </c>
      <c r="T64" s="32">
        <v>0</v>
      </c>
    </row>
    <row r="65" spans="1:20">
      <c r="A65" s="30">
        <v>1237468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87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</row>
    <row r="66" spans="1:20">
      <c r="A66" s="30">
        <v>1237457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10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</row>
    <row r="67" spans="1:20">
      <c r="A67" s="30">
        <v>1234905</v>
      </c>
      <c r="B67" s="32">
        <v>0</v>
      </c>
      <c r="C67" s="32">
        <v>163</v>
      </c>
      <c r="D67" s="32">
        <v>383</v>
      </c>
      <c r="E67" s="32">
        <v>0</v>
      </c>
      <c r="F67" s="32">
        <v>0</v>
      </c>
      <c r="G67" s="17">
        <v>487</v>
      </c>
      <c r="H67" s="17">
        <v>487</v>
      </c>
      <c r="I67" s="32">
        <v>383</v>
      </c>
      <c r="J67" s="32">
        <v>483</v>
      </c>
      <c r="K67" s="32">
        <v>478</v>
      </c>
      <c r="L67" s="32">
        <v>0</v>
      </c>
      <c r="M67" s="32">
        <v>0</v>
      </c>
      <c r="N67" s="32">
        <v>72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</row>
    <row r="68" spans="1:20">
      <c r="A68" s="30">
        <v>1238480</v>
      </c>
      <c r="B68" s="32">
        <v>1009</v>
      </c>
      <c r="C68" s="32">
        <v>1061</v>
      </c>
      <c r="D68" s="32">
        <v>685</v>
      </c>
      <c r="E68" s="32">
        <v>0</v>
      </c>
      <c r="F68" s="32">
        <v>0</v>
      </c>
      <c r="G68" s="17">
        <v>1082</v>
      </c>
      <c r="H68" s="32">
        <v>872</v>
      </c>
      <c r="I68" s="32">
        <v>914</v>
      </c>
      <c r="J68" s="32">
        <v>1303</v>
      </c>
      <c r="K68" s="32">
        <v>1274</v>
      </c>
      <c r="L68" s="32">
        <v>0</v>
      </c>
      <c r="M68" s="32">
        <v>0</v>
      </c>
      <c r="N68" s="32">
        <v>1308</v>
      </c>
      <c r="O68" s="32">
        <v>707</v>
      </c>
      <c r="P68" s="32">
        <v>793</v>
      </c>
      <c r="Q68" s="32">
        <v>1606</v>
      </c>
      <c r="R68" s="32">
        <v>1543</v>
      </c>
      <c r="S68" s="32">
        <v>0</v>
      </c>
      <c r="T68" s="32">
        <v>0</v>
      </c>
    </row>
    <row r="69" spans="1:20">
      <c r="A69" s="30">
        <v>1238453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330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387</v>
      </c>
      <c r="S69" s="32">
        <v>0</v>
      </c>
      <c r="T69" s="32">
        <v>0</v>
      </c>
    </row>
    <row r="70" spans="1:20">
      <c r="A70" s="30">
        <v>1232775</v>
      </c>
      <c r="B70" s="32">
        <v>0</v>
      </c>
      <c r="C70" s="32">
        <v>0</v>
      </c>
      <c r="D70" s="32">
        <v>216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</row>
    <row r="71" spans="1:20">
      <c r="A71" s="30">
        <v>1240029</v>
      </c>
      <c r="B71" s="32">
        <v>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600</v>
      </c>
      <c r="O71" s="32">
        <v>300</v>
      </c>
      <c r="P71" s="32">
        <v>200</v>
      </c>
      <c r="Q71" s="32">
        <v>0</v>
      </c>
      <c r="R71" s="32">
        <v>0</v>
      </c>
      <c r="S71" s="32">
        <v>0</v>
      </c>
      <c r="T71" s="32">
        <v>0</v>
      </c>
    </row>
    <row r="72" spans="1:20">
      <c r="A72" s="30">
        <v>1240032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600</v>
      </c>
      <c r="O72" s="32">
        <v>300</v>
      </c>
      <c r="P72" s="32">
        <v>200</v>
      </c>
      <c r="Q72" s="32">
        <v>0</v>
      </c>
      <c r="R72" s="32">
        <v>0</v>
      </c>
      <c r="S72" s="32">
        <v>0</v>
      </c>
      <c r="T72" s="32">
        <v>0</v>
      </c>
    </row>
    <row r="73" spans="1:20">
      <c r="A73" s="30">
        <v>1240180</v>
      </c>
      <c r="B73" s="32">
        <v>0</v>
      </c>
      <c r="C73" s="32">
        <v>0</v>
      </c>
      <c r="D73" s="75">
        <v>114</v>
      </c>
      <c r="E73" s="75">
        <v>0</v>
      </c>
      <c r="F73" s="75">
        <v>0</v>
      </c>
      <c r="G73" s="75">
        <v>166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</row>
    <row r="74" spans="1:20">
      <c r="A74" s="30">
        <v>1240184</v>
      </c>
      <c r="B74" s="32">
        <v>0</v>
      </c>
      <c r="C74" s="32">
        <v>0</v>
      </c>
      <c r="D74" s="75">
        <v>114</v>
      </c>
      <c r="E74" s="75">
        <v>0</v>
      </c>
      <c r="F74" s="75">
        <v>0</v>
      </c>
      <c r="G74" s="75">
        <v>166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</row>
    <row r="75" spans="1:20">
      <c r="A75" s="30">
        <v>1216452</v>
      </c>
      <c r="B75" s="32">
        <v>594</v>
      </c>
      <c r="C75" s="32">
        <v>929</v>
      </c>
      <c r="D75" s="17">
        <v>387</v>
      </c>
      <c r="E75" s="32">
        <v>0</v>
      </c>
      <c r="F75" s="32">
        <v>0</v>
      </c>
      <c r="G75" s="32">
        <v>0</v>
      </c>
      <c r="H75" s="32">
        <v>18</v>
      </c>
      <c r="I75" s="32">
        <v>173</v>
      </c>
      <c r="J75" s="32">
        <v>0</v>
      </c>
      <c r="K75" s="32">
        <v>0</v>
      </c>
      <c r="L75" s="32">
        <v>0</v>
      </c>
      <c r="M75" s="32">
        <v>0</v>
      </c>
      <c r="N75" s="32">
        <v>374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</row>
    <row r="76" spans="1:20">
      <c r="A76" s="30">
        <v>1230791</v>
      </c>
      <c r="B76" s="32">
        <v>0</v>
      </c>
      <c r="C76" s="32">
        <v>0</v>
      </c>
      <c r="D76" s="17">
        <v>275</v>
      </c>
      <c r="E76" s="32">
        <v>0</v>
      </c>
      <c r="F76" s="32">
        <v>0</v>
      </c>
      <c r="G76" s="32">
        <v>625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</row>
    <row r="77" spans="1:20">
      <c r="A77" s="30">
        <v>1231011</v>
      </c>
      <c r="B77" s="32">
        <v>0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310</v>
      </c>
      <c r="Q77" s="32">
        <v>0</v>
      </c>
      <c r="R77" s="32">
        <v>0</v>
      </c>
      <c r="S77" s="32">
        <v>0</v>
      </c>
      <c r="T77" s="32">
        <v>0</v>
      </c>
    </row>
    <row r="78" spans="1:20">
      <c r="A78" s="30">
        <v>1232895</v>
      </c>
      <c r="B78" s="32">
        <v>0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34</v>
      </c>
      <c r="K78" s="32">
        <v>142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</row>
    <row r="79" spans="1:20">
      <c r="A79" s="30">
        <v>1232922</v>
      </c>
      <c r="B79" s="32">
        <v>0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34</v>
      </c>
      <c r="K79" s="32">
        <v>142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</row>
    <row r="80" spans="1:20">
      <c r="A80" s="30">
        <v>1233580</v>
      </c>
      <c r="B80" s="32">
        <v>0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130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</row>
  </sheetData>
  <autoFilter ref="A1:T19" xr:uid="{D2655D26-120C-479F-998C-86C4565CD951}"/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924A-C0E6-4580-8AB9-8BB94D583358}">
  <sheetPr>
    <tabColor rgb="FFFFFF00"/>
  </sheetPr>
  <dimension ref="A1:R164"/>
  <sheetViews>
    <sheetView zoomScale="115" zoomScaleNormal="115" workbookViewId="0">
      <pane xSplit="2" ySplit="8" topLeftCell="C83" activePane="bottomRight" state="frozen"/>
      <selection pane="topRight" activeCell="C1" sqref="C1"/>
      <selection pane="bottomLeft" activeCell="A9" sqref="A9"/>
      <selection pane="bottomRight" activeCell="B111" sqref="A111:XFD111"/>
    </sheetView>
  </sheetViews>
  <sheetFormatPr defaultColWidth="9.33203125" defaultRowHeight="12"/>
  <cols>
    <col min="1" max="1" width="9.5" style="5" bestFit="1" customWidth="1"/>
    <col min="2" max="2" width="10.1640625" style="19" customWidth="1"/>
    <col min="3" max="12" width="11.33203125" style="9" customWidth="1"/>
    <col min="13" max="13" width="9.33203125" style="5"/>
    <col min="14" max="14" width="10" style="122" bestFit="1" customWidth="1"/>
    <col min="15" max="16384" width="9.33203125" style="5"/>
  </cols>
  <sheetData>
    <row r="1" spans="1:18" s="80" customFormat="1">
      <c r="A1" s="81" t="s">
        <v>730</v>
      </c>
      <c r="B1" s="81"/>
      <c r="C1" s="82">
        <f>+C2-C3</f>
        <v>0</v>
      </c>
      <c r="D1" s="82">
        <f t="shared" ref="D1:L1" si="0">+D2-D3</f>
        <v>0</v>
      </c>
      <c r="E1" s="82">
        <f t="shared" si="0"/>
        <v>0</v>
      </c>
      <c r="F1" s="82">
        <f t="shared" si="0"/>
        <v>0</v>
      </c>
      <c r="G1" s="82">
        <f t="shared" si="0"/>
        <v>0</v>
      </c>
      <c r="H1" s="82">
        <f t="shared" si="0"/>
        <v>0</v>
      </c>
      <c r="I1" s="82">
        <f t="shared" si="0"/>
        <v>0</v>
      </c>
      <c r="J1" s="82">
        <f t="shared" si="0"/>
        <v>0</v>
      </c>
      <c r="K1" s="82">
        <f t="shared" si="0"/>
        <v>0</v>
      </c>
      <c r="L1" s="82">
        <f t="shared" si="0"/>
        <v>0</v>
      </c>
      <c r="M1" s="83"/>
      <c r="N1" s="117"/>
    </row>
    <row r="2" spans="1:18" s="80" customFormat="1">
      <c r="A2" s="81" t="s">
        <v>729</v>
      </c>
      <c r="B2" s="81"/>
      <c r="C2" s="9">
        <v>44885</v>
      </c>
      <c r="D2" s="9">
        <v>48523</v>
      </c>
      <c r="E2" s="9">
        <v>47685</v>
      </c>
      <c r="F2" s="9">
        <v>19838</v>
      </c>
      <c r="G2" s="9">
        <v>33925</v>
      </c>
      <c r="H2" s="9">
        <v>33056</v>
      </c>
      <c r="I2" s="9">
        <v>47301</v>
      </c>
      <c r="J2" s="9">
        <v>41621</v>
      </c>
      <c r="K2" s="9">
        <v>42446</v>
      </c>
      <c r="L2" s="9">
        <v>49771</v>
      </c>
      <c r="M2" s="9">
        <v>0</v>
      </c>
      <c r="N2" s="118">
        <v>0</v>
      </c>
    </row>
    <row r="3" spans="1:18" s="84" customFormat="1">
      <c r="A3" s="85" t="s">
        <v>30</v>
      </c>
      <c r="B3" s="85"/>
      <c r="C3" s="86">
        <f>C4+C5</f>
        <v>44885</v>
      </c>
      <c r="D3" s="86">
        <f>D4+D5</f>
        <v>48523</v>
      </c>
      <c r="E3" s="86">
        <f t="shared" ref="E3:L3" si="1">E4+E5</f>
        <v>47685</v>
      </c>
      <c r="F3" s="86">
        <f t="shared" si="1"/>
        <v>19838</v>
      </c>
      <c r="G3" s="86">
        <f t="shared" si="1"/>
        <v>33925</v>
      </c>
      <c r="H3" s="86">
        <f t="shared" si="1"/>
        <v>33056</v>
      </c>
      <c r="I3" s="86">
        <f t="shared" si="1"/>
        <v>47301</v>
      </c>
      <c r="J3" s="86">
        <f t="shared" si="1"/>
        <v>41621</v>
      </c>
      <c r="K3" s="86">
        <f t="shared" si="1"/>
        <v>42446</v>
      </c>
      <c r="L3" s="86">
        <f t="shared" si="1"/>
        <v>49771</v>
      </c>
      <c r="M3" s="86"/>
      <c r="N3" s="119"/>
    </row>
    <row r="4" spans="1:18" s="80" customFormat="1">
      <c r="A4" s="81" t="s">
        <v>31</v>
      </c>
      <c r="B4" s="81"/>
      <c r="C4" s="83">
        <f t="shared" ref="C4:L4" si="2">SUM(C9:C46)</f>
        <v>28544</v>
      </c>
      <c r="D4" s="83">
        <f t="shared" si="2"/>
        <v>22850</v>
      </c>
      <c r="E4" s="83">
        <f t="shared" si="2"/>
        <v>28486</v>
      </c>
      <c r="F4" s="83">
        <f t="shared" si="2"/>
        <v>13100</v>
      </c>
      <c r="G4" s="83">
        <f t="shared" si="2"/>
        <v>21520</v>
      </c>
      <c r="H4" s="83">
        <f t="shared" si="2"/>
        <v>21430</v>
      </c>
      <c r="I4" s="83">
        <f t="shared" si="2"/>
        <v>23026</v>
      </c>
      <c r="J4" s="83">
        <f t="shared" si="2"/>
        <v>27392</v>
      </c>
      <c r="K4" s="83">
        <f t="shared" si="2"/>
        <v>31262</v>
      </c>
      <c r="L4" s="83">
        <f t="shared" si="2"/>
        <v>35072</v>
      </c>
      <c r="M4" s="83"/>
      <c r="N4" s="117"/>
    </row>
    <row r="5" spans="1:18" s="80" customFormat="1">
      <c r="A5" s="81" t="s">
        <v>27</v>
      </c>
      <c r="B5" s="81"/>
      <c r="C5" s="83">
        <f t="shared" ref="C5:L5" si="3">SUM(C70:C131)</f>
        <v>16341</v>
      </c>
      <c r="D5" s="83">
        <f t="shared" si="3"/>
        <v>25673</v>
      </c>
      <c r="E5" s="83">
        <f t="shared" si="3"/>
        <v>19199</v>
      </c>
      <c r="F5" s="83">
        <f t="shared" si="3"/>
        <v>6738</v>
      </c>
      <c r="G5" s="83">
        <f t="shared" si="3"/>
        <v>12405</v>
      </c>
      <c r="H5" s="83">
        <f t="shared" si="3"/>
        <v>11626</v>
      </c>
      <c r="I5" s="83">
        <f t="shared" si="3"/>
        <v>24275</v>
      </c>
      <c r="J5" s="83">
        <f t="shared" si="3"/>
        <v>14229</v>
      </c>
      <c r="K5" s="83">
        <f t="shared" si="3"/>
        <v>11184</v>
      </c>
      <c r="L5" s="83">
        <f t="shared" si="3"/>
        <v>14699</v>
      </c>
      <c r="M5" s="83"/>
      <c r="N5" s="117"/>
    </row>
    <row r="7" spans="1:18" s="8" customFormat="1">
      <c r="B7" s="8" t="s">
        <v>0</v>
      </c>
      <c r="C7" s="102" t="s">
        <v>719</v>
      </c>
      <c r="D7" s="102" t="s">
        <v>721</v>
      </c>
      <c r="E7" s="102" t="s">
        <v>723</v>
      </c>
      <c r="F7" s="102" t="s">
        <v>725</v>
      </c>
      <c r="G7" s="102" t="s">
        <v>727</v>
      </c>
      <c r="H7" s="102" t="s">
        <v>731</v>
      </c>
      <c r="I7" s="102" t="s">
        <v>736</v>
      </c>
      <c r="J7" s="102" t="s">
        <v>745</v>
      </c>
      <c r="K7" s="102" t="s">
        <v>754</v>
      </c>
      <c r="L7" s="102" t="s">
        <v>764</v>
      </c>
      <c r="N7" s="120"/>
    </row>
    <row r="8" spans="1:18" s="8" customFormat="1">
      <c r="C8" s="102" t="s">
        <v>720</v>
      </c>
      <c r="D8" s="102" t="s">
        <v>722</v>
      </c>
      <c r="E8" s="102" t="s">
        <v>724</v>
      </c>
      <c r="F8" s="102" t="s">
        <v>726</v>
      </c>
      <c r="G8" s="102" t="s">
        <v>728</v>
      </c>
      <c r="H8" s="102" t="s">
        <v>732</v>
      </c>
      <c r="I8" s="102" t="s">
        <v>737</v>
      </c>
      <c r="J8" s="102" t="s">
        <v>746</v>
      </c>
      <c r="K8" s="102" t="s">
        <v>755</v>
      </c>
      <c r="L8" s="102" t="s">
        <v>765</v>
      </c>
      <c r="N8" s="120"/>
    </row>
    <row r="9" spans="1:18">
      <c r="B9" s="19">
        <v>1226384</v>
      </c>
      <c r="C9" s="9">
        <v>0</v>
      </c>
      <c r="D9" s="9">
        <v>1160</v>
      </c>
      <c r="E9" s="9">
        <v>200</v>
      </c>
      <c r="F9" s="9">
        <v>0</v>
      </c>
      <c r="G9" s="9">
        <v>300</v>
      </c>
      <c r="H9" s="9">
        <v>300</v>
      </c>
      <c r="I9" s="9">
        <v>0</v>
      </c>
      <c r="J9" s="9">
        <v>0</v>
      </c>
      <c r="K9" s="9">
        <v>400</v>
      </c>
      <c r="L9" s="9">
        <v>200</v>
      </c>
      <c r="N9" s="123">
        <f t="shared" ref="N9:N46" si="4">SUM(D9:L9)</f>
        <v>2560</v>
      </c>
      <c r="O9" s="5">
        <f>IFERROR(VLOOKUP(B9,'[1]26.02W (1월생판)'!$G$7:$AP$298,36,0),0)</f>
        <v>2560</v>
      </c>
      <c r="P9" s="78">
        <f>+N9-O9</f>
        <v>0</v>
      </c>
      <c r="R9" s="78">
        <f>SUM(D9:L9)</f>
        <v>2560</v>
      </c>
    </row>
    <row r="10" spans="1:18">
      <c r="B10" s="19">
        <v>1226388</v>
      </c>
      <c r="C10" s="9">
        <v>0</v>
      </c>
      <c r="D10" s="9">
        <v>1160</v>
      </c>
      <c r="E10" s="9">
        <v>200</v>
      </c>
      <c r="F10" s="9">
        <v>0</v>
      </c>
      <c r="G10" s="9">
        <v>300</v>
      </c>
      <c r="H10" s="9">
        <v>300</v>
      </c>
      <c r="I10" s="9">
        <v>0</v>
      </c>
      <c r="J10" s="9">
        <v>0</v>
      </c>
      <c r="K10" s="9">
        <v>400</v>
      </c>
      <c r="L10" s="9">
        <v>200</v>
      </c>
      <c r="N10" s="123">
        <f t="shared" si="4"/>
        <v>2560</v>
      </c>
      <c r="O10" s="5">
        <f>IFERROR(VLOOKUP(B10,'[1]26.02W (1월생판)'!$G$7:$AP$298,36,0),0)</f>
        <v>2560</v>
      </c>
      <c r="P10" s="78">
        <f t="shared" ref="P10:P65" si="5">+N10-O10</f>
        <v>0</v>
      </c>
      <c r="R10" s="78">
        <f t="shared" ref="R10:R73" si="6">SUM(D10:L10)</f>
        <v>2560</v>
      </c>
    </row>
    <row r="11" spans="1:18">
      <c r="B11" s="19">
        <v>1227431</v>
      </c>
      <c r="C11" s="9">
        <v>0</v>
      </c>
      <c r="D11" s="9">
        <v>0</v>
      </c>
      <c r="E11" s="9">
        <v>96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N11" s="123">
        <f t="shared" si="4"/>
        <v>96</v>
      </c>
      <c r="O11" s="5">
        <f>IFERROR(VLOOKUP(B11,'[1]26.02W (1월생판)'!$G$7:$AP$298,36,0),0)</f>
        <v>96</v>
      </c>
      <c r="P11" s="78">
        <f t="shared" si="5"/>
        <v>0</v>
      </c>
      <c r="R11" s="78">
        <f t="shared" si="6"/>
        <v>96</v>
      </c>
    </row>
    <row r="12" spans="1:18">
      <c r="B12" s="19">
        <v>1227433</v>
      </c>
      <c r="C12" s="9">
        <v>0</v>
      </c>
      <c r="D12" s="9">
        <v>0</v>
      </c>
      <c r="E12" s="9">
        <v>96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N12" s="123">
        <f t="shared" si="4"/>
        <v>96</v>
      </c>
      <c r="O12" s="5">
        <f>IFERROR(VLOOKUP(B12,'[1]26.02W (1월생판)'!$G$7:$AP$298,36,0),0)</f>
        <v>96</v>
      </c>
      <c r="P12" s="78">
        <f t="shared" si="5"/>
        <v>0</v>
      </c>
      <c r="R12" s="78">
        <f t="shared" si="6"/>
        <v>96</v>
      </c>
    </row>
    <row r="13" spans="1:18">
      <c r="B13" s="19">
        <v>1229673</v>
      </c>
      <c r="C13" s="9">
        <v>800</v>
      </c>
      <c r="D13" s="9">
        <v>900</v>
      </c>
      <c r="E13" s="9">
        <v>900</v>
      </c>
      <c r="F13" s="9">
        <v>400</v>
      </c>
      <c r="G13" s="9">
        <v>600</v>
      </c>
      <c r="H13" s="9">
        <v>900</v>
      </c>
      <c r="I13" s="9">
        <v>1000</v>
      </c>
      <c r="J13" s="9">
        <v>1000</v>
      </c>
      <c r="K13" s="9">
        <v>900</v>
      </c>
      <c r="L13" s="9">
        <v>1300</v>
      </c>
      <c r="N13" s="123">
        <f t="shared" si="4"/>
        <v>7900</v>
      </c>
      <c r="O13" s="5">
        <f>IFERROR(VLOOKUP(B13,'[1]26.02W (1월생판)'!$G$7:$AP$298,36,0),0)</f>
        <v>8700</v>
      </c>
      <c r="P13" s="78">
        <f t="shared" si="5"/>
        <v>-800</v>
      </c>
      <c r="R13" s="78">
        <f t="shared" si="6"/>
        <v>7900</v>
      </c>
    </row>
    <row r="14" spans="1:18">
      <c r="B14" s="19">
        <v>1230692</v>
      </c>
      <c r="C14" s="9">
        <v>688</v>
      </c>
      <c r="D14" s="9">
        <v>1000</v>
      </c>
      <c r="E14" s="9">
        <v>1000</v>
      </c>
      <c r="F14" s="9">
        <v>0</v>
      </c>
      <c r="G14" s="9">
        <v>1000</v>
      </c>
      <c r="H14" s="9">
        <v>700</v>
      </c>
      <c r="I14" s="9">
        <v>600</v>
      </c>
      <c r="J14" s="9">
        <v>700</v>
      </c>
      <c r="K14" s="9">
        <v>600</v>
      </c>
      <c r="L14" s="9">
        <v>1400</v>
      </c>
      <c r="N14" s="123">
        <f t="shared" si="4"/>
        <v>7000</v>
      </c>
      <c r="O14" s="5">
        <f>IFERROR(VLOOKUP(B14,'[1]26.02W (1월생판)'!$G$7:$AP$298,36,0),0)</f>
        <v>7988</v>
      </c>
      <c r="P14" s="112">
        <f t="shared" si="5"/>
        <v>-988</v>
      </c>
      <c r="Q14" s="5" t="s">
        <v>27</v>
      </c>
      <c r="R14" s="78">
        <f t="shared" si="6"/>
        <v>7000</v>
      </c>
    </row>
    <row r="15" spans="1:18">
      <c r="B15" s="19">
        <v>1230696</v>
      </c>
      <c r="C15" s="9">
        <v>24</v>
      </c>
      <c r="D15" s="9">
        <v>200</v>
      </c>
      <c r="E15" s="9">
        <v>200</v>
      </c>
      <c r="F15" s="9">
        <v>200</v>
      </c>
      <c r="G15" s="9">
        <v>0</v>
      </c>
      <c r="H15" s="9">
        <v>0</v>
      </c>
      <c r="I15" s="9">
        <v>200</v>
      </c>
      <c r="J15" s="9">
        <v>200</v>
      </c>
      <c r="K15" s="9">
        <v>0</v>
      </c>
      <c r="L15" s="9">
        <v>0</v>
      </c>
      <c r="N15" s="123">
        <f t="shared" si="4"/>
        <v>1000</v>
      </c>
      <c r="O15" s="5">
        <f>IFERROR(VLOOKUP(B15,'[1]26.02W (1월생판)'!$G$7:$AP$298,36,0),0)</f>
        <v>1024</v>
      </c>
      <c r="P15" s="78">
        <f t="shared" si="5"/>
        <v>-24</v>
      </c>
      <c r="R15" s="78">
        <f t="shared" si="6"/>
        <v>1000</v>
      </c>
    </row>
    <row r="16" spans="1:18">
      <c r="B16" s="19">
        <v>1230854</v>
      </c>
      <c r="C16" s="9">
        <v>0</v>
      </c>
      <c r="D16" s="9">
        <v>0</v>
      </c>
      <c r="E16" s="9">
        <v>200</v>
      </c>
      <c r="F16" s="9">
        <v>0</v>
      </c>
      <c r="G16" s="9">
        <v>0</v>
      </c>
      <c r="H16" s="9">
        <v>0</v>
      </c>
      <c r="I16" s="9">
        <v>0</v>
      </c>
      <c r="J16" s="9">
        <v>200</v>
      </c>
      <c r="K16" s="9">
        <v>0</v>
      </c>
      <c r="L16" s="9">
        <v>0</v>
      </c>
      <c r="N16" s="123">
        <f t="shared" si="4"/>
        <v>400</v>
      </c>
      <c r="O16" s="5">
        <f>IFERROR(VLOOKUP(B16,'[1]26.02W (1월생판)'!$G$7:$AP$298,36,0),0)</f>
        <v>400</v>
      </c>
      <c r="P16" s="78">
        <f t="shared" si="5"/>
        <v>0</v>
      </c>
      <c r="R16" s="78">
        <f t="shared" si="6"/>
        <v>400</v>
      </c>
    </row>
    <row r="17" spans="2:18">
      <c r="B17" s="19">
        <v>1231202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150</v>
      </c>
      <c r="I17" s="9">
        <v>0</v>
      </c>
      <c r="J17" s="9">
        <v>0</v>
      </c>
      <c r="K17" s="9">
        <v>0</v>
      </c>
      <c r="L17" s="9">
        <v>0</v>
      </c>
      <c r="N17" s="123">
        <f t="shared" si="4"/>
        <v>150</v>
      </c>
      <c r="O17" s="5">
        <f>IFERROR(VLOOKUP(B17,'[1]26.02W (1월생판)'!$G$7:$AP$298,36,0),0)</f>
        <v>150</v>
      </c>
      <c r="P17" s="78">
        <f t="shared" si="5"/>
        <v>0</v>
      </c>
      <c r="R17" s="78">
        <f t="shared" si="6"/>
        <v>150</v>
      </c>
    </row>
    <row r="18" spans="2:18">
      <c r="B18" s="19">
        <v>1231898</v>
      </c>
      <c r="C18" s="9">
        <v>2240</v>
      </c>
      <c r="D18" s="9">
        <v>1792</v>
      </c>
      <c r="E18" s="9">
        <v>2240</v>
      </c>
      <c r="F18" s="9">
        <v>1912</v>
      </c>
      <c r="G18" s="9">
        <v>1344</v>
      </c>
      <c r="H18" s="9">
        <v>1344</v>
      </c>
      <c r="I18" s="9">
        <v>1792</v>
      </c>
      <c r="J18" s="9">
        <v>1792</v>
      </c>
      <c r="K18" s="9">
        <v>1792</v>
      </c>
      <c r="L18" s="9">
        <v>2240</v>
      </c>
      <c r="N18" s="123">
        <f t="shared" si="4"/>
        <v>16248</v>
      </c>
      <c r="O18" s="5">
        <f>IFERROR(VLOOKUP(B18,'[1]26.02W (1월생판)'!$G$7:$AP$298,36,0),0)</f>
        <v>18488</v>
      </c>
      <c r="P18" s="78">
        <f t="shared" si="5"/>
        <v>-2240</v>
      </c>
      <c r="R18" s="78">
        <f t="shared" si="6"/>
        <v>16248</v>
      </c>
    </row>
    <row r="19" spans="2:18">
      <c r="B19" s="19">
        <v>1232693</v>
      </c>
      <c r="C19" s="9">
        <v>1396</v>
      </c>
      <c r="D19" s="9">
        <v>0</v>
      </c>
      <c r="E19" s="9">
        <v>1397</v>
      </c>
      <c r="F19" s="9">
        <v>0</v>
      </c>
      <c r="G19" s="9">
        <v>0</v>
      </c>
      <c r="H19" s="9">
        <v>1407</v>
      </c>
      <c r="I19" s="9">
        <v>0</v>
      </c>
      <c r="J19" s="9">
        <v>0</v>
      </c>
      <c r="K19" s="9">
        <v>1407</v>
      </c>
      <c r="L19" s="9">
        <v>2793</v>
      </c>
      <c r="N19" s="123">
        <f t="shared" si="4"/>
        <v>7004</v>
      </c>
      <c r="O19" s="5">
        <f>IFERROR(VLOOKUP(B19,'[1]26.02W (1월생판)'!$G$7:$AP$298,36,0),0)</f>
        <v>8456</v>
      </c>
      <c r="P19" s="78">
        <f t="shared" si="5"/>
        <v>-1452</v>
      </c>
      <c r="Q19" s="5" t="s">
        <v>27</v>
      </c>
      <c r="R19" s="78">
        <f t="shared" si="6"/>
        <v>7004</v>
      </c>
    </row>
    <row r="20" spans="2:18">
      <c r="B20" s="19">
        <v>1233025</v>
      </c>
      <c r="C20" s="9">
        <v>1396</v>
      </c>
      <c r="D20" s="9">
        <v>0</v>
      </c>
      <c r="E20" s="9">
        <v>1397</v>
      </c>
      <c r="F20" s="9">
        <v>0</v>
      </c>
      <c r="G20" s="9">
        <v>0</v>
      </c>
      <c r="H20" s="9">
        <v>1407</v>
      </c>
      <c r="I20" s="9">
        <v>0</v>
      </c>
      <c r="J20" s="9">
        <v>0</v>
      </c>
      <c r="K20" s="9">
        <v>1407</v>
      </c>
      <c r="L20" s="9">
        <v>2793</v>
      </c>
      <c r="N20" s="123">
        <f t="shared" si="4"/>
        <v>7004</v>
      </c>
      <c r="O20" s="5">
        <f>IFERROR(VLOOKUP(B20,'[1]26.02W (1월생판)'!$G$7:$AP$298,36,0),0)</f>
        <v>8456</v>
      </c>
      <c r="P20" s="78">
        <f t="shared" si="5"/>
        <v>-1452</v>
      </c>
      <c r="Q20" s="5" t="s">
        <v>27</v>
      </c>
      <c r="R20" s="78">
        <f t="shared" si="6"/>
        <v>7004</v>
      </c>
    </row>
    <row r="21" spans="2:18">
      <c r="B21" s="19">
        <v>1233492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500</v>
      </c>
      <c r="K21" s="9">
        <v>0</v>
      </c>
      <c r="L21" s="9">
        <v>300</v>
      </c>
      <c r="N21" s="123">
        <f t="shared" si="4"/>
        <v>800</v>
      </c>
      <c r="O21" s="5">
        <f>IFERROR(VLOOKUP(B21,'[1]26.02W (1월생판)'!$G$7:$AP$298,36,0),0)</f>
        <v>800</v>
      </c>
      <c r="P21" s="78">
        <f t="shared" si="5"/>
        <v>0</v>
      </c>
      <c r="R21" s="78">
        <f t="shared" si="6"/>
        <v>800</v>
      </c>
    </row>
    <row r="22" spans="2:18">
      <c r="B22" s="19">
        <v>1233498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500</v>
      </c>
      <c r="K22" s="9">
        <v>0</v>
      </c>
      <c r="L22" s="9">
        <v>300</v>
      </c>
      <c r="N22" s="123">
        <f t="shared" si="4"/>
        <v>800</v>
      </c>
      <c r="O22" s="5">
        <f>IFERROR(VLOOKUP(B22,'[1]26.02W (1월생판)'!$G$7:$AP$298,36,0),0)</f>
        <v>800</v>
      </c>
      <c r="P22" s="78">
        <f t="shared" si="5"/>
        <v>0</v>
      </c>
      <c r="R22" s="78">
        <f t="shared" si="6"/>
        <v>800</v>
      </c>
    </row>
    <row r="23" spans="2:18">
      <c r="B23" s="19">
        <v>1233623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500</v>
      </c>
      <c r="K23" s="9">
        <v>0</v>
      </c>
      <c r="L23" s="9">
        <v>300</v>
      </c>
      <c r="N23" s="123">
        <f t="shared" si="4"/>
        <v>800</v>
      </c>
      <c r="O23" s="5">
        <f>IFERROR(VLOOKUP(B23,'[1]26.02W (1월생판)'!$G$7:$AP$298,36,0),0)</f>
        <v>800</v>
      </c>
      <c r="P23" s="78">
        <f t="shared" si="5"/>
        <v>0</v>
      </c>
      <c r="R23" s="78">
        <f t="shared" si="6"/>
        <v>800</v>
      </c>
    </row>
    <row r="24" spans="2:18">
      <c r="B24" s="19">
        <v>1233632</v>
      </c>
      <c r="C24" s="9">
        <v>401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N24" s="123">
        <f t="shared" si="4"/>
        <v>0</v>
      </c>
      <c r="O24" s="5">
        <f>IFERROR(VLOOKUP(B24,'[1]26.02W (1월생판)'!$G$7:$AP$298,36,0),0)</f>
        <v>401</v>
      </c>
      <c r="P24" s="78">
        <f t="shared" si="5"/>
        <v>-401</v>
      </c>
      <c r="R24" s="78">
        <f t="shared" si="6"/>
        <v>0</v>
      </c>
    </row>
    <row r="25" spans="2:18">
      <c r="B25" s="19">
        <v>1233761</v>
      </c>
      <c r="C25" s="9">
        <v>0</v>
      </c>
      <c r="D25" s="9">
        <v>200</v>
      </c>
      <c r="E25" s="9">
        <v>350</v>
      </c>
      <c r="F25" s="9">
        <v>0</v>
      </c>
      <c r="G25" s="9">
        <v>200</v>
      </c>
      <c r="H25" s="9">
        <v>0</v>
      </c>
      <c r="I25" s="9">
        <v>200</v>
      </c>
      <c r="J25" s="9">
        <v>0</v>
      </c>
      <c r="K25" s="9">
        <v>250</v>
      </c>
      <c r="L25" s="9">
        <v>200</v>
      </c>
      <c r="N25" s="123">
        <f t="shared" si="4"/>
        <v>1400</v>
      </c>
      <c r="O25" s="5">
        <f>IFERROR(VLOOKUP(B25,'[1]26.02W (1월생판)'!$G$7:$AP$298,36,0),0)</f>
        <v>1400</v>
      </c>
      <c r="P25" s="78">
        <f t="shared" si="5"/>
        <v>0</v>
      </c>
      <c r="R25" s="78">
        <f t="shared" si="6"/>
        <v>1400</v>
      </c>
    </row>
    <row r="26" spans="2:18">
      <c r="B26" s="19">
        <v>1233877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120</v>
      </c>
      <c r="I26" s="9">
        <v>0</v>
      </c>
      <c r="J26" s="9">
        <v>0</v>
      </c>
      <c r="K26" s="9">
        <v>0</v>
      </c>
      <c r="L26" s="9">
        <v>0</v>
      </c>
      <c r="N26" s="123">
        <f t="shared" si="4"/>
        <v>120</v>
      </c>
      <c r="O26" s="5">
        <f>IFERROR(VLOOKUP(B26,'[1]26.02W (1월생판)'!$G$7:$AP$298,36,0),0)</f>
        <v>120</v>
      </c>
      <c r="P26" s="78">
        <f t="shared" si="5"/>
        <v>0</v>
      </c>
      <c r="R26" s="78">
        <f t="shared" si="6"/>
        <v>120</v>
      </c>
    </row>
    <row r="27" spans="2:18">
      <c r="B27" s="19">
        <v>1234614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400</v>
      </c>
      <c r="J27" s="9">
        <v>400</v>
      </c>
      <c r="K27" s="9">
        <v>0</v>
      </c>
      <c r="L27" s="9">
        <v>300</v>
      </c>
      <c r="N27" s="123">
        <f t="shared" si="4"/>
        <v>1100</v>
      </c>
      <c r="O27" s="5">
        <f>IFERROR(VLOOKUP(B27,'[1]26.02W (1월생판)'!$G$7:$AP$298,36,0),0)</f>
        <v>1100</v>
      </c>
      <c r="P27" s="78">
        <f t="shared" si="5"/>
        <v>0</v>
      </c>
      <c r="R27" s="78">
        <f t="shared" si="6"/>
        <v>1100</v>
      </c>
    </row>
    <row r="28" spans="2:18">
      <c r="B28" s="19">
        <v>1235003</v>
      </c>
      <c r="C28" s="9">
        <v>2068</v>
      </c>
      <c r="D28" s="9">
        <v>900</v>
      </c>
      <c r="E28" s="9">
        <v>1350</v>
      </c>
      <c r="F28" s="9">
        <v>550</v>
      </c>
      <c r="G28" s="9">
        <v>650</v>
      </c>
      <c r="H28" s="9">
        <v>600</v>
      </c>
      <c r="I28" s="9">
        <v>1300</v>
      </c>
      <c r="J28" s="9">
        <v>1350</v>
      </c>
      <c r="K28" s="9">
        <v>950</v>
      </c>
      <c r="L28" s="9">
        <v>1150</v>
      </c>
      <c r="N28" s="123">
        <f t="shared" si="4"/>
        <v>8800</v>
      </c>
      <c r="O28" s="5">
        <f>IFERROR(VLOOKUP(B28,'[1]26.02W (1월생판)'!$G$7:$AP$298,36,0),0)</f>
        <v>10868</v>
      </c>
      <c r="P28" s="78">
        <f t="shared" si="5"/>
        <v>-2068</v>
      </c>
      <c r="R28" s="78">
        <f t="shared" si="6"/>
        <v>8800</v>
      </c>
    </row>
    <row r="29" spans="2:18">
      <c r="B29" s="19">
        <v>1235058</v>
      </c>
      <c r="C29" s="9">
        <v>320</v>
      </c>
      <c r="D29" s="9">
        <v>150</v>
      </c>
      <c r="E29" s="9">
        <v>200</v>
      </c>
      <c r="F29" s="9">
        <v>100</v>
      </c>
      <c r="G29" s="9">
        <v>100</v>
      </c>
      <c r="H29" s="9">
        <v>0</v>
      </c>
      <c r="I29" s="9">
        <v>250</v>
      </c>
      <c r="J29" s="9">
        <v>250</v>
      </c>
      <c r="K29" s="9">
        <v>250</v>
      </c>
      <c r="L29" s="9">
        <v>150</v>
      </c>
      <c r="N29" s="123">
        <f t="shared" si="4"/>
        <v>1450</v>
      </c>
      <c r="O29" s="5">
        <f>IFERROR(VLOOKUP(B29,'[1]26.02W (1월생판)'!$G$7:$AP$298,36,0),0)</f>
        <v>1770</v>
      </c>
      <c r="P29" s="78">
        <f t="shared" si="5"/>
        <v>-320</v>
      </c>
      <c r="R29" s="78">
        <f t="shared" si="6"/>
        <v>1450</v>
      </c>
    </row>
    <row r="30" spans="2:18">
      <c r="B30" s="19">
        <v>1235623</v>
      </c>
      <c r="C30" s="9">
        <v>0</v>
      </c>
      <c r="D30" s="9">
        <v>936</v>
      </c>
      <c r="E30" s="9">
        <v>936</v>
      </c>
      <c r="F30" s="9">
        <v>0</v>
      </c>
      <c r="G30" s="9">
        <v>0</v>
      </c>
      <c r="H30" s="9">
        <v>0</v>
      </c>
      <c r="I30" s="9">
        <v>0</v>
      </c>
      <c r="J30" s="9">
        <v>2808</v>
      </c>
      <c r="K30" s="9">
        <v>0</v>
      </c>
      <c r="L30" s="9">
        <v>0</v>
      </c>
      <c r="N30" s="123">
        <f t="shared" si="4"/>
        <v>4680</v>
      </c>
      <c r="O30" s="5">
        <f>IFERROR(VLOOKUP(B30,'[1]26.02W (1월생판)'!$G$7:$AP$298,36,0),0)</f>
        <v>4680</v>
      </c>
      <c r="P30" s="78">
        <f t="shared" si="5"/>
        <v>0</v>
      </c>
      <c r="R30" s="78">
        <f t="shared" si="6"/>
        <v>4680</v>
      </c>
    </row>
    <row r="31" spans="2:18">
      <c r="B31" s="19">
        <v>1236091</v>
      </c>
      <c r="C31" s="9">
        <v>0</v>
      </c>
      <c r="D31" s="9">
        <v>200</v>
      </c>
      <c r="E31" s="9">
        <v>250</v>
      </c>
      <c r="F31" s="9">
        <v>0</v>
      </c>
      <c r="G31" s="9">
        <v>200</v>
      </c>
      <c r="H31" s="9">
        <v>0</v>
      </c>
      <c r="I31" s="9">
        <v>300</v>
      </c>
      <c r="J31" s="9">
        <v>350</v>
      </c>
      <c r="K31" s="9">
        <v>0</v>
      </c>
      <c r="L31" s="9">
        <v>0</v>
      </c>
      <c r="N31" s="123">
        <f t="shared" si="4"/>
        <v>1300</v>
      </c>
      <c r="O31" s="5">
        <f>IFERROR(VLOOKUP(B31,'[1]26.02W (1월생판)'!$G$7:$AP$298,36,0),0)</f>
        <v>1300</v>
      </c>
      <c r="P31" s="78">
        <f t="shared" si="5"/>
        <v>0</v>
      </c>
      <c r="R31" s="78">
        <f t="shared" si="6"/>
        <v>1300</v>
      </c>
    </row>
    <row r="32" spans="2:18">
      <c r="B32" s="19">
        <v>1236488</v>
      </c>
      <c r="C32" s="9">
        <v>112</v>
      </c>
      <c r="D32" s="9">
        <v>800</v>
      </c>
      <c r="E32" s="9">
        <v>800</v>
      </c>
      <c r="F32" s="9">
        <v>500</v>
      </c>
      <c r="G32" s="9">
        <v>800</v>
      </c>
      <c r="H32" s="9">
        <v>1200</v>
      </c>
      <c r="I32" s="9">
        <v>1300</v>
      </c>
      <c r="J32" s="9">
        <v>1200</v>
      </c>
      <c r="K32" s="9">
        <v>1300</v>
      </c>
      <c r="L32" s="9">
        <v>900</v>
      </c>
      <c r="N32" s="123">
        <f t="shared" si="4"/>
        <v>8800</v>
      </c>
      <c r="O32" s="5">
        <f>IFERROR(VLOOKUP(B32,'[1]26.02W (1월생판)'!$G$7:$AP$298,36,0),0)</f>
        <v>8912</v>
      </c>
      <c r="P32" s="78">
        <f t="shared" si="5"/>
        <v>-112</v>
      </c>
      <c r="R32" s="78">
        <f t="shared" si="6"/>
        <v>8800</v>
      </c>
    </row>
    <row r="33" spans="2:18">
      <c r="B33" s="19">
        <v>1236534</v>
      </c>
      <c r="C33" s="9">
        <v>24</v>
      </c>
      <c r="D33" s="9">
        <v>300</v>
      </c>
      <c r="E33" s="9">
        <v>200</v>
      </c>
      <c r="F33" s="9">
        <v>0</v>
      </c>
      <c r="G33" s="9">
        <v>300</v>
      </c>
      <c r="H33" s="9">
        <v>200</v>
      </c>
      <c r="I33" s="9">
        <v>300</v>
      </c>
      <c r="J33" s="9">
        <v>300</v>
      </c>
      <c r="K33" s="9">
        <v>300</v>
      </c>
      <c r="L33" s="9">
        <v>200</v>
      </c>
      <c r="N33" s="123">
        <f t="shared" si="4"/>
        <v>2100</v>
      </c>
      <c r="O33" s="5">
        <f>IFERROR(VLOOKUP(B33,'[1]26.02W (1월생판)'!$G$7:$AP$298,36,0),0)</f>
        <v>2124</v>
      </c>
      <c r="P33" s="78">
        <f t="shared" si="5"/>
        <v>-24</v>
      </c>
      <c r="R33" s="78">
        <f t="shared" si="6"/>
        <v>2100</v>
      </c>
    </row>
    <row r="34" spans="2:18">
      <c r="B34" s="19">
        <v>1236962</v>
      </c>
      <c r="C34" s="9">
        <v>890</v>
      </c>
      <c r="D34" s="9">
        <v>900</v>
      </c>
      <c r="E34" s="9">
        <v>1000</v>
      </c>
      <c r="F34" s="9">
        <v>500</v>
      </c>
      <c r="G34" s="9">
        <v>800</v>
      </c>
      <c r="H34" s="9">
        <v>700</v>
      </c>
      <c r="I34" s="9">
        <v>900</v>
      </c>
      <c r="J34" s="9">
        <v>900</v>
      </c>
      <c r="K34" s="9">
        <v>900</v>
      </c>
      <c r="L34" s="9">
        <v>1700</v>
      </c>
      <c r="N34" s="123">
        <f t="shared" si="4"/>
        <v>8300</v>
      </c>
      <c r="O34" s="5">
        <f>IFERROR(VLOOKUP(B34,'[1]26.02W (1월생판)'!$G$7:$AP$298,36,0),0)</f>
        <v>9190</v>
      </c>
      <c r="P34" s="78">
        <f t="shared" si="5"/>
        <v>-890</v>
      </c>
      <c r="R34" s="78">
        <f t="shared" si="6"/>
        <v>8300</v>
      </c>
    </row>
    <row r="35" spans="2:18">
      <c r="B35" s="19">
        <v>1237088</v>
      </c>
      <c r="C35" s="9">
        <v>2396</v>
      </c>
      <c r="D35" s="9">
        <v>3488</v>
      </c>
      <c r="E35" s="9">
        <v>4500</v>
      </c>
      <c r="F35" s="9">
        <v>2950</v>
      </c>
      <c r="G35" s="9">
        <v>3900</v>
      </c>
      <c r="H35" s="9">
        <v>3384</v>
      </c>
      <c r="I35" s="9">
        <v>3724</v>
      </c>
      <c r="J35" s="9">
        <v>3400</v>
      </c>
      <c r="K35" s="9">
        <v>3300</v>
      </c>
      <c r="L35" s="9">
        <v>5900</v>
      </c>
      <c r="N35" s="123">
        <f t="shared" si="4"/>
        <v>34546</v>
      </c>
      <c r="O35" s="5">
        <f>IFERROR(VLOOKUP(B35,'[1]26.02W (1월생판)'!$G$7:$AP$298,36,0),0)</f>
        <v>36942</v>
      </c>
      <c r="P35" s="78">
        <f t="shared" si="5"/>
        <v>-2396</v>
      </c>
      <c r="R35" s="78">
        <f t="shared" si="6"/>
        <v>34546</v>
      </c>
    </row>
    <row r="36" spans="2:18">
      <c r="B36" s="19">
        <v>1237586</v>
      </c>
      <c r="C36" s="9">
        <v>2240</v>
      </c>
      <c r="D36" s="9">
        <v>1792</v>
      </c>
      <c r="E36" s="9">
        <v>2240</v>
      </c>
      <c r="F36" s="9">
        <v>1912</v>
      </c>
      <c r="G36" s="9">
        <v>1344</v>
      </c>
      <c r="H36" s="9">
        <v>1344</v>
      </c>
      <c r="I36" s="9">
        <v>1792</v>
      </c>
      <c r="J36" s="9">
        <v>1792</v>
      </c>
      <c r="K36" s="9">
        <v>1792</v>
      </c>
      <c r="L36" s="9">
        <v>2240</v>
      </c>
      <c r="N36" s="123">
        <f t="shared" si="4"/>
        <v>16248</v>
      </c>
      <c r="O36" s="5">
        <f>IFERROR(VLOOKUP(B36,'[1]26.02W (1월생판)'!$G$7:$AP$298,36,0),0)</f>
        <v>18488</v>
      </c>
      <c r="P36" s="78">
        <f t="shared" si="5"/>
        <v>-2240</v>
      </c>
      <c r="R36" s="78">
        <f t="shared" si="6"/>
        <v>16248</v>
      </c>
    </row>
    <row r="37" spans="2:18">
      <c r="B37" s="19">
        <v>1237748</v>
      </c>
      <c r="C37" s="9">
        <v>728</v>
      </c>
      <c r="D37" s="9">
        <v>0</v>
      </c>
      <c r="E37" s="9">
        <v>0</v>
      </c>
      <c r="F37" s="9">
        <v>0</v>
      </c>
      <c r="G37" s="9">
        <v>572</v>
      </c>
      <c r="H37" s="9">
        <v>0</v>
      </c>
      <c r="I37" s="9">
        <v>0</v>
      </c>
      <c r="J37" s="9">
        <v>0</v>
      </c>
      <c r="K37" s="9">
        <v>572</v>
      </c>
      <c r="L37" s="9">
        <v>0</v>
      </c>
      <c r="N37" s="123">
        <f t="shared" si="4"/>
        <v>1144</v>
      </c>
      <c r="O37" s="5">
        <f>IFERROR(VLOOKUP(B37,'[1]26.02W (1월생판)'!$G$7:$AP$298,36,0),0)</f>
        <v>1872</v>
      </c>
      <c r="P37" s="78">
        <f t="shared" si="5"/>
        <v>-728</v>
      </c>
      <c r="R37" s="78">
        <f t="shared" si="6"/>
        <v>1144</v>
      </c>
    </row>
    <row r="38" spans="2:18">
      <c r="B38" s="19">
        <v>1237765</v>
      </c>
      <c r="C38" s="9">
        <v>150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N38" s="123">
        <f t="shared" si="4"/>
        <v>0</v>
      </c>
      <c r="O38" s="5">
        <f>IFERROR(VLOOKUP(B38,'[1]26.02W (1월생판)'!$G$7:$AP$298,36,0),0)</f>
        <v>150</v>
      </c>
      <c r="P38" s="78">
        <f t="shared" si="5"/>
        <v>-150</v>
      </c>
      <c r="R38" s="78">
        <f t="shared" si="6"/>
        <v>0</v>
      </c>
    </row>
    <row r="39" spans="2:18">
      <c r="B39" s="19">
        <v>1238128</v>
      </c>
      <c r="C39" s="9">
        <v>6913</v>
      </c>
      <c r="D39" s="9">
        <v>0</v>
      </c>
      <c r="E39" s="9">
        <v>0</v>
      </c>
      <c r="F39" s="9">
        <v>0</v>
      </c>
      <c r="G39" s="9">
        <v>3160</v>
      </c>
      <c r="H39" s="9">
        <v>0</v>
      </c>
      <c r="I39" s="9">
        <v>0</v>
      </c>
      <c r="J39" s="9">
        <v>0</v>
      </c>
      <c r="K39" s="9">
        <v>5824</v>
      </c>
      <c r="L39" s="9">
        <v>256</v>
      </c>
      <c r="N39" s="123">
        <f t="shared" si="4"/>
        <v>9240</v>
      </c>
      <c r="O39" s="5">
        <f>IFERROR(VLOOKUP(B39,'[1]26.02W (1월생판)'!$G$7:$AP$298,36,0),0)</f>
        <v>16153</v>
      </c>
      <c r="P39" s="78">
        <f t="shared" si="5"/>
        <v>-6913</v>
      </c>
      <c r="R39" s="78">
        <f t="shared" si="6"/>
        <v>9240</v>
      </c>
    </row>
    <row r="40" spans="2:18">
      <c r="B40" s="19">
        <v>1239651</v>
      </c>
      <c r="C40" s="9">
        <v>400</v>
      </c>
      <c r="D40" s="9">
        <v>0</v>
      </c>
      <c r="E40" s="9">
        <v>800</v>
      </c>
      <c r="F40" s="9">
        <v>0</v>
      </c>
      <c r="G40" s="9">
        <v>500</v>
      </c>
      <c r="H40" s="9">
        <v>200</v>
      </c>
      <c r="I40" s="9">
        <v>300</v>
      </c>
      <c r="J40" s="9">
        <v>500</v>
      </c>
      <c r="K40" s="9">
        <v>200</v>
      </c>
      <c r="L40" s="9">
        <v>500</v>
      </c>
      <c r="N40" s="123">
        <f t="shared" si="4"/>
        <v>3000</v>
      </c>
      <c r="O40" s="5">
        <f>IFERROR(VLOOKUP(B40,'[1]26.02W (1월생판)'!$G$7:$AP$298,36,0),0)</f>
        <v>3400</v>
      </c>
      <c r="P40" s="78">
        <f t="shared" si="5"/>
        <v>-400</v>
      </c>
      <c r="R40" s="78">
        <f t="shared" si="6"/>
        <v>3000</v>
      </c>
    </row>
    <row r="41" spans="2:18">
      <c r="B41" s="19">
        <v>1239988</v>
      </c>
      <c r="C41" s="9">
        <v>1600</v>
      </c>
      <c r="D41" s="9">
        <v>750</v>
      </c>
      <c r="E41" s="9">
        <v>742</v>
      </c>
      <c r="F41" s="9">
        <v>300</v>
      </c>
      <c r="G41" s="9">
        <v>450</v>
      </c>
      <c r="H41" s="9">
        <v>400</v>
      </c>
      <c r="I41" s="9">
        <v>600</v>
      </c>
      <c r="J41" s="9">
        <v>1200</v>
      </c>
      <c r="K41" s="9">
        <v>1000</v>
      </c>
      <c r="L41" s="9">
        <v>800</v>
      </c>
      <c r="N41" s="123">
        <f t="shared" si="4"/>
        <v>6242</v>
      </c>
      <c r="O41" s="5">
        <f>IFERROR(VLOOKUP(B41,'[1]26.02W (1월생판)'!$G$7:$AP$298,36,0),0)</f>
        <v>7842</v>
      </c>
      <c r="P41" s="78">
        <f t="shared" si="5"/>
        <v>-1600</v>
      </c>
      <c r="R41" s="78">
        <f t="shared" si="6"/>
        <v>6242</v>
      </c>
    </row>
    <row r="42" spans="2:18">
      <c r="B42" s="19">
        <v>1240180</v>
      </c>
      <c r="C42" s="9">
        <v>1504</v>
      </c>
      <c r="D42" s="9">
        <v>286</v>
      </c>
      <c r="E42" s="9">
        <v>746</v>
      </c>
      <c r="F42" s="9">
        <v>738</v>
      </c>
      <c r="G42" s="9">
        <v>0</v>
      </c>
      <c r="H42" s="9">
        <v>1312</v>
      </c>
      <c r="I42" s="9">
        <v>1684</v>
      </c>
      <c r="J42" s="9">
        <v>2050</v>
      </c>
      <c r="K42" s="9">
        <v>1584</v>
      </c>
      <c r="L42" s="9">
        <v>1000</v>
      </c>
      <c r="N42" s="123">
        <f t="shared" si="4"/>
        <v>9400</v>
      </c>
      <c r="O42" s="5">
        <f>IFERROR(VLOOKUP(B42,'[1]26.02W (1월생판)'!$G$7:$AP$298,36,0),0)</f>
        <v>12674</v>
      </c>
      <c r="P42" s="78">
        <f t="shared" si="5"/>
        <v>-3274</v>
      </c>
      <c r="Q42" s="5" t="s">
        <v>27</v>
      </c>
      <c r="R42" s="78">
        <f t="shared" si="6"/>
        <v>9400</v>
      </c>
    </row>
    <row r="43" spans="2:18">
      <c r="B43" s="19">
        <v>1240184</v>
      </c>
      <c r="C43" s="9">
        <v>1504</v>
      </c>
      <c r="D43" s="9">
        <v>286</v>
      </c>
      <c r="E43" s="9">
        <v>596</v>
      </c>
      <c r="F43" s="9">
        <v>438</v>
      </c>
      <c r="G43" s="9">
        <v>0</v>
      </c>
      <c r="H43" s="9">
        <v>1312</v>
      </c>
      <c r="I43" s="9">
        <v>1534</v>
      </c>
      <c r="J43" s="9">
        <v>1750</v>
      </c>
      <c r="K43" s="9">
        <v>1584</v>
      </c>
      <c r="L43" s="9">
        <v>900</v>
      </c>
      <c r="N43" s="123">
        <f t="shared" si="4"/>
        <v>8400</v>
      </c>
      <c r="O43" s="5">
        <f>IFERROR(VLOOKUP(B43,'[1]26.02W (1월생판)'!$G$7:$AP$298,36,0),0)</f>
        <v>11674</v>
      </c>
      <c r="P43" s="78">
        <f t="shared" si="5"/>
        <v>-3274</v>
      </c>
      <c r="Q43" s="5" t="s">
        <v>27</v>
      </c>
      <c r="R43" s="78">
        <f t="shared" si="6"/>
        <v>8400</v>
      </c>
    </row>
    <row r="44" spans="2:18">
      <c r="B44" s="19">
        <v>1240308</v>
      </c>
      <c r="C44" s="9">
        <v>750</v>
      </c>
      <c r="D44" s="9">
        <v>750</v>
      </c>
      <c r="E44" s="9">
        <v>850</v>
      </c>
      <c r="F44" s="9">
        <v>200</v>
      </c>
      <c r="G44" s="9">
        <v>600</v>
      </c>
      <c r="H44" s="9">
        <v>350</v>
      </c>
      <c r="I44" s="9">
        <v>750</v>
      </c>
      <c r="J44" s="9">
        <v>650</v>
      </c>
      <c r="K44" s="9">
        <v>550</v>
      </c>
      <c r="L44" s="9">
        <v>450</v>
      </c>
      <c r="N44" s="123">
        <f t="shared" si="4"/>
        <v>5150</v>
      </c>
      <c r="O44" s="5">
        <f>IFERROR(VLOOKUP(B44,'[1]26.02W (1월생판)'!$G$7:$AP$298,36,0),0)</f>
        <v>5900</v>
      </c>
      <c r="P44" s="78">
        <f t="shared" si="5"/>
        <v>-750</v>
      </c>
      <c r="R44" s="78">
        <f t="shared" si="6"/>
        <v>5150</v>
      </c>
    </row>
    <row r="45" spans="2:18">
      <c r="B45" s="19">
        <v>1241134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1900</v>
      </c>
      <c r="N45" s="123">
        <f t="shared" si="4"/>
        <v>1900</v>
      </c>
      <c r="O45" s="5">
        <f>IFERROR(VLOOKUP(B45,'[1]26.02W (1월생판)'!$G$7:$AP$298,36,0),0)</f>
        <v>1900</v>
      </c>
      <c r="P45" s="78">
        <f t="shared" si="5"/>
        <v>0</v>
      </c>
      <c r="R45" s="78">
        <f t="shared" si="6"/>
        <v>1900</v>
      </c>
    </row>
    <row r="46" spans="2:18">
      <c r="B46" s="19">
        <v>1241601</v>
      </c>
      <c r="C46" s="9">
        <v>0</v>
      </c>
      <c r="D46" s="9">
        <v>4900</v>
      </c>
      <c r="E46" s="9">
        <v>5000</v>
      </c>
      <c r="F46" s="9">
        <v>2400</v>
      </c>
      <c r="G46" s="9">
        <v>4400</v>
      </c>
      <c r="H46" s="9">
        <v>3800</v>
      </c>
      <c r="I46" s="9">
        <v>4100</v>
      </c>
      <c r="J46" s="9">
        <v>3100</v>
      </c>
      <c r="K46" s="9">
        <v>4000</v>
      </c>
      <c r="L46" s="9">
        <v>4700</v>
      </c>
      <c r="N46" s="123">
        <f t="shared" si="4"/>
        <v>36400</v>
      </c>
      <c r="O46" s="5">
        <f>IFERROR(VLOOKUP(B46,'[1]26.02W (1월생판)'!$G$7:$AP$298,36,0),0)</f>
        <v>36400</v>
      </c>
      <c r="P46" s="78">
        <f t="shared" si="5"/>
        <v>0</v>
      </c>
      <c r="R46" s="78">
        <f t="shared" si="6"/>
        <v>36400</v>
      </c>
    </row>
    <row r="47" spans="2:18" hidden="1">
      <c r="B47" s="19">
        <v>3104649</v>
      </c>
      <c r="C47" s="9">
        <v>24</v>
      </c>
      <c r="D47" s="9">
        <v>0</v>
      </c>
      <c r="E47" s="9">
        <v>0</v>
      </c>
      <c r="F47" s="9">
        <v>0</v>
      </c>
      <c r="G47" s="9">
        <v>0</v>
      </c>
      <c r="H47" s="9">
        <v>24</v>
      </c>
      <c r="I47" s="9">
        <v>0</v>
      </c>
      <c r="J47" s="9">
        <v>0</v>
      </c>
      <c r="K47" s="9">
        <v>24</v>
      </c>
      <c r="L47" s="9">
        <v>0</v>
      </c>
      <c r="N47" s="121">
        <f t="shared" ref="N47:N65" si="7">SUM(C47:L47)</f>
        <v>72</v>
      </c>
      <c r="O47" s="5">
        <f>IFERROR(VLOOKUP(B47,'[1]26.02W (1월생판)'!$G$7:$AP$298,36,0),0)</f>
        <v>0</v>
      </c>
      <c r="P47" s="78">
        <f t="shared" si="5"/>
        <v>72</v>
      </c>
      <c r="R47" s="78">
        <f t="shared" si="6"/>
        <v>48</v>
      </c>
    </row>
    <row r="48" spans="2:18" hidden="1">
      <c r="B48" s="19">
        <v>3105058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24</v>
      </c>
      <c r="I48" s="9">
        <v>48</v>
      </c>
      <c r="J48" s="9">
        <v>72</v>
      </c>
      <c r="K48" s="9">
        <v>48</v>
      </c>
      <c r="L48" s="9">
        <v>72</v>
      </c>
      <c r="N48" s="121">
        <f t="shared" si="7"/>
        <v>264</v>
      </c>
      <c r="O48" s="5">
        <f>IFERROR(VLOOKUP(B48,'[1]26.02W (1월생판)'!$G$7:$AP$298,36,0),0)</f>
        <v>0</v>
      </c>
      <c r="P48" s="78">
        <f t="shared" si="5"/>
        <v>264</v>
      </c>
      <c r="R48" s="78">
        <f t="shared" si="6"/>
        <v>264</v>
      </c>
    </row>
    <row r="49" spans="2:18" hidden="1">
      <c r="B49" s="19">
        <v>3106127</v>
      </c>
      <c r="C49" s="9">
        <v>0</v>
      </c>
      <c r="D49" s="9">
        <v>24</v>
      </c>
      <c r="E49" s="9">
        <v>0</v>
      </c>
      <c r="F49" s="9">
        <v>0</v>
      </c>
      <c r="G49" s="9">
        <v>0</v>
      </c>
      <c r="H49" s="9">
        <v>0</v>
      </c>
      <c r="I49" s="9">
        <v>12</v>
      </c>
      <c r="J49" s="9">
        <v>0</v>
      </c>
      <c r="K49" s="9">
        <v>0</v>
      </c>
      <c r="L49" s="9">
        <v>0</v>
      </c>
      <c r="N49" s="121">
        <f t="shared" si="7"/>
        <v>36</v>
      </c>
      <c r="O49" s="5">
        <f>IFERROR(VLOOKUP(B49,'[1]26.02W (1월생판)'!$G$7:$AP$298,36,0),0)</f>
        <v>0</v>
      </c>
      <c r="P49" s="78">
        <f t="shared" si="5"/>
        <v>36</v>
      </c>
      <c r="R49" s="78">
        <f t="shared" si="6"/>
        <v>36</v>
      </c>
    </row>
    <row r="50" spans="2:18" hidden="1">
      <c r="B50" s="19">
        <v>3107879</v>
      </c>
      <c r="C50" s="9">
        <v>0</v>
      </c>
      <c r="D50" s="9">
        <v>354</v>
      </c>
      <c r="E50" s="9">
        <v>239</v>
      </c>
      <c r="F50" s="9">
        <v>239</v>
      </c>
      <c r="G50" s="9">
        <v>239</v>
      </c>
      <c r="H50" s="9">
        <v>239</v>
      </c>
      <c r="I50" s="9">
        <v>239</v>
      </c>
      <c r="J50" s="9">
        <v>239</v>
      </c>
      <c r="K50" s="9">
        <v>239</v>
      </c>
      <c r="L50" s="9">
        <v>239</v>
      </c>
      <c r="N50" s="121">
        <f t="shared" si="7"/>
        <v>2266</v>
      </c>
      <c r="O50" s="5">
        <f>IFERROR(VLOOKUP(B50,'[1]26.02W (1월생판)'!$G$7:$AP$298,36,0),0)</f>
        <v>0</v>
      </c>
      <c r="P50" s="78">
        <f t="shared" si="5"/>
        <v>2266</v>
      </c>
      <c r="R50" s="78">
        <f t="shared" si="6"/>
        <v>2266</v>
      </c>
    </row>
    <row r="51" spans="2:18" hidden="1">
      <c r="B51" s="19">
        <v>3107881</v>
      </c>
      <c r="C51" s="9">
        <v>84</v>
      </c>
      <c r="D51" s="9">
        <v>367</v>
      </c>
      <c r="E51" s="9">
        <v>441</v>
      </c>
      <c r="F51" s="9">
        <v>441</v>
      </c>
      <c r="G51" s="9">
        <v>441</v>
      </c>
      <c r="H51" s="9">
        <v>441</v>
      </c>
      <c r="I51" s="9">
        <v>441</v>
      </c>
      <c r="J51" s="9">
        <v>441</v>
      </c>
      <c r="K51" s="9">
        <v>441</v>
      </c>
      <c r="L51" s="9">
        <v>441</v>
      </c>
      <c r="N51" s="121">
        <f t="shared" si="7"/>
        <v>3979</v>
      </c>
      <c r="O51" s="5">
        <f>IFERROR(VLOOKUP(B51,'[1]26.02W (1월생판)'!$G$7:$AP$298,36,0),0)</f>
        <v>0</v>
      </c>
      <c r="P51" s="78">
        <f t="shared" si="5"/>
        <v>3979</v>
      </c>
      <c r="R51" s="78">
        <f t="shared" si="6"/>
        <v>3895</v>
      </c>
    </row>
    <row r="52" spans="2:18" hidden="1">
      <c r="B52" s="19">
        <v>3110110</v>
      </c>
      <c r="C52" s="9">
        <v>0</v>
      </c>
      <c r="D52" s="9">
        <v>24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N52" s="121">
        <f t="shared" si="7"/>
        <v>24</v>
      </c>
      <c r="O52" s="5">
        <f>IFERROR(VLOOKUP(B52,'[1]26.02W (1월생판)'!$G$7:$AP$298,36,0),0)</f>
        <v>0</v>
      </c>
      <c r="P52" s="78">
        <f t="shared" si="5"/>
        <v>24</v>
      </c>
      <c r="R52" s="78">
        <f t="shared" si="6"/>
        <v>24</v>
      </c>
    </row>
    <row r="53" spans="2:18" hidden="1">
      <c r="B53" s="19">
        <v>3110242</v>
      </c>
      <c r="C53" s="9">
        <v>316</v>
      </c>
      <c r="D53" s="9">
        <v>0</v>
      </c>
      <c r="E53" s="9">
        <v>0</v>
      </c>
      <c r="F53" s="9">
        <v>0</v>
      </c>
      <c r="G53" s="9">
        <v>0</v>
      </c>
      <c r="H53" s="9">
        <v>35</v>
      </c>
      <c r="I53" s="9">
        <v>94</v>
      </c>
      <c r="J53" s="9">
        <v>94</v>
      </c>
      <c r="K53" s="9">
        <v>94</v>
      </c>
      <c r="L53" s="9">
        <v>94</v>
      </c>
      <c r="N53" s="121">
        <f t="shared" si="7"/>
        <v>727</v>
      </c>
      <c r="O53" s="5">
        <f>IFERROR(VLOOKUP(B53,'[1]26.02W (1월생판)'!$G$7:$AP$298,36,0),0)</f>
        <v>0</v>
      </c>
      <c r="P53" s="78">
        <f t="shared" si="5"/>
        <v>727</v>
      </c>
      <c r="R53" s="78">
        <f t="shared" si="6"/>
        <v>411</v>
      </c>
    </row>
    <row r="54" spans="2:18" hidden="1">
      <c r="B54" s="19">
        <v>3110248</v>
      </c>
      <c r="C54" s="9">
        <v>10</v>
      </c>
      <c r="D54" s="9">
        <v>0</v>
      </c>
      <c r="E54" s="9">
        <v>0</v>
      </c>
      <c r="F54" s="9">
        <v>0</v>
      </c>
      <c r="G54" s="9">
        <v>0</v>
      </c>
      <c r="H54" s="9">
        <v>17</v>
      </c>
      <c r="I54" s="9">
        <v>19</v>
      </c>
      <c r="J54" s="9">
        <v>19</v>
      </c>
      <c r="K54" s="9">
        <v>19</v>
      </c>
      <c r="L54" s="9">
        <v>19</v>
      </c>
      <c r="N54" s="121">
        <f t="shared" si="7"/>
        <v>103</v>
      </c>
      <c r="O54" s="5">
        <f>IFERROR(VLOOKUP(B54,'[1]26.02W (1월생판)'!$G$7:$AP$298,36,0),0)</f>
        <v>0</v>
      </c>
      <c r="P54" s="78">
        <f t="shared" si="5"/>
        <v>103</v>
      </c>
      <c r="R54" s="78">
        <f t="shared" si="6"/>
        <v>93</v>
      </c>
    </row>
    <row r="55" spans="2:18" hidden="1">
      <c r="B55" s="19">
        <v>3111280</v>
      </c>
      <c r="C55" s="9">
        <v>0</v>
      </c>
      <c r="D55" s="9">
        <v>5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N55" s="121">
        <f t="shared" si="7"/>
        <v>5</v>
      </c>
      <c r="O55" s="5">
        <f>IFERROR(VLOOKUP(B55,'[1]26.02W (1월생판)'!$G$7:$AP$298,36,0),0)</f>
        <v>0</v>
      </c>
      <c r="P55" s="78">
        <f t="shared" si="5"/>
        <v>5</v>
      </c>
      <c r="R55" s="78">
        <f t="shared" si="6"/>
        <v>5</v>
      </c>
    </row>
    <row r="56" spans="2:18" hidden="1">
      <c r="B56" s="19">
        <v>3112438</v>
      </c>
      <c r="C56" s="9">
        <v>0</v>
      </c>
      <c r="D56" s="9">
        <v>4226</v>
      </c>
      <c r="E56" s="9">
        <v>989</v>
      </c>
      <c r="F56" s="9">
        <v>989</v>
      </c>
      <c r="G56" s="9">
        <v>989</v>
      </c>
      <c r="H56" s="9">
        <v>989</v>
      </c>
      <c r="I56" s="9">
        <v>989</v>
      </c>
      <c r="J56" s="9">
        <v>989</v>
      </c>
      <c r="K56" s="9">
        <v>989</v>
      </c>
      <c r="L56" s="9">
        <v>989</v>
      </c>
      <c r="N56" s="121">
        <f t="shared" si="7"/>
        <v>12138</v>
      </c>
      <c r="O56" s="5">
        <f>IFERROR(VLOOKUP(B56,'[1]26.02W (1월생판)'!$G$7:$AP$298,36,0),0)</f>
        <v>0</v>
      </c>
      <c r="P56" s="78">
        <f t="shared" si="5"/>
        <v>12138</v>
      </c>
      <c r="R56" s="78">
        <f t="shared" si="6"/>
        <v>12138</v>
      </c>
    </row>
    <row r="57" spans="2:18" hidden="1">
      <c r="B57" s="19">
        <v>3112440</v>
      </c>
      <c r="C57" s="9">
        <v>0</v>
      </c>
      <c r="D57" s="9">
        <v>826</v>
      </c>
      <c r="E57" s="9">
        <v>243</v>
      </c>
      <c r="F57" s="9">
        <v>243</v>
      </c>
      <c r="G57" s="9">
        <v>243</v>
      </c>
      <c r="H57" s="9">
        <v>243</v>
      </c>
      <c r="I57" s="9">
        <v>243</v>
      </c>
      <c r="J57" s="9">
        <v>243</v>
      </c>
      <c r="K57" s="9">
        <v>243</v>
      </c>
      <c r="L57" s="9">
        <v>243</v>
      </c>
      <c r="N57" s="121">
        <f t="shared" si="7"/>
        <v>2770</v>
      </c>
      <c r="O57" s="5">
        <f>IFERROR(VLOOKUP(B57,'[1]26.02W (1월생판)'!$G$7:$AP$298,36,0),0)</f>
        <v>0</v>
      </c>
      <c r="P57" s="78">
        <f t="shared" si="5"/>
        <v>2770</v>
      </c>
      <c r="R57" s="78">
        <f t="shared" si="6"/>
        <v>2770</v>
      </c>
    </row>
    <row r="58" spans="2:18" hidden="1">
      <c r="B58" s="19">
        <v>3114652</v>
      </c>
      <c r="C58" s="9">
        <v>0</v>
      </c>
      <c r="D58" s="9">
        <v>8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N58" s="121">
        <f t="shared" si="7"/>
        <v>16</v>
      </c>
      <c r="O58" s="5">
        <f>IFERROR(VLOOKUP(B58,'[1]26.02W (1월생판)'!$G$7:$AP$298,36,0),0)</f>
        <v>0</v>
      </c>
      <c r="P58" s="78">
        <f t="shared" si="5"/>
        <v>16</v>
      </c>
      <c r="R58" s="78">
        <f t="shared" si="6"/>
        <v>16</v>
      </c>
    </row>
    <row r="59" spans="2:18" hidden="1">
      <c r="B59" s="19">
        <v>3114874</v>
      </c>
      <c r="C59" s="9">
        <v>75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33</v>
      </c>
      <c r="J59" s="9">
        <v>35</v>
      </c>
      <c r="K59" s="9">
        <v>35</v>
      </c>
      <c r="L59" s="9">
        <v>35</v>
      </c>
      <c r="N59" s="121">
        <f t="shared" si="7"/>
        <v>213</v>
      </c>
      <c r="O59" s="5">
        <f>IFERROR(VLOOKUP(B59,'[1]26.02W (1월생판)'!$G$7:$AP$298,36,0),0)</f>
        <v>0</v>
      </c>
      <c r="P59" s="78">
        <f t="shared" si="5"/>
        <v>213</v>
      </c>
      <c r="R59" s="78">
        <f t="shared" si="6"/>
        <v>138</v>
      </c>
    </row>
    <row r="60" spans="2:18" hidden="1">
      <c r="B60" s="19">
        <v>3115146</v>
      </c>
      <c r="C60" s="9">
        <v>142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20</v>
      </c>
      <c r="J60" s="9">
        <v>85</v>
      </c>
      <c r="K60" s="9">
        <v>85</v>
      </c>
      <c r="L60" s="9">
        <v>85</v>
      </c>
      <c r="N60" s="121">
        <f t="shared" si="7"/>
        <v>417</v>
      </c>
      <c r="O60" s="5">
        <f>IFERROR(VLOOKUP(B60,'[1]26.02W (1월생판)'!$G$7:$AP$298,36,0),0)</f>
        <v>0</v>
      </c>
      <c r="P60" s="78">
        <f t="shared" si="5"/>
        <v>417</v>
      </c>
      <c r="R60" s="78">
        <f t="shared" si="6"/>
        <v>275</v>
      </c>
    </row>
    <row r="61" spans="2:18" hidden="1">
      <c r="B61" s="19">
        <v>3115994</v>
      </c>
      <c r="C61" s="9">
        <v>142</v>
      </c>
      <c r="D61" s="9">
        <v>0</v>
      </c>
      <c r="E61" s="9">
        <v>0</v>
      </c>
      <c r="F61" s="9">
        <v>0</v>
      </c>
      <c r="G61" s="9">
        <v>0</v>
      </c>
      <c r="H61" s="9">
        <v>71</v>
      </c>
      <c r="I61" s="9">
        <v>73</v>
      </c>
      <c r="J61" s="9">
        <v>73</v>
      </c>
      <c r="K61" s="9">
        <v>73</v>
      </c>
      <c r="L61" s="9">
        <v>73</v>
      </c>
      <c r="N61" s="121">
        <f t="shared" si="7"/>
        <v>505</v>
      </c>
      <c r="O61" s="5">
        <f>IFERROR(VLOOKUP(B61,'[1]26.02W (1월생판)'!$G$7:$AP$298,36,0),0)</f>
        <v>0</v>
      </c>
      <c r="P61" s="78">
        <f t="shared" si="5"/>
        <v>505</v>
      </c>
      <c r="R61" s="78">
        <f t="shared" si="6"/>
        <v>363</v>
      </c>
    </row>
    <row r="62" spans="2:18" hidden="1">
      <c r="B62" s="19">
        <v>3120930</v>
      </c>
      <c r="C62" s="9">
        <v>10</v>
      </c>
      <c r="D62" s="9">
        <v>0</v>
      </c>
      <c r="E62" s="9">
        <v>0</v>
      </c>
      <c r="F62" s="9">
        <v>0</v>
      </c>
      <c r="G62" s="9">
        <v>0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N62" s="121">
        <f t="shared" si="7"/>
        <v>15</v>
      </c>
      <c r="O62" s="5">
        <f>IFERROR(VLOOKUP(B62,'[1]26.02W (1월생판)'!$G$7:$AP$298,36,0),0)</f>
        <v>0</v>
      </c>
      <c r="P62" s="78">
        <f t="shared" si="5"/>
        <v>15</v>
      </c>
      <c r="R62" s="78">
        <f t="shared" si="6"/>
        <v>5</v>
      </c>
    </row>
    <row r="63" spans="2:18" hidden="1">
      <c r="B63" s="19">
        <v>3121604</v>
      </c>
      <c r="C63" s="9">
        <v>10</v>
      </c>
      <c r="D63" s="9">
        <v>12</v>
      </c>
      <c r="E63" s="9">
        <v>1</v>
      </c>
      <c r="F63" s="9">
        <v>1</v>
      </c>
      <c r="G63" s="9">
        <v>1</v>
      </c>
      <c r="H63" s="9">
        <v>1</v>
      </c>
      <c r="I63" s="9">
        <v>1</v>
      </c>
      <c r="J63" s="9">
        <v>1</v>
      </c>
      <c r="K63" s="9">
        <v>1</v>
      </c>
      <c r="L63" s="9">
        <v>1</v>
      </c>
      <c r="N63" s="121">
        <f t="shared" si="7"/>
        <v>30</v>
      </c>
      <c r="O63" s="5">
        <f>IFERROR(VLOOKUP(B63,'[1]26.02W (1월생판)'!$G$7:$AP$298,36,0),0)</f>
        <v>0</v>
      </c>
      <c r="P63" s="78">
        <f t="shared" si="5"/>
        <v>30</v>
      </c>
      <c r="R63" s="78">
        <f t="shared" si="6"/>
        <v>20</v>
      </c>
    </row>
    <row r="64" spans="2:18" hidden="1">
      <c r="B64" s="19">
        <v>3122542</v>
      </c>
      <c r="C64" s="9">
        <v>11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3</v>
      </c>
      <c r="J64" s="9">
        <v>3</v>
      </c>
      <c r="K64" s="9">
        <v>3</v>
      </c>
      <c r="L64" s="9">
        <v>3</v>
      </c>
      <c r="N64" s="121">
        <f t="shared" si="7"/>
        <v>23</v>
      </c>
      <c r="O64" s="5">
        <f>IFERROR(VLOOKUP(B64,'[1]26.02W (1월생판)'!$G$7:$AP$298,36,0),0)</f>
        <v>0</v>
      </c>
      <c r="P64" s="78">
        <f t="shared" si="5"/>
        <v>23</v>
      </c>
      <c r="R64" s="78">
        <f t="shared" si="6"/>
        <v>12</v>
      </c>
    </row>
    <row r="65" spans="1:18" hidden="1">
      <c r="B65" s="19">
        <v>3125033</v>
      </c>
      <c r="C65" s="9">
        <v>0</v>
      </c>
      <c r="D65" s="9">
        <v>0</v>
      </c>
      <c r="E65" s="9">
        <v>0</v>
      </c>
      <c r="F65" s="9">
        <v>0</v>
      </c>
      <c r="G65" s="9">
        <v>24</v>
      </c>
      <c r="H65" s="9">
        <v>48</v>
      </c>
      <c r="I65" s="9">
        <v>24</v>
      </c>
      <c r="J65" s="9">
        <v>48</v>
      </c>
      <c r="K65" s="9">
        <v>24</v>
      </c>
      <c r="L65" s="9">
        <v>48</v>
      </c>
      <c r="N65" s="121">
        <f t="shared" si="7"/>
        <v>216</v>
      </c>
      <c r="O65" s="5">
        <f>IFERROR(VLOOKUP(B65,'[1]26.02W (1월생판)'!$G$7:$AP$298,36,0),0)</f>
        <v>0</v>
      </c>
      <c r="P65" s="78">
        <f t="shared" si="5"/>
        <v>216</v>
      </c>
      <c r="R65" s="78">
        <f t="shared" si="6"/>
        <v>216</v>
      </c>
    </row>
    <row r="66" spans="1:18">
      <c r="N66" s="121"/>
      <c r="R66" s="78">
        <f t="shared" si="6"/>
        <v>0</v>
      </c>
    </row>
    <row r="67" spans="1:18">
      <c r="N67" s="121"/>
      <c r="R67" s="78">
        <f t="shared" si="6"/>
        <v>0</v>
      </c>
    </row>
    <row r="68" spans="1:18" s="8" customFormat="1">
      <c r="B68" s="8" t="s">
        <v>0</v>
      </c>
      <c r="C68" s="102" t="s">
        <v>719</v>
      </c>
      <c r="D68" s="102" t="s">
        <v>721</v>
      </c>
      <c r="E68" s="102" t="s">
        <v>723</v>
      </c>
      <c r="F68" s="102" t="s">
        <v>725</v>
      </c>
      <c r="G68" s="102" t="s">
        <v>727</v>
      </c>
      <c r="H68" s="102" t="s">
        <v>731</v>
      </c>
      <c r="I68" s="102" t="s">
        <v>736</v>
      </c>
      <c r="J68" s="102" t="s">
        <v>745</v>
      </c>
      <c r="K68" s="102" t="s">
        <v>754</v>
      </c>
      <c r="L68" s="102" t="s">
        <v>764</v>
      </c>
      <c r="N68" s="121"/>
      <c r="R68" s="78">
        <f t="shared" si="6"/>
        <v>0</v>
      </c>
    </row>
    <row r="69" spans="1:18" s="8" customFormat="1">
      <c r="C69" s="102" t="s">
        <v>720</v>
      </c>
      <c r="D69" s="102" t="s">
        <v>722</v>
      </c>
      <c r="E69" s="102" t="s">
        <v>724</v>
      </c>
      <c r="F69" s="102" t="s">
        <v>726</v>
      </c>
      <c r="G69" s="102" t="s">
        <v>728</v>
      </c>
      <c r="H69" s="102" t="s">
        <v>732</v>
      </c>
      <c r="I69" s="102" t="s">
        <v>737</v>
      </c>
      <c r="J69" s="102" t="s">
        <v>746</v>
      </c>
      <c r="K69" s="102" t="s">
        <v>755</v>
      </c>
      <c r="L69" s="102" t="s">
        <v>765</v>
      </c>
      <c r="N69" s="121"/>
      <c r="R69" s="78">
        <f t="shared" si="6"/>
        <v>0</v>
      </c>
    </row>
    <row r="70" spans="1:18">
      <c r="A70" s="29"/>
      <c r="B70" s="30">
        <v>1216452</v>
      </c>
      <c r="C70" s="32">
        <v>518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144</v>
      </c>
      <c r="N70" s="123">
        <f t="shared" ref="N70:N91" si="8">SUM(D70:L70)</f>
        <v>144</v>
      </c>
      <c r="O70" s="5">
        <f>IFERROR(VLOOKUP(B70,'[1]26.02W (1월생판)'!$G$7:$AP$298,36,0),0)</f>
        <v>662</v>
      </c>
      <c r="P70" s="78">
        <f t="shared" ref="P70:P131" si="9">+N70-O70</f>
        <v>-518</v>
      </c>
      <c r="R70" s="78">
        <f t="shared" si="6"/>
        <v>144</v>
      </c>
    </row>
    <row r="71" spans="1:18">
      <c r="A71" s="29"/>
      <c r="B71" s="30">
        <v>1220847</v>
      </c>
      <c r="C71" s="32">
        <v>0</v>
      </c>
      <c r="D71" s="32">
        <v>2556</v>
      </c>
      <c r="E71" s="32">
        <v>0</v>
      </c>
      <c r="F71" s="32">
        <v>130</v>
      </c>
      <c r="G71" s="32">
        <v>0</v>
      </c>
      <c r="H71" s="32">
        <v>0</v>
      </c>
      <c r="I71" s="32">
        <v>1086</v>
      </c>
      <c r="J71" s="32">
        <v>0</v>
      </c>
      <c r="K71" s="32">
        <v>0</v>
      </c>
      <c r="L71" s="32">
        <v>0</v>
      </c>
      <c r="N71" s="123">
        <f t="shared" si="8"/>
        <v>3772</v>
      </c>
      <c r="O71" s="5">
        <f>IFERROR(VLOOKUP(B71,'[1]26.02W (1월생판)'!$G$7:$AP$298,36,0),0)</f>
        <v>3772</v>
      </c>
      <c r="P71" s="78">
        <f t="shared" si="9"/>
        <v>0</v>
      </c>
      <c r="R71" s="78">
        <f t="shared" si="6"/>
        <v>3772</v>
      </c>
    </row>
    <row r="72" spans="1:18">
      <c r="A72" s="29"/>
      <c r="B72" s="30">
        <v>1221967</v>
      </c>
      <c r="C72" s="32">
        <v>0</v>
      </c>
      <c r="D72" s="32">
        <v>20</v>
      </c>
      <c r="E72" s="32">
        <v>50</v>
      </c>
      <c r="F72" s="32">
        <v>0</v>
      </c>
      <c r="G72" s="32">
        <v>0</v>
      </c>
      <c r="H72" s="32">
        <v>0</v>
      </c>
      <c r="I72" s="32">
        <v>20</v>
      </c>
      <c r="J72" s="32">
        <v>0</v>
      </c>
      <c r="K72" s="32">
        <v>329</v>
      </c>
      <c r="L72" s="32">
        <v>0</v>
      </c>
      <c r="N72" s="123">
        <f t="shared" si="8"/>
        <v>419</v>
      </c>
      <c r="O72" s="5">
        <f>IFERROR(VLOOKUP(B72,'[1]26.02W (1월생판)'!$G$7:$AP$298,36,0),0)</f>
        <v>419</v>
      </c>
      <c r="P72" s="78">
        <f t="shared" si="9"/>
        <v>0</v>
      </c>
      <c r="R72" s="78">
        <f t="shared" si="6"/>
        <v>419</v>
      </c>
    </row>
    <row r="73" spans="1:18">
      <c r="A73" s="29"/>
      <c r="B73" s="30">
        <v>1225464</v>
      </c>
      <c r="C73" s="32">
        <v>0</v>
      </c>
      <c r="D73" s="32">
        <v>756</v>
      </c>
      <c r="E73" s="32">
        <v>0</v>
      </c>
      <c r="F73" s="32">
        <v>0</v>
      </c>
      <c r="G73" s="32">
        <v>0</v>
      </c>
      <c r="H73" s="32">
        <v>0</v>
      </c>
      <c r="I73" s="32">
        <v>780</v>
      </c>
      <c r="J73" s="32">
        <v>0</v>
      </c>
      <c r="K73" s="32">
        <v>0</v>
      </c>
      <c r="L73" s="32">
        <v>0</v>
      </c>
      <c r="N73" s="123">
        <f t="shared" si="8"/>
        <v>1536</v>
      </c>
      <c r="O73" s="5">
        <f>IFERROR(VLOOKUP(B73,'[1]26.02W (1월생판)'!$G$7:$AP$298,36,0),0)</f>
        <v>1536</v>
      </c>
      <c r="P73" s="78">
        <f t="shared" si="9"/>
        <v>0</v>
      </c>
      <c r="R73" s="78">
        <f t="shared" si="6"/>
        <v>1536</v>
      </c>
    </row>
    <row r="74" spans="1:18">
      <c r="A74" s="29"/>
      <c r="B74" s="30">
        <v>1227306</v>
      </c>
      <c r="C74" s="32">
        <v>400</v>
      </c>
      <c r="D74" s="32">
        <v>0</v>
      </c>
      <c r="E74" s="32">
        <v>0</v>
      </c>
      <c r="F74" s="32">
        <v>0</v>
      </c>
      <c r="G74" s="32">
        <v>0</v>
      </c>
      <c r="H74" s="32">
        <v>220</v>
      </c>
      <c r="I74" s="32">
        <v>0</v>
      </c>
      <c r="J74" s="32">
        <v>700</v>
      </c>
      <c r="K74" s="32">
        <v>250</v>
      </c>
      <c r="L74" s="32">
        <v>200</v>
      </c>
      <c r="N74" s="123">
        <f t="shared" si="8"/>
        <v>1370</v>
      </c>
      <c r="O74" s="5">
        <f>IFERROR(VLOOKUP(B74,'[1]26.02W (1월생판)'!$G$7:$AP$298,36,0),0)</f>
        <v>1770</v>
      </c>
      <c r="P74" s="78">
        <f t="shared" si="9"/>
        <v>-400</v>
      </c>
      <c r="R74" s="78">
        <f t="shared" ref="R74:R137" si="10">SUM(D74:L74)</f>
        <v>1370</v>
      </c>
    </row>
    <row r="75" spans="1:18">
      <c r="A75" s="29"/>
      <c r="B75" s="30">
        <v>1227359</v>
      </c>
      <c r="C75" s="32">
        <v>0</v>
      </c>
      <c r="D75" s="32">
        <v>0</v>
      </c>
      <c r="E75" s="32">
        <v>0</v>
      </c>
      <c r="F75" s="32">
        <v>20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N75" s="123">
        <f t="shared" si="8"/>
        <v>20</v>
      </c>
      <c r="O75" s="5">
        <f>IFERROR(VLOOKUP(B75,'[1]26.02W (1월생판)'!$G$7:$AP$298,36,0),0)</f>
        <v>20</v>
      </c>
      <c r="P75" s="78">
        <f t="shared" si="9"/>
        <v>0</v>
      </c>
      <c r="R75" s="78">
        <f t="shared" si="10"/>
        <v>20</v>
      </c>
    </row>
    <row r="76" spans="1:18">
      <c r="A76" s="29"/>
      <c r="B76" s="30">
        <v>1229050</v>
      </c>
      <c r="C76" s="32">
        <v>165</v>
      </c>
      <c r="D76" s="32">
        <v>0</v>
      </c>
      <c r="E76" s="32">
        <v>0</v>
      </c>
      <c r="F76" s="32">
        <v>0</v>
      </c>
      <c r="G76" s="32">
        <v>185</v>
      </c>
      <c r="H76" s="32">
        <v>0</v>
      </c>
      <c r="I76" s="32">
        <v>0</v>
      </c>
      <c r="J76" s="32">
        <v>0</v>
      </c>
      <c r="K76" s="32">
        <v>200</v>
      </c>
      <c r="L76" s="32">
        <v>0</v>
      </c>
      <c r="N76" s="123">
        <f t="shared" si="8"/>
        <v>385</v>
      </c>
      <c r="O76" s="5">
        <f>IFERROR(VLOOKUP(B76,'[1]26.02W (1월생판)'!$G$7:$AP$298,36,0),0)</f>
        <v>550</v>
      </c>
      <c r="P76" s="78">
        <f t="shared" si="9"/>
        <v>-165</v>
      </c>
      <c r="R76" s="78">
        <f t="shared" si="10"/>
        <v>385</v>
      </c>
    </row>
    <row r="77" spans="1:18">
      <c r="A77" s="29"/>
      <c r="B77" s="30">
        <v>1229088</v>
      </c>
      <c r="C77" s="32">
        <v>0</v>
      </c>
      <c r="D77" s="32">
        <v>158</v>
      </c>
      <c r="E77" s="32">
        <v>300</v>
      </c>
      <c r="F77" s="32">
        <v>350</v>
      </c>
      <c r="G77" s="32">
        <v>0</v>
      </c>
      <c r="H77" s="32">
        <v>0</v>
      </c>
      <c r="I77" s="32">
        <v>350</v>
      </c>
      <c r="J77" s="32">
        <v>250</v>
      </c>
      <c r="K77" s="32">
        <v>0</v>
      </c>
      <c r="L77" s="32">
        <v>0</v>
      </c>
      <c r="N77" s="123">
        <f t="shared" si="8"/>
        <v>1408</v>
      </c>
      <c r="O77" s="5">
        <f>IFERROR(VLOOKUP(B77,'[1]26.02W (1월생판)'!$G$7:$AP$298,36,0),0)</f>
        <v>1408</v>
      </c>
      <c r="P77" s="78">
        <f t="shared" si="9"/>
        <v>0</v>
      </c>
      <c r="R77" s="78">
        <f t="shared" si="10"/>
        <v>1408</v>
      </c>
    </row>
    <row r="78" spans="1:18">
      <c r="A78" s="29"/>
      <c r="B78" s="30">
        <v>1229776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100</v>
      </c>
      <c r="L78" s="32">
        <v>0</v>
      </c>
      <c r="N78" s="123">
        <f t="shared" si="8"/>
        <v>100</v>
      </c>
      <c r="O78" s="5">
        <f>IFERROR(VLOOKUP(B78,'[1]26.02W (1월생판)'!$G$7:$AP$298,36,0),0)</f>
        <v>100</v>
      </c>
      <c r="P78" s="78">
        <f t="shared" si="9"/>
        <v>0</v>
      </c>
      <c r="R78" s="78">
        <f t="shared" si="10"/>
        <v>100</v>
      </c>
    </row>
    <row r="79" spans="1:18">
      <c r="A79" s="29"/>
      <c r="B79" s="30">
        <v>1230685</v>
      </c>
      <c r="C79" s="32">
        <v>150</v>
      </c>
      <c r="D79" s="32">
        <v>0</v>
      </c>
      <c r="E79" s="32">
        <v>300</v>
      </c>
      <c r="F79" s="32">
        <v>0</v>
      </c>
      <c r="G79" s="32">
        <v>150</v>
      </c>
      <c r="H79" s="32">
        <v>0</v>
      </c>
      <c r="I79" s="32">
        <v>200</v>
      </c>
      <c r="J79" s="32">
        <v>250</v>
      </c>
      <c r="K79" s="32">
        <v>0</v>
      </c>
      <c r="L79" s="32">
        <v>0</v>
      </c>
      <c r="N79" s="123">
        <f t="shared" si="8"/>
        <v>900</v>
      </c>
      <c r="O79" s="5">
        <f>IFERROR(VLOOKUP(B79,'[1]26.02W (1월생판)'!$G$7:$AP$298,36,0),0)</f>
        <v>1050</v>
      </c>
      <c r="P79" s="78">
        <f t="shared" si="9"/>
        <v>-150</v>
      </c>
      <c r="R79" s="78">
        <f t="shared" si="10"/>
        <v>900</v>
      </c>
    </row>
    <row r="80" spans="1:18">
      <c r="A80" s="29"/>
      <c r="B80" s="30">
        <v>1230692</v>
      </c>
      <c r="C80" s="32">
        <v>0</v>
      </c>
      <c r="D80" s="32">
        <v>0</v>
      </c>
      <c r="E80" s="32">
        <v>150</v>
      </c>
      <c r="F80" s="32">
        <v>0</v>
      </c>
      <c r="G80" s="32">
        <v>0</v>
      </c>
      <c r="H80" s="32">
        <v>0</v>
      </c>
      <c r="I80" s="32">
        <v>150</v>
      </c>
      <c r="J80" s="32">
        <v>0</v>
      </c>
      <c r="K80" s="32">
        <v>0</v>
      </c>
      <c r="L80" s="32">
        <v>0</v>
      </c>
      <c r="N80" s="123">
        <f t="shared" si="8"/>
        <v>300</v>
      </c>
      <c r="O80" s="5">
        <f>IFERROR(VLOOKUP(B80,'[1]26.02W (1월생판)'!$G$7:$AP$298,36,0),0)</f>
        <v>7988</v>
      </c>
      <c r="P80" s="78">
        <f t="shared" si="9"/>
        <v>-7688</v>
      </c>
      <c r="Q80" s="5" t="s">
        <v>31</v>
      </c>
      <c r="R80" s="78">
        <f t="shared" si="10"/>
        <v>300</v>
      </c>
    </row>
    <row r="81" spans="1:18">
      <c r="A81" s="29"/>
      <c r="B81" s="30">
        <v>1230791</v>
      </c>
      <c r="C81" s="32">
        <v>0</v>
      </c>
      <c r="D81" s="32">
        <v>0</v>
      </c>
      <c r="E81" s="32">
        <v>23</v>
      </c>
      <c r="F81" s="32">
        <v>0</v>
      </c>
      <c r="G81" s="32">
        <v>0</v>
      </c>
      <c r="H81" s="32">
        <v>0</v>
      </c>
      <c r="I81" s="32">
        <v>140</v>
      </c>
      <c r="J81" s="32">
        <v>26</v>
      </c>
      <c r="K81" s="32">
        <v>0</v>
      </c>
      <c r="L81" s="32">
        <v>0</v>
      </c>
      <c r="N81" s="123">
        <f t="shared" si="8"/>
        <v>189</v>
      </c>
      <c r="O81" s="5">
        <f>IFERROR(VLOOKUP(B81,'[1]26.02W (1월생판)'!$G$7:$AP$298,36,0),0)</f>
        <v>189</v>
      </c>
      <c r="P81" s="78">
        <f t="shared" si="9"/>
        <v>0</v>
      </c>
      <c r="R81" s="78">
        <f t="shared" si="10"/>
        <v>189</v>
      </c>
    </row>
    <row r="82" spans="1:18">
      <c r="A82" s="29"/>
      <c r="B82" s="30">
        <v>1231090</v>
      </c>
      <c r="C82" s="32">
        <v>833</v>
      </c>
      <c r="D82" s="32">
        <v>1442</v>
      </c>
      <c r="E82" s="32">
        <v>0</v>
      </c>
      <c r="F82" s="32">
        <v>0</v>
      </c>
      <c r="G82" s="32">
        <v>0</v>
      </c>
      <c r="H82" s="32">
        <v>0</v>
      </c>
      <c r="I82" s="32">
        <v>300</v>
      </c>
      <c r="J82" s="32">
        <v>0</v>
      </c>
      <c r="K82" s="32">
        <v>1032</v>
      </c>
      <c r="L82" s="32">
        <v>0</v>
      </c>
      <c r="N82" s="123">
        <f t="shared" si="8"/>
        <v>2774</v>
      </c>
      <c r="O82" s="5">
        <f>IFERROR(VLOOKUP(B82,'[1]26.02W (1월생판)'!$G$7:$AP$298,36,0),0)</f>
        <v>3607</v>
      </c>
      <c r="P82" s="78">
        <f t="shared" si="9"/>
        <v>-833</v>
      </c>
      <c r="R82" s="78">
        <f t="shared" si="10"/>
        <v>2774</v>
      </c>
    </row>
    <row r="83" spans="1:18">
      <c r="A83" s="29"/>
      <c r="B83" s="30">
        <v>1231578</v>
      </c>
      <c r="C83" s="32">
        <v>0</v>
      </c>
      <c r="D83" s="32">
        <v>200</v>
      </c>
      <c r="E83" s="32">
        <v>400</v>
      </c>
      <c r="F83" s="32">
        <v>0</v>
      </c>
      <c r="G83" s="32">
        <v>200</v>
      </c>
      <c r="H83" s="32">
        <v>0</v>
      </c>
      <c r="I83" s="32">
        <v>300</v>
      </c>
      <c r="J83" s="32">
        <v>200</v>
      </c>
      <c r="K83" s="32">
        <v>200</v>
      </c>
      <c r="L83" s="32">
        <v>0</v>
      </c>
      <c r="N83" s="123">
        <f t="shared" si="8"/>
        <v>1500</v>
      </c>
      <c r="O83" s="5">
        <f>IFERROR(VLOOKUP(B83,'[1]26.02W (1월생판)'!$G$7:$AP$298,36,0),0)</f>
        <v>1500</v>
      </c>
      <c r="P83" s="78">
        <f t="shared" si="9"/>
        <v>0</v>
      </c>
      <c r="R83" s="78">
        <f t="shared" si="10"/>
        <v>1500</v>
      </c>
    </row>
    <row r="84" spans="1:18" ht="9" customHeight="1">
      <c r="A84" s="29"/>
      <c r="B84" s="30">
        <v>1231797</v>
      </c>
      <c r="C84" s="32">
        <v>0</v>
      </c>
      <c r="D84" s="32">
        <v>0</v>
      </c>
      <c r="E84" s="32">
        <v>136</v>
      </c>
      <c r="F84" s="32">
        <v>0</v>
      </c>
      <c r="G84" s="32">
        <v>0</v>
      </c>
      <c r="H84" s="32">
        <v>0</v>
      </c>
      <c r="I84" s="32">
        <v>0</v>
      </c>
      <c r="J84" s="32">
        <v>139</v>
      </c>
      <c r="K84" s="32">
        <v>0</v>
      </c>
      <c r="L84" s="32">
        <v>0</v>
      </c>
      <c r="N84" s="123">
        <f t="shared" si="8"/>
        <v>275</v>
      </c>
      <c r="O84" s="5">
        <f>IFERROR(VLOOKUP(B84,'[1]26.02W (1월생판)'!$G$7:$AP$298,36,0),0)</f>
        <v>275</v>
      </c>
      <c r="P84" s="78">
        <f t="shared" si="9"/>
        <v>0</v>
      </c>
      <c r="R84" s="78">
        <f t="shared" si="10"/>
        <v>275</v>
      </c>
    </row>
    <row r="85" spans="1:18">
      <c r="A85" s="29"/>
      <c r="B85" s="30">
        <v>1232066</v>
      </c>
      <c r="C85" s="32">
        <v>300</v>
      </c>
      <c r="D85" s="32">
        <v>0</v>
      </c>
      <c r="E85" s="32">
        <v>0</v>
      </c>
      <c r="F85" s="32">
        <v>0</v>
      </c>
      <c r="G85" s="32">
        <v>282</v>
      </c>
      <c r="H85" s="32">
        <v>0</v>
      </c>
      <c r="I85" s="32">
        <v>0</v>
      </c>
      <c r="J85" s="32">
        <v>0</v>
      </c>
      <c r="K85" s="32">
        <v>300</v>
      </c>
      <c r="L85" s="32">
        <v>0</v>
      </c>
      <c r="N85" s="123">
        <f t="shared" si="8"/>
        <v>582</v>
      </c>
      <c r="O85" s="5">
        <f>IFERROR(VLOOKUP(B85,'[1]26.02W (1월생판)'!$G$7:$AP$298,36,0),0)</f>
        <v>882</v>
      </c>
      <c r="P85" s="78">
        <f t="shared" si="9"/>
        <v>-300</v>
      </c>
      <c r="R85" s="78">
        <f t="shared" si="10"/>
        <v>582</v>
      </c>
    </row>
    <row r="86" spans="1:18">
      <c r="A86" s="29"/>
      <c r="B86" s="30">
        <v>1232528</v>
      </c>
      <c r="C86" s="32">
        <v>3024</v>
      </c>
      <c r="D86" s="32">
        <v>5160</v>
      </c>
      <c r="E86" s="32">
        <v>63</v>
      </c>
      <c r="F86" s="32">
        <v>0</v>
      </c>
      <c r="G86" s="32">
        <v>0</v>
      </c>
      <c r="H86" s="32">
        <v>4158</v>
      </c>
      <c r="I86" s="32">
        <v>6080</v>
      </c>
      <c r="J86" s="32">
        <v>0</v>
      </c>
      <c r="K86" s="32">
        <v>0</v>
      </c>
      <c r="L86" s="32">
        <v>0</v>
      </c>
      <c r="N86" s="123">
        <f t="shared" si="8"/>
        <v>15461</v>
      </c>
      <c r="O86" s="5">
        <f>IFERROR(VLOOKUP(B86,'[1]26.02W (1월생판)'!$G$7:$AP$298,36,0),0)</f>
        <v>18485</v>
      </c>
      <c r="P86" s="78">
        <f t="shared" si="9"/>
        <v>-3024</v>
      </c>
      <c r="R86" s="78">
        <f t="shared" si="10"/>
        <v>15461</v>
      </c>
    </row>
    <row r="87" spans="1:18">
      <c r="A87" s="29"/>
      <c r="B87" s="30">
        <v>1232553</v>
      </c>
      <c r="C87" s="32">
        <v>0</v>
      </c>
      <c r="D87" s="32">
        <v>0</v>
      </c>
      <c r="E87" s="32">
        <v>0</v>
      </c>
      <c r="F87" s="32">
        <v>108</v>
      </c>
      <c r="G87" s="32">
        <v>0</v>
      </c>
      <c r="H87" s="32">
        <v>0</v>
      </c>
      <c r="I87" s="32">
        <v>0</v>
      </c>
      <c r="J87" s="32">
        <v>108</v>
      </c>
      <c r="K87" s="32">
        <v>0</v>
      </c>
      <c r="L87" s="32">
        <v>0</v>
      </c>
      <c r="N87" s="123">
        <f t="shared" si="8"/>
        <v>216</v>
      </c>
      <c r="O87" s="5">
        <f>IFERROR(VLOOKUP(B87,'[1]26.02W (1월생판)'!$G$7:$AP$298,36,0),0)</f>
        <v>216</v>
      </c>
      <c r="P87" s="78">
        <f t="shared" si="9"/>
        <v>0</v>
      </c>
      <c r="R87" s="78">
        <f t="shared" si="10"/>
        <v>216</v>
      </c>
    </row>
    <row r="88" spans="1:18">
      <c r="A88" s="29"/>
      <c r="B88" s="30">
        <v>1232693</v>
      </c>
      <c r="C88" s="32">
        <v>0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56</v>
      </c>
      <c r="J88" s="32">
        <v>0</v>
      </c>
      <c r="K88" s="32">
        <v>0</v>
      </c>
      <c r="L88" s="32">
        <v>0</v>
      </c>
      <c r="N88" s="123">
        <f t="shared" si="8"/>
        <v>56</v>
      </c>
      <c r="O88" s="5">
        <f>IFERROR(VLOOKUP(B88,'[1]26.02W (1월생판)'!$G$7:$AP$298,36,0),0)</f>
        <v>8456</v>
      </c>
      <c r="P88" s="78">
        <f t="shared" si="9"/>
        <v>-8400</v>
      </c>
      <c r="Q88" s="5" t="s">
        <v>31</v>
      </c>
      <c r="R88" s="78">
        <f t="shared" si="10"/>
        <v>56</v>
      </c>
    </row>
    <row r="89" spans="1:18">
      <c r="A89" s="29"/>
      <c r="B89" s="89">
        <v>1232775</v>
      </c>
      <c r="C89" s="32">
        <v>1643</v>
      </c>
      <c r="D89" s="32">
        <v>1011</v>
      </c>
      <c r="E89" s="32">
        <v>1210</v>
      </c>
      <c r="F89" s="32">
        <v>300</v>
      </c>
      <c r="G89" s="32">
        <v>677</v>
      </c>
      <c r="H89" s="32">
        <v>748</v>
      </c>
      <c r="I89" s="32">
        <v>1571</v>
      </c>
      <c r="J89" s="32">
        <v>1970</v>
      </c>
      <c r="K89" s="32">
        <v>1581</v>
      </c>
      <c r="L89" s="32">
        <v>1450</v>
      </c>
      <c r="N89" s="123">
        <f t="shared" si="8"/>
        <v>10518</v>
      </c>
      <c r="O89" s="5">
        <f>IFERROR(VLOOKUP(B89,'[1]26.02W (1월생판)'!$G$7:$AP$298,36,0),0)</f>
        <v>12161</v>
      </c>
      <c r="P89" s="78">
        <f t="shared" si="9"/>
        <v>-1643</v>
      </c>
      <c r="R89" s="78">
        <f t="shared" si="10"/>
        <v>10518</v>
      </c>
    </row>
    <row r="90" spans="1:18">
      <c r="A90" s="29"/>
      <c r="B90" s="30">
        <v>1232846</v>
      </c>
      <c r="C90" s="32">
        <v>267</v>
      </c>
      <c r="D90" s="32">
        <v>1265</v>
      </c>
      <c r="E90" s="32">
        <v>875</v>
      </c>
      <c r="F90" s="32">
        <v>340</v>
      </c>
      <c r="G90" s="32">
        <v>616</v>
      </c>
      <c r="H90" s="32">
        <v>0</v>
      </c>
      <c r="I90" s="32">
        <v>288</v>
      </c>
      <c r="J90" s="32">
        <v>476</v>
      </c>
      <c r="K90" s="32">
        <v>216</v>
      </c>
      <c r="L90" s="32">
        <v>400</v>
      </c>
      <c r="N90" s="123">
        <f t="shared" si="8"/>
        <v>4476</v>
      </c>
      <c r="O90" s="5">
        <f>IFERROR(VLOOKUP(B90,'[1]26.02W (1월생판)'!$G$7:$AP$298,36,0),0)</f>
        <v>4743</v>
      </c>
      <c r="P90" s="78">
        <f t="shared" si="9"/>
        <v>-267</v>
      </c>
      <c r="R90" s="78">
        <f t="shared" si="10"/>
        <v>4476</v>
      </c>
    </row>
    <row r="91" spans="1:18">
      <c r="A91" s="29"/>
      <c r="B91" s="30">
        <v>1232894</v>
      </c>
      <c r="C91" s="32">
        <v>192</v>
      </c>
      <c r="D91" s="32">
        <v>576</v>
      </c>
      <c r="E91" s="32">
        <v>0</v>
      </c>
      <c r="F91" s="32">
        <v>0</v>
      </c>
      <c r="G91" s="32">
        <v>216</v>
      </c>
      <c r="H91" s="32">
        <v>0</v>
      </c>
      <c r="I91" s="32">
        <v>288</v>
      </c>
      <c r="J91" s="32">
        <v>0</v>
      </c>
      <c r="K91" s="32">
        <v>216</v>
      </c>
      <c r="L91" s="32">
        <v>0</v>
      </c>
      <c r="N91" s="123">
        <f t="shared" si="8"/>
        <v>1296</v>
      </c>
      <c r="O91" s="5">
        <f>IFERROR(VLOOKUP(B91,'[1]26.02W (1월생판)'!$G$7:$AP$298,36,0),0)</f>
        <v>1488</v>
      </c>
      <c r="P91" s="78">
        <f t="shared" si="9"/>
        <v>-192</v>
      </c>
      <c r="R91" s="78">
        <f t="shared" si="10"/>
        <v>1296</v>
      </c>
    </row>
    <row r="92" spans="1:18">
      <c r="A92" s="29"/>
      <c r="B92" s="30">
        <v>1232895</v>
      </c>
      <c r="C92" s="32">
        <v>75</v>
      </c>
      <c r="D92" s="32">
        <v>689</v>
      </c>
      <c r="E92" s="32">
        <v>875</v>
      </c>
      <c r="F92" s="32">
        <v>340</v>
      </c>
      <c r="G92" s="32">
        <v>400</v>
      </c>
      <c r="H92" s="32">
        <v>0</v>
      </c>
      <c r="I92" s="32">
        <v>0</v>
      </c>
      <c r="J92" s="32">
        <v>476</v>
      </c>
      <c r="K92" s="32">
        <v>0</v>
      </c>
      <c r="L92" s="32">
        <v>400</v>
      </c>
      <c r="N92" s="123">
        <f>SUM(D92:L92)</f>
        <v>3180</v>
      </c>
      <c r="O92" s="5">
        <f>IFERROR(VLOOKUP(B92,'[1]26.02W (1월생판)'!$G$7:$AP$298,36,0),0)</f>
        <v>3255</v>
      </c>
      <c r="P92" s="78">
        <f t="shared" si="9"/>
        <v>-75</v>
      </c>
      <c r="R92" s="78">
        <f t="shared" si="10"/>
        <v>3180</v>
      </c>
    </row>
    <row r="93" spans="1:18">
      <c r="A93" s="29"/>
      <c r="B93" s="30">
        <v>1232922</v>
      </c>
      <c r="C93" s="32">
        <v>0</v>
      </c>
      <c r="D93" s="32">
        <v>0</v>
      </c>
      <c r="E93" s="32">
        <v>275</v>
      </c>
      <c r="F93" s="32">
        <v>40</v>
      </c>
      <c r="G93" s="32">
        <v>0</v>
      </c>
      <c r="H93" s="32">
        <v>0</v>
      </c>
      <c r="I93" s="32">
        <v>0</v>
      </c>
      <c r="J93" s="32">
        <v>276</v>
      </c>
      <c r="K93" s="32">
        <v>0</v>
      </c>
      <c r="L93" s="32">
        <v>0</v>
      </c>
      <c r="N93" s="123">
        <f t="shared" ref="N93:N131" si="11">SUM(D93:L93)</f>
        <v>591</v>
      </c>
      <c r="O93" s="5">
        <f>IFERROR(VLOOKUP(B93,'[1]26.02W (1월생판)'!$G$7:$AP$298,36,0),0)</f>
        <v>591</v>
      </c>
      <c r="P93" s="78">
        <f t="shared" si="9"/>
        <v>0</v>
      </c>
      <c r="R93" s="78">
        <f t="shared" si="10"/>
        <v>591</v>
      </c>
    </row>
    <row r="94" spans="1:18">
      <c r="A94" s="29"/>
      <c r="B94" s="30">
        <v>1232982</v>
      </c>
      <c r="C94" s="32">
        <v>325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N94" s="123">
        <f t="shared" si="11"/>
        <v>0</v>
      </c>
      <c r="O94" s="5">
        <f>IFERROR(VLOOKUP(B94,'[1]26.02W (1월생판)'!$G$7:$AP$298,36,0),0)</f>
        <v>325</v>
      </c>
      <c r="P94" s="78">
        <f t="shared" si="9"/>
        <v>-325</v>
      </c>
      <c r="R94" s="78">
        <f t="shared" si="10"/>
        <v>0</v>
      </c>
    </row>
    <row r="95" spans="1:18">
      <c r="A95" s="29"/>
      <c r="B95" s="30">
        <v>1233025</v>
      </c>
      <c r="C95" s="32">
        <v>0</v>
      </c>
      <c r="D95" s="32">
        <v>0</v>
      </c>
      <c r="E95" s="32">
        <v>0</v>
      </c>
      <c r="F95" s="32">
        <v>0</v>
      </c>
      <c r="G95" s="32">
        <v>0</v>
      </c>
      <c r="H95" s="32">
        <v>0</v>
      </c>
      <c r="I95" s="32">
        <v>56</v>
      </c>
      <c r="J95" s="32">
        <v>0</v>
      </c>
      <c r="K95" s="32">
        <v>0</v>
      </c>
      <c r="L95" s="32">
        <v>0</v>
      </c>
      <c r="N95" s="123">
        <f t="shared" si="11"/>
        <v>56</v>
      </c>
      <c r="O95" s="5">
        <f>IFERROR(VLOOKUP(B95,'[1]26.02W (1월생판)'!$G$7:$AP$298,36,0),0)</f>
        <v>8456</v>
      </c>
      <c r="P95" s="78">
        <f t="shared" si="9"/>
        <v>-8400</v>
      </c>
      <c r="Q95" s="5" t="s">
        <v>31</v>
      </c>
      <c r="R95" s="78">
        <f t="shared" si="10"/>
        <v>56</v>
      </c>
    </row>
    <row r="96" spans="1:18">
      <c r="A96" s="29"/>
      <c r="B96" s="30">
        <v>1233165</v>
      </c>
      <c r="C96" s="32">
        <v>0</v>
      </c>
      <c r="D96" s="32">
        <v>0</v>
      </c>
      <c r="E96" s="32">
        <v>0</v>
      </c>
      <c r="F96" s="32">
        <v>0</v>
      </c>
      <c r="G96" s="32">
        <v>0</v>
      </c>
      <c r="H96" s="32">
        <v>0</v>
      </c>
      <c r="I96" s="32">
        <v>0</v>
      </c>
      <c r="J96" s="32">
        <v>250</v>
      </c>
      <c r="K96" s="32">
        <v>0</v>
      </c>
      <c r="L96" s="32">
        <v>0</v>
      </c>
      <c r="N96" s="123">
        <f t="shared" si="11"/>
        <v>250</v>
      </c>
      <c r="O96" s="5">
        <f>IFERROR(VLOOKUP(B96,'[1]26.02W (1월생판)'!$G$7:$AP$298,36,0),0)</f>
        <v>250</v>
      </c>
      <c r="P96" s="78">
        <f t="shared" si="9"/>
        <v>0</v>
      </c>
      <c r="R96" s="78">
        <f t="shared" si="10"/>
        <v>250</v>
      </c>
    </row>
    <row r="97" spans="1:18">
      <c r="A97" s="29"/>
      <c r="B97" s="30">
        <v>1233383</v>
      </c>
      <c r="C97" s="32">
        <v>0</v>
      </c>
      <c r="D97" s="32">
        <v>0</v>
      </c>
      <c r="E97" s="32">
        <v>150</v>
      </c>
      <c r="F97" s="32">
        <v>0</v>
      </c>
      <c r="G97" s="32">
        <v>0</v>
      </c>
      <c r="H97" s="32">
        <v>0</v>
      </c>
      <c r="I97" s="32">
        <v>0</v>
      </c>
      <c r="J97" s="32">
        <v>154</v>
      </c>
      <c r="K97" s="32">
        <v>0</v>
      </c>
      <c r="L97" s="32">
        <v>0</v>
      </c>
      <c r="N97" s="123">
        <f t="shared" si="11"/>
        <v>304</v>
      </c>
      <c r="O97" s="5">
        <f>IFERROR(VLOOKUP(B97,'[1]26.02W (1월생판)'!$G$7:$AP$298,36,0),0)</f>
        <v>304</v>
      </c>
      <c r="P97" s="78">
        <f t="shared" si="9"/>
        <v>0</v>
      </c>
      <c r="R97" s="78">
        <f t="shared" si="10"/>
        <v>304</v>
      </c>
    </row>
    <row r="98" spans="1:18">
      <c r="A98" s="29"/>
      <c r="B98" s="30">
        <v>1233384</v>
      </c>
      <c r="C98" s="32">
        <v>0</v>
      </c>
      <c r="D98" s="32">
        <v>689</v>
      </c>
      <c r="E98" s="32">
        <v>600</v>
      </c>
      <c r="F98" s="32">
        <v>300</v>
      </c>
      <c r="G98" s="32">
        <v>400</v>
      </c>
      <c r="H98" s="32">
        <v>0</v>
      </c>
      <c r="I98" s="32">
        <v>0</v>
      </c>
      <c r="J98" s="32">
        <v>200</v>
      </c>
      <c r="K98" s="32">
        <v>0</v>
      </c>
      <c r="L98" s="32">
        <v>400</v>
      </c>
      <c r="N98" s="123">
        <f t="shared" si="11"/>
        <v>2589</v>
      </c>
      <c r="O98" s="5">
        <f>IFERROR(VLOOKUP(B98,'[1]26.02W (1월생판)'!$G$7:$AP$298,36,0),0)</f>
        <v>2589</v>
      </c>
      <c r="P98" s="78">
        <f t="shared" si="9"/>
        <v>0</v>
      </c>
      <c r="R98" s="78">
        <f t="shared" si="10"/>
        <v>2589</v>
      </c>
    </row>
    <row r="99" spans="1:18">
      <c r="A99" s="29"/>
      <c r="B99" s="30">
        <v>1233385</v>
      </c>
      <c r="C99" s="32">
        <v>192</v>
      </c>
      <c r="D99" s="32">
        <v>0</v>
      </c>
      <c r="E99" s="32">
        <v>0</v>
      </c>
      <c r="F99" s="32">
        <v>0</v>
      </c>
      <c r="G99" s="32">
        <v>216</v>
      </c>
      <c r="H99" s="32">
        <v>0</v>
      </c>
      <c r="I99" s="32">
        <v>0</v>
      </c>
      <c r="J99" s="32">
        <v>0</v>
      </c>
      <c r="K99" s="32">
        <v>216</v>
      </c>
      <c r="L99" s="32">
        <v>0</v>
      </c>
      <c r="N99" s="123">
        <f t="shared" si="11"/>
        <v>432</v>
      </c>
      <c r="O99" s="5">
        <f>IFERROR(VLOOKUP(B99,'[1]26.02W (1월생판)'!$G$7:$AP$298,36,0),0)</f>
        <v>624</v>
      </c>
      <c r="P99" s="78">
        <f t="shared" si="9"/>
        <v>-192</v>
      </c>
      <c r="R99" s="78">
        <f t="shared" si="10"/>
        <v>432</v>
      </c>
    </row>
    <row r="100" spans="1:18">
      <c r="A100" s="29"/>
      <c r="B100" s="30">
        <v>1233387</v>
      </c>
      <c r="C100" s="32">
        <v>75</v>
      </c>
      <c r="D100" s="32">
        <v>576</v>
      </c>
      <c r="E100" s="32">
        <v>0</v>
      </c>
      <c r="F100" s="32">
        <v>0</v>
      </c>
      <c r="G100" s="32">
        <v>0</v>
      </c>
      <c r="H100" s="32">
        <v>0</v>
      </c>
      <c r="I100" s="32">
        <v>288</v>
      </c>
      <c r="J100" s="32">
        <v>0</v>
      </c>
      <c r="K100" s="32">
        <v>0</v>
      </c>
      <c r="L100" s="32">
        <v>0</v>
      </c>
      <c r="N100" s="123">
        <f t="shared" si="11"/>
        <v>864</v>
      </c>
      <c r="O100" s="5">
        <f>IFERROR(VLOOKUP(B100,'[1]26.02W (1월생판)'!$G$7:$AP$298,36,0),0)</f>
        <v>939</v>
      </c>
      <c r="P100" s="78">
        <f t="shared" si="9"/>
        <v>-75</v>
      </c>
      <c r="R100" s="78">
        <f t="shared" si="10"/>
        <v>864</v>
      </c>
    </row>
    <row r="101" spans="1:18">
      <c r="A101" s="29"/>
      <c r="B101" s="30">
        <v>1233587</v>
      </c>
      <c r="C101" s="32">
        <v>0</v>
      </c>
      <c r="D101" s="32">
        <v>0</v>
      </c>
      <c r="E101" s="32">
        <v>0</v>
      </c>
      <c r="F101" s="32">
        <v>10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N101" s="123">
        <f t="shared" si="11"/>
        <v>10</v>
      </c>
      <c r="O101" s="5">
        <f>IFERROR(VLOOKUP(B101,'[1]26.02W (1월생판)'!$G$7:$AP$298,36,0),0)</f>
        <v>10</v>
      </c>
      <c r="P101" s="78">
        <f t="shared" si="9"/>
        <v>0</v>
      </c>
      <c r="R101" s="78">
        <f t="shared" si="10"/>
        <v>10</v>
      </c>
    </row>
    <row r="102" spans="1:18">
      <c r="A102" s="29"/>
      <c r="B102" s="30">
        <v>1234110</v>
      </c>
      <c r="C102" s="32">
        <v>0</v>
      </c>
      <c r="D102" s="32">
        <v>0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50</v>
      </c>
      <c r="K102" s="32">
        <v>0</v>
      </c>
      <c r="L102" s="32">
        <v>0</v>
      </c>
      <c r="N102" s="123">
        <f t="shared" si="11"/>
        <v>50</v>
      </c>
      <c r="O102" s="5">
        <f>IFERROR(VLOOKUP(B102,'[1]26.02W (1월생판)'!$G$7:$AP$298,36,0),0)</f>
        <v>50</v>
      </c>
      <c r="P102" s="78">
        <f t="shared" si="9"/>
        <v>0</v>
      </c>
      <c r="R102" s="78">
        <f t="shared" si="10"/>
        <v>50</v>
      </c>
    </row>
    <row r="103" spans="1:18">
      <c r="A103" s="29"/>
      <c r="B103" s="30">
        <v>1234111</v>
      </c>
      <c r="C103" s="32">
        <v>0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50</v>
      </c>
      <c r="K103" s="32">
        <v>0</v>
      </c>
      <c r="L103" s="32">
        <v>0</v>
      </c>
      <c r="N103" s="123">
        <f t="shared" si="11"/>
        <v>50</v>
      </c>
      <c r="O103" s="5">
        <f>IFERROR(VLOOKUP(B103,'[1]26.02W (1월생판)'!$G$7:$AP$298,36,0),0)</f>
        <v>50</v>
      </c>
      <c r="P103" s="78">
        <f t="shared" si="9"/>
        <v>0</v>
      </c>
      <c r="R103" s="78">
        <f t="shared" si="10"/>
        <v>50</v>
      </c>
    </row>
    <row r="104" spans="1:18">
      <c r="A104" s="29"/>
      <c r="B104" s="30">
        <v>1234217</v>
      </c>
      <c r="C104" s="32">
        <v>0</v>
      </c>
      <c r="D104" s="32">
        <v>0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50</v>
      </c>
      <c r="K104" s="32">
        <v>0</v>
      </c>
      <c r="L104" s="32">
        <v>0</v>
      </c>
      <c r="N104" s="123">
        <f t="shared" si="11"/>
        <v>50</v>
      </c>
      <c r="O104" s="5">
        <f>IFERROR(VLOOKUP(B104,'[1]26.02W (1월생판)'!$G$7:$AP$298,36,0),0)</f>
        <v>50</v>
      </c>
      <c r="P104" s="78">
        <f t="shared" si="9"/>
        <v>0</v>
      </c>
      <c r="R104" s="78">
        <f t="shared" si="10"/>
        <v>50</v>
      </c>
    </row>
    <row r="105" spans="1:18">
      <c r="A105" s="29"/>
      <c r="B105" s="30">
        <v>1234222</v>
      </c>
      <c r="C105" s="32">
        <v>252</v>
      </c>
      <c r="D105" s="32">
        <v>0</v>
      </c>
      <c r="E105" s="32">
        <v>868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777</v>
      </c>
      <c r="L105" s="32">
        <v>0</v>
      </c>
      <c r="N105" s="123">
        <f t="shared" si="11"/>
        <v>1645</v>
      </c>
      <c r="O105" s="5">
        <f>IFERROR(VLOOKUP(B105,'[1]26.02W (1월생판)'!$G$7:$AP$298,36,0),0)</f>
        <v>1897</v>
      </c>
      <c r="P105" s="78">
        <f t="shared" si="9"/>
        <v>-252</v>
      </c>
      <c r="R105" s="78">
        <f t="shared" si="10"/>
        <v>1645</v>
      </c>
    </row>
    <row r="106" spans="1:18">
      <c r="A106" s="29"/>
      <c r="B106" s="30">
        <v>1234905</v>
      </c>
      <c r="C106" s="32">
        <v>0</v>
      </c>
      <c r="D106" s="32">
        <v>530</v>
      </c>
      <c r="E106" s="32">
        <v>700</v>
      </c>
      <c r="F106" s="32">
        <v>150</v>
      </c>
      <c r="G106" s="32">
        <v>0</v>
      </c>
      <c r="H106" s="32">
        <v>150</v>
      </c>
      <c r="I106" s="32">
        <v>800</v>
      </c>
      <c r="J106" s="32">
        <v>1041</v>
      </c>
      <c r="K106" s="32">
        <v>650</v>
      </c>
      <c r="L106" s="32">
        <v>500</v>
      </c>
      <c r="N106" s="123">
        <f t="shared" si="11"/>
        <v>4521</v>
      </c>
      <c r="O106" s="5">
        <f>IFERROR(VLOOKUP(B106,'[1]26.02W (1월생판)'!$G$7:$AP$298,36,0),0)</f>
        <v>4521</v>
      </c>
      <c r="P106" s="78">
        <f t="shared" si="9"/>
        <v>0</v>
      </c>
      <c r="R106" s="78">
        <f t="shared" si="10"/>
        <v>4521</v>
      </c>
    </row>
    <row r="107" spans="1:18">
      <c r="A107" s="29"/>
      <c r="B107" s="30">
        <v>1235097</v>
      </c>
      <c r="C107" s="32">
        <v>440</v>
      </c>
      <c r="D107" s="32">
        <v>0</v>
      </c>
      <c r="E107" s="32">
        <v>0</v>
      </c>
      <c r="F107" s="32">
        <v>0</v>
      </c>
      <c r="G107" s="32">
        <v>0</v>
      </c>
      <c r="H107" s="32">
        <v>0</v>
      </c>
      <c r="I107" s="32">
        <v>200</v>
      </c>
      <c r="J107" s="32">
        <v>200</v>
      </c>
      <c r="K107" s="32">
        <v>200</v>
      </c>
      <c r="L107" s="32">
        <v>400</v>
      </c>
      <c r="N107" s="123">
        <f t="shared" si="11"/>
        <v>1000</v>
      </c>
      <c r="O107" s="5">
        <f>IFERROR(VLOOKUP(B107,'[1]26.02W (1월생판)'!$G$7:$AP$298,36,0),0)</f>
        <v>1440</v>
      </c>
      <c r="P107" s="78">
        <f t="shared" si="9"/>
        <v>-440</v>
      </c>
      <c r="R107" s="78">
        <f t="shared" si="10"/>
        <v>1000</v>
      </c>
    </row>
    <row r="108" spans="1:18">
      <c r="A108" s="29"/>
      <c r="B108" s="30">
        <v>1235845</v>
      </c>
      <c r="C108" s="32">
        <v>625</v>
      </c>
      <c r="D108" s="32">
        <v>0</v>
      </c>
      <c r="E108" s="32">
        <v>1325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337</v>
      </c>
      <c r="L108" s="32">
        <v>0</v>
      </c>
      <c r="N108" s="123">
        <f t="shared" si="11"/>
        <v>1662</v>
      </c>
      <c r="O108" s="5">
        <f>IFERROR(VLOOKUP(B108,'[1]26.02W (1월생판)'!$G$7:$AP$298,36,0),0)</f>
        <v>2287</v>
      </c>
      <c r="P108" s="78">
        <f t="shared" si="9"/>
        <v>-625</v>
      </c>
      <c r="R108" s="78">
        <f t="shared" si="10"/>
        <v>1662</v>
      </c>
    </row>
    <row r="109" spans="1:18">
      <c r="A109" s="29"/>
      <c r="B109" s="30">
        <v>1235958</v>
      </c>
      <c r="C109" s="32">
        <v>0</v>
      </c>
      <c r="D109" s="32">
        <v>0</v>
      </c>
      <c r="E109" s="32">
        <v>0</v>
      </c>
      <c r="F109" s="32">
        <v>5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N109" s="123">
        <f t="shared" si="11"/>
        <v>5</v>
      </c>
      <c r="O109" s="5">
        <f>IFERROR(VLOOKUP(B109,'[1]26.02W (1월생판)'!$G$7:$AP$298,36,0),0)</f>
        <v>5</v>
      </c>
      <c r="P109" s="78">
        <f t="shared" si="9"/>
        <v>0</v>
      </c>
      <c r="R109" s="78">
        <f t="shared" si="10"/>
        <v>5</v>
      </c>
    </row>
    <row r="110" spans="1:18">
      <c r="A110" s="29"/>
      <c r="B110" s="30">
        <v>1236387</v>
      </c>
      <c r="C110" s="32">
        <v>864</v>
      </c>
      <c r="D110" s="32">
        <v>200</v>
      </c>
      <c r="E110" s="32">
        <v>1000</v>
      </c>
      <c r="F110" s="32">
        <v>500</v>
      </c>
      <c r="G110" s="32">
        <v>500</v>
      </c>
      <c r="H110" s="32">
        <v>820</v>
      </c>
      <c r="I110" s="32">
        <v>920</v>
      </c>
      <c r="J110" s="32">
        <v>900</v>
      </c>
      <c r="K110" s="32">
        <v>900</v>
      </c>
      <c r="L110" s="32">
        <v>1250</v>
      </c>
      <c r="N110" s="123">
        <f t="shared" si="11"/>
        <v>6990</v>
      </c>
      <c r="O110" s="5">
        <f>IFERROR(VLOOKUP(B110,'[1]26.02W (1월생판)'!$G$7:$AP$298,36,0),0)</f>
        <v>7854</v>
      </c>
      <c r="P110" s="78">
        <f t="shared" si="9"/>
        <v>-864</v>
      </c>
      <c r="R110" s="78">
        <f t="shared" si="10"/>
        <v>6990</v>
      </c>
    </row>
    <row r="111" spans="1:18">
      <c r="A111" s="29"/>
      <c r="B111" s="30">
        <v>1236600</v>
      </c>
      <c r="C111" s="32">
        <v>0</v>
      </c>
      <c r="D111" s="32">
        <v>0</v>
      </c>
      <c r="E111" s="32">
        <v>874</v>
      </c>
      <c r="F111" s="32">
        <v>65</v>
      </c>
      <c r="G111" s="32">
        <v>0</v>
      </c>
      <c r="H111" s="32">
        <v>0</v>
      </c>
      <c r="I111" s="32">
        <v>0</v>
      </c>
      <c r="J111" s="32">
        <v>878</v>
      </c>
      <c r="K111" s="32">
        <v>0</v>
      </c>
      <c r="L111" s="32">
        <v>0</v>
      </c>
      <c r="N111" s="123">
        <f t="shared" si="11"/>
        <v>1817</v>
      </c>
      <c r="O111" s="5">
        <f>IFERROR(VLOOKUP(B111,'[1]26.02W (1월생판)'!$G$7:$AP$298,36,0),0)</f>
        <v>1817</v>
      </c>
      <c r="P111" s="78">
        <f t="shared" si="9"/>
        <v>0</v>
      </c>
      <c r="R111" s="78">
        <f t="shared" si="10"/>
        <v>1817</v>
      </c>
    </row>
    <row r="112" spans="1:18">
      <c r="A112" s="29"/>
      <c r="B112" s="30">
        <v>1236601</v>
      </c>
      <c r="C112" s="32">
        <v>0</v>
      </c>
      <c r="D112" s="32">
        <v>0</v>
      </c>
      <c r="E112" s="32">
        <v>106</v>
      </c>
      <c r="F112" s="32">
        <v>0</v>
      </c>
      <c r="G112" s="32">
        <v>0</v>
      </c>
      <c r="H112" s="32">
        <v>0</v>
      </c>
      <c r="I112" s="32">
        <v>0</v>
      </c>
      <c r="J112" s="32">
        <v>112</v>
      </c>
      <c r="K112" s="32">
        <v>0</v>
      </c>
      <c r="L112" s="32">
        <v>0</v>
      </c>
      <c r="N112" s="123">
        <f t="shared" si="11"/>
        <v>218</v>
      </c>
      <c r="O112" s="5">
        <f>IFERROR(VLOOKUP(B112,'[1]26.02W (1월생판)'!$G$7:$AP$298,36,0),0)</f>
        <v>218</v>
      </c>
      <c r="P112" s="78">
        <f t="shared" si="9"/>
        <v>0</v>
      </c>
      <c r="R112" s="78">
        <f t="shared" si="10"/>
        <v>218</v>
      </c>
    </row>
    <row r="113" spans="1:18">
      <c r="A113" s="29"/>
      <c r="B113" s="30">
        <v>1236619</v>
      </c>
      <c r="C113" s="32">
        <v>0</v>
      </c>
      <c r="D113" s="32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180</v>
      </c>
      <c r="K113" s="32">
        <v>0</v>
      </c>
      <c r="L113" s="32">
        <v>0</v>
      </c>
      <c r="N113" s="123">
        <f t="shared" si="11"/>
        <v>180</v>
      </c>
      <c r="O113" s="5">
        <f>IFERROR(VLOOKUP(B113,'[1]26.02W (1월생판)'!$G$7:$AP$298,36,0),0)</f>
        <v>180</v>
      </c>
      <c r="P113" s="78">
        <f t="shared" si="9"/>
        <v>0</v>
      </c>
      <c r="R113" s="78">
        <f t="shared" si="10"/>
        <v>180</v>
      </c>
    </row>
    <row r="114" spans="1:18">
      <c r="A114" s="29"/>
      <c r="B114" s="30">
        <v>1236930</v>
      </c>
      <c r="C114" s="32">
        <v>1036</v>
      </c>
      <c r="D114" s="32">
        <v>1495</v>
      </c>
      <c r="E114" s="32">
        <v>800</v>
      </c>
      <c r="F114" s="32">
        <v>200</v>
      </c>
      <c r="G114" s="32">
        <v>810</v>
      </c>
      <c r="H114" s="32">
        <v>800</v>
      </c>
      <c r="I114" s="32">
        <v>2606</v>
      </c>
      <c r="J114" s="32">
        <v>1350</v>
      </c>
      <c r="K114" s="32">
        <v>1410</v>
      </c>
      <c r="L114" s="32">
        <v>900</v>
      </c>
      <c r="N114" s="123">
        <f t="shared" si="11"/>
        <v>10371</v>
      </c>
      <c r="O114" s="5">
        <f>IFERROR(VLOOKUP(B114,'[1]26.02W (1월생판)'!$G$7:$AP$298,36,0),0)</f>
        <v>11407</v>
      </c>
      <c r="P114" s="78">
        <f t="shared" si="9"/>
        <v>-1036</v>
      </c>
      <c r="R114" s="78">
        <f t="shared" si="10"/>
        <v>10371</v>
      </c>
    </row>
    <row r="115" spans="1:18">
      <c r="A115" s="29"/>
      <c r="B115" s="30">
        <v>1237210</v>
      </c>
      <c r="C115" s="32">
        <v>0</v>
      </c>
      <c r="D115" s="32">
        <v>0</v>
      </c>
      <c r="E115" s="32">
        <v>0</v>
      </c>
      <c r="F115" s="32">
        <v>0</v>
      </c>
      <c r="G115" s="32">
        <v>200</v>
      </c>
      <c r="H115" s="32">
        <v>0</v>
      </c>
      <c r="I115" s="32">
        <v>0</v>
      </c>
      <c r="J115" s="32">
        <v>160</v>
      </c>
      <c r="K115" s="32">
        <v>0</v>
      </c>
      <c r="L115" s="32">
        <v>0</v>
      </c>
      <c r="N115" s="123">
        <f t="shared" si="11"/>
        <v>360</v>
      </c>
      <c r="O115" s="5">
        <f>IFERROR(VLOOKUP(B115,'[1]26.02W (1월생판)'!$G$7:$AP$298,36,0),0)</f>
        <v>360</v>
      </c>
      <c r="P115" s="78">
        <f t="shared" si="9"/>
        <v>0</v>
      </c>
      <c r="R115" s="78">
        <f t="shared" si="10"/>
        <v>360</v>
      </c>
    </row>
    <row r="116" spans="1:18">
      <c r="A116" s="29"/>
      <c r="B116" s="30">
        <v>1237386</v>
      </c>
      <c r="C116" s="32">
        <v>0</v>
      </c>
      <c r="D116" s="32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255</v>
      </c>
      <c r="K116" s="32">
        <v>0</v>
      </c>
      <c r="L116" s="32">
        <v>0</v>
      </c>
      <c r="N116" s="123">
        <f t="shared" si="11"/>
        <v>255</v>
      </c>
      <c r="O116" s="5">
        <f>IFERROR(VLOOKUP(B116,'[1]26.02W (1월생판)'!$G$7:$AP$298,36,0),0)</f>
        <v>255</v>
      </c>
      <c r="P116" s="78">
        <f t="shared" si="9"/>
        <v>0</v>
      </c>
      <c r="R116" s="78">
        <f t="shared" si="10"/>
        <v>255</v>
      </c>
    </row>
    <row r="117" spans="1:18">
      <c r="A117" s="29"/>
      <c r="B117" s="30">
        <v>1237457</v>
      </c>
      <c r="C117" s="32">
        <v>0</v>
      </c>
      <c r="D117" s="32">
        <v>0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108</v>
      </c>
      <c r="K117" s="32">
        <v>0</v>
      </c>
      <c r="L117" s="32">
        <v>0</v>
      </c>
      <c r="N117" s="123">
        <f t="shared" si="11"/>
        <v>108</v>
      </c>
      <c r="O117" s="5">
        <f>IFERROR(VLOOKUP(B117,'[1]26.02W (1월생판)'!$G$7:$AP$298,36,0),0)</f>
        <v>108</v>
      </c>
      <c r="P117" s="78">
        <f t="shared" si="9"/>
        <v>0</v>
      </c>
      <c r="R117" s="78">
        <f t="shared" si="10"/>
        <v>108</v>
      </c>
    </row>
    <row r="118" spans="1:18">
      <c r="A118" s="29"/>
      <c r="B118" s="30">
        <v>1237468</v>
      </c>
      <c r="C118" s="32">
        <v>192</v>
      </c>
      <c r="D118" s="32">
        <v>0</v>
      </c>
      <c r="E118" s="32">
        <v>276</v>
      </c>
      <c r="F118" s="32">
        <v>0</v>
      </c>
      <c r="G118" s="32">
        <v>0</v>
      </c>
      <c r="H118" s="32">
        <v>0</v>
      </c>
      <c r="I118" s="32">
        <v>0</v>
      </c>
      <c r="J118" s="32">
        <v>278</v>
      </c>
      <c r="K118" s="32">
        <v>0</v>
      </c>
      <c r="L118" s="32">
        <v>0</v>
      </c>
      <c r="N118" s="123">
        <f t="shared" si="11"/>
        <v>554</v>
      </c>
      <c r="O118" s="5">
        <f>IFERROR(VLOOKUP(B118,'[1]26.02W (1월생판)'!$G$7:$AP$298,36,0),0)</f>
        <v>746</v>
      </c>
      <c r="P118" s="78">
        <f t="shared" si="9"/>
        <v>-192</v>
      </c>
      <c r="R118" s="78">
        <f t="shared" si="10"/>
        <v>554</v>
      </c>
    </row>
    <row r="119" spans="1:18">
      <c r="A119" s="29"/>
      <c r="B119" s="30">
        <v>1238092</v>
      </c>
      <c r="C119" s="32">
        <v>0</v>
      </c>
      <c r="D119" s="32">
        <v>0</v>
      </c>
      <c r="E119" s="32">
        <v>0</v>
      </c>
      <c r="F119" s="32">
        <v>0</v>
      </c>
      <c r="G119" s="32">
        <v>144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N119" s="123">
        <f t="shared" si="11"/>
        <v>144</v>
      </c>
      <c r="O119" s="5">
        <f>IFERROR(VLOOKUP(B119,'[1]26.02W (1월생판)'!$G$7:$AP$298,36,0),0)</f>
        <v>144</v>
      </c>
      <c r="P119" s="78">
        <f t="shared" si="9"/>
        <v>0</v>
      </c>
      <c r="R119" s="78">
        <f t="shared" si="10"/>
        <v>144</v>
      </c>
    </row>
    <row r="120" spans="1:18">
      <c r="A120" s="29"/>
      <c r="B120" s="30">
        <v>1238453</v>
      </c>
      <c r="C120" s="32">
        <v>40</v>
      </c>
      <c r="D120" s="32">
        <v>0</v>
      </c>
      <c r="E120" s="32">
        <v>262</v>
      </c>
      <c r="F120" s="32">
        <v>0</v>
      </c>
      <c r="G120" s="32">
        <v>0</v>
      </c>
      <c r="H120" s="32">
        <v>0</v>
      </c>
      <c r="I120" s="32">
        <v>0</v>
      </c>
      <c r="J120" s="32">
        <v>248</v>
      </c>
      <c r="K120" s="32">
        <v>0</v>
      </c>
      <c r="L120" s="32">
        <v>0</v>
      </c>
      <c r="N120" s="123">
        <f t="shared" si="11"/>
        <v>510</v>
      </c>
      <c r="O120" s="5">
        <f>IFERROR(VLOOKUP(B120,'[1]26.02W (1월생판)'!$G$7:$AP$298,36,0),0)</f>
        <v>550</v>
      </c>
      <c r="P120" s="78">
        <f t="shared" si="9"/>
        <v>-40</v>
      </c>
      <c r="R120" s="78">
        <f t="shared" si="10"/>
        <v>510</v>
      </c>
    </row>
    <row r="121" spans="1:18">
      <c r="A121" s="29"/>
      <c r="B121" s="89">
        <v>1238480</v>
      </c>
      <c r="C121" s="32">
        <v>4293</v>
      </c>
      <c r="D121" s="32">
        <v>6656</v>
      </c>
      <c r="E121" s="32">
        <v>6042</v>
      </c>
      <c r="F121" s="32">
        <v>3330</v>
      </c>
      <c r="G121" s="32">
        <v>5455</v>
      </c>
      <c r="H121" s="32">
        <v>4530</v>
      </c>
      <c r="I121" s="32">
        <v>6196</v>
      </c>
      <c r="J121" s="32">
        <v>880</v>
      </c>
      <c r="K121" s="32">
        <v>1370</v>
      </c>
      <c r="L121" s="32">
        <v>7955</v>
      </c>
      <c r="N121" s="123">
        <f t="shared" si="11"/>
        <v>42414</v>
      </c>
      <c r="O121" s="5">
        <f>IFERROR(VLOOKUP(B121,'[1]26.02W (1월생판)'!$G$7:$AP$298,36,0),0)</f>
        <v>46707</v>
      </c>
      <c r="P121" s="78">
        <f t="shared" si="9"/>
        <v>-4293</v>
      </c>
      <c r="R121" s="78">
        <f t="shared" si="10"/>
        <v>42414</v>
      </c>
    </row>
    <row r="122" spans="1:18">
      <c r="A122" s="29"/>
      <c r="B122" s="30">
        <v>1238605</v>
      </c>
      <c r="C122" s="32">
        <v>0</v>
      </c>
      <c r="D122" s="32">
        <v>0</v>
      </c>
      <c r="E122" s="32">
        <v>339</v>
      </c>
      <c r="F122" s="32">
        <v>350</v>
      </c>
      <c r="G122" s="32">
        <v>100</v>
      </c>
      <c r="H122" s="32">
        <v>0</v>
      </c>
      <c r="I122" s="32">
        <v>400</v>
      </c>
      <c r="J122" s="32">
        <v>614</v>
      </c>
      <c r="K122" s="32">
        <v>0</v>
      </c>
      <c r="L122" s="32">
        <v>0</v>
      </c>
      <c r="N122" s="123">
        <f t="shared" si="11"/>
        <v>1803</v>
      </c>
      <c r="O122" s="5">
        <f>IFERROR(VLOOKUP(B122,'[1]26.02W (1월생판)'!$G$7:$AP$298,36,0),0)</f>
        <v>1803</v>
      </c>
      <c r="P122" s="78">
        <f t="shared" si="9"/>
        <v>0</v>
      </c>
      <c r="R122" s="78">
        <f t="shared" si="10"/>
        <v>1803</v>
      </c>
    </row>
    <row r="123" spans="1:18">
      <c r="A123" s="29"/>
      <c r="B123" s="30">
        <v>1240029</v>
      </c>
      <c r="C123" s="32">
        <v>0</v>
      </c>
      <c r="D123" s="32">
        <v>747</v>
      </c>
      <c r="E123" s="32">
        <v>300</v>
      </c>
      <c r="F123" s="32">
        <v>100</v>
      </c>
      <c r="G123" s="32">
        <v>450</v>
      </c>
      <c r="H123" s="32">
        <v>100</v>
      </c>
      <c r="I123" s="32">
        <v>400</v>
      </c>
      <c r="J123" s="32">
        <v>300</v>
      </c>
      <c r="K123" s="32">
        <v>250</v>
      </c>
      <c r="L123" s="32">
        <v>350</v>
      </c>
      <c r="N123" s="123">
        <f t="shared" si="11"/>
        <v>2997</v>
      </c>
      <c r="O123" s="5">
        <f>IFERROR(VLOOKUP(B123,'[1]26.02W (1월생판)'!$G$7:$AP$298,36,0),0)</f>
        <v>2997</v>
      </c>
      <c r="P123" s="78">
        <f t="shared" si="9"/>
        <v>0</v>
      </c>
      <c r="R123" s="78">
        <f t="shared" si="10"/>
        <v>2997</v>
      </c>
    </row>
    <row r="124" spans="1:18">
      <c r="A124" s="29"/>
      <c r="B124" s="30">
        <v>1240032</v>
      </c>
      <c r="C124" s="32">
        <v>0</v>
      </c>
      <c r="D124" s="32">
        <v>747</v>
      </c>
      <c r="E124" s="32">
        <v>300</v>
      </c>
      <c r="F124" s="32">
        <v>100</v>
      </c>
      <c r="G124" s="32">
        <v>450</v>
      </c>
      <c r="H124" s="32">
        <v>100</v>
      </c>
      <c r="I124" s="32">
        <v>400</v>
      </c>
      <c r="J124" s="32">
        <v>300</v>
      </c>
      <c r="K124" s="32">
        <v>250</v>
      </c>
      <c r="L124" s="32">
        <v>350</v>
      </c>
      <c r="N124" s="123">
        <f t="shared" si="11"/>
        <v>2997</v>
      </c>
      <c r="O124" s="5">
        <f>IFERROR(VLOOKUP(B124,'[1]26.02W (1월생판)'!$G$7:$AP$298,36,0),0)</f>
        <v>2997</v>
      </c>
      <c r="P124" s="78">
        <f t="shared" si="9"/>
        <v>0</v>
      </c>
      <c r="R124" s="78">
        <f t="shared" si="10"/>
        <v>2997</v>
      </c>
    </row>
    <row r="125" spans="1:18">
      <c r="A125" s="29"/>
      <c r="B125" s="30">
        <v>1240180</v>
      </c>
      <c r="C125" s="32">
        <v>220</v>
      </c>
      <c r="D125" s="32">
        <v>100</v>
      </c>
      <c r="E125" s="32">
        <v>300</v>
      </c>
      <c r="F125" s="32">
        <v>0</v>
      </c>
      <c r="G125" s="32">
        <v>350</v>
      </c>
      <c r="H125" s="32">
        <v>0</v>
      </c>
      <c r="I125" s="32">
        <v>200</v>
      </c>
      <c r="J125" s="32">
        <v>400</v>
      </c>
      <c r="K125" s="32">
        <v>200</v>
      </c>
      <c r="L125" s="32">
        <v>0</v>
      </c>
      <c r="N125" s="123">
        <f t="shared" si="11"/>
        <v>1550</v>
      </c>
      <c r="O125" s="5">
        <f>IFERROR(VLOOKUP(B125,'[1]26.02W (1월생판)'!$G$7:$AP$298,36,0),0)</f>
        <v>12674</v>
      </c>
      <c r="P125" s="78">
        <f t="shared" si="9"/>
        <v>-11124</v>
      </c>
      <c r="Q125" s="5" t="s">
        <v>31</v>
      </c>
      <c r="R125" s="78">
        <f t="shared" si="10"/>
        <v>1550</v>
      </c>
    </row>
    <row r="126" spans="1:18">
      <c r="A126" s="29"/>
      <c r="B126" s="30">
        <v>1240184</v>
      </c>
      <c r="C126" s="32">
        <v>220</v>
      </c>
      <c r="D126" s="32">
        <v>100</v>
      </c>
      <c r="E126" s="32">
        <v>300</v>
      </c>
      <c r="F126" s="32">
        <v>0</v>
      </c>
      <c r="G126" s="32">
        <v>350</v>
      </c>
      <c r="H126" s="32">
        <v>0</v>
      </c>
      <c r="I126" s="32">
        <v>200</v>
      </c>
      <c r="J126" s="32">
        <v>400</v>
      </c>
      <c r="K126" s="32">
        <v>200</v>
      </c>
      <c r="L126" s="32">
        <v>0</v>
      </c>
      <c r="N126" s="123">
        <f t="shared" si="11"/>
        <v>1550</v>
      </c>
      <c r="O126" s="5">
        <f>IFERROR(VLOOKUP(B126,'[1]26.02W (1월생판)'!$G$7:$AP$298,36,0),0)</f>
        <v>11674</v>
      </c>
      <c r="P126" s="78">
        <f t="shared" si="9"/>
        <v>-10124</v>
      </c>
      <c r="Q126" s="5" t="s">
        <v>31</v>
      </c>
      <c r="R126" s="78">
        <f t="shared" si="10"/>
        <v>1550</v>
      </c>
    </row>
    <row r="127" spans="1:18">
      <c r="A127" s="29"/>
      <c r="B127" s="30">
        <v>1241343</v>
      </c>
      <c r="C127" s="32">
        <v>0</v>
      </c>
      <c r="D127" s="32">
        <v>0</v>
      </c>
      <c r="E127" s="32">
        <v>0</v>
      </c>
      <c r="F127" s="32">
        <v>0</v>
      </c>
      <c r="G127" s="32">
        <v>20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N127" s="123">
        <f t="shared" si="11"/>
        <v>20</v>
      </c>
      <c r="O127" s="5">
        <f>IFERROR(VLOOKUP(B127,'[1]26.02W (1월생판)'!$G$7:$AP$298,36,0),0)</f>
        <v>20</v>
      </c>
      <c r="P127" s="78">
        <f t="shared" si="9"/>
        <v>0</v>
      </c>
      <c r="R127" s="78">
        <f t="shared" si="10"/>
        <v>20</v>
      </c>
    </row>
    <row r="128" spans="1:18">
      <c r="A128" s="29"/>
      <c r="B128" s="30">
        <v>1241347</v>
      </c>
      <c r="C128" s="32">
        <v>0</v>
      </c>
      <c r="D128" s="32">
        <v>0</v>
      </c>
      <c r="E128" s="32">
        <v>0</v>
      </c>
      <c r="F128" s="32">
        <v>0</v>
      </c>
      <c r="G128" s="32">
        <v>20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N128" s="123">
        <f t="shared" si="11"/>
        <v>20</v>
      </c>
      <c r="O128" s="5">
        <f>IFERROR(VLOOKUP(B128,'[1]26.02W (1월생판)'!$G$7:$AP$298,36,0),0)</f>
        <v>20</v>
      </c>
      <c r="P128" s="78">
        <f t="shared" si="9"/>
        <v>0</v>
      </c>
      <c r="R128" s="78">
        <f t="shared" si="10"/>
        <v>20</v>
      </c>
    </row>
    <row r="129" spans="1:18">
      <c r="A129" s="29"/>
      <c r="B129" s="30">
        <v>1241387</v>
      </c>
      <c r="C129" s="32">
        <v>0</v>
      </c>
      <c r="D129" s="32">
        <v>0</v>
      </c>
      <c r="E129" s="32">
        <v>0</v>
      </c>
      <c r="F129" s="32">
        <v>0</v>
      </c>
      <c r="G129" s="32">
        <v>151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N129" s="123">
        <f t="shared" si="11"/>
        <v>151</v>
      </c>
      <c r="O129" s="5">
        <f>IFERROR(VLOOKUP(B129,'[1]26.02W (1월생판)'!$G$7:$AP$298,36,0),0)</f>
        <v>151</v>
      </c>
      <c r="P129" s="78">
        <f t="shared" si="9"/>
        <v>0</v>
      </c>
      <c r="R129" s="78">
        <f t="shared" si="10"/>
        <v>151</v>
      </c>
    </row>
    <row r="130" spans="1:18">
      <c r="A130" s="29"/>
      <c r="B130" s="30">
        <v>1241474</v>
      </c>
      <c r="C130" s="32">
        <v>0</v>
      </c>
      <c r="D130" s="32">
        <v>0</v>
      </c>
      <c r="E130" s="32">
        <v>0</v>
      </c>
      <c r="F130" s="32">
        <v>0</v>
      </c>
      <c r="G130" s="32">
        <v>37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N130" s="123">
        <f t="shared" si="11"/>
        <v>37</v>
      </c>
      <c r="O130" s="5">
        <f>IFERROR(VLOOKUP(B130,'[1]26.02W (1월생판)'!$G$7:$AP$298,36,0),0)</f>
        <v>37</v>
      </c>
      <c r="P130" s="78">
        <f t="shared" si="9"/>
        <v>0</v>
      </c>
      <c r="R130" s="78">
        <f t="shared" si="10"/>
        <v>37</v>
      </c>
    </row>
    <row r="131" spans="1:18">
      <c r="A131" s="29"/>
      <c r="B131" s="30">
        <v>1241480</v>
      </c>
      <c r="C131" s="32">
        <v>0</v>
      </c>
      <c r="D131" s="32">
        <v>0</v>
      </c>
      <c r="E131" s="32">
        <v>0</v>
      </c>
      <c r="F131" s="32">
        <v>0</v>
      </c>
      <c r="G131" s="32">
        <v>26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N131" s="123">
        <f t="shared" si="11"/>
        <v>26</v>
      </c>
      <c r="O131" s="5">
        <f>IFERROR(VLOOKUP(B131,'[1]26.02W (1월생판)'!$G$7:$AP$298,36,0),0)</f>
        <v>26</v>
      </c>
      <c r="P131" s="78">
        <f t="shared" si="9"/>
        <v>0</v>
      </c>
      <c r="R131" s="78">
        <f t="shared" si="10"/>
        <v>26</v>
      </c>
    </row>
    <row r="132" spans="1:18" hidden="1">
      <c r="A132" s="29"/>
      <c r="B132" s="30">
        <v>3100142</v>
      </c>
      <c r="C132" s="32">
        <v>0</v>
      </c>
      <c r="D132" s="32">
        <v>24</v>
      </c>
      <c r="E132" s="32">
        <v>0</v>
      </c>
      <c r="F132" s="32">
        <v>0</v>
      </c>
      <c r="G132" s="32">
        <v>0</v>
      </c>
      <c r="H132" s="32">
        <v>24</v>
      </c>
      <c r="I132" s="32">
        <v>0</v>
      </c>
      <c r="J132" s="32">
        <v>0</v>
      </c>
      <c r="K132" s="32">
        <v>0</v>
      </c>
      <c r="L132" s="32">
        <v>0</v>
      </c>
      <c r="R132" s="78">
        <f t="shared" si="10"/>
        <v>48</v>
      </c>
    </row>
    <row r="133" spans="1:18" hidden="1">
      <c r="A133" s="29"/>
      <c r="B133" s="30">
        <v>3100377</v>
      </c>
      <c r="C133" s="32">
        <v>0</v>
      </c>
      <c r="D133" s="32">
        <v>0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5</v>
      </c>
      <c r="R133" s="78">
        <f t="shared" si="10"/>
        <v>5</v>
      </c>
    </row>
    <row r="134" spans="1:18" hidden="1">
      <c r="A134" s="29"/>
      <c r="B134" s="30">
        <v>3102078</v>
      </c>
      <c r="C134" s="32">
        <v>200</v>
      </c>
      <c r="D134" s="32">
        <v>0</v>
      </c>
      <c r="E134" s="32">
        <v>0</v>
      </c>
      <c r="F134" s="32">
        <v>50</v>
      </c>
      <c r="G134" s="32">
        <v>81</v>
      </c>
      <c r="H134" s="32">
        <v>81</v>
      </c>
      <c r="I134" s="32">
        <v>81</v>
      </c>
      <c r="J134" s="32">
        <v>81</v>
      </c>
      <c r="K134" s="32">
        <v>81</v>
      </c>
      <c r="L134" s="32">
        <v>81</v>
      </c>
      <c r="R134" s="78">
        <f t="shared" si="10"/>
        <v>536</v>
      </c>
    </row>
    <row r="135" spans="1:18" hidden="1">
      <c r="A135" s="29"/>
      <c r="B135" s="30">
        <v>3103891</v>
      </c>
      <c r="C135" s="32">
        <v>0</v>
      </c>
      <c r="D135" s="32">
        <v>0</v>
      </c>
      <c r="E135" s="32">
        <v>0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1</v>
      </c>
      <c r="R135" s="78">
        <f t="shared" si="10"/>
        <v>1</v>
      </c>
    </row>
    <row r="136" spans="1:18" hidden="1">
      <c r="A136" s="29"/>
      <c r="B136" s="30">
        <v>3104198</v>
      </c>
      <c r="C136" s="32">
        <v>0</v>
      </c>
      <c r="D136" s="32">
        <v>0</v>
      </c>
      <c r="E136" s="32">
        <v>0</v>
      </c>
      <c r="F136" s="32">
        <v>0</v>
      </c>
      <c r="G136" s="32">
        <v>0</v>
      </c>
      <c r="H136" s="32">
        <v>32</v>
      </c>
      <c r="I136" s="32">
        <v>0</v>
      </c>
      <c r="J136" s="32">
        <v>0</v>
      </c>
      <c r="K136" s="32">
        <v>0</v>
      </c>
      <c r="L136" s="32">
        <v>0</v>
      </c>
      <c r="R136" s="78">
        <f t="shared" si="10"/>
        <v>32</v>
      </c>
    </row>
    <row r="137" spans="1:18" hidden="1">
      <c r="A137" s="29"/>
      <c r="B137" s="30">
        <v>3104613</v>
      </c>
      <c r="C137" s="32">
        <v>0</v>
      </c>
      <c r="D137" s="32">
        <v>12</v>
      </c>
      <c r="E137" s="32">
        <v>0</v>
      </c>
      <c r="F137" s="32">
        <v>0</v>
      </c>
      <c r="G137" s="32">
        <v>0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R137" s="78">
        <f t="shared" si="10"/>
        <v>12</v>
      </c>
    </row>
    <row r="138" spans="1:18" hidden="1">
      <c r="A138" s="29"/>
      <c r="B138" s="30">
        <v>3104865</v>
      </c>
      <c r="C138" s="32">
        <v>0</v>
      </c>
      <c r="D138" s="32">
        <v>21</v>
      </c>
      <c r="E138" s="32">
        <v>2</v>
      </c>
      <c r="F138" s="32">
        <v>2</v>
      </c>
      <c r="G138" s="32">
        <v>2</v>
      </c>
      <c r="H138" s="32">
        <v>2</v>
      </c>
      <c r="I138" s="32">
        <v>2</v>
      </c>
      <c r="J138" s="32">
        <v>2</v>
      </c>
      <c r="K138" s="32">
        <v>2</v>
      </c>
      <c r="L138" s="32">
        <v>2</v>
      </c>
      <c r="R138" s="78">
        <f t="shared" ref="R138:R164" si="12">SUM(D138:L138)</f>
        <v>37</v>
      </c>
    </row>
    <row r="139" spans="1:18" hidden="1">
      <c r="A139" s="29"/>
      <c r="B139" s="30">
        <v>3106045</v>
      </c>
      <c r="C139" s="32">
        <v>11</v>
      </c>
      <c r="D139" s="32">
        <v>0</v>
      </c>
      <c r="E139" s="32">
        <v>0</v>
      </c>
      <c r="F139" s="32">
        <v>1</v>
      </c>
      <c r="G139" s="32">
        <v>13</v>
      </c>
      <c r="H139" s="32">
        <v>13</v>
      </c>
      <c r="I139" s="32">
        <v>13</v>
      </c>
      <c r="J139" s="32">
        <v>13</v>
      </c>
      <c r="K139" s="32">
        <v>13</v>
      </c>
      <c r="L139" s="32">
        <v>13</v>
      </c>
      <c r="R139" s="78">
        <f t="shared" si="12"/>
        <v>79</v>
      </c>
    </row>
    <row r="140" spans="1:18" hidden="1">
      <c r="A140" s="29"/>
      <c r="B140" s="30">
        <v>3107324</v>
      </c>
      <c r="C140" s="32">
        <v>10</v>
      </c>
      <c r="D140" s="32">
        <v>0</v>
      </c>
      <c r="E140" s="32">
        <v>0</v>
      </c>
      <c r="F140" s="32">
        <v>0</v>
      </c>
      <c r="G140" s="32">
        <v>0</v>
      </c>
      <c r="H140" s="32">
        <v>9</v>
      </c>
      <c r="I140" s="32">
        <v>10</v>
      </c>
      <c r="J140" s="32">
        <v>10</v>
      </c>
      <c r="K140" s="32">
        <v>10</v>
      </c>
      <c r="L140" s="32">
        <v>10</v>
      </c>
      <c r="R140" s="78">
        <f t="shared" si="12"/>
        <v>49</v>
      </c>
    </row>
    <row r="141" spans="1:18" hidden="1">
      <c r="A141" s="29"/>
      <c r="B141" s="30">
        <v>3107334</v>
      </c>
      <c r="C141" s="32">
        <v>98</v>
      </c>
      <c r="D141" s="32">
        <v>0</v>
      </c>
      <c r="E141" s="32">
        <v>0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R141" s="78">
        <f t="shared" si="12"/>
        <v>0</v>
      </c>
    </row>
    <row r="142" spans="1:18" hidden="1">
      <c r="A142" s="29"/>
      <c r="B142" s="30">
        <v>3108234</v>
      </c>
      <c r="C142" s="32">
        <v>100</v>
      </c>
      <c r="D142" s="32">
        <v>0</v>
      </c>
      <c r="E142" s="32">
        <v>0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32">
        <v>0</v>
      </c>
      <c r="L142" s="32">
        <v>0</v>
      </c>
      <c r="R142" s="78">
        <f t="shared" si="12"/>
        <v>0</v>
      </c>
    </row>
    <row r="143" spans="1:18" hidden="1">
      <c r="A143" s="29"/>
      <c r="B143" s="30">
        <v>3108382</v>
      </c>
      <c r="C143" s="32">
        <v>30</v>
      </c>
      <c r="D143" s="32">
        <v>90</v>
      </c>
      <c r="E143" s="32">
        <v>72</v>
      </c>
      <c r="F143" s="32">
        <v>72</v>
      </c>
      <c r="G143" s="32">
        <v>72</v>
      </c>
      <c r="H143" s="32">
        <v>72</v>
      </c>
      <c r="I143" s="32">
        <v>72</v>
      </c>
      <c r="J143" s="32">
        <v>72</v>
      </c>
      <c r="K143" s="32">
        <v>72</v>
      </c>
      <c r="L143" s="32">
        <v>72</v>
      </c>
      <c r="R143" s="78">
        <f t="shared" si="12"/>
        <v>666</v>
      </c>
    </row>
    <row r="144" spans="1:18" hidden="1">
      <c r="A144" s="29"/>
      <c r="B144" s="30">
        <v>3108532</v>
      </c>
      <c r="C144" s="32">
        <v>28</v>
      </c>
      <c r="D144" s="32">
        <v>0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R144" s="78">
        <f t="shared" si="12"/>
        <v>0</v>
      </c>
    </row>
    <row r="145" spans="1:18" hidden="1">
      <c r="A145" s="29"/>
      <c r="B145" s="30">
        <v>3109049</v>
      </c>
      <c r="C145" s="32">
        <v>0</v>
      </c>
      <c r="D145" s="32">
        <v>71</v>
      </c>
      <c r="E145" s="32">
        <v>86</v>
      </c>
      <c r="F145" s="32">
        <v>86</v>
      </c>
      <c r="G145" s="32">
        <v>86</v>
      </c>
      <c r="H145" s="32">
        <v>86</v>
      </c>
      <c r="I145" s="32">
        <v>86</v>
      </c>
      <c r="J145" s="32">
        <v>86</v>
      </c>
      <c r="K145" s="32">
        <v>86</v>
      </c>
      <c r="L145" s="32">
        <v>86</v>
      </c>
      <c r="R145" s="78">
        <f t="shared" si="12"/>
        <v>759</v>
      </c>
    </row>
    <row r="146" spans="1:18" hidden="1">
      <c r="A146" s="29"/>
      <c r="B146" s="30">
        <v>3109141</v>
      </c>
      <c r="C146" s="32">
        <v>0</v>
      </c>
      <c r="D146" s="32">
        <v>72</v>
      </c>
      <c r="E146" s="32">
        <v>0</v>
      </c>
      <c r="F146" s="32">
        <v>0</v>
      </c>
      <c r="G146" s="32">
        <v>0</v>
      </c>
      <c r="H146" s="32">
        <v>72</v>
      </c>
      <c r="I146" s="32">
        <v>0</v>
      </c>
      <c r="J146" s="32">
        <v>0</v>
      </c>
      <c r="K146" s="32">
        <v>0</v>
      </c>
      <c r="L146" s="32">
        <v>0</v>
      </c>
      <c r="R146" s="78">
        <f t="shared" si="12"/>
        <v>144</v>
      </c>
    </row>
    <row r="147" spans="1:18" hidden="1">
      <c r="A147" s="29"/>
      <c r="B147" s="30">
        <v>3109392</v>
      </c>
      <c r="C147" s="32">
        <v>0</v>
      </c>
      <c r="D147" s="32">
        <v>12</v>
      </c>
      <c r="E147" s="32">
        <v>0</v>
      </c>
      <c r="F147" s="32">
        <v>0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0</v>
      </c>
      <c r="R147" s="78">
        <f t="shared" si="12"/>
        <v>12</v>
      </c>
    </row>
    <row r="148" spans="1:18" hidden="1">
      <c r="A148" s="29"/>
      <c r="B148" s="30">
        <v>3109735</v>
      </c>
      <c r="C148" s="32">
        <v>100</v>
      </c>
      <c r="D148" s="32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R148" s="78">
        <f t="shared" si="12"/>
        <v>0</v>
      </c>
    </row>
    <row r="149" spans="1:18" hidden="1">
      <c r="A149" s="29"/>
      <c r="B149" s="30">
        <v>3109771</v>
      </c>
      <c r="C149" s="32">
        <v>100</v>
      </c>
      <c r="D149" s="32">
        <v>0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R149" s="78">
        <f t="shared" si="12"/>
        <v>0</v>
      </c>
    </row>
    <row r="150" spans="1:18" hidden="1">
      <c r="A150" s="29"/>
      <c r="B150" s="30">
        <v>3109815</v>
      </c>
      <c r="C150" s="32">
        <v>0</v>
      </c>
      <c r="D150" s="32">
        <v>0</v>
      </c>
      <c r="E150" s="32">
        <v>0</v>
      </c>
      <c r="F150" s="32">
        <v>0</v>
      </c>
      <c r="G150" s="32">
        <v>0</v>
      </c>
      <c r="H150" s="32">
        <v>0</v>
      </c>
      <c r="I150" s="32">
        <v>3</v>
      </c>
      <c r="J150" s="32">
        <v>0</v>
      </c>
      <c r="K150" s="32">
        <v>0</v>
      </c>
      <c r="L150" s="32">
        <v>0</v>
      </c>
      <c r="R150" s="78">
        <f t="shared" si="12"/>
        <v>3</v>
      </c>
    </row>
    <row r="151" spans="1:18" hidden="1">
      <c r="A151" s="29"/>
      <c r="B151" s="30">
        <v>3109818</v>
      </c>
      <c r="C151" s="32">
        <v>0</v>
      </c>
      <c r="D151" s="32">
        <v>12</v>
      </c>
      <c r="E151" s="32">
        <v>0</v>
      </c>
      <c r="F151" s="32">
        <v>0</v>
      </c>
      <c r="G151" s="32">
        <v>0</v>
      </c>
      <c r="H151" s="32">
        <v>12</v>
      </c>
      <c r="I151" s="32">
        <v>0</v>
      </c>
      <c r="J151" s="32">
        <v>0</v>
      </c>
      <c r="K151" s="32">
        <v>0</v>
      </c>
      <c r="L151" s="32">
        <v>0</v>
      </c>
      <c r="R151" s="78">
        <f t="shared" si="12"/>
        <v>24</v>
      </c>
    </row>
    <row r="152" spans="1:18" hidden="1">
      <c r="A152" s="29"/>
      <c r="B152" s="30">
        <v>3110502</v>
      </c>
      <c r="C152" s="32">
        <v>55</v>
      </c>
      <c r="D152" s="32">
        <v>0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0</v>
      </c>
      <c r="R152" s="78">
        <f t="shared" si="12"/>
        <v>0</v>
      </c>
    </row>
    <row r="153" spans="1:18" hidden="1">
      <c r="A153" s="29"/>
      <c r="B153" s="30">
        <v>3110736</v>
      </c>
      <c r="C153" s="32">
        <v>26</v>
      </c>
      <c r="D153" s="32">
        <v>0</v>
      </c>
      <c r="E153" s="32">
        <v>0</v>
      </c>
      <c r="F153" s="32">
        <v>0</v>
      </c>
      <c r="G153" s="32">
        <v>0</v>
      </c>
      <c r="H153" s="32">
        <v>0</v>
      </c>
      <c r="I153" s="32">
        <v>0</v>
      </c>
      <c r="J153" s="32">
        <v>2</v>
      </c>
      <c r="K153" s="32">
        <v>5</v>
      </c>
      <c r="L153" s="32">
        <v>5</v>
      </c>
      <c r="R153" s="78">
        <f t="shared" si="12"/>
        <v>12</v>
      </c>
    </row>
    <row r="154" spans="1:18" hidden="1">
      <c r="A154" s="29"/>
      <c r="B154" s="30">
        <v>3110836</v>
      </c>
      <c r="C154" s="32">
        <v>42</v>
      </c>
      <c r="D154" s="32">
        <v>0</v>
      </c>
      <c r="E154" s="32">
        <v>0</v>
      </c>
      <c r="F154" s="32">
        <v>0</v>
      </c>
      <c r="G154" s="32">
        <v>11</v>
      </c>
      <c r="H154" s="32">
        <v>13</v>
      </c>
      <c r="I154" s="32">
        <v>13</v>
      </c>
      <c r="J154" s="32">
        <v>13</v>
      </c>
      <c r="K154" s="32">
        <v>13</v>
      </c>
      <c r="L154" s="32">
        <v>13</v>
      </c>
      <c r="R154" s="78">
        <f t="shared" si="12"/>
        <v>76</v>
      </c>
    </row>
    <row r="155" spans="1:18" hidden="1">
      <c r="A155" s="29"/>
      <c r="B155" s="30">
        <v>3111580</v>
      </c>
      <c r="C155" s="32">
        <v>0</v>
      </c>
      <c r="D155" s="32">
        <v>0</v>
      </c>
      <c r="E155" s="32">
        <v>76</v>
      </c>
      <c r="F155" s="32">
        <v>175</v>
      </c>
      <c r="G155" s="32">
        <v>175</v>
      </c>
      <c r="H155" s="32">
        <v>175</v>
      </c>
      <c r="I155" s="32">
        <v>175</v>
      </c>
      <c r="J155" s="32">
        <v>175</v>
      </c>
      <c r="K155" s="32">
        <v>175</v>
      </c>
      <c r="L155" s="32">
        <v>175</v>
      </c>
      <c r="R155" s="78">
        <f t="shared" si="12"/>
        <v>1301</v>
      </c>
    </row>
    <row r="156" spans="1:18" hidden="1">
      <c r="A156" s="29"/>
      <c r="B156" s="30">
        <v>3112041</v>
      </c>
      <c r="C156" s="32">
        <v>50</v>
      </c>
      <c r="D156" s="32">
        <v>13</v>
      </c>
      <c r="E156" s="32">
        <v>58</v>
      </c>
      <c r="F156" s="32">
        <v>58</v>
      </c>
      <c r="G156" s="32">
        <v>58</v>
      </c>
      <c r="H156" s="32">
        <v>58</v>
      </c>
      <c r="I156" s="32">
        <v>58</v>
      </c>
      <c r="J156" s="32">
        <v>58</v>
      </c>
      <c r="K156" s="32">
        <v>58</v>
      </c>
      <c r="L156" s="32">
        <v>58</v>
      </c>
      <c r="R156" s="78">
        <f t="shared" si="12"/>
        <v>477</v>
      </c>
    </row>
    <row r="157" spans="1:18" hidden="1">
      <c r="A157" s="29"/>
      <c r="B157" s="30">
        <v>3114257</v>
      </c>
      <c r="C157" s="32">
        <v>0</v>
      </c>
      <c r="D157" s="32">
        <v>0</v>
      </c>
      <c r="E157" s="32">
        <v>0</v>
      </c>
      <c r="F157" s="32">
        <v>0</v>
      </c>
      <c r="G157" s="32">
        <v>0</v>
      </c>
      <c r="H157" s="32">
        <v>24</v>
      </c>
      <c r="I157" s="32">
        <v>0</v>
      </c>
      <c r="J157" s="32">
        <v>0</v>
      </c>
      <c r="K157" s="32">
        <v>0</v>
      </c>
      <c r="L157" s="32">
        <v>0</v>
      </c>
      <c r="R157" s="78">
        <f t="shared" si="12"/>
        <v>24</v>
      </c>
    </row>
    <row r="158" spans="1:18" hidden="1">
      <c r="A158" s="29"/>
      <c r="B158" s="30">
        <v>3116529</v>
      </c>
      <c r="C158" s="32">
        <v>100</v>
      </c>
      <c r="D158" s="32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R158" s="78">
        <f t="shared" si="12"/>
        <v>0</v>
      </c>
    </row>
    <row r="159" spans="1:18" hidden="1">
      <c r="A159" s="29"/>
      <c r="B159" s="30">
        <v>3119615</v>
      </c>
      <c r="C159" s="32">
        <v>0</v>
      </c>
      <c r="D159" s="32">
        <v>0</v>
      </c>
      <c r="E159" s="32">
        <v>0</v>
      </c>
      <c r="F159" s="32">
        <v>0</v>
      </c>
      <c r="G159" s="32">
        <v>0</v>
      </c>
      <c r="H159" s="32">
        <v>36</v>
      </c>
      <c r="I159" s="32">
        <v>0</v>
      </c>
      <c r="J159" s="32">
        <v>0</v>
      </c>
      <c r="K159" s="32">
        <v>0</v>
      </c>
      <c r="L159" s="32">
        <v>0</v>
      </c>
      <c r="R159" s="78">
        <f t="shared" si="12"/>
        <v>36</v>
      </c>
    </row>
    <row r="160" spans="1:18" hidden="1">
      <c r="A160" s="29"/>
      <c r="B160" s="30">
        <v>3121389</v>
      </c>
      <c r="C160" s="32">
        <v>10</v>
      </c>
      <c r="D160" s="32">
        <v>0</v>
      </c>
      <c r="E160" s="32">
        <v>0</v>
      </c>
      <c r="F160" s="32">
        <v>0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R160" s="78">
        <f t="shared" si="12"/>
        <v>0</v>
      </c>
    </row>
    <row r="161" spans="1:18" hidden="1">
      <c r="A161" s="29"/>
      <c r="B161" s="30">
        <v>3123900</v>
      </c>
      <c r="C161" s="32">
        <v>10</v>
      </c>
      <c r="D161" s="32">
        <v>3</v>
      </c>
      <c r="E161" s="32">
        <v>0</v>
      </c>
      <c r="F161" s="32">
        <v>0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0</v>
      </c>
      <c r="R161" s="78">
        <f t="shared" si="12"/>
        <v>3</v>
      </c>
    </row>
    <row r="162" spans="1:18" hidden="1">
      <c r="A162" s="29"/>
      <c r="B162" s="30">
        <v>3223409</v>
      </c>
      <c r="C162" s="32">
        <v>12</v>
      </c>
      <c r="D162" s="32">
        <v>0</v>
      </c>
      <c r="E162" s="32">
        <v>0</v>
      </c>
      <c r="F162" s="32">
        <v>0</v>
      </c>
      <c r="G162" s="32">
        <v>12</v>
      </c>
      <c r="H162" s="32">
        <v>12</v>
      </c>
      <c r="I162" s="32">
        <v>0</v>
      </c>
      <c r="J162" s="32">
        <v>12</v>
      </c>
      <c r="K162" s="32">
        <v>12</v>
      </c>
      <c r="L162" s="32">
        <v>0</v>
      </c>
      <c r="R162" s="78">
        <f t="shared" si="12"/>
        <v>48</v>
      </c>
    </row>
    <row r="163" spans="1:18" hidden="1">
      <c r="A163" s="29"/>
      <c r="B163" s="30">
        <v>3302482</v>
      </c>
      <c r="C163" s="32">
        <v>0</v>
      </c>
      <c r="D163" s="32">
        <v>24</v>
      </c>
      <c r="E163" s="32">
        <v>0</v>
      </c>
      <c r="F163" s="32">
        <v>0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R163" s="78">
        <f t="shared" si="12"/>
        <v>24</v>
      </c>
    </row>
    <row r="164" spans="1:18" hidden="1">
      <c r="A164" s="29"/>
      <c r="B164" s="30">
        <v>3306428</v>
      </c>
      <c r="C164" s="32">
        <v>0</v>
      </c>
      <c r="D164" s="32">
        <v>0</v>
      </c>
      <c r="E164" s="32">
        <v>0</v>
      </c>
      <c r="F164" s="32">
        <v>0</v>
      </c>
      <c r="G164" s="32">
        <v>0</v>
      </c>
      <c r="H164" s="32">
        <v>0</v>
      </c>
      <c r="I164" s="32">
        <v>1</v>
      </c>
      <c r="J164" s="32">
        <v>0</v>
      </c>
      <c r="K164" s="32">
        <v>0</v>
      </c>
      <c r="L164" s="32">
        <v>0</v>
      </c>
      <c r="R164" s="78">
        <f t="shared" si="12"/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B754-2E2A-4413-A9E3-3226ACC30363}">
  <dimension ref="A1:S79"/>
  <sheetViews>
    <sheetView topLeftCell="A12" zoomScale="130" zoomScaleNormal="130" workbookViewId="0">
      <selection activeCell="A28" sqref="A28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16384" width="9.33203125" style="5"/>
  </cols>
  <sheetData>
    <row r="1" spans="1:19">
      <c r="A1" s="74" t="s">
        <v>0</v>
      </c>
      <c r="B1" s="69" t="s">
        <v>741</v>
      </c>
      <c r="C1" s="69" t="s">
        <v>742</v>
      </c>
      <c r="D1" s="69" t="s">
        <v>743</v>
      </c>
      <c r="E1" s="70" t="s">
        <v>744</v>
      </c>
      <c r="F1" s="69" t="s">
        <v>747</v>
      </c>
      <c r="G1" s="69" t="s">
        <v>748</v>
      </c>
      <c r="H1" s="69" t="s">
        <v>749</v>
      </c>
      <c r="I1" s="69" t="s">
        <v>750</v>
      </c>
      <c r="J1" s="69" t="s">
        <v>751</v>
      </c>
      <c r="K1" s="69" t="s">
        <v>752</v>
      </c>
      <c r="L1" s="70" t="s">
        <v>753</v>
      </c>
      <c r="M1" s="69" t="s">
        <v>757</v>
      </c>
      <c r="N1" s="69" t="s">
        <v>758</v>
      </c>
      <c r="O1" s="69" t="s">
        <v>759</v>
      </c>
      <c r="P1" s="69" t="s">
        <v>760</v>
      </c>
      <c r="Q1" s="69" t="s">
        <v>761</v>
      </c>
      <c r="R1" s="69" t="s">
        <v>762</v>
      </c>
      <c r="S1" s="70" t="s">
        <v>763</v>
      </c>
    </row>
    <row r="2" spans="1:19">
      <c r="A2" s="30">
        <v>1221154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50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</row>
    <row r="3" spans="1:19">
      <c r="A3" s="30">
        <v>1234614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352</v>
      </c>
      <c r="I3" s="32">
        <v>50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354</v>
      </c>
      <c r="P3" s="32">
        <v>516</v>
      </c>
      <c r="Q3" s="32">
        <v>0</v>
      </c>
      <c r="R3" s="32">
        <v>0</v>
      </c>
      <c r="S3" s="32">
        <v>0</v>
      </c>
    </row>
    <row r="4" spans="1:19">
      <c r="A4" s="30">
        <v>1226384</v>
      </c>
      <c r="B4" s="32">
        <v>0</v>
      </c>
      <c r="C4" s="32">
        <v>0</v>
      </c>
      <c r="D4" s="32">
        <v>0</v>
      </c>
      <c r="E4" s="32">
        <v>0</v>
      </c>
      <c r="F4" s="32">
        <v>360</v>
      </c>
      <c r="G4" s="17">
        <v>100</v>
      </c>
      <c r="H4" s="32">
        <v>400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</row>
    <row r="5" spans="1:19">
      <c r="A5" s="30">
        <v>1226388</v>
      </c>
      <c r="B5" s="32">
        <v>0</v>
      </c>
      <c r="C5" s="32">
        <v>0</v>
      </c>
      <c r="D5" s="32">
        <v>0</v>
      </c>
      <c r="E5" s="32">
        <v>0</v>
      </c>
      <c r="F5" s="32">
        <v>360</v>
      </c>
      <c r="G5" s="17">
        <v>100</v>
      </c>
      <c r="H5" s="32">
        <v>400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</row>
    <row r="6" spans="1:19">
      <c r="A6" s="30">
        <v>1229673</v>
      </c>
      <c r="B6" s="32">
        <v>200</v>
      </c>
      <c r="C6" s="32">
        <v>242</v>
      </c>
      <c r="D6" s="32">
        <v>0</v>
      </c>
      <c r="E6" s="32">
        <v>0</v>
      </c>
      <c r="F6" s="32">
        <v>250</v>
      </c>
      <c r="G6" s="17">
        <v>250</v>
      </c>
      <c r="H6" s="32">
        <v>250</v>
      </c>
      <c r="I6" s="32">
        <v>250</v>
      </c>
      <c r="J6" s="32">
        <v>200</v>
      </c>
      <c r="K6" s="32">
        <v>0</v>
      </c>
      <c r="L6" s="32">
        <v>0</v>
      </c>
      <c r="M6" s="32">
        <v>300</v>
      </c>
      <c r="N6" s="32">
        <v>200</v>
      </c>
      <c r="O6" s="32">
        <v>200</v>
      </c>
      <c r="P6" s="32">
        <v>200</v>
      </c>
      <c r="Q6" s="32">
        <v>300</v>
      </c>
      <c r="R6" s="32">
        <v>0</v>
      </c>
      <c r="S6" s="32">
        <v>0</v>
      </c>
    </row>
    <row r="7" spans="1:19">
      <c r="A7" s="30">
        <v>1230854</v>
      </c>
      <c r="B7" s="32">
        <v>0</v>
      </c>
      <c r="C7" s="32">
        <v>0</v>
      </c>
      <c r="D7" s="32">
        <v>0</v>
      </c>
      <c r="E7" s="32">
        <v>0</v>
      </c>
      <c r="F7" s="32">
        <v>200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</row>
    <row r="8" spans="1:19">
      <c r="A8" s="30">
        <v>1233632</v>
      </c>
      <c r="B8" s="32">
        <v>346</v>
      </c>
      <c r="C8" s="32">
        <v>330</v>
      </c>
      <c r="D8" s="32">
        <v>0</v>
      </c>
      <c r="E8" s="32">
        <v>0</v>
      </c>
      <c r="F8" s="32">
        <v>406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</row>
    <row r="9" spans="1:19">
      <c r="A9" s="30">
        <v>1237088</v>
      </c>
      <c r="B9" s="32">
        <v>1286</v>
      </c>
      <c r="C9" s="32">
        <v>1570</v>
      </c>
      <c r="D9" s="32">
        <v>0</v>
      </c>
      <c r="E9" s="32">
        <v>0</v>
      </c>
      <c r="F9" s="32">
        <v>1276</v>
      </c>
      <c r="G9" s="17">
        <v>906</v>
      </c>
      <c r="H9" s="32">
        <v>1006</v>
      </c>
      <c r="I9" s="32">
        <v>942</v>
      </c>
      <c r="J9" s="32">
        <v>1496</v>
      </c>
      <c r="K9" s="32">
        <v>0</v>
      </c>
      <c r="L9" s="32">
        <v>0</v>
      </c>
      <c r="M9" s="32">
        <v>1388</v>
      </c>
      <c r="N9" s="32">
        <v>724</v>
      </c>
      <c r="O9" s="32">
        <v>928</v>
      </c>
      <c r="P9" s="32">
        <v>524</v>
      </c>
      <c r="Q9" s="32">
        <v>1129</v>
      </c>
      <c r="R9" s="32">
        <v>0</v>
      </c>
      <c r="S9" s="32">
        <v>0</v>
      </c>
    </row>
    <row r="10" spans="1:19">
      <c r="A10" s="30">
        <v>1237748</v>
      </c>
      <c r="B10" s="32">
        <v>260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</row>
    <row r="11" spans="1:19">
      <c r="A11" s="30">
        <v>1236091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200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</row>
    <row r="12" spans="1:19">
      <c r="A12" s="30">
        <v>1238128</v>
      </c>
      <c r="B12" s="32">
        <v>404</v>
      </c>
      <c r="C12" s="32">
        <v>377</v>
      </c>
      <c r="D12" s="32">
        <v>0</v>
      </c>
      <c r="E12" s="32">
        <v>0</v>
      </c>
      <c r="F12" s="32">
        <v>480</v>
      </c>
      <c r="G12" s="17">
        <v>480</v>
      </c>
      <c r="H12" s="32">
        <v>378</v>
      </c>
      <c r="I12" s="32">
        <v>912</v>
      </c>
      <c r="J12" s="32">
        <v>960</v>
      </c>
      <c r="K12" s="32">
        <v>0</v>
      </c>
      <c r="L12" s="32">
        <v>0</v>
      </c>
      <c r="M12" s="32">
        <v>546</v>
      </c>
      <c r="N12" s="32">
        <v>480</v>
      </c>
      <c r="O12" s="32">
        <v>378</v>
      </c>
      <c r="P12" s="32">
        <v>480</v>
      </c>
      <c r="Q12" s="32">
        <v>378</v>
      </c>
      <c r="R12" s="32">
        <v>0</v>
      </c>
      <c r="S12" s="32">
        <v>0</v>
      </c>
    </row>
    <row r="13" spans="1:19">
      <c r="A13" s="30">
        <v>1236962</v>
      </c>
      <c r="B13" s="32">
        <v>400</v>
      </c>
      <c r="C13" s="32">
        <v>400</v>
      </c>
      <c r="D13" s="32">
        <v>0</v>
      </c>
      <c r="E13" s="32">
        <v>0</v>
      </c>
      <c r="F13" s="32">
        <v>250</v>
      </c>
      <c r="G13" s="17">
        <v>250</v>
      </c>
      <c r="H13" s="32">
        <v>0</v>
      </c>
      <c r="I13" s="32">
        <v>250</v>
      </c>
      <c r="J13" s="32">
        <v>250</v>
      </c>
      <c r="K13" s="32">
        <v>0</v>
      </c>
      <c r="L13" s="32">
        <v>0</v>
      </c>
      <c r="M13" s="32">
        <v>200</v>
      </c>
      <c r="N13" s="32">
        <v>400</v>
      </c>
      <c r="O13" s="32">
        <v>200</v>
      </c>
      <c r="P13" s="32">
        <v>200</v>
      </c>
      <c r="Q13" s="32">
        <v>300</v>
      </c>
      <c r="R13" s="32">
        <v>0</v>
      </c>
      <c r="S13" s="32">
        <v>0</v>
      </c>
    </row>
    <row r="14" spans="1:19">
      <c r="A14" s="30">
        <v>1233761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250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150</v>
      </c>
      <c r="Q14" s="32">
        <v>0</v>
      </c>
      <c r="R14" s="32">
        <v>0</v>
      </c>
      <c r="S14" s="32">
        <v>0</v>
      </c>
    </row>
    <row r="15" spans="1:19">
      <c r="A15" s="30">
        <v>1239651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17">
        <v>250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205</v>
      </c>
      <c r="N15" s="32">
        <v>0</v>
      </c>
      <c r="O15" s="32">
        <v>0</v>
      </c>
      <c r="P15" s="32">
        <v>300</v>
      </c>
      <c r="Q15" s="32">
        <v>0</v>
      </c>
      <c r="R15" s="32">
        <v>0</v>
      </c>
      <c r="S15" s="32">
        <v>0</v>
      </c>
    </row>
    <row r="16" spans="1:19">
      <c r="A16" s="30">
        <v>1239988</v>
      </c>
      <c r="B16" s="32">
        <v>454</v>
      </c>
      <c r="C16" s="32">
        <v>356</v>
      </c>
      <c r="D16" s="32">
        <v>0</v>
      </c>
      <c r="E16" s="32">
        <v>0</v>
      </c>
      <c r="F16" s="32">
        <v>454</v>
      </c>
      <c r="G16" s="17">
        <v>454</v>
      </c>
      <c r="H16" s="32">
        <v>356</v>
      </c>
      <c r="I16" s="32">
        <v>454</v>
      </c>
      <c r="J16" s="32">
        <v>454</v>
      </c>
      <c r="K16" s="32">
        <v>0</v>
      </c>
      <c r="L16" s="32">
        <v>0</v>
      </c>
      <c r="M16" s="32">
        <v>454</v>
      </c>
      <c r="N16" s="32">
        <v>454</v>
      </c>
      <c r="O16" s="32">
        <v>356</v>
      </c>
      <c r="P16" s="32">
        <v>502</v>
      </c>
      <c r="Q16" s="32">
        <v>356</v>
      </c>
      <c r="R16" s="32">
        <v>0</v>
      </c>
      <c r="S16" s="32">
        <v>0</v>
      </c>
    </row>
    <row r="17" spans="1:19">
      <c r="A17" s="30">
        <v>1240180</v>
      </c>
      <c r="B17" s="32">
        <v>100</v>
      </c>
      <c r="C17" s="32">
        <v>0</v>
      </c>
      <c r="D17" s="32">
        <v>0</v>
      </c>
      <c r="E17" s="32">
        <v>0</v>
      </c>
      <c r="F17" s="32">
        <v>0</v>
      </c>
      <c r="G17" s="17">
        <v>390</v>
      </c>
      <c r="H17" s="32">
        <v>280</v>
      </c>
      <c r="I17" s="32">
        <v>358</v>
      </c>
      <c r="J17" s="32">
        <v>358</v>
      </c>
      <c r="K17" s="32">
        <v>0</v>
      </c>
      <c r="L17" s="32">
        <v>0</v>
      </c>
      <c r="M17" s="32">
        <v>358</v>
      </c>
      <c r="N17" s="32">
        <v>390</v>
      </c>
      <c r="O17" s="32">
        <v>306</v>
      </c>
      <c r="P17" s="32">
        <v>358</v>
      </c>
      <c r="Q17" s="32">
        <v>280</v>
      </c>
      <c r="R17" s="32">
        <v>0</v>
      </c>
      <c r="S17" s="32">
        <v>0</v>
      </c>
    </row>
    <row r="18" spans="1:19">
      <c r="A18" s="30">
        <v>1240184</v>
      </c>
      <c r="B18" s="32">
        <v>100</v>
      </c>
      <c r="C18" s="32">
        <v>0</v>
      </c>
      <c r="D18" s="32">
        <v>0</v>
      </c>
      <c r="E18" s="32">
        <v>0</v>
      </c>
      <c r="F18" s="32">
        <v>0</v>
      </c>
      <c r="G18" s="17">
        <v>390</v>
      </c>
      <c r="H18" s="32">
        <v>280</v>
      </c>
      <c r="I18" s="32">
        <v>358</v>
      </c>
      <c r="J18" s="32">
        <v>358</v>
      </c>
      <c r="K18" s="32">
        <v>0</v>
      </c>
      <c r="L18" s="32">
        <v>0</v>
      </c>
      <c r="M18" s="32">
        <v>358</v>
      </c>
      <c r="N18" s="32">
        <v>390</v>
      </c>
      <c r="O18" s="32">
        <v>306</v>
      </c>
      <c r="P18" s="32">
        <v>358</v>
      </c>
      <c r="Q18" s="32">
        <v>180</v>
      </c>
      <c r="R18" s="32">
        <v>0</v>
      </c>
      <c r="S18" s="32">
        <v>0</v>
      </c>
    </row>
    <row r="19" spans="1:19">
      <c r="A19" s="30">
        <v>1240308</v>
      </c>
      <c r="B19" s="32">
        <v>250</v>
      </c>
      <c r="C19" s="32">
        <v>0</v>
      </c>
      <c r="D19" s="32">
        <v>0</v>
      </c>
      <c r="E19" s="32">
        <v>0</v>
      </c>
      <c r="F19" s="32">
        <v>0</v>
      </c>
      <c r="G19" s="17">
        <v>200</v>
      </c>
      <c r="H19" s="32">
        <v>0</v>
      </c>
      <c r="I19" s="32">
        <v>350</v>
      </c>
      <c r="J19" s="32">
        <v>200</v>
      </c>
      <c r="K19" s="32">
        <v>0</v>
      </c>
      <c r="L19" s="32">
        <v>0</v>
      </c>
      <c r="M19" s="32">
        <v>0</v>
      </c>
      <c r="N19" s="32">
        <v>450</v>
      </c>
      <c r="O19" s="32">
        <v>300</v>
      </c>
      <c r="P19" s="32">
        <v>0</v>
      </c>
      <c r="Q19" s="32">
        <v>0</v>
      </c>
      <c r="R19" s="32">
        <v>0</v>
      </c>
      <c r="S19" s="32">
        <v>0</v>
      </c>
    </row>
    <row r="22" spans="1:19">
      <c r="A22" s="5" t="s">
        <v>0</v>
      </c>
      <c r="B22" s="9" t="s">
        <v>741</v>
      </c>
      <c r="C22" s="9" t="s">
        <v>742</v>
      </c>
      <c r="D22" s="9" t="s">
        <v>743</v>
      </c>
      <c r="E22" s="9" t="s">
        <v>744</v>
      </c>
      <c r="F22" s="9" t="s">
        <v>747</v>
      </c>
      <c r="G22" s="9" t="s">
        <v>748</v>
      </c>
      <c r="H22" s="9" t="s">
        <v>749</v>
      </c>
      <c r="I22" s="9" t="s">
        <v>750</v>
      </c>
      <c r="J22" s="9" t="s">
        <v>751</v>
      </c>
      <c r="K22" s="9" t="s">
        <v>752</v>
      </c>
      <c r="L22" s="9" t="s">
        <v>753</v>
      </c>
      <c r="M22" s="9" t="s">
        <v>757</v>
      </c>
      <c r="N22" s="9" t="s">
        <v>758</v>
      </c>
      <c r="O22" s="9" t="s">
        <v>759</v>
      </c>
      <c r="P22" s="9" t="s">
        <v>760</v>
      </c>
      <c r="Q22" s="9" t="s">
        <v>761</v>
      </c>
      <c r="R22" s="9" t="s">
        <v>762</v>
      </c>
      <c r="S22" s="9" t="s">
        <v>763</v>
      </c>
    </row>
    <row r="23" spans="1:19">
      <c r="A23" s="5">
        <v>1237608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18">
        <v>350</v>
      </c>
      <c r="H23" s="9">
        <v>250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</row>
    <row r="24" spans="1:19">
      <c r="A24" s="5">
        <v>1232846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18">
        <v>327</v>
      </c>
      <c r="H24" s="9">
        <v>352</v>
      </c>
      <c r="I24" s="9">
        <v>21</v>
      </c>
      <c r="J24" s="9">
        <v>0</v>
      </c>
      <c r="K24" s="9">
        <v>0</v>
      </c>
      <c r="L24" s="9">
        <v>0</v>
      </c>
      <c r="M24" s="9">
        <v>0</v>
      </c>
      <c r="N24" s="9">
        <v>403</v>
      </c>
      <c r="O24" s="9">
        <v>352</v>
      </c>
      <c r="P24" s="9">
        <v>449</v>
      </c>
      <c r="Q24" s="9">
        <v>7</v>
      </c>
      <c r="R24" s="9">
        <v>0</v>
      </c>
      <c r="S24" s="9">
        <v>0</v>
      </c>
    </row>
    <row r="25" spans="1:19">
      <c r="A25" s="5">
        <v>1232895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18">
        <v>327</v>
      </c>
      <c r="H25" s="9">
        <v>352</v>
      </c>
      <c r="I25" s="9">
        <v>21</v>
      </c>
      <c r="J25" s="9">
        <v>0</v>
      </c>
      <c r="K25" s="9">
        <v>0</v>
      </c>
      <c r="L25" s="9">
        <v>0</v>
      </c>
      <c r="M25" s="9">
        <v>0</v>
      </c>
      <c r="N25" s="9">
        <v>403</v>
      </c>
      <c r="O25" s="9">
        <v>352</v>
      </c>
      <c r="P25" s="9">
        <v>449</v>
      </c>
      <c r="Q25" s="9">
        <v>7</v>
      </c>
      <c r="R25" s="9">
        <v>0</v>
      </c>
      <c r="S25" s="9">
        <v>0</v>
      </c>
    </row>
    <row r="26" spans="1:19">
      <c r="A26" s="5">
        <v>1233384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18">
        <v>327</v>
      </c>
      <c r="H26" s="9">
        <v>352</v>
      </c>
      <c r="I26" s="9">
        <v>21</v>
      </c>
      <c r="J26" s="9">
        <v>0</v>
      </c>
      <c r="K26" s="9">
        <v>0</v>
      </c>
      <c r="L26" s="9">
        <v>0</v>
      </c>
      <c r="M26" s="9">
        <v>0</v>
      </c>
      <c r="N26" s="9">
        <v>403</v>
      </c>
      <c r="O26" s="9">
        <v>352</v>
      </c>
      <c r="P26" s="9">
        <v>449</v>
      </c>
      <c r="Q26" s="9">
        <v>7</v>
      </c>
      <c r="R26" s="9">
        <v>0</v>
      </c>
      <c r="S26" s="9">
        <v>0</v>
      </c>
    </row>
    <row r="27" spans="1:19">
      <c r="A27" s="5">
        <v>1233165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250</v>
      </c>
      <c r="R27" s="9">
        <v>0</v>
      </c>
      <c r="S27" s="9">
        <v>0</v>
      </c>
    </row>
    <row r="28" spans="1:19">
      <c r="A28" s="5">
        <v>1236387</v>
      </c>
      <c r="B28" s="98">
        <v>395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411</v>
      </c>
      <c r="N28" s="9">
        <v>325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29" spans="1:19">
      <c r="A29" s="5">
        <v>1232775</v>
      </c>
      <c r="B29" s="98">
        <v>311</v>
      </c>
      <c r="C29" s="98">
        <v>14</v>
      </c>
      <c r="D29" s="9">
        <v>0</v>
      </c>
      <c r="E29" s="9">
        <v>0</v>
      </c>
      <c r="F29" s="9">
        <v>0</v>
      </c>
      <c r="G29" s="18">
        <v>288</v>
      </c>
      <c r="H29" s="9">
        <v>243</v>
      </c>
      <c r="I29" s="9">
        <v>309</v>
      </c>
      <c r="J29" s="9">
        <v>309</v>
      </c>
      <c r="K29" s="9">
        <v>0</v>
      </c>
      <c r="L29" s="9">
        <v>0</v>
      </c>
      <c r="M29" s="9">
        <v>298</v>
      </c>
      <c r="N29" s="9">
        <v>8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</row>
    <row r="30" spans="1:19">
      <c r="A30" s="5">
        <v>1238605</v>
      </c>
      <c r="B30" s="9">
        <v>0</v>
      </c>
      <c r="C30" s="98">
        <v>189</v>
      </c>
      <c r="D30" s="98">
        <v>0</v>
      </c>
      <c r="E30" s="98">
        <v>0</v>
      </c>
      <c r="F30" s="98">
        <v>238</v>
      </c>
      <c r="G30" s="18">
        <v>6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42</v>
      </c>
      <c r="O30" s="9">
        <v>187</v>
      </c>
      <c r="P30" s="9">
        <v>182</v>
      </c>
      <c r="Q30" s="9">
        <v>4</v>
      </c>
      <c r="R30" s="9">
        <v>0</v>
      </c>
      <c r="S30" s="9">
        <v>0</v>
      </c>
    </row>
    <row r="31" spans="1:19">
      <c r="C31" s="98"/>
      <c r="D31" s="98"/>
      <c r="E31" s="98"/>
      <c r="F31" s="98"/>
    </row>
    <row r="34" spans="1:19">
      <c r="A34" s="74" t="s">
        <v>0</v>
      </c>
      <c r="B34" s="69" t="s">
        <v>741</v>
      </c>
      <c r="C34" s="69" t="s">
        <v>742</v>
      </c>
      <c r="D34" s="69" t="s">
        <v>743</v>
      </c>
      <c r="E34" s="70" t="s">
        <v>744</v>
      </c>
      <c r="F34" s="69" t="s">
        <v>747</v>
      </c>
      <c r="G34" s="69" t="s">
        <v>748</v>
      </c>
      <c r="H34" s="69" t="s">
        <v>749</v>
      </c>
      <c r="I34" s="69" t="s">
        <v>750</v>
      </c>
      <c r="J34" s="69" t="s">
        <v>751</v>
      </c>
      <c r="K34" s="69" t="s">
        <v>752</v>
      </c>
      <c r="L34" s="70" t="s">
        <v>753</v>
      </c>
      <c r="M34" s="69" t="s">
        <v>757</v>
      </c>
      <c r="N34" s="69" t="s">
        <v>758</v>
      </c>
      <c r="O34" s="69" t="s">
        <v>759</v>
      </c>
      <c r="P34" s="69" t="s">
        <v>760</v>
      </c>
      <c r="Q34" s="69" t="s">
        <v>761</v>
      </c>
      <c r="R34" s="69" t="s">
        <v>762</v>
      </c>
      <c r="S34" s="70" t="s">
        <v>763</v>
      </c>
    </row>
    <row r="35" spans="1:19">
      <c r="A35" s="30">
        <v>1230692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100</v>
      </c>
      <c r="Q35" s="32">
        <v>0</v>
      </c>
      <c r="R35" s="32">
        <v>0</v>
      </c>
      <c r="S35" s="32">
        <v>0</v>
      </c>
    </row>
    <row r="36" spans="1:19">
      <c r="A36" s="30">
        <v>1221967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176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</row>
    <row r="37" spans="1:19">
      <c r="A37" s="30">
        <v>1227306</v>
      </c>
      <c r="B37" s="32">
        <v>123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150</v>
      </c>
      <c r="N37" s="32">
        <v>500</v>
      </c>
      <c r="O37" s="32">
        <v>600</v>
      </c>
      <c r="P37" s="32">
        <v>0</v>
      </c>
      <c r="Q37" s="32">
        <v>0</v>
      </c>
      <c r="R37" s="32">
        <v>0</v>
      </c>
      <c r="S37" s="32">
        <v>0</v>
      </c>
    </row>
    <row r="38" spans="1:19">
      <c r="A38" s="30">
        <v>1227359</v>
      </c>
      <c r="B38" s="32">
        <v>86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</row>
    <row r="39" spans="1:19">
      <c r="A39" s="30">
        <v>1229088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17">
        <v>490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</row>
    <row r="40" spans="1:19">
      <c r="A40" s="30">
        <v>1231090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200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</row>
    <row r="41" spans="1:19">
      <c r="A41" s="30">
        <v>1229776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200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</row>
    <row r="42" spans="1:19">
      <c r="A42" s="30">
        <v>1231797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17">
        <v>113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</row>
    <row r="43" spans="1:19">
      <c r="A43" s="30">
        <v>1225464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28</v>
      </c>
      <c r="R43" s="32">
        <v>0</v>
      </c>
      <c r="S43" s="32">
        <v>0</v>
      </c>
    </row>
    <row r="44" spans="1:19">
      <c r="A44" s="30">
        <v>1234222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220</v>
      </c>
      <c r="O44" s="32">
        <v>258</v>
      </c>
      <c r="P44" s="32">
        <v>0</v>
      </c>
      <c r="Q44" s="32">
        <v>0</v>
      </c>
      <c r="R44" s="32">
        <v>0</v>
      </c>
      <c r="S44" s="32">
        <v>0</v>
      </c>
    </row>
    <row r="45" spans="1:19" s="58" customFormat="1">
      <c r="A45" s="111">
        <v>1232528</v>
      </c>
      <c r="B45" s="17">
        <v>0</v>
      </c>
      <c r="C45" s="17">
        <v>0</v>
      </c>
      <c r="D45" s="17">
        <v>0</v>
      </c>
      <c r="E45" s="17">
        <v>0</v>
      </c>
      <c r="F45" s="17">
        <v>161</v>
      </c>
      <c r="G45" s="17">
        <v>686</v>
      </c>
      <c r="H45" s="17">
        <v>539</v>
      </c>
      <c r="I45" s="17">
        <v>651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147</v>
      </c>
      <c r="R45" s="17">
        <v>0</v>
      </c>
      <c r="S45" s="17">
        <v>0</v>
      </c>
    </row>
    <row r="46" spans="1:19">
      <c r="A46" s="30">
        <v>1233587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10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</row>
    <row r="47" spans="1:19">
      <c r="A47" s="30">
        <v>1232846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34</v>
      </c>
      <c r="J47" s="32">
        <v>142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</row>
    <row r="48" spans="1:19">
      <c r="A48" s="30">
        <v>1232693</v>
      </c>
      <c r="B48" s="32">
        <v>0</v>
      </c>
      <c r="C48" s="32">
        <v>0</v>
      </c>
      <c r="D48" s="32">
        <v>0</v>
      </c>
      <c r="E48" s="32">
        <v>0</v>
      </c>
      <c r="F48" s="32">
        <v>54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</row>
    <row r="49" spans="1:19">
      <c r="A49" s="30">
        <v>1233025</v>
      </c>
      <c r="B49" s="32">
        <v>0</v>
      </c>
      <c r="C49" s="32">
        <v>0</v>
      </c>
      <c r="D49" s="32">
        <v>0</v>
      </c>
      <c r="E49" s="32">
        <v>0</v>
      </c>
      <c r="F49" s="32">
        <v>54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</row>
    <row r="50" spans="1:19">
      <c r="A50" s="30">
        <v>1233383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113</v>
      </c>
      <c r="Q50" s="32">
        <v>0</v>
      </c>
      <c r="R50" s="32">
        <v>0</v>
      </c>
      <c r="S50" s="32">
        <v>0</v>
      </c>
    </row>
    <row r="51" spans="1:19">
      <c r="A51" s="30">
        <v>1220847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126</v>
      </c>
      <c r="R51" s="32">
        <v>0</v>
      </c>
      <c r="S51" s="32">
        <v>0</v>
      </c>
    </row>
    <row r="52" spans="1:19">
      <c r="A52" s="30">
        <v>1233735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90</v>
      </c>
      <c r="Q52" s="32">
        <v>0</v>
      </c>
      <c r="R52" s="32">
        <v>0</v>
      </c>
      <c r="S52" s="32">
        <v>0</v>
      </c>
    </row>
    <row r="53" spans="1:19">
      <c r="A53" s="30">
        <v>1234034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40</v>
      </c>
      <c r="Q53" s="32">
        <v>0</v>
      </c>
      <c r="R53" s="32">
        <v>0</v>
      </c>
      <c r="S53" s="32">
        <v>0</v>
      </c>
    </row>
    <row r="54" spans="1:19">
      <c r="A54" s="30">
        <v>1221254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130</v>
      </c>
      <c r="O54" s="32">
        <v>0</v>
      </c>
      <c r="P54" s="32">
        <v>20</v>
      </c>
      <c r="Q54" s="32">
        <v>0</v>
      </c>
      <c r="R54" s="32">
        <v>0</v>
      </c>
      <c r="S54" s="32">
        <v>0</v>
      </c>
    </row>
    <row r="55" spans="1:19">
      <c r="A55" s="30">
        <v>1234217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220</v>
      </c>
      <c r="P55" s="32">
        <v>0</v>
      </c>
      <c r="Q55" s="32">
        <v>0</v>
      </c>
      <c r="R55" s="32">
        <v>0</v>
      </c>
      <c r="S55" s="32">
        <v>0</v>
      </c>
    </row>
    <row r="56" spans="1:19">
      <c r="A56" s="30">
        <v>1234111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220</v>
      </c>
      <c r="P56" s="32">
        <v>0</v>
      </c>
      <c r="Q56" s="32">
        <v>0</v>
      </c>
      <c r="R56" s="32">
        <v>0</v>
      </c>
      <c r="S56" s="32">
        <v>0</v>
      </c>
    </row>
    <row r="57" spans="1:19">
      <c r="A57" s="30">
        <v>1234110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220</v>
      </c>
      <c r="P57" s="32">
        <v>0</v>
      </c>
      <c r="Q57" s="32">
        <v>0</v>
      </c>
      <c r="R57" s="32">
        <v>0</v>
      </c>
      <c r="S57" s="32">
        <v>0</v>
      </c>
    </row>
    <row r="58" spans="1:19">
      <c r="A58" s="111">
        <v>1235097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200</v>
      </c>
      <c r="Q58" s="32">
        <v>350</v>
      </c>
      <c r="R58" s="32">
        <v>0</v>
      </c>
      <c r="S58" s="32">
        <v>0</v>
      </c>
    </row>
    <row r="59" spans="1:19">
      <c r="A59" s="30">
        <v>1235958</v>
      </c>
      <c r="B59" s="32">
        <v>12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</row>
    <row r="60" spans="1:19">
      <c r="A60" s="30">
        <v>1236600</v>
      </c>
      <c r="B60" s="32">
        <v>289</v>
      </c>
      <c r="C60" s="32">
        <v>419</v>
      </c>
      <c r="D60" s="32">
        <v>0</v>
      </c>
      <c r="E60" s="32">
        <v>0</v>
      </c>
      <c r="F60" s="32">
        <v>40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</row>
    <row r="61" spans="1:19">
      <c r="A61" s="30">
        <v>1236601</v>
      </c>
      <c r="B61" s="32">
        <v>0</v>
      </c>
      <c r="C61" s="32">
        <v>0</v>
      </c>
      <c r="D61" s="32">
        <v>0</v>
      </c>
      <c r="E61" s="32">
        <v>0</v>
      </c>
      <c r="F61" s="32">
        <v>74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</row>
    <row r="62" spans="1:19">
      <c r="A62" s="30">
        <v>1236619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10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</row>
    <row r="63" spans="1:19">
      <c r="A63" s="30">
        <v>1236930</v>
      </c>
      <c r="B63" s="32">
        <v>336</v>
      </c>
      <c r="C63" s="32">
        <v>45</v>
      </c>
      <c r="D63" s="32">
        <v>0</v>
      </c>
      <c r="E63" s="32">
        <v>0</v>
      </c>
      <c r="F63" s="32">
        <v>116</v>
      </c>
      <c r="G63" s="32">
        <v>0</v>
      </c>
      <c r="H63" s="17">
        <v>264</v>
      </c>
      <c r="I63" s="32">
        <v>339</v>
      </c>
      <c r="J63" s="32">
        <v>339</v>
      </c>
      <c r="K63" s="32">
        <v>0</v>
      </c>
      <c r="L63" s="32">
        <v>0</v>
      </c>
      <c r="M63" s="32">
        <v>150</v>
      </c>
      <c r="N63" s="32">
        <v>350</v>
      </c>
      <c r="O63" s="32">
        <v>350</v>
      </c>
      <c r="P63" s="32">
        <v>350</v>
      </c>
      <c r="Q63" s="32">
        <v>0</v>
      </c>
      <c r="R63" s="32">
        <v>0</v>
      </c>
      <c r="S63" s="32">
        <v>0</v>
      </c>
    </row>
    <row r="64" spans="1:19">
      <c r="A64" s="30">
        <v>1237468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87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</row>
    <row r="65" spans="1:19">
      <c r="A65" s="30">
        <v>1237457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10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</row>
    <row r="66" spans="1:19">
      <c r="A66" s="30">
        <v>1234905</v>
      </c>
      <c r="B66" s="32">
        <v>163</v>
      </c>
      <c r="C66" s="32">
        <v>383</v>
      </c>
      <c r="D66" s="32">
        <v>0</v>
      </c>
      <c r="E66" s="32">
        <v>0</v>
      </c>
      <c r="F66" s="32">
        <v>487</v>
      </c>
      <c r="G66" s="32">
        <v>487</v>
      </c>
      <c r="H66" s="32">
        <v>383</v>
      </c>
      <c r="I66" s="32">
        <v>483</v>
      </c>
      <c r="J66" s="32">
        <v>478</v>
      </c>
      <c r="K66" s="32">
        <v>0</v>
      </c>
      <c r="L66" s="32">
        <v>0</v>
      </c>
      <c r="M66" s="32">
        <v>72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</row>
    <row r="67" spans="1:19">
      <c r="A67" s="30">
        <v>1238480</v>
      </c>
      <c r="B67" s="32">
        <v>1061</v>
      </c>
      <c r="C67" s="32">
        <v>685</v>
      </c>
      <c r="D67" s="32">
        <v>0</v>
      </c>
      <c r="E67" s="32">
        <v>0</v>
      </c>
      <c r="F67" s="32">
        <v>1082</v>
      </c>
      <c r="G67" s="17">
        <v>872</v>
      </c>
      <c r="H67" s="32">
        <v>914</v>
      </c>
      <c r="I67" s="32">
        <v>1303</v>
      </c>
      <c r="J67" s="32">
        <v>1269</v>
      </c>
      <c r="K67" s="32">
        <v>0</v>
      </c>
      <c r="L67" s="32">
        <v>0</v>
      </c>
      <c r="M67" s="32">
        <v>1308</v>
      </c>
      <c r="N67" s="32">
        <v>707</v>
      </c>
      <c r="O67" s="32">
        <v>793</v>
      </c>
      <c r="P67" s="32">
        <v>1606</v>
      </c>
      <c r="Q67" s="32">
        <v>1543</v>
      </c>
      <c r="R67" s="32">
        <v>0</v>
      </c>
      <c r="S67" s="32">
        <v>0</v>
      </c>
    </row>
    <row r="68" spans="1:19">
      <c r="A68" s="30">
        <v>1238453</v>
      </c>
      <c r="B68" s="32">
        <v>0</v>
      </c>
      <c r="C68" s="32">
        <v>0</v>
      </c>
      <c r="D68" s="32">
        <v>0</v>
      </c>
      <c r="E68" s="32">
        <v>0</v>
      </c>
      <c r="F68" s="32">
        <v>0</v>
      </c>
      <c r="G68" s="17">
        <v>330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387</v>
      </c>
      <c r="R68" s="32">
        <v>0</v>
      </c>
      <c r="S68" s="32">
        <v>0</v>
      </c>
    </row>
    <row r="69" spans="1:19">
      <c r="A69" s="30">
        <v>1232775</v>
      </c>
      <c r="B69" s="32">
        <v>0</v>
      </c>
      <c r="C69" s="32">
        <v>216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</row>
    <row r="70" spans="1:19">
      <c r="A70" s="30">
        <v>1240029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600</v>
      </c>
      <c r="N70" s="32">
        <v>300</v>
      </c>
      <c r="O70" s="32">
        <v>200</v>
      </c>
      <c r="P70" s="32">
        <v>0</v>
      </c>
      <c r="Q70" s="32">
        <v>0</v>
      </c>
      <c r="R70" s="32">
        <v>0</v>
      </c>
      <c r="S70" s="32">
        <v>0</v>
      </c>
    </row>
    <row r="71" spans="1:19">
      <c r="A71" s="30">
        <v>1240032</v>
      </c>
      <c r="B71" s="32">
        <v>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600</v>
      </c>
      <c r="N71" s="32">
        <v>300</v>
      </c>
      <c r="O71" s="32">
        <v>200</v>
      </c>
      <c r="P71" s="32">
        <v>0</v>
      </c>
      <c r="Q71" s="32">
        <v>0</v>
      </c>
      <c r="R71" s="32">
        <v>0</v>
      </c>
      <c r="S71" s="32">
        <v>0</v>
      </c>
    </row>
    <row r="72" spans="1:19">
      <c r="A72" s="30">
        <v>1240180</v>
      </c>
      <c r="B72" s="32">
        <v>0</v>
      </c>
      <c r="C72" s="32">
        <v>114</v>
      </c>
      <c r="D72" s="32">
        <v>0</v>
      </c>
      <c r="E72" s="32">
        <v>0</v>
      </c>
      <c r="F72" s="32">
        <v>166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</row>
    <row r="73" spans="1:19">
      <c r="A73" s="30">
        <v>1240184</v>
      </c>
      <c r="B73" s="32">
        <v>0</v>
      </c>
      <c r="C73" s="32">
        <v>114</v>
      </c>
      <c r="D73" s="32">
        <v>0</v>
      </c>
      <c r="E73" s="32">
        <v>0</v>
      </c>
      <c r="F73" s="32">
        <v>166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</row>
    <row r="74" spans="1:19">
      <c r="A74" s="30">
        <v>1216452</v>
      </c>
      <c r="B74" s="32">
        <v>929</v>
      </c>
      <c r="C74" s="32">
        <v>387</v>
      </c>
      <c r="D74" s="32">
        <v>0</v>
      </c>
      <c r="E74" s="32">
        <v>0</v>
      </c>
      <c r="F74" s="32">
        <v>0</v>
      </c>
      <c r="G74" s="32">
        <v>18</v>
      </c>
      <c r="H74" s="32">
        <v>173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</row>
    <row r="75" spans="1:19">
      <c r="A75" s="30">
        <v>1230791</v>
      </c>
      <c r="B75" s="32">
        <v>0</v>
      </c>
      <c r="C75" s="32">
        <v>275</v>
      </c>
      <c r="D75" s="32">
        <v>0</v>
      </c>
      <c r="E75" s="32">
        <v>0</v>
      </c>
      <c r="F75" s="17">
        <v>625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</row>
    <row r="76" spans="1:19">
      <c r="A76" s="30">
        <v>1231011</v>
      </c>
      <c r="B76" s="32">
        <v>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310</v>
      </c>
      <c r="P76" s="32">
        <v>0</v>
      </c>
      <c r="Q76" s="32">
        <v>0</v>
      </c>
      <c r="R76" s="32">
        <v>0</v>
      </c>
      <c r="S76" s="32">
        <v>0</v>
      </c>
    </row>
    <row r="77" spans="1:19">
      <c r="A77" s="30">
        <v>1232895</v>
      </c>
      <c r="B77" s="32">
        <v>0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34</v>
      </c>
      <c r="J77" s="32">
        <v>142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</row>
    <row r="78" spans="1:19">
      <c r="A78" s="30">
        <v>1232922</v>
      </c>
      <c r="B78" s="32">
        <v>0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34</v>
      </c>
      <c r="J78" s="32">
        <v>142</v>
      </c>
      <c r="K78" s="32">
        <v>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</row>
    <row r="79" spans="1:19">
      <c r="A79" s="30">
        <v>1233580</v>
      </c>
      <c r="B79" s="32">
        <v>0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130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</row>
  </sheetData>
  <autoFilter ref="A1:S19" xr:uid="{1AF3B754-2E2A-4413-A9E3-3226ACC30363}"/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23C6-66B8-4090-8C39-F0F7F31D900E}">
  <dimension ref="A1:T77"/>
  <sheetViews>
    <sheetView topLeftCell="A31" zoomScale="115" zoomScaleNormal="115" workbookViewId="0">
      <selection activeCell="O66" sqref="O66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20" width="9.33203125" style="9"/>
    <col min="21" max="16384" width="9.33203125" style="5"/>
  </cols>
  <sheetData>
    <row r="1" spans="1:20">
      <c r="A1" s="74" t="s">
        <v>0</v>
      </c>
      <c r="B1" s="69" t="s">
        <v>742</v>
      </c>
      <c r="C1" s="69" t="s">
        <v>743</v>
      </c>
      <c r="D1" s="70" t="s">
        <v>744</v>
      </c>
      <c r="E1" s="69" t="s">
        <v>747</v>
      </c>
      <c r="F1" s="69" t="s">
        <v>748</v>
      </c>
      <c r="G1" s="69" t="s">
        <v>749</v>
      </c>
      <c r="H1" s="69" t="s">
        <v>750</v>
      </c>
      <c r="I1" s="69" t="s">
        <v>751</v>
      </c>
      <c r="J1" s="69" t="s">
        <v>752</v>
      </c>
      <c r="K1" s="70" t="s">
        <v>753</v>
      </c>
      <c r="L1" s="69" t="s">
        <v>757</v>
      </c>
      <c r="M1" s="69" t="s">
        <v>758</v>
      </c>
      <c r="N1" s="69" t="s">
        <v>759</v>
      </c>
      <c r="O1" s="69" t="s">
        <v>760</v>
      </c>
      <c r="P1" s="69" t="s">
        <v>761</v>
      </c>
      <c r="Q1" s="69" t="s">
        <v>762</v>
      </c>
      <c r="R1" s="70" t="s">
        <v>763</v>
      </c>
    </row>
    <row r="2" spans="1:20">
      <c r="A2" s="30">
        <v>1221154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17">
        <v>50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</row>
    <row r="3" spans="1:20">
      <c r="A3" s="30">
        <v>1234614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17">
        <v>352</v>
      </c>
      <c r="H3" s="32">
        <v>50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354</v>
      </c>
      <c r="O3" s="32">
        <v>516</v>
      </c>
      <c r="P3" s="32">
        <v>0</v>
      </c>
      <c r="Q3" s="32">
        <v>0</v>
      </c>
      <c r="R3" s="32">
        <v>0</v>
      </c>
    </row>
    <row r="4" spans="1:20">
      <c r="A4" s="30">
        <v>1226384</v>
      </c>
      <c r="B4" s="32">
        <v>0</v>
      </c>
      <c r="C4" s="32">
        <v>0</v>
      </c>
      <c r="D4" s="32">
        <v>0</v>
      </c>
      <c r="E4" s="32">
        <v>360</v>
      </c>
      <c r="F4" s="32">
        <v>100</v>
      </c>
      <c r="G4" s="17">
        <v>400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</row>
    <row r="5" spans="1:20" s="20" customFormat="1">
      <c r="A5" s="66">
        <v>1226388</v>
      </c>
      <c r="B5" s="61">
        <v>0</v>
      </c>
      <c r="C5" s="61">
        <v>0</v>
      </c>
      <c r="D5" s="61">
        <v>0</v>
      </c>
      <c r="E5" s="61">
        <v>360</v>
      </c>
      <c r="F5" s="61">
        <v>100</v>
      </c>
      <c r="G5" s="79">
        <v>400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  <c r="R5" s="61">
        <v>0</v>
      </c>
      <c r="S5" s="10"/>
      <c r="T5" s="10"/>
    </row>
    <row r="6" spans="1:20">
      <c r="A6" s="30">
        <v>1229673</v>
      </c>
      <c r="B6" s="32">
        <v>242</v>
      </c>
      <c r="C6" s="32">
        <v>0</v>
      </c>
      <c r="D6" s="32">
        <v>0</v>
      </c>
      <c r="E6" s="32">
        <v>250</v>
      </c>
      <c r="F6" s="32">
        <v>250</v>
      </c>
      <c r="G6" s="17">
        <v>250</v>
      </c>
      <c r="H6" s="32">
        <v>250</v>
      </c>
      <c r="I6" s="32">
        <v>200</v>
      </c>
      <c r="J6" s="32">
        <v>0</v>
      </c>
      <c r="K6" s="32">
        <v>0</v>
      </c>
      <c r="L6" s="32">
        <v>300</v>
      </c>
      <c r="M6" s="32">
        <v>200</v>
      </c>
      <c r="N6" s="32">
        <v>200</v>
      </c>
      <c r="O6" s="32">
        <v>200</v>
      </c>
      <c r="P6" s="32">
        <v>300</v>
      </c>
      <c r="Q6" s="32">
        <v>0</v>
      </c>
      <c r="R6" s="32">
        <v>0</v>
      </c>
    </row>
    <row r="7" spans="1:20">
      <c r="A7" s="30">
        <v>1230854</v>
      </c>
      <c r="B7" s="32">
        <v>0</v>
      </c>
      <c r="C7" s="32">
        <v>0</v>
      </c>
      <c r="D7" s="32">
        <v>0</v>
      </c>
      <c r="E7" s="32">
        <v>200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</row>
    <row r="8" spans="1:20">
      <c r="A8" s="30">
        <v>1233632</v>
      </c>
      <c r="B8" s="32">
        <v>330</v>
      </c>
      <c r="C8" s="32">
        <v>0</v>
      </c>
      <c r="D8" s="32">
        <v>0</v>
      </c>
      <c r="E8" s="32">
        <v>406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</row>
    <row r="9" spans="1:20">
      <c r="A9" s="30">
        <v>1237088</v>
      </c>
      <c r="B9" s="32">
        <v>1570</v>
      </c>
      <c r="C9" s="32">
        <v>0</v>
      </c>
      <c r="D9" s="32">
        <v>0</v>
      </c>
      <c r="E9" s="32">
        <v>1276</v>
      </c>
      <c r="F9" s="32">
        <v>906</v>
      </c>
      <c r="G9" s="17">
        <v>1006</v>
      </c>
      <c r="H9" s="32">
        <v>942</v>
      </c>
      <c r="I9" s="32">
        <v>1496</v>
      </c>
      <c r="J9" s="32">
        <v>0</v>
      </c>
      <c r="K9" s="32">
        <v>0</v>
      </c>
      <c r="L9" s="32">
        <v>1388</v>
      </c>
      <c r="M9" s="32">
        <v>724</v>
      </c>
      <c r="N9" s="32">
        <v>928</v>
      </c>
      <c r="O9" s="32">
        <v>524</v>
      </c>
      <c r="P9" s="32">
        <v>1129</v>
      </c>
      <c r="Q9" s="32">
        <v>0</v>
      </c>
      <c r="R9" s="32">
        <v>0</v>
      </c>
    </row>
    <row r="10" spans="1:20">
      <c r="A10" s="30">
        <v>1236091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17">
        <v>200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</row>
    <row r="11" spans="1:20">
      <c r="A11" s="30">
        <v>1238128</v>
      </c>
      <c r="B11" s="32">
        <v>377</v>
      </c>
      <c r="C11" s="32">
        <v>0</v>
      </c>
      <c r="D11" s="32">
        <v>0</v>
      </c>
      <c r="E11" s="32">
        <v>480</v>
      </c>
      <c r="F11" s="32">
        <v>480</v>
      </c>
      <c r="G11" s="17">
        <v>378</v>
      </c>
      <c r="H11" s="32">
        <v>912</v>
      </c>
      <c r="I11" s="32">
        <v>960</v>
      </c>
      <c r="J11" s="32">
        <v>0</v>
      </c>
      <c r="K11" s="32">
        <v>0</v>
      </c>
      <c r="L11" s="32">
        <v>546</v>
      </c>
      <c r="M11" s="32">
        <v>480</v>
      </c>
      <c r="N11" s="32">
        <v>378</v>
      </c>
      <c r="O11" s="32">
        <v>480</v>
      </c>
      <c r="P11" s="32">
        <v>378</v>
      </c>
      <c r="Q11" s="32">
        <v>0</v>
      </c>
      <c r="R11" s="32">
        <v>0</v>
      </c>
    </row>
    <row r="12" spans="1:20">
      <c r="A12" s="30">
        <v>1236962</v>
      </c>
      <c r="B12" s="32">
        <v>400</v>
      </c>
      <c r="C12" s="32">
        <v>0</v>
      </c>
      <c r="D12" s="32">
        <v>0</v>
      </c>
      <c r="E12" s="32">
        <v>250</v>
      </c>
      <c r="F12" s="32">
        <v>250</v>
      </c>
      <c r="G12" s="32">
        <v>0</v>
      </c>
      <c r="H12" s="32">
        <v>250</v>
      </c>
      <c r="I12" s="32">
        <v>250</v>
      </c>
      <c r="J12" s="32">
        <v>0</v>
      </c>
      <c r="K12" s="32">
        <v>0</v>
      </c>
      <c r="L12" s="32">
        <v>200</v>
      </c>
      <c r="M12" s="32">
        <v>400</v>
      </c>
      <c r="N12" s="32">
        <v>200</v>
      </c>
      <c r="O12" s="32">
        <v>200</v>
      </c>
      <c r="P12" s="32">
        <v>300</v>
      </c>
      <c r="Q12" s="32">
        <v>0</v>
      </c>
      <c r="R12" s="32">
        <v>0</v>
      </c>
    </row>
    <row r="13" spans="1:20">
      <c r="A13" s="30">
        <v>1233761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250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150</v>
      </c>
      <c r="P13" s="32">
        <v>0</v>
      </c>
      <c r="Q13" s="32">
        <v>0</v>
      </c>
      <c r="R13" s="32">
        <v>0</v>
      </c>
    </row>
    <row r="14" spans="1:20">
      <c r="A14" s="30">
        <v>1239651</v>
      </c>
      <c r="B14" s="32">
        <v>0</v>
      </c>
      <c r="C14" s="32">
        <v>0</v>
      </c>
      <c r="D14" s="32">
        <v>0</v>
      </c>
      <c r="E14" s="32">
        <v>0</v>
      </c>
      <c r="F14" s="32">
        <v>250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205</v>
      </c>
      <c r="M14" s="32">
        <v>0</v>
      </c>
      <c r="N14" s="32">
        <v>0</v>
      </c>
      <c r="O14" s="32">
        <v>300</v>
      </c>
      <c r="P14" s="32">
        <v>0</v>
      </c>
      <c r="Q14" s="32">
        <v>0</v>
      </c>
      <c r="R14" s="32">
        <v>0</v>
      </c>
    </row>
    <row r="15" spans="1:20">
      <c r="A15" s="30">
        <v>1239988</v>
      </c>
      <c r="B15" s="32">
        <v>356</v>
      </c>
      <c r="C15" s="32">
        <v>0</v>
      </c>
      <c r="D15" s="32">
        <v>0</v>
      </c>
      <c r="E15" s="32">
        <v>454</v>
      </c>
      <c r="F15" s="32">
        <v>454</v>
      </c>
      <c r="G15" s="17">
        <v>356</v>
      </c>
      <c r="H15" s="32">
        <v>454</v>
      </c>
      <c r="I15" s="32">
        <v>454</v>
      </c>
      <c r="J15" s="32">
        <v>0</v>
      </c>
      <c r="K15" s="32">
        <v>0</v>
      </c>
      <c r="L15" s="32">
        <v>454</v>
      </c>
      <c r="M15" s="32">
        <v>454</v>
      </c>
      <c r="N15" s="32">
        <v>356</v>
      </c>
      <c r="O15" s="32">
        <v>502</v>
      </c>
      <c r="P15" s="32">
        <v>356</v>
      </c>
      <c r="Q15" s="32">
        <v>0</v>
      </c>
      <c r="R15" s="32">
        <v>0</v>
      </c>
    </row>
    <row r="16" spans="1:20">
      <c r="A16" s="30">
        <v>1240180</v>
      </c>
      <c r="B16" s="32">
        <v>0</v>
      </c>
      <c r="C16" s="32">
        <v>0</v>
      </c>
      <c r="D16" s="32">
        <v>0</v>
      </c>
      <c r="E16" s="32">
        <v>0</v>
      </c>
      <c r="F16" s="32">
        <v>390</v>
      </c>
      <c r="G16" s="17">
        <v>280</v>
      </c>
      <c r="H16" s="32">
        <v>358</v>
      </c>
      <c r="I16" s="32">
        <v>358</v>
      </c>
      <c r="J16" s="32">
        <v>0</v>
      </c>
      <c r="K16" s="32">
        <v>0</v>
      </c>
      <c r="L16" s="32">
        <v>358</v>
      </c>
      <c r="M16" s="32">
        <v>390</v>
      </c>
      <c r="N16" s="32">
        <v>306</v>
      </c>
      <c r="O16" s="32">
        <v>358</v>
      </c>
      <c r="P16" s="32">
        <v>280</v>
      </c>
      <c r="Q16" s="32">
        <v>0</v>
      </c>
      <c r="R16" s="32">
        <v>0</v>
      </c>
    </row>
    <row r="17" spans="1:18">
      <c r="A17" s="30">
        <v>1240184</v>
      </c>
      <c r="B17" s="32">
        <v>0</v>
      </c>
      <c r="C17" s="32">
        <v>0</v>
      </c>
      <c r="D17" s="32">
        <v>0</v>
      </c>
      <c r="E17" s="32">
        <v>0</v>
      </c>
      <c r="F17" s="32">
        <v>390</v>
      </c>
      <c r="G17" s="17">
        <v>280</v>
      </c>
      <c r="H17" s="32">
        <v>358</v>
      </c>
      <c r="I17" s="32">
        <v>358</v>
      </c>
      <c r="J17" s="32">
        <v>0</v>
      </c>
      <c r="K17" s="32">
        <v>0</v>
      </c>
      <c r="L17" s="32">
        <v>358</v>
      </c>
      <c r="M17" s="32">
        <v>390</v>
      </c>
      <c r="N17" s="32">
        <v>306</v>
      </c>
      <c r="O17" s="32">
        <v>358</v>
      </c>
      <c r="P17" s="32">
        <v>180</v>
      </c>
      <c r="Q17" s="32">
        <v>0</v>
      </c>
      <c r="R17" s="32">
        <v>0</v>
      </c>
    </row>
    <row r="18" spans="1:18">
      <c r="A18" s="30">
        <v>1240308</v>
      </c>
      <c r="B18" s="32">
        <v>0</v>
      </c>
      <c r="C18" s="32">
        <v>0</v>
      </c>
      <c r="D18" s="32">
        <v>0</v>
      </c>
      <c r="E18" s="32">
        <v>0</v>
      </c>
      <c r="F18" s="32">
        <v>200</v>
      </c>
      <c r="G18" s="32">
        <v>0</v>
      </c>
      <c r="H18" s="32">
        <v>350</v>
      </c>
      <c r="I18" s="32">
        <v>200</v>
      </c>
      <c r="J18" s="32">
        <v>0</v>
      </c>
      <c r="K18" s="32">
        <v>0</v>
      </c>
      <c r="L18" s="32">
        <v>0</v>
      </c>
      <c r="M18" s="32">
        <v>450</v>
      </c>
      <c r="N18" s="32">
        <v>300</v>
      </c>
      <c r="O18" s="32">
        <v>0</v>
      </c>
      <c r="P18" s="32">
        <v>0</v>
      </c>
      <c r="Q18" s="32">
        <v>0</v>
      </c>
      <c r="R18" s="32">
        <v>0</v>
      </c>
    </row>
    <row r="22" spans="1:18">
      <c r="A22" s="5" t="s">
        <v>0</v>
      </c>
      <c r="B22" s="9" t="s">
        <v>742</v>
      </c>
      <c r="C22" s="9" t="s">
        <v>743</v>
      </c>
      <c r="D22" s="9" t="s">
        <v>744</v>
      </c>
      <c r="E22" s="9" t="s">
        <v>747</v>
      </c>
      <c r="F22" s="9" t="s">
        <v>748</v>
      </c>
      <c r="G22" s="9" t="s">
        <v>749</v>
      </c>
      <c r="H22" s="9" t="s">
        <v>750</v>
      </c>
      <c r="I22" s="9" t="s">
        <v>751</v>
      </c>
      <c r="J22" s="9" t="s">
        <v>752</v>
      </c>
      <c r="K22" s="9" t="s">
        <v>753</v>
      </c>
      <c r="L22" s="9" t="s">
        <v>757</v>
      </c>
      <c r="M22" s="9" t="s">
        <v>758</v>
      </c>
      <c r="N22" s="9" t="s">
        <v>759</v>
      </c>
      <c r="O22" s="9" t="s">
        <v>760</v>
      </c>
      <c r="P22" s="9" t="s">
        <v>761</v>
      </c>
      <c r="Q22" s="9" t="s">
        <v>762</v>
      </c>
      <c r="R22" s="9" t="s">
        <v>763</v>
      </c>
    </row>
    <row r="23" spans="1:18">
      <c r="A23" s="5">
        <v>1237608</v>
      </c>
      <c r="B23" s="9">
        <v>0</v>
      </c>
      <c r="C23" s="9">
        <v>0</v>
      </c>
      <c r="D23" s="9">
        <v>0</v>
      </c>
      <c r="E23" s="9">
        <v>0</v>
      </c>
      <c r="F23" s="98">
        <v>350</v>
      </c>
      <c r="G23" s="18">
        <v>250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</row>
    <row r="24" spans="1:18">
      <c r="A24" s="5">
        <v>1232846</v>
      </c>
      <c r="B24" s="9">
        <v>0</v>
      </c>
      <c r="C24" s="9">
        <v>0</v>
      </c>
      <c r="D24" s="9">
        <v>0</v>
      </c>
      <c r="E24" s="9">
        <v>0</v>
      </c>
      <c r="F24" s="98">
        <v>327</v>
      </c>
      <c r="G24" s="18">
        <v>352</v>
      </c>
      <c r="H24" s="9">
        <v>21</v>
      </c>
      <c r="I24" s="9">
        <v>0</v>
      </c>
      <c r="J24" s="9">
        <v>0</v>
      </c>
      <c r="K24" s="9">
        <v>0</v>
      </c>
      <c r="L24" s="9">
        <v>0</v>
      </c>
      <c r="M24" s="9">
        <v>403</v>
      </c>
      <c r="N24" s="9">
        <v>352</v>
      </c>
      <c r="O24" s="9">
        <v>449</v>
      </c>
      <c r="P24" s="9">
        <v>7</v>
      </c>
      <c r="Q24" s="9">
        <v>0</v>
      </c>
      <c r="R24" s="9">
        <v>0</v>
      </c>
    </row>
    <row r="25" spans="1:18">
      <c r="A25" s="5">
        <v>1232895</v>
      </c>
      <c r="B25" s="9">
        <v>0</v>
      </c>
      <c r="C25" s="9">
        <v>0</v>
      </c>
      <c r="D25" s="9">
        <v>0</v>
      </c>
      <c r="E25" s="9">
        <v>0</v>
      </c>
      <c r="F25" s="98">
        <v>327</v>
      </c>
      <c r="G25" s="18">
        <v>352</v>
      </c>
      <c r="H25" s="9">
        <v>21</v>
      </c>
      <c r="I25" s="9">
        <v>0</v>
      </c>
      <c r="J25" s="9">
        <v>0</v>
      </c>
      <c r="K25" s="9">
        <v>0</v>
      </c>
      <c r="L25" s="9">
        <v>0</v>
      </c>
      <c r="M25" s="9">
        <v>403</v>
      </c>
      <c r="N25" s="9">
        <v>352</v>
      </c>
      <c r="O25" s="9">
        <v>449</v>
      </c>
      <c r="P25" s="9">
        <v>7</v>
      </c>
      <c r="Q25" s="9">
        <v>0</v>
      </c>
      <c r="R25" s="9">
        <v>0</v>
      </c>
    </row>
    <row r="26" spans="1:18">
      <c r="A26" s="5">
        <v>1233384</v>
      </c>
      <c r="B26" s="9">
        <v>0</v>
      </c>
      <c r="C26" s="9">
        <v>0</v>
      </c>
      <c r="D26" s="9">
        <v>0</v>
      </c>
      <c r="E26" s="9">
        <v>0</v>
      </c>
      <c r="F26" s="98">
        <v>327</v>
      </c>
      <c r="G26" s="18">
        <v>352</v>
      </c>
      <c r="H26" s="9">
        <v>21</v>
      </c>
      <c r="I26" s="9">
        <v>0</v>
      </c>
      <c r="J26" s="9">
        <v>0</v>
      </c>
      <c r="K26" s="9">
        <v>0</v>
      </c>
      <c r="L26" s="9">
        <v>0</v>
      </c>
      <c r="M26" s="9">
        <v>403</v>
      </c>
      <c r="N26" s="9">
        <v>352</v>
      </c>
      <c r="O26" s="9">
        <v>449</v>
      </c>
      <c r="P26" s="9">
        <v>7</v>
      </c>
      <c r="Q26" s="9">
        <v>0</v>
      </c>
      <c r="R26" s="9">
        <v>0</v>
      </c>
    </row>
    <row r="27" spans="1:18">
      <c r="A27" s="5">
        <v>1233165</v>
      </c>
      <c r="B27" s="9">
        <v>0</v>
      </c>
      <c r="C27" s="9">
        <v>0</v>
      </c>
      <c r="D27" s="9">
        <v>0</v>
      </c>
      <c r="E27" s="9">
        <v>0</v>
      </c>
      <c r="F27" s="98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250</v>
      </c>
      <c r="Q27" s="9">
        <v>0</v>
      </c>
      <c r="R27" s="9">
        <v>0</v>
      </c>
    </row>
    <row r="28" spans="1:18">
      <c r="A28" s="5">
        <v>1236387</v>
      </c>
      <c r="B28" s="9">
        <v>0</v>
      </c>
      <c r="C28" s="9">
        <v>0</v>
      </c>
      <c r="D28" s="9">
        <v>0</v>
      </c>
      <c r="E28" s="9">
        <v>0</v>
      </c>
      <c r="F28" s="98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411</v>
      </c>
      <c r="M28" s="9">
        <v>325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>
      <c r="A29" s="5">
        <v>1232775</v>
      </c>
      <c r="B29" s="9">
        <v>14</v>
      </c>
      <c r="C29" s="9">
        <v>0</v>
      </c>
      <c r="D29" s="9">
        <v>0</v>
      </c>
      <c r="E29" s="9">
        <v>0</v>
      </c>
      <c r="F29" s="98">
        <v>288</v>
      </c>
      <c r="G29" s="18">
        <v>243</v>
      </c>
      <c r="H29" s="9">
        <v>309</v>
      </c>
      <c r="I29" s="9">
        <v>309</v>
      </c>
      <c r="J29" s="9">
        <v>0</v>
      </c>
      <c r="K29" s="9">
        <v>0</v>
      </c>
      <c r="L29" s="9">
        <v>298</v>
      </c>
      <c r="M29" s="9">
        <v>8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</row>
    <row r="30" spans="1:18">
      <c r="A30" s="5">
        <v>1238605</v>
      </c>
      <c r="B30" s="9">
        <v>189</v>
      </c>
      <c r="C30" s="9">
        <v>0</v>
      </c>
      <c r="D30" s="9">
        <v>0</v>
      </c>
      <c r="E30" s="9">
        <v>238</v>
      </c>
      <c r="F30" s="98">
        <v>6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42</v>
      </c>
      <c r="N30" s="9">
        <v>187</v>
      </c>
      <c r="O30" s="9">
        <v>182</v>
      </c>
      <c r="P30" s="9">
        <v>4</v>
      </c>
      <c r="Q30" s="9">
        <v>0</v>
      </c>
      <c r="R30" s="9">
        <v>0</v>
      </c>
    </row>
    <row r="34" spans="1:18">
      <c r="A34" s="74" t="s">
        <v>0</v>
      </c>
      <c r="B34" s="69" t="s">
        <v>742</v>
      </c>
      <c r="C34" s="69" t="s">
        <v>743</v>
      </c>
      <c r="D34" s="70" t="s">
        <v>744</v>
      </c>
      <c r="E34" s="69" t="s">
        <v>747</v>
      </c>
      <c r="F34" s="69" t="s">
        <v>748</v>
      </c>
      <c r="G34" s="69" t="s">
        <v>749</v>
      </c>
      <c r="H34" s="69" t="s">
        <v>750</v>
      </c>
      <c r="I34" s="69" t="s">
        <v>751</v>
      </c>
      <c r="J34" s="69" t="s">
        <v>752</v>
      </c>
      <c r="K34" s="70" t="s">
        <v>753</v>
      </c>
      <c r="L34" s="69" t="s">
        <v>757</v>
      </c>
      <c r="M34" s="69" t="s">
        <v>758</v>
      </c>
      <c r="N34" s="69" t="s">
        <v>759</v>
      </c>
      <c r="O34" s="69" t="s">
        <v>760</v>
      </c>
      <c r="P34" s="69" t="s">
        <v>761</v>
      </c>
      <c r="Q34" s="69" t="s">
        <v>762</v>
      </c>
      <c r="R34" s="70" t="s">
        <v>763</v>
      </c>
    </row>
    <row r="35" spans="1:18">
      <c r="A35" s="30">
        <v>1230692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100</v>
      </c>
      <c r="P35" s="32">
        <v>0</v>
      </c>
      <c r="Q35" s="32">
        <v>0</v>
      </c>
      <c r="R35" s="32">
        <v>0</v>
      </c>
    </row>
    <row r="36" spans="1:18">
      <c r="A36" s="30">
        <v>1221967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17">
        <v>176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</row>
    <row r="37" spans="1:18">
      <c r="A37" s="30">
        <v>1227306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150</v>
      </c>
      <c r="M37" s="32">
        <v>500</v>
      </c>
      <c r="N37" s="32">
        <v>600</v>
      </c>
      <c r="O37" s="32">
        <v>0</v>
      </c>
      <c r="P37" s="32">
        <v>0</v>
      </c>
      <c r="Q37" s="32">
        <v>0</v>
      </c>
      <c r="R37" s="32">
        <v>0</v>
      </c>
    </row>
    <row r="38" spans="1:18">
      <c r="A38" s="30">
        <v>1229088</v>
      </c>
      <c r="B38" s="32">
        <v>0</v>
      </c>
      <c r="C38" s="32">
        <v>0</v>
      </c>
      <c r="D38" s="32">
        <v>0</v>
      </c>
      <c r="E38" s="32">
        <v>0</v>
      </c>
      <c r="F38" s="75">
        <v>490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</row>
    <row r="39" spans="1:18">
      <c r="A39" s="30">
        <v>1231090</v>
      </c>
      <c r="B39" s="32">
        <v>0</v>
      </c>
      <c r="C39" s="32">
        <v>0</v>
      </c>
      <c r="D39" s="32">
        <v>0</v>
      </c>
      <c r="E39" s="32">
        <v>0</v>
      </c>
      <c r="F39" s="75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200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</row>
    <row r="40" spans="1:18">
      <c r="A40" s="30">
        <v>1229776</v>
      </c>
      <c r="B40" s="32">
        <v>0</v>
      </c>
      <c r="C40" s="32">
        <v>0</v>
      </c>
      <c r="D40" s="32">
        <v>0</v>
      </c>
      <c r="E40" s="32">
        <v>0</v>
      </c>
      <c r="F40" s="75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200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</row>
    <row r="41" spans="1:18">
      <c r="A41" s="30">
        <v>1231797</v>
      </c>
      <c r="B41" s="32">
        <v>0</v>
      </c>
      <c r="C41" s="32">
        <v>0</v>
      </c>
      <c r="D41" s="32">
        <v>0</v>
      </c>
      <c r="E41" s="32">
        <v>0</v>
      </c>
      <c r="F41" s="75">
        <v>113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</row>
    <row r="42" spans="1:18">
      <c r="A42" s="30">
        <v>1225464</v>
      </c>
      <c r="B42" s="32">
        <v>0</v>
      </c>
      <c r="C42" s="32">
        <v>0</v>
      </c>
      <c r="D42" s="32">
        <v>0</v>
      </c>
      <c r="E42" s="32">
        <v>0</v>
      </c>
      <c r="F42" s="75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28</v>
      </c>
      <c r="Q42" s="32">
        <v>0</v>
      </c>
      <c r="R42" s="32">
        <v>0</v>
      </c>
    </row>
    <row r="43" spans="1:18">
      <c r="A43" s="30">
        <v>1234222</v>
      </c>
      <c r="B43" s="32">
        <v>0</v>
      </c>
      <c r="C43" s="32">
        <v>0</v>
      </c>
      <c r="D43" s="32">
        <v>0</v>
      </c>
      <c r="E43" s="32">
        <v>0</v>
      </c>
      <c r="F43" s="75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220</v>
      </c>
      <c r="N43" s="32">
        <v>258</v>
      </c>
      <c r="O43" s="32">
        <v>0</v>
      </c>
      <c r="P43" s="32">
        <v>0</v>
      </c>
      <c r="Q43" s="32">
        <v>0</v>
      </c>
      <c r="R43" s="32">
        <v>0</v>
      </c>
    </row>
    <row r="44" spans="1:18">
      <c r="A44" s="30">
        <v>1232528</v>
      </c>
      <c r="B44" s="32">
        <v>0</v>
      </c>
      <c r="C44" s="32">
        <v>0</v>
      </c>
      <c r="D44" s="32">
        <v>0</v>
      </c>
      <c r="E44" s="32">
        <v>161</v>
      </c>
      <c r="F44" s="75">
        <v>686</v>
      </c>
      <c r="G44" s="17">
        <v>539</v>
      </c>
      <c r="H44" s="32">
        <v>651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147</v>
      </c>
      <c r="Q44" s="32">
        <v>0</v>
      </c>
      <c r="R44" s="32">
        <v>0</v>
      </c>
    </row>
    <row r="45" spans="1:18">
      <c r="A45" s="30">
        <v>1233587</v>
      </c>
      <c r="B45" s="32">
        <v>0</v>
      </c>
      <c r="C45" s="32">
        <v>0</v>
      </c>
      <c r="D45" s="32">
        <v>0</v>
      </c>
      <c r="E45" s="32">
        <v>0</v>
      </c>
      <c r="F45" s="75">
        <v>0</v>
      </c>
      <c r="G45" s="113">
        <v>10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</row>
    <row r="46" spans="1:18">
      <c r="A46" s="30">
        <v>1232846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34</v>
      </c>
      <c r="I46" s="32">
        <v>142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</row>
    <row r="47" spans="1:18">
      <c r="A47" s="30">
        <v>1232693</v>
      </c>
      <c r="B47" s="32">
        <v>0</v>
      </c>
      <c r="C47" s="32">
        <v>0</v>
      </c>
      <c r="D47" s="32">
        <v>0</v>
      </c>
      <c r="E47" s="75">
        <v>54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</row>
    <row r="48" spans="1:18">
      <c r="A48" s="30">
        <v>1233025</v>
      </c>
      <c r="B48" s="32">
        <v>0</v>
      </c>
      <c r="C48" s="32">
        <v>0</v>
      </c>
      <c r="D48" s="32">
        <v>0</v>
      </c>
      <c r="E48" s="75">
        <v>54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</row>
    <row r="49" spans="1:18">
      <c r="A49" s="30">
        <v>1233383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113</v>
      </c>
      <c r="P49" s="32">
        <v>0</v>
      </c>
      <c r="Q49" s="32">
        <v>0</v>
      </c>
      <c r="R49" s="32">
        <v>0</v>
      </c>
    </row>
    <row r="50" spans="1:18">
      <c r="A50" s="30">
        <v>1220847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126</v>
      </c>
      <c r="Q50" s="32">
        <v>0</v>
      </c>
      <c r="R50" s="32">
        <v>0</v>
      </c>
    </row>
    <row r="51" spans="1:18">
      <c r="A51" s="30">
        <v>1233735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90</v>
      </c>
      <c r="P51" s="32">
        <v>0</v>
      </c>
      <c r="Q51" s="32">
        <v>0</v>
      </c>
      <c r="R51" s="32">
        <v>0</v>
      </c>
    </row>
    <row r="52" spans="1:18">
      <c r="A52" s="30">
        <v>1234034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40</v>
      </c>
      <c r="P52" s="32">
        <v>0</v>
      </c>
      <c r="Q52" s="32">
        <v>0</v>
      </c>
      <c r="R52" s="32">
        <v>0</v>
      </c>
    </row>
    <row r="53" spans="1:18">
      <c r="A53" s="30">
        <v>1221254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130</v>
      </c>
      <c r="N53" s="32">
        <v>0</v>
      </c>
      <c r="O53" s="32">
        <v>20</v>
      </c>
      <c r="P53" s="32">
        <v>0</v>
      </c>
      <c r="Q53" s="32">
        <v>0</v>
      </c>
      <c r="R53" s="32">
        <v>0</v>
      </c>
    </row>
    <row r="54" spans="1:18">
      <c r="A54" s="30">
        <v>1234217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220</v>
      </c>
      <c r="O54" s="32">
        <v>0</v>
      </c>
      <c r="P54" s="32">
        <v>0</v>
      </c>
      <c r="Q54" s="32">
        <v>0</v>
      </c>
      <c r="R54" s="32">
        <v>0</v>
      </c>
    </row>
    <row r="55" spans="1:18">
      <c r="A55" s="30">
        <v>1234111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220</v>
      </c>
      <c r="O55" s="32">
        <v>0</v>
      </c>
      <c r="P55" s="32">
        <v>0</v>
      </c>
      <c r="Q55" s="32">
        <v>0</v>
      </c>
      <c r="R55" s="32">
        <v>0</v>
      </c>
    </row>
    <row r="56" spans="1:18">
      <c r="A56" s="30">
        <v>1234110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220</v>
      </c>
      <c r="O56" s="32">
        <v>0</v>
      </c>
      <c r="P56" s="32">
        <v>0</v>
      </c>
      <c r="Q56" s="32">
        <v>0</v>
      </c>
      <c r="R56" s="32">
        <v>0</v>
      </c>
    </row>
    <row r="57" spans="1:18">
      <c r="A57" s="30">
        <v>1235097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200</v>
      </c>
      <c r="P57" s="32">
        <v>350</v>
      </c>
      <c r="Q57" s="32">
        <v>0</v>
      </c>
      <c r="R57" s="32">
        <v>0</v>
      </c>
    </row>
    <row r="58" spans="1:18">
      <c r="A58" s="30">
        <v>1236600</v>
      </c>
      <c r="B58" s="32">
        <v>419</v>
      </c>
      <c r="C58" s="32">
        <v>0</v>
      </c>
      <c r="D58" s="32">
        <v>0</v>
      </c>
      <c r="E58" s="75">
        <v>40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</row>
    <row r="59" spans="1:18">
      <c r="A59" s="30">
        <v>1236601</v>
      </c>
      <c r="B59" s="32">
        <v>0</v>
      </c>
      <c r="C59" s="32">
        <v>0</v>
      </c>
      <c r="D59" s="32">
        <v>0</v>
      </c>
      <c r="E59" s="75">
        <v>74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</row>
    <row r="60" spans="1:18">
      <c r="A60" s="30">
        <v>1236619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10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</row>
    <row r="61" spans="1:18">
      <c r="A61" s="30">
        <v>1236930</v>
      </c>
      <c r="B61" s="32">
        <v>45</v>
      </c>
      <c r="C61" s="32">
        <v>0</v>
      </c>
      <c r="D61" s="32">
        <v>0</v>
      </c>
      <c r="E61" s="75">
        <v>116</v>
      </c>
      <c r="F61" s="75">
        <v>0</v>
      </c>
      <c r="G61" s="75">
        <v>264</v>
      </c>
      <c r="H61" s="32">
        <v>339</v>
      </c>
      <c r="I61" s="17">
        <v>339</v>
      </c>
      <c r="J61" s="32">
        <v>0</v>
      </c>
      <c r="K61" s="32">
        <v>0</v>
      </c>
      <c r="L61" s="32">
        <v>150</v>
      </c>
      <c r="M61" s="32">
        <v>350</v>
      </c>
      <c r="N61" s="32">
        <v>350</v>
      </c>
      <c r="O61" s="32">
        <v>350</v>
      </c>
      <c r="P61" s="32">
        <v>0</v>
      </c>
      <c r="Q61" s="32">
        <v>0</v>
      </c>
      <c r="R61" s="32">
        <v>0</v>
      </c>
    </row>
    <row r="62" spans="1:18">
      <c r="A62" s="30">
        <v>1237468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17">
        <v>87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</row>
    <row r="63" spans="1:18">
      <c r="A63" s="30">
        <v>1237457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10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</row>
    <row r="64" spans="1:18">
      <c r="A64" s="30">
        <v>1234905</v>
      </c>
      <c r="B64" s="32">
        <v>383</v>
      </c>
      <c r="C64" s="32">
        <v>0</v>
      </c>
      <c r="D64" s="32">
        <v>0</v>
      </c>
      <c r="E64" s="32">
        <v>487</v>
      </c>
      <c r="F64" s="32">
        <v>487</v>
      </c>
      <c r="G64" s="32">
        <v>383</v>
      </c>
      <c r="H64" s="32">
        <v>40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700</v>
      </c>
      <c r="O64" s="32">
        <v>0</v>
      </c>
      <c r="P64" s="32">
        <v>0</v>
      </c>
      <c r="Q64" s="32">
        <v>0</v>
      </c>
      <c r="R64" s="32">
        <v>0</v>
      </c>
    </row>
    <row r="65" spans="1:18">
      <c r="A65" s="30">
        <v>1238480</v>
      </c>
      <c r="B65" s="32">
        <v>685</v>
      </c>
      <c r="C65" s="32">
        <v>0</v>
      </c>
      <c r="D65" s="32">
        <v>0</v>
      </c>
      <c r="E65" s="32">
        <v>1082</v>
      </c>
      <c r="F65" s="32">
        <v>872</v>
      </c>
      <c r="G65" s="17">
        <v>914</v>
      </c>
      <c r="H65" s="32">
        <v>1303</v>
      </c>
      <c r="I65" s="32">
        <v>1269</v>
      </c>
      <c r="J65" s="32">
        <v>0</v>
      </c>
      <c r="K65" s="32">
        <v>0</v>
      </c>
      <c r="L65" s="32">
        <v>1308</v>
      </c>
      <c r="M65" s="32">
        <v>1107</v>
      </c>
      <c r="N65" s="32">
        <v>793</v>
      </c>
      <c r="O65" s="32">
        <v>1606</v>
      </c>
      <c r="P65" s="32">
        <v>1300</v>
      </c>
      <c r="Q65" s="32">
        <v>0</v>
      </c>
      <c r="R65" s="32">
        <v>0</v>
      </c>
    </row>
    <row r="66" spans="1:18">
      <c r="A66" s="30">
        <v>1238453</v>
      </c>
      <c r="B66" s="32">
        <v>0</v>
      </c>
      <c r="C66" s="32">
        <v>0</v>
      </c>
      <c r="D66" s="32">
        <v>0</v>
      </c>
      <c r="E66" s="32">
        <v>0</v>
      </c>
      <c r="F66" s="32">
        <v>330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387</v>
      </c>
      <c r="Q66" s="32">
        <v>0</v>
      </c>
      <c r="R66" s="32">
        <v>0</v>
      </c>
    </row>
    <row r="67" spans="1:18">
      <c r="A67" s="30">
        <v>1232775</v>
      </c>
      <c r="B67" s="32">
        <v>216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</row>
    <row r="68" spans="1:18">
      <c r="A68" s="30">
        <v>1240029</v>
      </c>
      <c r="B68" s="32">
        <v>0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600</v>
      </c>
      <c r="M68" s="32">
        <v>300</v>
      </c>
      <c r="N68" s="32">
        <v>200</v>
      </c>
      <c r="O68" s="32">
        <v>0</v>
      </c>
      <c r="P68" s="32">
        <v>0</v>
      </c>
      <c r="Q68" s="32">
        <v>0</v>
      </c>
      <c r="R68" s="32">
        <v>0</v>
      </c>
    </row>
    <row r="69" spans="1:18">
      <c r="A69" s="30">
        <v>1240032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600</v>
      </c>
      <c r="M69" s="32">
        <v>300</v>
      </c>
      <c r="N69" s="32">
        <v>200</v>
      </c>
      <c r="O69" s="32">
        <v>0</v>
      </c>
      <c r="P69" s="32">
        <v>0</v>
      </c>
      <c r="Q69" s="32">
        <v>0</v>
      </c>
      <c r="R69" s="32">
        <v>0</v>
      </c>
    </row>
    <row r="70" spans="1:18">
      <c r="A70" s="30">
        <v>1240180</v>
      </c>
      <c r="B70" s="32">
        <v>114</v>
      </c>
      <c r="C70" s="32">
        <v>0</v>
      </c>
      <c r="D70" s="32">
        <v>0</v>
      </c>
      <c r="E70" s="32">
        <v>166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</row>
    <row r="71" spans="1:18">
      <c r="A71" s="30">
        <v>1240184</v>
      </c>
      <c r="B71" s="32">
        <v>114</v>
      </c>
      <c r="C71" s="32">
        <v>0</v>
      </c>
      <c r="D71" s="32">
        <v>0</v>
      </c>
      <c r="E71" s="32">
        <v>166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</row>
    <row r="72" spans="1:18">
      <c r="A72" s="30">
        <v>1216452</v>
      </c>
      <c r="B72" s="32">
        <v>387</v>
      </c>
      <c r="C72" s="32">
        <v>0</v>
      </c>
      <c r="D72" s="32">
        <v>0</v>
      </c>
      <c r="E72" s="32">
        <v>0</v>
      </c>
      <c r="F72" s="17">
        <v>18</v>
      </c>
      <c r="G72" s="32">
        <v>173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</row>
    <row r="73" spans="1:18">
      <c r="A73" s="30">
        <v>1230791</v>
      </c>
      <c r="B73" s="32">
        <v>275</v>
      </c>
      <c r="C73" s="32">
        <v>0</v>
      </c>
      <c r="D73" s="32">
        <v>0</v>
      </c>
      <c r="E73" s="32">
        <v>625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</row>
    <row r="74" spans="1:18">
      <c r="A74" s="30">
        <v>1231011</v>
      </c>
      <c r="B74" s="32">
        <v>0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310</v>
      </c>
      <c r="O74" s="32">
        <v>0</v>
      </c>
      <c r="P74" s="32">
        <v>0</v>
      </c>
      <c r="Q74" s="32">
        <v>0</v>
      </c>
      <c r="R74" s="32">
        <v>0</v>
      </c>
    </row>
    <row r="75" spans="1:18">
      <c r="A75" s="30">
        <v>1232895</v>
      </c>
      <c r="B75" s="32">
        <v>0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34</v>
      </c>
      <c r="I75" s="32">
        <v>142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</row>
    <row r="76" spans="1:18">
      <c r="A76" s="30">
        <v>1232922</v>
      </c>
      <c r="B76" s="32">
        <v>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34</v>
      </c>
      <c r="I76" s="32">
        <v>142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</row>
    <row r="77" spans="1:18">
      <c r="A77" s="30">
        <v>1233580</v>
      </c>
      <c r="B77" s="32">
        <v>0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130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</row>
  </sheetData>
  <autoFilter ref="A1:R18" xr:uid="{D6D323C6-66B8-4090-8C39-F0F7F31D900E}"/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B81C-FB6A-4C82-B6F2-F47DDB952C56}">
  <dimension ref="A1:O77"/>
  <sheetViews>
    <sheetView zoomScale="130" zoomScaleNormal="130" workbookViewId="0">
      <selection activeCell="A28" sqref="A28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4" width="9.5" style="9" customWidth="1"/>
    <col min="15" max="15" width="9.5" style="9" bestFit="1" customWidth="1"/>
    <col min="16" max="16384" width="9.33203125" style="5"/>
  </cols>
  <sheetData>
    <row r="1" spans="1:15">
      <c r="A1" s="5" t="s">
        <v>0</v>
      </c>
      <c r="B1" s="9" t="s">
        <v>747</v>
      </c>
      <c r="C1" s="9" t="s">
        <v>748</v>
      </c>
      <c r="D1" s="9" t="s">
        <v>749</v>
      </c>
      <c r="E1" s="9" t="s">
        <v>750</v>
      </c>
      <c r="F1" s="9" t="s">
        <v>751</v>
      </c>
      <c r="G1" s="9" t="s">
        <v>752</v>
      </c>
      <c r="H1" s="9" t="s">
        <v>753</v>
      </c>
      <c r="I1" s="9" t="s">
        <v>757</v>
      </c>
      <c r="J1" s="9" t="s">
        <v>758</v>
      </c>
      <c r="K1" s="9" t="s">
        <v>759</v>
      </c>
      <c r="L1" s="9" t="s">
        <v>760</v>
      </c>
      <c r="M1" s="9" t="s">
        <v>761</v>
      </c>
      <c r="N1" s="9" t="s">
        <v>762</v>
      </c>
      <c r="O1" s="9" t="s">
        <v>763</v>
      </c>
    </row>
    <row r="2" spans="1:15">
      <c r="A2" s="5">
        <v>1221154</v>
      </c>
      <c r="B2" s="9">
        <v>0</v>
      </c>
      <c r="C2" s="9">
        <v>0</v>
      </c>
      <c r="D2" s="9">
        <v>50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5">
      <c r="A3" s="5">
        <v>1234614</v>
      </c>
      <c r="B3" s="9">
        <v>0</v>
      </c>
      <c r="C3" s="9">
        <v>0</v>
      </c>
      <c r="D3" s="9">
        <v>352</v>
      </c>
      <c r="E3" s="18">
        <v>50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354</v>
      </c>
      <c r="L3" s="9">
        <v>516</v>
      </c>
      <c r="M3" s="9">
        <v>0</v>
      </c>
      <c r="N3" s="9">
        <v>0</v>
      </c>
      <c r="O3" s="9">
        <v>0</v>
      </c>
    </row>
    <row r="4" spans="1:15">
      <c r="A4" s="5">
        <v>1226384</v>
      </c>
      <c r="B4" s="9">
        <v>360</v>
      </c>
      <c r="C4" s="9">
        <v>100</v>
      </c>
      <c r="D4" s="9">
        <v>400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</row>
    <row r="5" spans="1:15">
      <c r="A5" s="5">
        <v>1226388</v>
      </c>
      <c r="B5" s="9">
        <v>360</v>
      </c>
      <c r="C5" s="9">
        <v>100</v>
      </c>
      <c r="D5" s="9">
        <v>400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>
      <c r="A6" s="5">
        <v>1229673</v>
      </c>
      <c r="B6" s="9">
        <v>250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400</v>
      </c>
      <c r="J6" s="9">
        <v>400</v>
      </c>
      <c r="K6" s="9">
        <v>400</v>
      </c>
      <c r="L6" s="9">
        <v>400</v>
      </c>
      <c r="M6" s="9">
        <v>400</v>
      </c>
      <c r="N6" s="9">
        <v>0</v>
      </c>
      <c r="O6" s="9">
        <v>0</v>
      </c>
    </row>
    <row r="7" spans="1:15">
      <c r="A7" s="5">
        <v>1230854</v>
      </c>
      <c r="B7" s="9">
        <v>200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>
      <c r="A8" s="5">
        <v>1233632</v>
      </c>
      <c r="B8" s="9">
        <v>406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</row>
    <row r="9" spans="1:15">
      <c r="A9" s="5">
        <v>1237088</v>
      </c>
      <c r="B9" s="9">
        <v>1276</v>
      </c>
      <c r="C9" s="9">
        <v>1106</v>
      </c>
      <c r="D9" s="9">
        <v>1206</v>
      </c>
      <c r="E9" s="18">
        <v>1142</v>
      </c>
      <c r="F9" s="9">
        <v>1656</v>
      </c>
      <c r="G9" s="9">
        <v>0</v>
      </c>
      <c r="H9" s="9">
        <v>0</v>
      </c>
      <c r="I9" s="9">
        <v>1308</v>
      </c>
      <c r="J9" s="9">
        <v>564</v>
      </c>
      <c r="K9" s="9">
        <v>770</v>
      </c>
      <c r="L9" s="9">
        <v>350</v>
      </c>
      <c r="M9" s="9">
        <v>1043</v>
      </c>
      <c r="N9" s="9">
        <v>0</v>
      </c>
      <c r="O9" s="9">
        <v>0</v>
      </c>
    </row>
    <row r="10" spans="1:15">
      <c r="A10" s="5">
        <v>1236091</v>
      </c>
      <c r="B10" s="9">
        <v>0</v>
      </c>
      <c r="C10" s="9">
        <v>0</v>
      </c>
      <c r="D10" s="9">
        <v>200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</row>
    <row r="11" spans="1:15">
      <c r="A11" s="5">
        <v>1238128</v>
      </c>
      <c r="B11" s="9">
        <v>480</v>
      </c>
      <c r="C11" s="9">
        <v>480</v>
      </c>
      <c r="D11" s="9">
        <v>378</v>
      </c>
      <c r="E11" s="18">
        <v>912</v>
      </c>
      <c r="F11" s="9">
        <v>960</v>
      </c>
      <c r="G11" s="9">
        <v>0</v>
      </c>
      <c r="H11" s="9">
        <v>0</v>
      </c>
      <c r="I11" s="9">
        <v>546</v>
      </c>
      <c r="J11" s="9">
        <v>480</v>
      </c>
      <c r="K11" s="9">
        <v>378</v>
      </c>
      <c r="L11" s="9">
        <v>480</v>
      </c>
      <c r="M11" s="9">
        <v>378</v>
      </c>
      <c r="N11" s="9">
        <v>0</v>
      </c>
      <c r="O11" s="9">
        <v>0</v>
      </c>
    </row>
    <row r="12" spans="1:15">
      <c r="A12" s="5">
        <v>1236962</v>
      </c>
      <c r="B12" s="9">
        <v>250</v>
      </c>
      <c r="C12" s="9">
        <v>250</v>
      </c>
      <c r="D12" s="9">
        <v>0</v>
      </c>
      <c r="E12" s="18">
        <v>250</v>
      </c>
      <c r="F12" s="9">
        <v>250</v>
      </c>
      <c r="G12" s="9">
        <v>0</v>
      </c>
      <c r="H12" s="9">
        <v>0</v>
      </c>
      <c r="I12" s="9">
        <v>200</v>
      </c>
      <c r="J12" s="9">
        <v>400</v>
      </c>
      <c r="K12" s="9">
        <v>200</v>
      </c>
      <c r="L12" s="9">
        <v>200</v>
      </c>
      <c r="M12" s="9">
        <v>300</v>
      </c>
      <c r="N12" s="9">
        <v>0</v>
      </c>
      <c r="O12" s="9">
        <v>0</v>
      </c>
    </row>
    <row r="13" spans="1:15">
      <c r="A13" s="5">
        <v>1233761</v>
      </c>
      <c r="B13" s="9">
        <v>0</v>
      </c>
      <c r="C13" s="9">
        <v>0</v>
      </c>
      <c r="D13" s="9">
        <v>0</v>
      </c>
      <c r="E13" s="18">
        <v>250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150</v>
      </c>
      <c r="M13" s="9">
        <v>0</v>
      </c>
      <c r="N13" s="9">
        <v>0</v>
      </c>
      <c r="O13" s="9">
        <v>0</v>
      </c>
    </row>
    <row r="14" spans="1:15">
      <c r="A14" s="5">
        <v>1239651</v>
      </c>
      <c r="B14" s="9">
        <v>0</v>
      </c>
      <c r="C14" s="9">
        <v>250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205</v>
      </c>
      <c r="J14" s="9">
        <v>0</v>
      </c>
      <c r="K14" s="9">
        <v>0</v>
      </c>
      <c r="L14" s="9">
        <v>300</v>
      </c>
      <c r="M14" s="9">
        <v>0</v>
      </c>
      <c r="N14" s="9">
        <v>0</v>
      </c>
      <c r="O14" s="9">
        <v>0</v>
      </c>
    </row>
    <row r="15" spans="1:15">
      <c r="A15" s="5">
        <v>1239988</v>
      </c>
      <c r="B15" s="9">
        <v>454</v>
      </c>
      <c r="C15" s="9">
        <v>454</v>
      </c>
      <c r="D15" s="9">
        <v>356</v>
      </c>
      <c r="E15" s="18">
        <v>454</v>
      </c>
      <c r="F15" s="9">
        <v>454</v>
      </c>
      <c r="G15" s="9">
        <v>0</v>
      </c>
      <c r="H15" s="9">
        <v>0</v>
      </c>
      <c r="I15" s="9">
        <v>454</v>
      </c>
      <c r="J15" s="9">
        <v>454</v>
      </c>
      <c r="K15" s="9">
        <v>356</v>
      </c>
      <c r="L15" s="9">
        <v>502</v>
      </c>
      <c r="M15" s="9">
        <v>356</v>
      </c>
      <c r="N15" s="9">
        <v>0</v>
      </c>
      <c r="O15" s="9">
        <v>0</v>
      </c>
    </row>
    <row r="16" spans="1:15">
      <c r="A16" s="5">
        <v>1240180</v>
      </c>
      <c r="B16" s="9">
        <v>0</v>
      </c>
      <c r="C16" s="9">
        <v>390</v>
      </c>
      <c r="D16" s="9">
        <v>280</v>
      </c>
      <c r="E16" s="18">
        <v>358</v>
      </c>
      <c r="F16" s="9">
        <v>358</v>
      </c>
      <c r="G16" s="9">
        <v>0</v>
      </c>
      <c r="H16" s="9">
        <v>0</v>
      </c>
      <c r="I16" s="9">
        <v>358</v>
      </c>
      <c r="J16" s="9">
        <v>390</v>
      </c>
      <c r="K16" s="9">
        <v>306</v>
      </c>
      <c r="L16" s="9">
        <v>358</v>
      </c>
      <c r="M16" s="9">
        <v>280</v>
      </c>
      <c r="N16" s="9">
        <v>0</v>
      </c>
      <c r="O16" s="9">
        <v>0</v>
      </c>
    </row>
    <row r="17" spans="1:15">
      <c r="A17" s="5">
        <v>1240184</v>
      </c>
      <c r="B17" s="9">
        <v>0</v>
      </c>
      <c r="C17" s="9">
        <v>390</v>
      </c>
      <c r="D17" s="9">
        <v>280</v>
      </c>
      <c r="E17" s="18">
        <v>358</v>
      </c>
      <c r="F17" s="9">
        <v>358</v>
      </c>
      <c r="G17" s="9">
        <v>0</v>
      </c>
      <c r="H17" s="9">
        <v>0</v>
      </c>
      <c r="I17" s="9">
        <v>358</v>
      </c>
      <c r="J17" s="9">
        <v>390</v>
      </c>
      <c r="K17" s="9">
        <v>306</v>
      </c>
      <c r="L17" s="9">
        <v>358</v>
      </c>
      <c r="M17" s="9">
        <v>180</v>
      </c>
      <c r="N17" s="9">
        <v>0</v>
      </c>
      <c r="O17" s="9">
        <v>0</v>
      </c>
    </row>
    <row r="18" spans="1:15">
      <c r="A18" s="5">
        <v>1240308</v>
      </c>
      <c r="B18" s="9">
        <v>0</v>
      </c>
      <c r="C18" s="9">
        <v>200</v>
      </c>
      <c r="D18" s="9">
        <v>0</v>
      </c>
      <c r="E18" s="18">
        <v>350</v>
      </c>
      <c r="F18" s="9">
        <v>200</v>
      </c>
      <c r="G18" s="9">
        <v>0</v>
      </c>
      <c r="H18" s="9">
        <v>0</v>
      </c>
      <c r="I18" s="9">
        <v>0</v>
      </c>
      <c r="J18" s="9">
        <v>450</v>
      </c>
      <c r="K18" s="9">
        <v>300</v>
      </c>
      <c r="L18" s="9">
        <v>0</v>
      </c>
      <c r="M18" s="9">
        <v>0</v>
      </c>
      <c r="N18" s="9">
        <v>0</v>
      </c>
      <c r="O18" s="9">
        <v>0</v>
      </c>
    </row>
    <row r="22" spans="1:15">
      <c r="A22" s="5" t="s">
        <v>0</v>
      </c>
      <c r="B22" s="9" t="s">
        <v>747</v>
      </c>
      <c r="C22" s="9" t="s">
        <v>748</v>
      </c>
      <c r="D22" s="9" t="s">
        <v>749</v>
      </c>
      <c r="E22" s="9" t="s">
        <v>750</v>
      </c>
      <c r="F22" s="9" t="s">
        <v>751</v>
      </c>
      <c r="G22" s="9" t="s">
        <v>752</v>
      </c>
      <c r="H22" s="9" t="s">
        <v>753</v>
      </c>
      <c r="I22" s="9" t="s">
        <v>757</v>
      </c>
      <c r="J22" s="9" t="s">
        <v>758</v>
      </c>
      <c r="K22" s="9" t="s">
        <v>759</v>
      </c>
      <c r="L22" s="9" t="s">
        <v>760</v>
      </c>
      <c r="M22" s="9" t="s">
        <v>761</v>
      </c>
      <c r="N22" s="9" t="s">
        <v>762</v>
      </c>
      <c r="O22" s="9" t="s">
        <v>763</v>
      </c>
    </row>
    <row r="23" spans="1:15">
      <c r="A23" s="5">
        <v>1237608</v>
      </c>
      <c r="B23" s="9">
        <v>0</v>
      </c>
      <c r="C23" s="9">
        <v>350</v>
      </c>
      <c r="D23" s="9">
        <v>250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</row>
    <row r="24" spans="1:15">
      <c r="A24" s="5">
        <v>1232846</v>
      </c>
      <c r="B24" s="9">
        <v>0</v>
      </c>
      <c r="C24" s="9">
        <v>327</v>
      </c>
      <c r="D24" s="9">
        <v>352</v>
      </c>
      <c r="E24" s="18">
        <v>21</v>
      </c>
      <c r="F24" s="9">
        <v>0</v>
      </c>
      <c r="G24" s="9">
        <v>0</v>
      </c>
      <c r="H24" s="9">
        <v>0</v>
      </c>
      <c r="I24" s="9">
        <v>0</v>
      </c>
      <c r="J24" s="9">
        <v>403</v>
      </c>
      <c r="K24" s="9">
        <v>352</v>
      </c>
      <c r="L24" s="9">
        <v>449</v>
      </c>
      <c r="M24" s="9">
        <v>7</v>
      </c>
      <c r="N24" s="9">
        <v>0</v>
      </c>
      <c r="O24" s="9">
        <v>0</v>
      </c>
    </row>
    <row r="25" spans="1:15">
      <c r="A25" s="5">
        <v>1232895</v>
      </c>
      <c r="B25" s="9">
        <v>0</v>
      </c>
      <c r="C25" s="9">
        <v>327</v>
      </c>
      <c r="D25" s="9">
        <v>352</v>
      </c>
      <c r="E25" s="18">
        <v>21</v>
      </c>
      <c r="F25" s="9">
        <v>0</v>
      </c>
      <c r="G25" s="9">
        <v>0</v>
      </c>
      <c r="H25" s="9">
        <v>0</v>
      </c>
      <c r="I25" s="9">
        <v>0</v>
      </c>
      <c r="J25" s="9">
        <v>403</v>
      </c>
      <c r="K25" s="9">
        <v>352</v>
      </c>
      <c r="L25" s="9">
        <v>449</v>
      </c>
      <c r="M25" s="9">
        <v>7</v>
      </c>
      <c r="N25" s="9">
        <v>0</v>
      </c>
      <c r="O25" s="9">
        <v>0</v>
      </c>
    </row>
    <row r="26" spans="1:15">
      <c r="A26" s="5">
        <v>1233384</v>
      </c>
      <c r="B26" s="9">
        <v>0</v>
      </c>
      <c r="C26" s="9">
        <v>327</v>
      </c>
      <c r="D26" s="9">
        <v>352</v>
      </c>
      <c r="E26" s="18">
        <v>21</v>
      </c>
      <c r="F26" s="9">
        <v>0</v>
      </c>
      <c r="G26" s="9">
        <v>0</v>
      </c>
      <c r="H26" s="9">
        <v>0</v>
      </c>
      <c r="I26" s="9">
        <v>0</v>
      </c>
      <c r="J26" s="9">
        <v>403</v>
      </c>
      <c r="K26" s="9">
        <v>352</v>
      </c>
      <c r="L26" s="9">
        <v>449</v>
      </c>
      <c r="M26" s="9">
        <v>7</v>
      </c>
      <c r="N26" s="9">
        <v>0</v>
      </c>
      <c r="O26" s="9">
        <v>0</v>
      </c>
    </row>
    <row r="27" spans="1:15">
      <c r="A27" s="5">
        <v>1233165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250</v>
      </c>
      <c r="N27" s="9">
        <v>0</v>
      </c>
      <c r="O27" s="9">
        <v>0</v>
      </c>
    </row>
    <row r="28" spans="1:15">
      <c r="A28" s="5">
        <v>1236387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411</v>
      </c>
      <c r="J28" s="9">
        <v>325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5">
      <c r="A29" s="5">
        <v>1232775</v>
      </c>
      <c r="B29" s="9">
        <v>0</v>
      </c>
      <c r="C29" s="9">
        <v>288</v>
      </c>
      <c r="D29" s="9">
        <v>243</v>
      </c>
      <c r="E29" s="18">
        <v>309</v>
      </c>
      <c r="F29" s="18">
        <v>309</v>
      </c>
      <c r="G29" s="9">
        <v>0</v>
      </c>
      <c r="H29" s="9">
        <v>0</v>
      </c>
      <c r="I29" s="9">
        <v>298</v>
      </c>
      <c r="J29" s="9">
        <v>8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>
      <c r="A30" s="5">
        <v>1238605</v>
      </c>
      <c r="B30" s="9">
        <v>238</v>
      </c>
      <c r="C30" s="9">
        <v>6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42</v>
      </c>
      <c r="K30" s="9">
        <v>187</v>
      </c>
      <c r="L30" s="9">
        <v>182</v>
      </c>
      <c r="M30" s="9">
        <v>4</v>
      </c>
      <c r="N30" s="9">
        <v>0</v>
      </c>
      <c r="O30" s="9">
        <v>0</v>
      </c>
    </row>
    <row r="35" spans="1:15">
      <c r="A35" s="5" t="s">
        <v>0</v>
      </c>
      <c r="B35" s="9" t="s">
        <v>747</v>
      </c>
      <c r="C35" s="9" t="s">
        <v>748</v>
      </c>
      <c r="D35" s="9" t="s">
        <v>749</v>
      </c>
      <c r="E35" s="9" t="s">
        <v>750</v>
      </c>
      <c r="F35" s="9" t="s">
        <v>751</v>
      </c>
      <c r="G35" s="9" t="s">
        <v>752</v>
      </c>
      <c r="H35" s="9" t="s">
        <v>753</v>
      </c>
      <c r="I35" s="9" t="s">
        <v>757</v>
      </c>
      <c r="J35" s="9" t="s">
        <v>758</v>
      </c>
      <c r="K35" s="9" t="s">
        <v>759</v>
      </c>
      <c r="L35" s="9" t="s">
        <v>760</v>
      </c>
      <c r="M35" s="9" t="s">
        <v>761</v>
      </c>
      <c r="N35" s="9" t="s">
        <v>762</v>
      </c>
      <c r="O35" s="9" t="s">
        <v>763</v>
      </c>
    </row>
    <row r="36" spans="1:15">
      <c r="A36" s="5">
        <v>1230692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100</v>
      </c>
      <c r="M36" s="9">
        <v>0</v>
      </c>
      <c r="N36" s="9">
        <v>0</v>
      </c>
      <c r="O36" s="9">
        <v>0</v>
      </c>
    </row>
    <row r="37" spans="1:15">
      <c r="A37" s="5">
        <v>1221967</v>
      </c>
      <c r="B37" s="9">
        <v>0</v>
      </c>
      <c r="C37" s="9">
        <v>0</v>
      </c>
      <c r="D37" s="9">
        <v>176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>
      <c r="A38" s="5">
        <v>1227306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150</v>
      </c>
      <c r="J38" s="9">
        <v>500</v>
      </c>
      <c r="K38" s="9">
        <v>600</v>
      </c>
      <c r="L38" s="9">
        <v>0</v>
      </c>
      <c r="M38" s="9">
        <v>0</v>
      </c>
      <c r="N38" s="9">
        <v>0</v>
      </c>
      <c r="O38" s="9">
        <v>0</v>
      </c>
    </row>
    <row r="39" spans="1:15">
      <c r="A39" s="5">
        <v>1229088</v>
      </c>
      <c r="B39" s="9">
        <v>0</v>
      </c>
      <c r="C39" s="9">
        <v>490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>
      <c r="A40" s="5">
        <v>1231090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200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>
      <c r="A41" s="5">
        <v>1229776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200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>
      <c r="A42" s="5">
        <v>1231797</v>
      </c>
      <c r="B42" s="9">
        <v>0</v>
      </c>
      <c r="C42" s="9">
        <v>113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>
      <c r="A43" s="5">
        <v>1225464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28</v>
      </c>
      <c r="N43" s="9">
        <v>0</v>
      </c>
      <c r="O43" s="9">
        <v>0</v>
      </c>
    </row>
    <row r="44" spans="1:15">
      <c r="A44" s="5">
        <v>1234222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220</v>
      </c>
      <c r="K44" s="9">
        <v>258</v>
      </c>
      <c r="L44" s="9">
        <v>0</v>
      </c>
      <c r="M44" s="9">
        <v>0</v>
      </c>
      <c r="N44" s="9">
        <v>0</v>
      </c>
      <c r="O44" s="9">
        <v>0</v>
      </c>
    </row>
    <row r="45" spans="1:15">
      <c r="A45" s="5">
        <v>1232528</v>
      </c>
      <c r="B45" s="9">
        <v>161</v>
      </c>
      <c r="C45" s="9">
        <v>686</v>
      </c>
      <c r="D45" s="9">
        <v>539</v>
      </c>
      <c r="E45" s="18">
        <v>651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147</v>
      </c>
      <c r="N45" s="9">
        <v>0</v>
      </c>
      <c r="O45" s="9">
        <v>0</v>
      </c>
    </row>
    <row r="46" spans="1:15">
      <c r="A46" s="5">
        <v>1233587</v>
      </c>
      <c r="B46" s="9">
        <v>0</v>
      </c>
      <c r="C46" s="9">
        <v>0</v>
      </c>
      <c r="D46" s="9">
        <v>10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5">
        <v>1232846</v>
      </c>
      <c r="B47" s="9">
        <v>0</v>
      </c>
      <c r="C47" s="9">
        <v>0</v>
      </c>
      <c r="D47" s="9">
        <v>0</v>
      </c>
      <c r="E47" s="124">
        <v>34</v>
      </c>
      <c r="F47" s="9">
        <v>142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>
      <c r="A48" s="5">
        <v>1232693</v>
      </c>
      <c r="B48" s="9">
        <v>54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>
      <c r="A49" s="5">
        <v>1233025</v>
      </c>
      <c r="B49" s="9">
        <v>54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>
      <c r="A50" s="5">
        <v>1233383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113</v>
      </c>
      <c r="M50" s="9">
        <v>0</v>
      </c>
      <c r="N50" s="9">
        <v>0</v>
      </c>
      <c r="O50" s="9">
        <v>0</v>
      </c>
    </row>
    <row r="51" spans="1:15">
      <c r="A51" s="5">
        <v>1220847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126</v>
      </c>
      <c r="N51" s="9">
        <v>0</v>
      </c>
      <c r="O51" s="9">
        <v>0</v>
      </c>
    </row>
    <row r="52" spans="1:15">
      <c r="A52" s="5">
        <v>1233735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90</v>
      </c>
      <c r="M52" s="9">
        <v>0</v>
      </c>
      <c r="N52" s="9">
        <v>0</v>
      </c>
      <c r="O52" s="9">
        <v>0</v>
      </c>
    </row>
    <row r="53" spans="1:15">
      <c r="A53" s="5">
        <v>1234034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40</v>
      </c>
      <c r="M53" s="9">
        <v>0</v>
      </c>
      <c r="N53" s="9">
        <v>0</v>
      </c>
      <c r="O53" s="9">
        <v>0</v>
      </c>
    </row>
    <row r="54" spans="1:15">
      <c r="A54" s="5">
        <v>1221254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130</v>
      </c>
      <c r="K54" s="9">
        <v>0</v>
      </c>
      <c r="L54" s="9">
        <v>20</v>
      </c>
      <c r="M54" s="9">
        <v>0</v>
      </c>
      <c r="N54" s="9">
        <v>0</v>
      </c>
      <c r="O54" s="9">
        <v>0</v>
      </c>
    </row>
    <row r="55" spans="1:15">
      <c r="A55" s="5">
        <v>1234217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220</v>
      </c>
      <c r="L55" s="9">
        <v>0</v>
      </c>
      <c r="M55" s="9">
        <v>0</v>
      </c>
      <c r="N55" s="9">
        <v>0</v>
      </c>
      <c r="O55" s="9">
        <v>0</v>
      </c>
    </row>
    <row r="56" spans="1:15">
      <c r="A56" s="5">
        <v>1234111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220</v>
      </c>
      <c r="L56" s="9">
        <v>0</v>
      </c>
      <c r="M56" s="9">
        <v>0</v>
      </c>
      <c r="N56" s="9">
        <v>0</v>
      </c>
      <c r="O56" s="9">
        <v>0</v>
      </c>
    </row>
    <row r="57" spans="1:15">
      <c r="A57" s="5">
        <v>1234110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220</v>
      </c>
      <c r="L57" s="9">
        <v>0</v>
      </c>
      <c r="M57" s="9">
        <v>0</v>
      </c>
      <c r="N57" s="9">
        <v>0</v>
      </c>
      <c r="O57" s="9">
        <v>0</v>
      </c>
    </row>
    <row r="58" spans="1:15">
      <c r="A58" s="5">
        <v>1235097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200</v>
      </c>
      <c r="M58" s="9">
        <v>350</v>
      </c>
      <c r="N58" s="9">
        <v>0</v>
      </c>
      <c r="O58" s="9">
        <v>0</v>
      </c>
    </row>
    <row r="59" spans="1:15">
      <c r="A59" s="5">
        <v>1236600</v>
      </c>
      <c r="B59" s="9">
        <v>40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>
      <c r="A60" s="5">
        <v>1236601</v>
      </c>
      <c r="B60" s="9">
        <v>74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</row>
    <row r="61" spans="1:15">
      <c r="A61" s="5">
        <v>1236619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10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5">
      <c r="A62" s="5">
        <v>1236930</v>
      </c>
      <c r="B62" s="9">
        <v>116</v>
      </c>
      <c r="C62" s="9">
        <v>0</v>
      </c>
      <c r="D62" s="9">
        <v>264</v>
      </c>
      <c r="E62" s="18">
        <v>339</v>
      </c>
      <c r="F62" s="9">
        <v>339</v>
      </c>
      <c r="G62" s="9">
        <v>0</v>
      </c>
      <c r="H62" s="9">
        <v>0</v>
      </c>
      <c r="I62" s="9">
        <v>150</v>
      </c>
      <c r="J62" s="9">
        <v>350</v>
      </c>
      <c r="K62" s="9">
        <v>350</v>
      </c>
      <c r="L62" s="9">
        <v>350</v>
      </c>
      <c r="M62" s="9">
        <v>0</v>
      </c>
      <c r="N62" s="9">
        <v>0</v>
      </c>
      <c r="O62" s="9">
        <v>0</v>
      </c>
    </row>
    <row r="63" spans="1:15">
      <c r="A63" s="5">
        <v>1237468</v>
      </c>
      <c r="B63" s="9">
        <v>0</v>
      </c>
      <c r="C63" s="9">
        <v>0</v>
      </c>
      <c r="D63" s="9">
        <v>87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>
      <c r="A64" s="5">
        <v>1237457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</row>
    <row r="65" spans="1:15">
      <c r="A65" s="5">
        <v>1234905</v>
      </c>
      <c r="B65" s="9">
        <v>487</v>
      </c>
      <c r="C65" s="9">
        <v>487</v>
      </c>
      <c r="D65" s="9">
        <v>383</v>
      </c>
      <c r="E65" s="9">
        <v>40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700</v>
      </c>
      <c r="L65" s="9">
        <v>0</v>
      </c>
      <c r="M65" s="9">
        <v>0</v>
      </c>
      <c r="N65" s="9">
        <v>0</v>
      </c>
      <c r="O65" s="9">
        <v>0</v>
      </c>
    </row>
    <row r="66" spans="1:15">
      <c r="A66" s="5">
        <v>1238480</v>
      </c>
      <c r="B66" s="9">
        <v>1082</v>
      </c>
      <c r="C66" s="9">
        <v>872</v>
      </c>
      <c r="D66" s="9">
        <v>914</v>
      </c>
      <c r="E66" s="18">
        <v>1303</v>
      </c>
      <c r="F66" s="9">
        <v>1269</v>
      </c>
      <c r="G66" s="9">
        <v>0</v>
      </c>
      <c r="H66" s="9">
        <v>0</v>
      </c>
      <c r="I66" s="9">
        <v>1308</v>
      </c>
      <c r="J66" s="9">
        <v>1107</v>
      </c>
      <c r="K66" s="9">
        <v>793</v>
      </c>
      <c r="L66" s="9">
        <v>1606</v>
      </c>
      <c r="M66" s="9">
        <v>1300</v>
      </c>
      <c r="N66" s="9">
        <v>0</v>
      </c>
      <c r="O66" s="9">
        <v>0</v>
      </c>
    </row>
    <row r="67" spans="1:15">
      <c r="A67" s="5">
        <v>1238453</v>
      </c>
      <c r="B67" s="9">
        <v>0</v>
      </c>
      <c r="C67" s="9">
        <v>330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387</v>
      </c>
      <c r="N67" s="9">
        <v>0</v>
      </c>
      <c r="O67" s="9">
        <v>0</v>
      </c>
    </row>
    <row r="68" spans="1:15">
      <c r="A68" s="5">
        <v>1240029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600</v>
      </c>
      <c r="J68" s="9">
        <v>300</v>
      </c>
      <c r="K68" s="9">
        <v>200</v>
      </c>
      <c r="L68" s="9">
        <v>0</v>
      </c>
      <c r="M68" s="9">
        <v>0</v>
      </c>
      <c r="N68" s="9">
        <v>0</v>
      </c>
      <c r="O68" s="9">
        <v>0</v>
      </c>
    </row>
    <row r="69" spans="1:15">
      <c r="A69" s="5">
        <v>1240032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600</v>
      </c>
      <c r="J69" s="9">
        <v>300</v>
      </c>
      <c r="K69" s="9">
        <v>200</v>
      </c>
      <c r="L69" s="9">
        <v>0</v>
      </c>
      <c r="M69" s="9">
        <v>0</v>
      </c>
      <c r="N69" s="9">
        <v>0</v>
      </c>
      <c r="O69" s="9">
        <v>0</v>
      </c>
    </row>
    <row r="70" spans="1:15">
      <c r="A70" s="5">
        <v>1240180</v>
      </c>
      <c r="B70" s="9">
        <v>166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</row>
    <row r="71" spans="1:15">
      <c r="A71" s="5">
        <v>1240184</v>
      </c>
      <c r="B71" s="9">
        <v>166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</row>
    <row r="72" spans="1:15">
      <c r="A72" s="5">
        <v>1216452</v>
      </c>
      <c r="B72" s="9">
        <v>0</v>
      </c>
      <c r="C72" s="9">
        <v>18</v>
      </c>
      <c r="D72" s="18">
        <v>173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</row>
    <row r="73" spans="1:15">
      <c r="A73" s="5">
        <v>1230791</v>
      </c>
      <c r="B73" s="9">
        <v>625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1:15">
      <c r="A74" s="5">
        <v>1231011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310</v>
      </c>
      <c r="L74" s="9">
        <v>0</v>
      </c>
      <c r="M74" s="9">
        <v>0</v>
      </c>
      <c r="N74" s="9">
        <v>0</v>
      </c>
      <c r="O74" s="9">
        <v>0</v>
      </c>
    </row>
    <row r="75" spans="1:15">
      <c r="A75" s="5">
        <v>1232895</v>
      </c>
      <c r="B75" s="9">
        <v>0</v>
      </c>
      <c r="C75" s="9">
        <v>0</v>
      </c>
      <c r="D75" s="9">
        <v>0</v>
      </c>
      <c r="E75" s="18">
        <v>34</v>
      </c>
      <c r="F75" s="9">
        <v>142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>
      <c r="A76" s="5">
        <v>1232922</v>
      </c>
      <c r="B76" s="9">
        <v>0</v>
      </c>
      <c r="C76" s="9">
        <v>0</v>
      </c>
      <c r="D76" s="9">
        <v>0</v>
      </c>
      <c r="E76" s="18">
        <v>34</v>
      </c>
      <c r="F76" s="9">
        <v>142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>
      <c r="A77" s="5">
        <v>1233580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130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</row>
  </sheetData>
  <autoFilter ref="A1:O18" xr:uid="{A6D8B81C-FB6A-4C82-B6F2-F47DDB952C56}"/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A19A-2F32-4E1F-9E47-164EF707C7DE}">
  <dimension ref="A1:U76"/>
  <sheetViews>
    <sheetView topLeftCell="A38" zoomScale="130" zoomScaleNormal="130" workbookViewId="0">
      <selection activeCell="E57" sqref="A57:XFD57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20" width="9.5" style="9" customWidth="1"/>
    <col min="21" max="21" width="9.5" style="9" bestFit="1" customWidth="1"/>
    <col min="22" max="16384" width="9.33203125" style="5"/>
  </cols>
  <sheetData>
    <row r="1" spans="1:21">
      <c r="A1" s="5" t="s">
        <v>0</v>
      </c>
      <c r="B1" s="9" t="s">
        <v>748</v>
      </c>
      <c r="C1" s="9" t="s">
        <v>749</v>
      </c>
      <c r="D1" s="9" t="s">
        <v>750</v>
      </c>
      <c r="E1" s="9" t="s">
        <v>751</v>
      </c>
      <c r="F1" s="9" t="s">
        <v>752</v>
      </c>
      <c r="G1" s="9" t="s">
        <v>753</v>
      </c>
      <c r="H1" s="9" t="s">
        <v>757</v>
      </c>
      <c r="I1" s="9" t="s">
        <v>758</v>
      </c>
      <c r="J1" s="9" t="s">
        <v>759</v>
      </c>
      <c r="K1" s="9" t="s">
        <v>760</v>
      </c>
      <c r="L1" s="9" t="s">
        <v>761</v>
      </c>
      <c r="M1" s="9" t="s">
        <v>762</v>
      </c>
      <c r="N1" s="9" t="s">
        <v>763</v>
      </c>
      <c r="O1" s="9" t="s">
        <v>766</v>
      </c>
      <c r="P1" s="9" t="s">
        <v>767</v>
      </c>
      <c r="Q1" s="9" t="s">
        <v>768</v>
      </c>
      <c r="R1" s="9" t="s">
        <v>769</v>
      </c>
      <c r="S1" s="9" t="s">
        <v>770</v>
      </c>
      <c r="T1" s="9" t="s">
        <v>771</v>
      </c>
      <c r="U1" s="9" t="s">
        <v>772</v>
      </c>
    </row>
    <row r="2" spans="1:21">
      <c r="A2" s="5">
        <v>1221154</v>
      </c>
      <c r="B2" s="9">
        <v>0</v>
      </c>
      <c r="C2" s="9">
        <v>50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>
      <c r="A3" s="5">
        <v>1234614</v>
      </c>
      <c r="B3" s="9">
        <v>0</v>
      </c>
      <c r="C3" s="9">
        <v>352</v>
      </c>
      <c r="D3" s="9">
        <v>50</v>
      </c>
      <c r="E3" s="9">
        <v>0</v>
      </c>
      <c r="F3" s="9">
        <v>0</v>
      </c>
      <c r="G3" s="9">
        <v>0</v>
      </c>
      <c r="H3" s="9">
        <v>508</v>
      </c>
      <c r="I3" s="9">
        <v>362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1:21">
      <c r="A4" s="5">
        <v>1226384</v>
      </c>
      <c r="B4" s="9">
        <v>100</v>
      </c>
      <c r="C4" s="9">
        <v>400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</row>
    <row r="5" spans="1:21">
      <c r="A5" s="5">
        <v>1226388</v>
      </c>
      <c r="B5" s="9">
        <v>100</v>
      </c>
      <c r="C5" s="9">
        <v>400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>
      <c r="A6" s="5">
        <v>1229673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400</v>
      </c>
      <c r="I6" s="9">
        <v>400</v>
      </c>
      <c r="J6" s="9">
        <v>400</v>
      </c>
      <c r="K6" s="9">
        <v>400</v>
      </c>
      <c r="L6" s="9">
        <v>400</v>
      </c>
      <c r="M6" s="9">
        <v>0</v>
      </c>
      <c r="N6" s="9">
        <v>0</v>
      </c>
      <c r="O6" s="9">
        <v>0</v>
      </c>
      <c r="P6" s="9">
        <v>200</v>
      </c>
      <c r="Q6" s="9">
        <v>0</v>
      </c>
      <c r="R6" s="9">
        <v>300</v>
      </c>
      <c r="S6" s="9">
        <v>300</v>
      </c>
      <c r="T6" s="9">
        <v>0</v>
      </c>
      <c r="U6" s="9">
        <v>0</v>
      </c>
    </row>
    <row r="7" spans="1:21">
      <c r="A7" s="5">
        <v>1233632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64</v>
      </c>
      <c r="R7" s="9">
        <v>337</v>
      </c>
      <c r="S7" s="9">
        <v>0</v>
      </c>
      <c r="T7" s="9">
        <v>0</v>
      </c>
      <c r="U7" s="9">
        <v>0</v>
      </c>
    </row>
    <row r="8" spans="1:21">
      <c r="A8" s="5">
        <v>1237088</v>
      </c>
      <c r="B8" s="9">
        <v>1106</v>
      </c>
      <c r="C8" s="9">
        <v>1206</v>
      </c>
      <c r="D8" s="9">
        <v>1142</v>
      </c>
      <c r="E8" s="18">
        <v>1656</v>
      </c>
      <c r="F8" s="9">
        <v>0</v>
      </c>
      <c r="G8" s="9">
        <v>0</v>
      </c>
      <c r="H8" s="9">
        <v>1026</v>
      </c>
      <c r="I8" s="9">
        <v>554</v>
      </c>
      <c r="J8" s="9">
        <v>794</v>
      </c>
      <c r="K8" s="9">
        <v>330</v>
      </c>
      <c r="L8" s="9">
        <v>1039</v>
      </c>
      <c r="M8" s="9">
        <v>0</v>
      </c>
      <c r="N8" s="9">
        <v>0</v>
      </c>
      <c r="O8" s="9">
        <v>0</v>
      </c>
      <c r="P8" s="9">
        <v>430</v>
      </c>
      <c r="Q8" s="9">
        <v>788</v>
      </c>
      <c r="R8" s="9">
        <v>1168</v>
      </c>
      <c r="S8" s="9">
        <v>1638</v>
      </c>
      <c r="T8" s="9">
        <v>0</v>
      </c>
      <c r="U8" s="9">
        <v>0</v>
      </c>
    </row>
    <row r="9" spans="1:21">
      <c r="A9" s="5">
        <v>1236091</v>
      </c>
      <c r="B9" s="9">
        <v>0</v>
      </c>
      <c r="C9" s="9">
        <v>200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>
      <c r="A10" s="58">
        <v>1238128</v>
      </c>
      <c r="B10" s="9">
        <v>480</v>
      </c>
      <c r="C10" s="9">
        <v>378</v>
      </c>
      <c r="D10" s="9">
        <v>912</v>
      </c>
      <c r="E10" s="18">
        <v>960</v>
      </c>
      <c r="F10" s="9">
        <v>0</v>
      </c>
      <c r="G10" s="9">
        <v>0</v>
      </c>
      <c r="H10" s="9">
        <v>546</v>
      </c>
      <c r="I10" s="9">
        <v>480</v>
      </c>
      <c r="J10" s="9">
        <v>76</v>
      </c>
      <c r="K10" s="9">
        <v>144</v>
      </c>
      <c r="L10" s="9">
        <v>480</v>
      </c>
      <c r="M10" s="9">
        <v>0</v>
      </c>
      <c r="N10" s="9">
        <v>0</v>
      </c>
      <c r="O10" s="9">
        <v>60</v>
      </c>
      <c r="P10" s="9">
        <v>0</v>
      </c>
      <c r="Q10" s="9">
        <v>0</v>
      </c>
      <c r="R10" s="9">
        <v>280</v>
      </c>
      <c r="S10" s="9">
        <v>480</v>
      </c>
      <c r="T10" s="9">
        <v>0</v>
      </c>
      <c r="U10" s="9">
        <v>0</v>
      </c>
    </row>
    <row r="11" spans="1:21">
      <c r="A11" s="5">
        <v>1236962</v>
      </c>
      <c r="B11" s="9">
        <v>250</v>
      </c>
      <c r="C11" s="9">
        <v>0</v>
      </c>
      <c r="D11" s="9">
        <v>250</v>
      </c>
      <c r="E11" s="18">
        <v>250</v>
      </c>
      <c r="F11" s="9">
        <v>0</v>
      </c>
      <c r="G11" s="9">
        <v>0</v>
      </c>
      <c r="H11" s="9">
        <v>200</v>
      </c>
      <c r="I11" s="9">
        <v>400</v>
      </c>
      <c r="J11" s="9">
        <v>200</v>
      </c>
      <c r="K11" s="9">
        <v>200</v>
      </c>
      <c r="L11" s="9">
        <v>300</v>
      </c>
      <c r="M11" s="9">
        <v>0</v>
      </c>
      <c r="N11" s="9">
        <v>0</v>
      </c>
      <c r="O11" s="9">
        <v>0</v>
      </c>
      <c r="P11" s="9">
        <v>500</v>
      </c>
      <c r="Q11" s="9">
        <v>300</v>
      </c>
      <c r="R11" s="9">
        <v>300</v>
      </c>
      <c r="S11" s="9">
        <v>290</v>
      </c>
      <c r="T11" s="9">
        <v>0</v>
      </c>
      <c r="U11" s="9">
        <v>0</v>
      </c>
    </row>
    <row r="12" spans="1:21">
      <c r="A12" s="5">
        <v>1233761</v>
      </c>
      <c r="B12" s="9">
        <v>0</v>
      </c>
      <c r="C12" s="9">
        <v>0</v>
      </c>
      <c r="D12" s="9">
        <v>250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150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</row>
    <row r="13" spans="1:21">
      <c r="A13" s="5">
        <v>1239651</v>
      </c>
      <c r="B13" s="9">
        <v>250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205</v>
      </c>
      <c r="I13" s="9">
        <v>0</v>
      </c>
      <c r="J13" s="9">
        <v>0</v>
      </c>
      <c r="K13" s="9">
        <v>300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400</v>
      </c>
      <c r="S13" s="9">
        <v>0</v>
      </c>
      <c r="T13" s="9">
        <v>0</v>
      </c>
      <c r="U13" s="9">
        <v>0</v>
      </c>
    </row>
    <row r="14" spans="1:21">
      <c r="A14" s="5">
        <v>1239988</v>
      </c>
      <c r="B14" s="9">
        <v>454</v>
      </c>
      <c r="C14" s="9">
        <v>356</v>
      </c>
      <c r="D14" s="9">
        <v>454</v>
      </c>
      <c r="E14" s="18">
        <v>454</v>
      </c>
      <c r="F14" s="9">
        <v>0</v>
      </c>
      <c r="G14" s="9">
        <v>0</v>
      </c>
      <c r="H14" s="9">
        <v>454</v>
      </c>
      <c r="I14" s="9">
        <v>454</v>
      </c>
      <c r="J14" s="9">
        <v>356</v>
      </c>
      <c r="K14" s="9">
        <v>502</v>
      </c>
      <c r="L14" s="9">
        <v>454</v>
      </c>
      <c r="M14" s="9">
        <v>0</v>
      </c>
      <c r="N14" s="9">
        <v>0</v>
      </c>
      <c r="O14" s="9">
        <v>174</v>
      </c>
      <c r="P14" s="9">
        <v>120</v>
      </c>
      <c r="Q14" s="9">
        <v>336</v>
      </c>
      <c r="R14" s="9">
        <v>454</v>
      </c>
      <c r="S14" s="9">
        <v>454</v>
      </c>
      <c r="T14" s="9">
        <v>0</v>
      </c>
      <c r="U14" s="9">
        <v>0</v>
      </c>
    </row>
    <row r="15" spans="1:21">
      <c r="A15" s="5">
        <v>1240180</v>
      </c>
      <c r="B15" s="9">
        <v>390</v>
      </c>
      <c r="C15" s="9">
        <v>280</v>
      </c>
      <c r="D15" s="9">
        <v>358</v>
      </c>
      <c r="E15" s="77">
        <v>358</v>
      </c>
      <c r="F15" s="9">
        <v>0</v>
      </c>
      <c r="G15" s="9">
        <v>0</v>
      </c>
      <c r="H15" s="9">
        <v>358</v>
      </c>
      <c r="I15" s="9">
        <v>390</v>
      </c>
      <c r="J15" s="9">
        <v>306</v>
      </c>
      <c r="K15" s="9">
        <v>358</v>
      </c>
      <c r="L15" s="9">
        <v>358</v>
      </c>
      <c r="M15" s="9">
        <v>0</v>
      </c>
      <c r="N15" s="9">
        <v>0</v>
      </c>
      <c r="O15" s="9">
        <v>666</v>
      </c>
      <c r="P15" s="9">
        <v>188</v>
      </c>
      <c r="Q15" s="9">
        <v>212</v>
      </c>
      <c r="R15" s="9">
        <v>64</v>
      </c>
      <c r="S15" s="9">
        <v>358</v>
      </c>
      <c r="T15" s="9">
        <v>0</v>
      </c>
      <c r="U15" s="9">
        <v>0</v>
      </c>
    </row>
    <row r="16" spans="1:21">
      <c r="A16" s="5">
        <v>1240184</v>
      </c>
      <c r="B16" s="9">
        <v>390</v>
      </c>
      <c r="C16" s="9">
        <v>280</v>
      </c>
      <c r="D16" s="9">
        <v>358</v>
      </c>
      <c r="E16" s="77">
        <v>358</v>
      </c>
      <c r="F16" s="9">
        <v>0</v>
      </c>
      <c r="G16" s="9">
        <v>0</v>
      </c>
      <c r="H16" s="9">
        <v>358</v>
      </c>
      <c r="I16" s="9">
        <v>390</v>
      </c>
      <c r="J16" s="9">
        <v>306</v>
      </c>
      <c r="K16" s="9">
        <v>358</v>
      </c>
      <c r="L16" s="9">
        <v>308</v>
      </c>
      <c r="M16" s="9">
        <v>0</v>
      </c>
      <c r="N16" s="9">
        <v>0</v>
      </c>
      <c r="O16" s="9">
        <v>616</v>
      </c>
      <c r="P16" s="9">
        <v>188</v>
      </c>
      <c r="Q16" s="9">
        <v>212</v>
      </c>
      <c r="R16" s="9">
        <v>64</v>
      </c>
      <c r="S16" s="9">
        <v>358</v>
      </c>
      <c r="T16" s="9">
        <v>0</v>
      </c>
      <c r="U16" s="9">
        <v>0</v>
      </c>
    </row>
    <row r="17" spans="1:21">
      <c r="A17" s="5">
        <v>1240308</v>
      </c>
      <c r="B17" s="9">
        <v>200</v>
      </c>
      <c r="C17" s="9">
        <v>0</v>
      </c>
      <c r="D17" s="9">
        <v>350</v>
      </c>
      <c r="E17" s="18">
        <v>200</v>
      </c>
      <c r="F17" s="9">
        <v>0</v>
      </c>
      <c r="G17" s="9">
        <v>0</v>
      </c>
      <c r="H17" s="9">
        <v>0</v>
      </c>
      <c r="I17" s="9">
        <v>450</v>
      </c>
      <c r="J17" s="9">
        <v>300</v>
      </c>
      <c r="K17" s="9">
        <v>0</v>
      </c>
      <c r="L17" s="9">
        <v>0</v>
      </c>
      <c r="M17" s="9">
        <v>0</v>
      </c>
      <c r="N17" s="9">
        <v>0</v>
      </c>
      <c r="O17" s="9">
        <v>468</v>
      </c>
      <c r="P17" s="9">
        <v>282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</row>
    <row r="21" spans="1:21">
      <c r="A21" s="5" t="s">
        <v>0</v>
      </c>
      <c r="B21" s="9" t="s">
        <v>748</v>
      </c>
      <c r="C21" s="9" t="s">
        <v>749</v>
      </c>
      <c r="D21" s="9" t="s">
        <v>750</v>
      </c>
      <c r="E21" s="9" t="s">
        <v>751</v>
      </c>
      <c r="F21" s="9" t="s">
        <v>752</v>
      </c>
      <c r="G21" s="9" t="s">
        <v>753</v>
      </c>
      <c r="H21" s="9" t="s">
        <v>757</v>
      </c>
      <c r="I21" s="9" t="s">
        <v>758</v>
      </c>
      <c r="J21" s="9" t="s">
        <v>759</v>
      </c>
      <c r="K21" s="9" t="s">
        <v>760</v>
      </c>
      <c r="L21" s="9" t="s">
        <v>761</v>
      </c>
      <c r="M21" s="9" t="s">
        <v>762</v>
      </c>
      <c r="N21" s="9" t="s">
        <v>763</v>
      </c>
      <c r="O21" s="9" t="s">
        <v>766</v>
      </c>
      <c r="P21" s="9" t="s">
        <v>767</v>
      </c>
      <c r="Q21" s="9" t="s">
        <v>768</v>
      </c>
      <c r="R21" s="9" t="s">
        <v>769</v>
      </c>
      <c r="S21" s="9" t="s">
        <v>770</v>
      </c>
      <c r="T21" s="9" t="s">
        <v>771</v>
      </c>
      <c r="U21" s="9" t="s">
        <v>772</v>
      </c>
    </row>
    <row r="22" spans="1:21">
      <c r="A22" s="5">
        <v>1237608</v>
      </c>
      <c r="B22" s="9">
        <v>350</v>
      </c>
      <c r="C22" s="9">
        <v>250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</row>
    <row r="23" spans="1:21">
      <c r="A23" s="5">
        <v>1232846</v>
      </c>
      <c r="B23" s="9">
        <v>327</v>
      </c>
      <c r="C23" s="9">
        <v>352</v>
      </c>
      <c r="D23" s="98">
        <v>21</v>
      </c>
      <c r="E23" s="9">
        <v>0</v>
      </c>
      <c r="F23" s="9">
        <v>0</v>
      </c>
      <c r="G23" s="9">
        <v>0</v>
      </c>
      <c r="H23" s="9">
        <v>0</v>
      </c>
      <c r="I23" s="9">
        <v>403</v>
      </c>
      <c r="J23" s="9">
        <v>352</v>
      </c>
      <c r="K23" s="9">
        <v>449</v>
      </c>
      <c r="L23" s="9">
        <v>2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</row>
    <row r="24" spans="1:21">
      <c r="A24" s="5">
        <v>1232895</v>
      </c>
      <c r="B24" s="9">
        <v>327</v>
      </c>
      <c r="C24" s="9">
        <v>352</v>
      </c>
      <c r="D24" s="98">
        <v>21</v>
      </c>
      <c r="E24" s="9">
        <v>0</v>
      </c>
      <c r="F24" s="9">
        <v>0</v>
      </c>
      <c r="G24" s="9">
        <v>0</v>
      </c>
      <c r="H24" s="9">
        <v>0</v>
      </c>
      <c r="I24" s="9">
        <v>403</v>
      </c>
      <c r="J24" s="9">
        <v>352</v>
      </c>
      <c r="K24" s="9">
        <v>449</v>
      </c>
      <c r="L24" s="9">
        <v>2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</row>
    <row r="25" spans="1:21">
      <c r="A25" s="5">
        <v>1233384</v>
      </c>
      <c r="B25" s="9">
        <v>327</v>
      </c>
      <c r="C25" s="9">
        <v>352</v>
      </c>
      <c r="D25" s="98">
        <v>21</v>
      </c>
      <c r="E25" s="9">
        <v>0</v>
      </c>
      <c r="F25" s="9">
        <v>0</v>
      </c>
      <c r="G25" s="9">
        <v>0</v>
      </c>
      <c r="H25" s="9">
        <v>0</v>
      </c>
      <c r="I25" s="9">
        <v>403</v>
      </c>
      <c r="J25" s="9">
        <v>352</v>
      </c>
      <c r="K25" s="9">
        <v>449</v>
      </c>
      <c r="L25" s="9">
        <v>2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</row>
    <row r="26" spans="1:21">
      <c r="A26" s="5">
        <v>1233165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250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>
      <c r="A27" s="5">
        <v>1236387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411</v>
      </c>
      <c r="I27" s="9">
        <v>325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426</v>
      </c>
      <c r="P27" s="9">
        <v>71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</row>
    <row r="28" spans="1:21">
      <c r="A28" s="5">
        <v>1232775</v>
      </c>
      <c r="B28" s="9">
        <v>288</v>
      </c>
      <c r="C28" s="9">
        <v>243</v>
      </c>
      <c r="D28" s="98">
        <v>309</v>
      </c>
      <c r="E28" s="98">
        <v>309</v>
      </c>
      <c r="F28" s="9">
        <v>0</v>
      </c>
      <c r="G28" s="9">
        <v>0</v>
      </c>
      <c r="H28" s="9">
        <v>298</v>
      </c>
      <c r="I28" s="9">
        <v>8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251</v>
      </c>
      <c r="Q28" s="9">
        <v>132</v>
      </c>
      <c r="R28" s="9">
        <v>618</v>
      </c>
      <c r="S28" s="9">
        <v>544</v>
      </c>
      <c r="T28" s="9">
        <v>0</v>
      </c>
      <c r="U28" s="9">
        <v>0</v>
      </c>
    </row>
    <row r="29" spans="1:21">
      <c r="A29" s="5">
        <v>1238605</v>
      </c>
      <c r="B29" s="9">
        <v>6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42</v>
      </c>
      <c r="J29" s="9">
        <v>187</v>
      </c>
      <c r="K29" s="9">
        <v>182</v>
      </c>
      <c r="L29" s="9">
        <v>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0" spans="1:21">
      <c r="A30" s="5">
        <v>1230685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28</v>
      </c>
      <c r="R30" s="9">
        <v>122</v>
      </c>
      <c r="S30" s="9">
        <v>0</v>
      </c>
      <c r="T30" s="9">
        <v>0</v>
      </c>
      <c r="U30" s="9">
        <v>0</v>
      </c>
    </row>
    <row r="33" spans="1:21">
      <c r="A33" s="74" t="s">
        <v>0</v>
      </c>
      <c r="B33" s="69" t="s">
        <v>748</v>
      </c>
      <c r="C33" s="69" t="s">
        <v>749</v>
      </c>
      <c r="D33" s="69" t="s">
        <v>750</v>
      </c>
      <c r="E33" s="69" t="s">
        <v>751</v>
      </c>
      <c r="F33" s="69" t="s">
        <v>752</v>
      </c>
      <c r="G33" s="70" t="s">
        <v>753</v>
      </c>
      <c r="H33" s="69" t="s">
        <v>757</v>
      </c>
      <c r="I33" s="69" t="s">
        <v>758</v>
      </c>
      <c r="J33" s="69" t="s">
        <v>759</v>
      </c>
      <c r="K33" s="69" t="s">
        <v>760</v>
      </c>
      <c r="L33" s="69" t="s">
        <v>761</v>
      </c>
      <c r="M33" s="69" t="s">
        <v>762</v>
      </c>
      <c r="N33" s="70" t="s">
        <v>763</v>
      </c>
      <c r="O33" s="69" t="s">
        <v>766</v>
      </c>
      <c r="P33" s="69" t="s">
        <v>767</v>
      </c>
      <c r="Q33" s="69" t="s">
        <v>768</v>
      </c>
      <c r="R33" s="69" t="s">
        <v>769</v>
      </c>
      <c r="S33" s="69" t="s">
        <v>770</v>
      </c>
      <c r="T33" s="69" t="s">
        <v>771</v>
      </c>
      <c r="U33" s="70" t="s">
        <v>772</v>
      </c>
    </row>
    <row r="34" spans="1:21">
      <c r="A34" s="30">
        <v>1230692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250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150</v>
      </c>
      <c r="T34" s="32">
        <v>0</v>
      </c>
      <c r="U34" s="32">
        <v>0</v>
      </c>
    </row>
    <row r="35" spans="1:21">
      <c r="A35" s="30">
        <v>1221967</v>
      </c>
      <c r="B35" s="32">
        <v>0</v>
      </c>
      <c r="C35" s="32">
        <v>176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401</v>
      </c>
      <c r="K35" s="32">
        <v>382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</row>
    <row r="36" spans="1:21">
      <c r="A36" s="30">
        <v>1227306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75">
        <v>150</v>
      </c>
      <c r="I36" s="32">
        <v>500</v>
      </c>
      <c r="J36" s="32">
        <v>600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</row>
    <row r="37" spans="1:21">
      <c r="A37" s="30">
        <v>1229088</v>
      </c>
      <c r="B37" s="32">
        <v>490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</row>
    <row r="38" spans="1:21">
      <c r="A38" s="30">
        <v>1231090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200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575</v>
      </c>
      <c r="R38" s="32">
        <v>580</v>
      </c>
      <c r="S38" s="32">
        <v>580</v>
      </c>
      <c r="T38" s="32">
        <v>0</v>
      </c>
      <c r="U38" s="32">
        <v>0</v>
      </c>
    </row>
    <row r="39" spans="1:21">
      <c r="A39" s="30">
        <v>1229776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200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</row>
    <row r="40" spans="1:21">
      <c r="A40" s="30">
        <v>1231797</v>
      </c>
      <c r="B40" s="32">
        <v>113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</row>
    <row r="41" spans="1:21">
      <c r="A41" s="30">
        <v>1225464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28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</row>
    <row r="42" spans="1:21">
      <c r="A42" s="30">
        <v>1234222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220</v>
      </c>
      <c r="J42" s="32">
        <v>258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</row>
    <row r="43" spans="1:21">
      <c r="A43" s="30">
        <v>1232528</v>
      </c>
      <c r="B43" s="32">
        <v>686</v>
      </c>
      <c r="C43" s="32">
        <v>539</v>
      </c>
      <c r="D43" s="32">
        <v>651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147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124</v>
      </c>
      <c r="S43" s="32">
        <v>678</v>
      </c>
      <c r="T43" s="32">
        <v>0</v>
      </c>
      <c r="U43" s="32">
        <v>0</v>
      </c>
    </row>
    <row r="44" spans="1:21">
      <c r="A44" s="30">
        <v>1233587</v>
      </c>
      <c r="B44" s="32">
        <v>0</v>
      </c>
      <c r="C44" s="32">
        <v>10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</row>
    <row r="45" spans="1:21">
      <c r="A45" s="30">
        <v>1232846</v>
      </c>
      <c r="B45" s="32">
        <v>0</v>
      </c>
      <c r="C45" s="32">
        <v>0</v>
      </c>
      <c r="D45" s="75">
        <v>34</v>
      </c>
      <c r="E45" s="75">
        <v>142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265</v>
      </c>
      <c r="S45" s="32">
        <v>0</v>
      </c>
      <c r="T45" s="32">
        <v>0</v>
      </c>
      <c r="U45" s="32">
        <v>0</v>
      </c>
    </row>
    <row r="46" spans="1:21">
      <c r="A46" s="30">
        <v>1229050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180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</row>
    <row r="47" spans="1:21">
      <c r="A47" s="30">
        <v>1233383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113</v>
      </c>
      <c r="K47" s="32">
        <v>0</v>
      </c>
      <c r="L47" s="32">
        <v>113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</row>
    <row r="48" spans="1:21">
      <c r="A48" s="30">
        <v>1220847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126</v>
      </c>
      <c r="K48" s="32">
        <v>0</v>
      </c>
      <c r="L48" s="32">
        <v>126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</row>
    <row r="49" spans="1:21">
      <c r="A49" s="30">
        <v>1233735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90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</row>
    <row r="50" spans="1:21">
      <c r="A50" s="30">
        <v>1234034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40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</row>
    <row r="51" spans="1:21">
      <c r="A51" s="30">
        <v>1221254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130</v>
      </c>
      <c r="J51" s="32">
        <v>0</v>
      </c>
      <c r="K51" s="32">
        <v>20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</row>
    <row r="52" spans="1:21">
      <c r="A52" s="30">
        <v>1234217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220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</row>
    <row r="53" spans="1:21">
      <c r="A53" s="30">
        <v>1234111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220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</row>
    <row r="54" spans="1:21">
      <c r="A54" s="30">
        <v>1234110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220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</row>
    <row r="55" spans="1:21">
      <c r="A55" s="30">
        <v>1235097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200</v>
      </c>
      <c r="L55" s="32">
        <v>350</v>
      </c>
      <c r="M55" s="32">
        <v>0</v>
      </c>
      <c r="N55" s="32">
        <v>0</v>
      </c>
      <c r="O55" s="32">
        <v>0</v>
      </c>
      <c r="P55" s="32">
        <v>350</v>
      </c>
      <c r="Q55" s="32">
        <v>300</v>
      </c>
      <c r="R55" s="32">
        <v>350</v>
      </c>
      <c r="S55" s="32">
        <v>350</v>
      </c>
      <c r="T55" s="32">
        <v>0</v>
      </c>
      <c r="U55" s="32">
        <v>0</v>
      </c>
    </row>
    <row r="56" spans="1:21">
      <c r="A56" s="30">
        <v>1236619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10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</row>
    <row r="57" spans="1:21">
      <c r="A57" s="30">
        <v>1236930</v>
      </c>
      <c r="B57" s="32">
        <v>0</v>
      </c>
      <c r="C57" s="32">
        <v>264</v>
      </c>
      <c r="D57" s="32">
        <v>339</v>
      </c>
      <c r="E57" s="32">
        <v>339</v>
      </c>
      <c r="F57" s="32">
        <v>0</v>
      </c>
      <c r="G57" s="32">
        <v>0</v>
      </c>
      <c r="H57" s="17">
        <v>150</v>
      </c>
      <c r="I57" s="32">
        <v>350</v>
      </c>
      <c r="J57" s="32">
        <v>350</v>
      </c>
      <c r="K57" s="32">
        <v>350</v>
      </c>
      <c r="L57" s="32">
        <v>0</v>
      </c>
      <c r="M57" s="32">
        <v>0</v>
      </c>
      <c r="N57" s="32">
        <v>0</v>
      </c>
      <c r="O57" s="32">
        <v>368</v>
      </c>
      <c r="P57" s="32">
        <v>462</v>
      </c>
      <c r="Q57" s="32">
        <v>198</v>
      </c>
      <c r="R57" s="32">
        <v>0</v>
      </c>
      <c r="S57" s="32">
        <v>0</v>
      </c>
      <c r="T57" s="32">
        <v>0</v>
      </c>
      <c r="U57" s="32">
        <v>0</v>
      </c>
    </row>
    <row r="58" spans="1:21">
      <c r="A58" s="30">
        <v>1237468</v>
      </c>
      <c r="B58" s="32">
        <v>0</v>
      </c>
      <c r="C58" s="32">
        <v>87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</row>
    <row r="59" spans="1:21">
      <c r="A59" s="30">
        <v>1237457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10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</row>
    <row r="60" spans="1:21">
      <c r="A60" s="30">
        <v>1234905</v>
      </c>
      <c r="B60" s="32">
        <v>487</v>
      </c>
      <c r="C60" s="32">
        <v>383</v>
      </c>
      <c r="D60" s="32">
        <v>40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700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</row>
    <row r="61" spans="1:21">
      <c r="A61" s="30">
        <v>1238480</v>
      </c>
      <c r="B61" s="32">
        <v>872</v>
      </c>
      <c r="C61" s="32">
        <v>914</v>
      </c>
      <c r="D61" s="32">
        <v>1303</v>
      </c>
      <c r="E61" s="17">
        <v>1269</v>
      </c>
      <c r="F61" s="32">
        <v>0</v>
      </c>
      <c r="G61" s="32">
        <v>0</v>
      </c>
      <c r="H61" s="32">
        <v>1688</v>
      </c>
      <c r="I61" s="32">
        <v>747</v>
      </c>
      <c r="J61" s="32">
        <v>893</v>
      </c>
      <c r="K61" s="32">
        <v>1417</v>
      </c>
      <c r="L61" s="32">
        <v>1536</v>
      </c>
      <c r="M61" s="32">
        <v>0</v>
      </c>
      <c r="N61" s="32">
        <v>0</v>
      </c>
      <c r="O61" s="32">
        <v>1353</v>
      </c>
      <c r="P61" s="32">
        <v>1321</v>
      </c>
      <c r="Q61" s="32">
        <v>1036</v>
      </c>
      <c r="R61" s="32">
        <v>1180</v>
      </c>
      <c r="S61" s="32">
        <v>700</v>
      </c>
      <c r="T61" s="32">
        <v>0</v>
      </c>
      <c r="U61" s="32">
        <v>0</v>
      </c>
    </row>
    <row r="62" spans="1:21">
      <c r="A62" s="30">
        <v>1238453</v>
      </c>
      <c r="B62" s="32">
        <v>330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387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40</v>
      </c>
      <c r="T62" s="32">
        <v>0</v>
      </c>
      <c r="U62" s="32">
        <v>0</v>
      </c>
    </row>
    <row r="63" spans="1:21">
      <c r="A63" s="30">
        <v>1232775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729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</row>
    <row r="64" spans="1:21">
      <c r="A64" s="30">
        <v>1240029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600</v>
      </c>
      <c r="I64" s="32">
        <v>300</v>
      </c>
      <c r="J64" s="32">
        <v>200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</row>
    <row r="65" spans="1:21">
      <c r="A65" s="30">
        <v>1240032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600</v>
      </c>
      <c r="I65" s="32">
        <v>300</v>
      </c>
      <c r="J65" s="32">
        <v>200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</row>
    <row r="66" spans="1:21">
      <c r="A66" s="30">
        <v>1240180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150</v>
      </c>
      <c r="Q66" s="32">
        <v>0</v>
      </c>
      <c r="R66" s="32">
        <v>400</v>
      </c>
      <c r="S66" s="32">
        <v>200</v>
      </c>
      <c r="T66" s="32">
        <v>0</v>
      </c>
      <c r="U66" s="32">
        <v>0</v>
      </c>
    </row>
    <row r="67" spans="1:21">
      <c r="A67" s="30">
        <v>1240184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150</v>
      </c>
      <c r="Q67" s="32">
        <v>0</v>
      </c>
      <c r="R67" s="32">
        <v>400</v>
      </c>
      <c r="S67" s="32">
        <v>200</v>
      </c>
      <c r="T67" s="32">
        <v>0</v>
      </c>
      <c r="U67" s="32">
        <v>0</v>
      </c>
    </row>
    <row r="68" spans="1:21">
      <c r="A68" s="30">
        <v>1216452</v>
      </c>
      <c r="B68" s="32">
        <v>18</v>
      </c>
      <c r="C68" s="32">
        <v>173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518</v>
      </c>
      <c r="S68" s="32">
        <v>0</v>
      </c>
      <c r="T68" s="32">
        <v>0</v>
      </c>
      <c r="U68" s="32">
        <v>0</v>
      </c>
    </row>
    <row r="69" spans="1:21">
      <c r="A69" s="30">
        <v>1231011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310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</row>
    <row r="70" spans="1:21">
      <c r="A70" s="30">
        <v>1232894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264</v>
      </c>
      <c r="S70" s="32">
        <v>0</v>
      </c>
      <c r="T70" s="32">
        <v>0</v>
      </c>
      <c r="U70" s="32">
        <v>0</v>
      </c>
    </row>
    <row r="71" spans="1:21">
      <c r="A71" s="30">
        <v>1233385</v>
      </c>
      <c r="B71" s="32">
        <v>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264</v>
      </c>
      <c r="S71" s="32">
        <v>0</v>
      </c>
      <c r="T71" s="32">
        <v>0</v>
      </c>
      <c r="U71" s="32">
        <v>0</v>
      </c>
    </row>
    <row r="72" spans="1:21">
      <c r="A72" s="30">
        <v>1232895</v>
      </c>
      <c r="B72" s="32">
        <v>0</v>
      </c>
      <c r="C72" s="32">
        <v>0</v>
      </c>
      <c r="D72" s="32">
        <v>34</v>
      </c>
      <c r="E72" s="17">
        <v>142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1</v>
      </c>
      <c r="S72" s="32">
        <v>0</v>
      </c>
      <c r="T72" s="32">
        <v>0</v>
      </c>
      <c r="U72" s="32">
        <v>0</v>
      </c>
    </row>
    <row r="73" spans="1:21">
      <c r="A73" s="30">
        <v>1232922</v>
      </c>
      <c r="B73" s="32">
        <v>0</v>
      </c>
      <c r="C73" s="32">
        <v>0</v>
      </c>
      <c r="D73" s="32">
        <v>34</v>
      </c>
      <c r="E73" s="17">
        <v>142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</row>
    <row r="74" spans="1:21">
      <c r="A74" s="30">
        <v>1233580</v>
      </c>
      <c r="B74" s="32">
        <v>0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130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</row>
    <row r="75" spans="1:21">
      <c r="A75" s="30">
        <v>1233387</v>
      </c>
      <c r="B75" s="32">
        <v>0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1</v>
      </c>
      <c r="S75" s="32">
        <v>0</v>
      </c>
      <c r="T75" s="32">
        <v>0</v>
      </c>
      <c r="U75" s="32">
        <v>0</v>
      </c>
    </row>
    <row r="76" spans="1:21">
      <c r="T76" s="5"/>
      <c r="U76" s="5"/>
    </row>
  </sheetData>
  <autoFilter ref="A1:U17" xr:uid="{52E5A19A-2F32-4E1F-9E47-164EF707C7DE}"/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6D64-5C08-4AB3-BE1B-33C113FA9DB3}">
  <dimension ref="A1:T73"/>
  <sheetViews>
    <sheetView topLeftCell="A31" zoomScale="115" zoomScaleNormal="115" workbookViewId="0">
      <selection activeCell="K40" sqref="K40:K41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5" style="9" bestFit="1" customWidth="1"/>
    <col min="21" max="16384" width="9.33203125" style="5"/>
  </cols>
  <sheetData>
    <row r="1" spans="1:20">
      <c r="A1" s="74" t="s">
        <v>0</v>
      </c>
      <c r="B1" s="69" t="s">
        <v>749</v>
      </c>
      <c r="C1" s="69" t="s">
        <v>750</v>
      </c>
      <c r="D1" s="69" t="s">
        <v>751</v>
      </c>
      <c r="E1" s="69" t="s">
        <v>752</v>
      </c>
      <c r="F1" s="70" t="s">
        <v>753</v>
      </c>
      <c r="G1" s="69" t="s">
        <v>757</v>
      </c>
      <c r="H1" s="69" t="s">
        <v>758</v>
      </c>
      <c r="I1" s="69" t="s">
        <v>759</v>
      </c>
      <c r="J1" s="69" t="s">
        <v>760</v>
      </c>
      <c r="K1" s="69" t="s">
        <v>761</v>
      </c>
      <c r="L1" s="69" t="s">
        <v>762</v>
      </c>
      <c r="M1" s="70" t="s">
        <v>763</v>
      </c>
      <c r="N1" s="69" t="s">
        <v>766</v>
      </c>
      <c r="O1" s="69" t="s">
        <v>767</v>
      </c>
      <c r="P1" s="69" t="s">
        <v>768</v>
      </c>
      <c r="Q1" s="69" t="s">
        <v>769</v>
      </c>
      <c r="R1" s="69" t="s">
        <v>770</v>
      </c>
      <c r="S1" s="69" t="s">
        <v>771</v>
      </c>
      <c r="T1" s="70" t="s">
        <v>772</v>
      </c>
    </row>
    <row r="2" spans="1:20">
      <c r="A2" s="30">
        <v>1221154</v>
      </c>
      <c r="B2" s="32">
        <v>50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  <c r="T2" s="32">
        <v>0</v>
      </c>
    </row>
    <row r="3" spans="1:20">
      <c r="A3" s="30">
        <v>1234614</v>
      </c>
      <c r="B3" s="32">
        <v>352</v>
      </c>
      <c r="C3" s="32">
        <v>50</v>
      </c>
      <c r="D3" s="32">
        <v>0</v>
      </c>
      <c r="E3" s="32">
        <v>0</v>
      </c>
      <c r="F3" s="32">
        <v>0</v>
      </c>
      <c r="G3" s="17">
        <v>508</v>
      </c>
      <c r="H3" s="32">
        <v>362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</row>
    <row r="4" spans="1:20">
      <c r="A4" s="30">
        <v>1226384</v>
      </c>
      <c r="B4" s="32">
        <v>400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</row>
    <row r="5" spans="1:20">
      <c r="A5" s="30">
        <v>1226388</v>
      </c>
      <c r="B5" s="32">
        <v>400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</row>
    <row r="6" spans="1:20">
      <c r="A6" s="30">
        <v>1229673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17">
        <v>400</v>
      </c>
      <c r="H6" s="32">
        <v>400</v>
      </c>
      <c r="I6" s="32">
        <v>400</v>
      </c>
      <c r="J6" s="32">
        <v>400</v>
      </c>
      <c r="K6" s="32">
        <v>400</v>
      </c>
      <c r="L6" s="32">
        <v>0</v>
      </c>
      <c r="M6" s="32">
        <v>0</v>
      </c>
      <c r="N6" s="32">
        <v>0</v>
      </c>
      <c r="O6" s="32">
        <v>200</v>
      </c>
      <c r="P6" s="32">
        <v>0</v>
      </c>
      <c r="Q6" s="32">
        <v>300</v>
      </c>
      <c r="R6" s="32">
        <v>300</v>
      </c>
      <c r="S6" s="32">
        <v>0</v>
      </c>
      <c r="T6" s="32">
        <v>0</v>
      </c>
    </row>
    <row r="7" spans="1:20">
      <c r="A7" s="30">
        <v>1233632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64</v>
      </c>
      <c r="Q7" s="32">
        <v>337</v>
      </c>
      <c r="R7" s="32">
        <v>0</v>
      </c>
      <c r="S7" s="32">
        <v>0</v>
      </c>
      <c r="T7" s="32">
        <v>0</v>
      </c>
    </row>
    <row r="8" spans="1:20">
      <c r="A8" s="30">
        <v>1237088</v>
      </c>
      <c r="B8" s="32">
        <v>1206</v>
      </c>
      <c r="C8" s="32">
        <v>1142</v>
      </c>
      <c r="D8" s="32">
        <v>1656</v>
      </c>
      <c r="E8" s="32">
        <v>0</v>
      </c>
      <c r="F8" s="32">
        <v>0</v>
      </c>
      <c r="G8" s="17">
        <v>1026</v>
      </c>
      <c r="H8" s="32">
        <v>554</v>
      </c>
      <c r="I8" s="32">
        <v>794</v>
      </c>
      <c r="J8" s="32">
        <v>330</v>
      </c>
      <c r="K8" s="32">
        <v>1039</v>
      </c>
      <c r="L8" s="32">
        <v>0</v>
      </c>
      <c r="M8" s="32">
        <v>0</v>
      </c>
      <c r="N8" s="32">
        <v>332</v>
      </c>
      <c r="O8" s="32">
        <v>330</v>
      </c>
      <c r="P8" s="32">
        <v>788</v>
      </c>
      <c r="Q8" s="32">
        <v>1168</v>
      </c>
      <c r="R8" s="32">
        <v>1638</v>
      </c>
      <c r="S8" s="32">
        <v>0</v>
      </c>
      <c r="T8" s="32">
        <v>0</v>
      </c>
    </row>
    <row r="9" spans="1:20">
      <c r="A9" s="30">
        <v>1236091</v>
      </c>
      <c r="B9" s="32">
        <v>200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</row>
    <row r="10" spans="1:20">
      <c r="A10" s="30">
        <v>1238128</v>
      </c>
      <c r="B10" s="32">
        <v>378</v>
      </c>
      <c r="C10" s="32">
        <v>912</v>
      </c>
      <c r="D10" s="32">
        <v>960</v>
      </c>
      <c r="E10" s="32">
        <v>0</v>
      </c>
      <c r="F10" s="32">
        <v>0</v>
      </c>
      <c r="G10" s="17">
        <v>546</v>
      </c>
      <c r="H10" s="32">
        <v>480</v>
      </c>
      <c r="I10" s="32">
        <v>76</v>
      </c>
      <c r="J10" s="32">
        <v>144</v>
      </c>
      <c r="K10" s="32">
        <v>480</v>
      </c>
      <c r="L10" s="32">
        <v>0</v>
      </c>
      <c r="M10" s="32">
        <v>0</v>
      </c>
      <c r="N10" s="32">
        <v>60</v>
      </c>
      <c r="O10" s="32">
        <v>0</v>
      </c>
      <c r="P10" s="32">
        <v>0</v>
      </c>
      <c r="Q10" s="32">
        <v>280</v>
      </c>
      <c r="R10" s="32">
        <v>480</v>
      </c>
      <c r="S10" s="32">
        <v>0</v>
      </c>
      <c r="T10" s="32">
        <v>0</v>
      </c>
    </row>
    <row r="11" spans="1:20">
      <c r="A11" s="30">
        <v>1236962</v>
      </c>
      <c r="B11" s="32">
        <v>0</v>
      </c>
      <c r="C11" s="32">
        <v>250</v>
      </c>
      <c r="D11" s="32">
        <v>250</v>
      </c>
      <c r="E11" s="32">
        <v>0</v>
      </c>
      <c r="F11" s="32">
        <v>0</v>
      </c>
      <c r="G11" s="17">
        <v>200</v>
      </c>
      <c r="H11" s="32">
        <v>400</v>
      </c>
      <c r="I11" s="32">
        <v>200</v>
      </c>
      <c r="J11" s="32">
        <v>200</v>
      </c>
      <c r="K11" s="32">
        <v>300</v>
      </c>
      <c r="L11" s="32">
        <v>0</v>
      </c>
      <c r="M11" s="32">
        <v>0</v>
      </c>
      <c r="N11" s="32">
        <v>0</v>
      </c>
      <c r="O11" s="32">
        <v>500</v>
      </c>
      <c r="P11" s="32">
        <v>300</v>
      </c>
      <c r="Q11" s="32">
        <v>300</v>
      </c>
      <c r="R11" s="32">
        <v>290</v>
      </c>
      <c r="S11" s="32">
        <v>0</v>
      </c>
      <c r="T11" s="32">
        <v>0</v>
      </c>
    </row>
    <row r="12" spans="1:20">
      <c r="A12" s="30">
        <v>1233761</v>
      </c>
      <c r="B12" s="32">
        <v>0</v>
      </c>
      <c r="C12" s="32">
        <v>250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150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</row>
    <row r="13" spans="1:20">
      <c r="A13" s="30">
        <v>1239651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17">
        <v>205</v>
      </c>
      <c r="H13" s="32">
        <v>0</v>
      </c>
      <c r="I13" s="32">
        <v>0</v>
      </c>
      <c r="J13" s="32">
        <v>300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400</v>
      </c>
      <c r="R13" s="32">
        <v>0</v>
      </c>
      <c r="S13" s="32">
        <v>0</v>
      </c>
      <c r="T13" s="32">
        <v>0</v>
      </c>
    </row>
    <row r="14" spans="1:20">
      <c r="A14" s="30">
        <v>1239988</v>
      </c>
      <c r="B14" s="32">
        <v>356</v>
      </c>
      <c r="C14" s="32">
        <v>454</v>
      </c>
      <c r="D14" s="32">
        <v>454</v>
      </c>
      <c r="E14" s="32">
        <v>0</v>
      </c>
      <c r="F14" s="32">
        <v>0</v>
      </c>
      <c r="G14" s="17">
        <v>454</v>
      </c>
      <c r="H14" s="32">
        <v>454</v>
      </c>
      <c r="I14" s="32">
        <v>356</v>
      </c>
      <c r="J14" s="32">
        <v>478</v>
      </c>
      <c r="K14" s="32">
        <v>454</v>
      </c>
      <c r="L14" s="32">
        <v>0</v>
      </c>
      <c r="M14" s="32">
        <v>0</v>
      </c>
      <c r="N14" s="32">
        <v>174</v>
      </c>
      <c r="O14" s="32">
        <v>120</v>
      </c>
      <c r="P14" s="32">
        <v>336</v>
      </c>
      <c r="Q14" s="32">
        <v>454</v>
      </c>
      <c r="R14" s="32">
        <v>454</v>
      </c>
      <c r="S14" s="32">
        <v>0</v>
      </c>
      <c r="T14" s="32">
        <v>0</v>
      </c>
    </row>
    <row r="15" spans="1:20">
      <c r="A15" s="30">
        <v>1240180</v>
      </c>
      <c r="B15" s="32">
        <v>280</v>
      </c>
      <c r="C15" s="32">
        <v>358</v>
      </c>
      <c r="D15" s="32">
        <v>358</v>
      </c>
      <c r="E15" s="32">
        <v>0</v>
      </c>
      <c r="F15" s="32">
        <v>0</v>
      </c>
      <c r="G15" s="17">
        <v>358</v>
      </c>
      <c r="H15" s="32">
        <v>358</v>
      </c>
      <c r="I15" s="32">
        <v>280</v>
      </c>
      <c r="J15" s="32">
        <v>358</v>
      </c>
      <c r="K15" s="32">
        <v>358</v>
      </c>
      <c r="L15" s="32">
        <v>0</v>
      </c>
      <c r="M15" s="32">
        <v>0</v>
      </c>
      <c r="N15" s="32">
        <v>666</v>
      </c>
      <c r="O15" s="32">
        <v>188</v>
      </c>
      <c r="P15" s="32">
        <v>212</v>
      </c>
      <c r="Q15" s="32">
        <v>64</v>
      </c>
      <c r="R15" s="32">
        <v>358</v>
      </c>
      <c r="S15" s="32">
        <v>0</v>
      </c>
      <c r="T15" s="32">
        <v>0</v>
      </c>
    </row>
    <row r="16" spans="1:20">
      <c r="A16" s="30">
        <v>1240184</v>
      </c>
      <c r="B16" s="32">
        <v>280</v>
      </c>
      <c r="C16" s="32">
        <v>358</v>
      </c>
      <c r="D16" s="32">
        <v>358</v>
      </c>
      <c r="E16" s="32">
        <v>0</v>
      </c>
      <c r="F16" s="32">
        <v>0</v>
      </c>
      <c r="G16" s="17">
        <v>358</v>
      </c>
      <c r="H16" s="32">
        <v>358</v>
      </c>
      <c r="I16" s="32">
        <v>280</v>
      </c>
      <c r="J16" s="32">
        <v>358</v>
      </c>
      <c r="K16" s="32">
        <v>308</v>
      </c>
      <c r="L16" s="32">
        <v>0</v>
      </c>
      <c r="M16" s="32">
        <v>0</v>
      </c>
      <c r="N16" s="32">
        <v>616</v>
      </c>
      <c r="O16" s="32">
        <v>188</v>
      </c>
      <c r="P16" s="32">
        <v>212</v>
      </c>
      <c r="Q16" s="32">
        <v>64</v>
      </c>
      <c r="R16" s="32">
        <v>358</v>
      </c>
      <c r="S16" s="32">
        <v>0</v>
      </c>
      <c r="T16" s="32">
        <v>0</v>
      </c>
    </row>
    <row r="17" spans="1:20">
      <c r="A17" s="30">
        <v>1240308</v>
      </c>
      <c r="B17" s="32">
        <v>0</v>
      </c>
      <c r="C17" s="32">
        <v>350</v>
      </c>
      <c r="D17" s="32">
        <v>200</v>
      </c>
      <c r="E17" s="32">
        <v>0</v>
      </c>
      <c r="F17" s="32">
        <v>0</v>
      </c>
      <c r="G17" s="32">
        <v>0</v>
      </c>
      <c r="H17" s="32">
        <v>450</v>
      </c>
      <c r="I17" s="32">
        <v>300</v>
      </c>
      <c r="J17" s="32">
        <v>0</v>
      </c>
      <c r="K17" s="32">
        <v>0</v>
      </c>
      <c r="L17" s="32">
        <v>0</v>
      </c>
      <c r="M17" s="32">
        <v>0</v>
      </c>
      <c r="N17" s="32">
        <v>400</v>
      </c>
      <c r="O17" s="32">
        <v>350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</row>
    <row r="20" spans="1:20">
      <c r="A20" s="74" t="s">
        <v>0</v>
      </c>
      <c r="B20" s="69" t="s">
        <v>749</v>
      </c>
      <c r="C20" s="69" t="s">
        <v>750</v>
      </c>
      <c r="D20" s="69" t="s">
        <v>751</v>
      </c>
      <c r="E20" s="69" t="s">
        <v>752</v>
      </c>
      <c r="F20" s="70" t="s">
        <v>753</v>
      </c>
      <c r="G20" s="69" t="s">
        <v>757</v>
      </c>
      <c r="H20" s="69" t="s">
        <v>758</v>
      </c>
      <c r="I20" s="69" t="s">
        <v>759</v>
      </c>
      <c r="J20" s="69" t="s">
        <v>760</v>
      </c>
      <c r="K20" s="69" t="s">
        <v>761</v>
      </c>
      <c r="L20" s="69" t="s">
        <v>762</v>
      </c>
      <c r="M20" s="70" t="s">
        <v>763</v>
      </c>
      <c r="N20" s="69" t="s">
        <v>766</v>
      </c>
      <c r="O20" s="69" t="s">
        <v>767</v>
      </c>
      <c r="P20" s="69" t="s">
        <v>768</v>
      </c>
      <c r="Q20" s="69" t="s">
        <v>769</v>
      </c>
      <c r="R20" s="69" t="s">
        <v>770</v>
      </c>
      <c r="S20" s="69" t="s">
        <v>771</v>
      </c>
      <c r="T20" s="70" t="s">
        <v>772</v>
      </c>
    </row>
    <row r="21" spans="1:20">
      <c r="A21" s="30">
        <v>1237608</v>
      </c>
      <c r="B21" s="32">
        <v>250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</row>
    <row r="22" spans="1:20">
      <c r="A22" s="30">
        <v>1232846</v>
      </c>
      <c r="B22" s="32">
        <v>352</v>
      </c>
      <c r="C22" s="32">
        <v>21</v>
      </c>
      <c r="D22" s="32">
        <v>0</v>
      </c>
      <c r="E22" s="32">
        <v>0</v>
      </c>
      <c r="F22" s="32">
        <v>0</v>
      </c>
      <c r="G22" s="32">
        <v>0</v>
      </c>
      <c r="H22" s="32">
        <v>403</v>
      </c>
      <c r="I22" s="32">
        <v>352</v>
      </c>
      <c r="J22" s="32">
        <v>449</v>
      </c>
      <c r="K22" s="32">
        <v>2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</row>
    <row r="23" spans="1:20">
      <c r="A23" s="30">
        <v>1232895</v>
      </c>
      <c r="B23" s="32">
        <v>352</v>
      </c>
      <c r="C23" s="32">
        <v>21</v>
      </c>
      <c r="D23" s="32">
        <v>0</v>
      </c>
      <c r="E23" s="32">
        <v>0</v>
      </c>
      <c r="F23" s="32">
        <v>0</v>
      </c>
      <c r="G23" s="32">
        <v>0</v>
      </c>
      <c r="H23" s="32">
        <v>403</v>
      </c>
      <c r="I23" s="32">
        <v>352</v>
      </c>
      <c r="J23" s="32">
        <v>449</v>
      </c>
      <c r="K23" s="32">
        <v>2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</row>
    <row r="24" spans="1:20">
      <c r="A24" s="30">
        <v>1233384</v>
      </c>
      <c r="B24" s="32">
        <v>352</v>
      </c>
      <c r="C24" s="32">
        <v>21</v>
      </c>
      <c r="D24" s="32">
        <v>0</v>
      </c>
      <c r="E24" s="32">
        <v>0</v>
      </c>
      <c r="F24" s="32">
        <v>0</v>
      </c>
      <c r="G24" s="32">
        <v>0</v>
      </c>
      <c r="H24" s="32">
        <v>403</v>
      </c>
      <c r="I24" s="32">
        <v>352</v>
      </c>
      <c r="J24" s="32">
        <v>449</v>
      </c>
      <c r="K24" s="32">
        <v>2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</row>
    <row r="25" spans="1:20">
      <c r="A25" s="30">
        <v>1233165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250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</row>
    <row r="26" spans="1:20">
      <c r="A26" s="30">
        <v>1236387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79">
        <v>411</v>
      </c>
      <c r="H26" s="79">
        <v>325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426</v>
      </c>
      <c r="O26" s="32">
        <v>71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</row>
    <row r="27" spans="1:20">
      <c r="A27" s="30">
        <v>1232775</v>
      </c>
      <c r="B27" s="32">
        <v>243</v>
      </c>
      <c r="C27" s="32">
        <v>309</v>
      </c>
      <c r="D27" s="32">
        <v>309</v>
      </c>
      <c r="E27" s="32">
        <v>0</v>
      </c>
      <c r="F27" s="32">
        <v>0</v>
      </c>
      <c r="G27" s="79">
        <v>298</v>
      </c>
      <c r="H27" s="79">
        <v>8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251</v>
      </c>
      <c r="P27" s="32">
        <v>92</v>
      </c>
      <c r="Q27" s="32">
        <v>309</v>
      </c>
      <c r="R27" s="32">
        <v>276</v>
      </c>
      <c r="S27" s="32">
        <v>0</v>
      </c>
      <c r="T27" s="32">
        <v>0</v>
      </c>
    </row>
    <row r="28" spans="1:20">
      <c r="A28" s="30">
        <v>1238605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42</v>
      </c>
      <c r="I28" s="32">
        <v>187</v>
      </c>
      <c r="J28" s="32">
        <v>182</v>
      </c>
      <c r="K28" s="32">
        <v>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</row>
    <row r="29" spans="1:20">
      <c r="A29" s="30">
        <v>1230685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28</v>
      </c>
      <c r="Q29" s="32">
        <v>122</v>
      </c>
      <c r="R29" s="32">
        <v>0</v>
      </c>
      <c r="S29" s="32">
        <v>0</v>
      </c>
      <c r="T29" s="32">
        <v>0</v>
      </c>
    </row>
    <row r="33" spans="1:20">
      <c r="A33" s="5" t="s">
        <v>0</v>
      </c>
      <c r="B33" s="9" t="s">
        <v>749</v>
      </c>
      <c r="C33" s="9" t="s">
        <v>750</v>
      </c>
      <c r="D33" s="9" t="s">
        <v>751</v>
      </c>
      <c r="E33" s="9" t="s">
        <v>752</v>
      </c>
      <c r="F33" s="9" t="s">
        <v>753</v>
      </c>
      <c r="G33" s="9" t="s">
        <v>757</v>
      </c>
      <c r="H33" s="9" t="s">
        <v>758</v>
      </c>
      <c r="I33" s="9" t="s">
        <v>759</v>
      </c>
      <c r="J33" s="9" t="s">
        <v>760</v>
      </c>
      <c r="K33" s="9" t="s">
        <v>761</v>
      </c>
      <c r="L33" s="9" t="s">
        <v>762</v>
      </c>
      <c r="M33" s="9" t="s">
        <v>763</v>
      </c>
      <c r="N33" s="9" t="s">
        <v>766</v>
      </c>
      <c r="O33" s="9" t="s">
        <v>767</v>
      </c>
      <c r="P33" s="9" t="s">
        <v>768</v>
      </c>
      <c r="Q33" s="9" t="s">
        <v>769</v>
      </c>
      <c r="R33" s="9" t="s">
        <v>770</v>
      </c>
      <c r="S33" s="9" t="s">
        <v>771</v>
      </c>
      <c r="T33" s="9" t="s">
        <v>772</v>
      </c>
    </row>
    <row r="34" spans="1:20">
      <c r="A34" s="5">
        <v>1230692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250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</row>
    <row r="35" spans="1:20">
      <c r="A35" s="5">
        <v>1221967</v>
      </c>
      <c r="B35" s="9">
        <v>176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383</v>
      </c>
      <c r="Q35" s="9">
        <v>400</v>
      </c>
      <c r="R35" s="9">
        <v>0</v>
      </c>
      <c r="S35" s="9">
        <v>0</v>
      </c>
      <c r="T35" s="9">
        <v>0</v>
      </c>
    </row>
    <row r="36" spans="1:20">
      <c r="A36" s="5">
        <v>1227306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118</v>
      </c>
      <c r="H36" s="18">
        <v>487</v>
      </c>
      <c r="I36" s="9">
        <v>378</v>
      </c>
      <c r="J36" s="9">
        <v>177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</row>
    <row r="37" spans="1:20">
      <c r="A37" s="5">
        <v>1231090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200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207</v>
      </c>
      <c r="Q37" s="9">
        <v>551</v>
      </c>
      <c r="R37" s="9">
        <v>382</v>
      </c>
      <c r="S37" s="9">
        <v>0</v>
      </c>
      <c r="T37" s="9">
        <v>0</v>
      </c>
    </row>
    <row r="38" spans="1:20">
      <c r="A38" s="5">
        <v>1229776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200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</row>
    <row r="39" spans="1:20">
      <c r="A39" s="5">
        <v>1225464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28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</row>
    <row r="40" spans="1:20">
      <c r="A40" s="5">
        <v>1234222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276</v>
      </c>
      <c r="K40" s="9">
        <v>202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</row>
    <row r="41" spans="1:20">
      <c r="A41" s="5">
        <v>1232528</v>
      </c>
      <c r="B41" s="9">
        <v>539</v>
      </c>
      <c r="C41" s="9">
        <v>651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271</v>
      </c>
      <c r="R41" s="9">
        <v>678</v>
      </c>
      <c r="S41" s="9">
        <v>0</v>
      </c>
      <c r="T41" s="9">
        <v>0</v>
      </c>
    </row>
    <row r="42" spans="1:20">
      <c r="A42" s="5">
        <v>1233587</v>
      </c>
      <c r="B42" s="9">
        <v>10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</row>
    <row r="43" spans="1:20">
      <c r="A43" s="5">
        <v>1232846</v>
      </c>
      <c r="B43" s="9">
        <v>0</v>
      </c>
      <c r="C43" s="9">
        <v>34</v>
      </c>
      <c r="D43" s="9">
        <v>142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1</v>
      </c>
      <c r="O43" s="9">
        <v>0</v>
      </c>
      <c r="P43" s="9">
        <v>0</v>
      </c>
      <c r="Q43" s="9">
        <v>265</v>
      </c>
      <c r="R43" s="9">
        <v>0</v>
      </c>
      <c r="S43" s="9">
        <v>0</v>
      </c>
      <c r="T43" s="9">
        <v>0</v>
      </c>
    </row>
    <row r="44" spans="1:20">
      <c r="A44" s="5">
        <v>1229050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75</v>
      </c>
      <c r="P44" s="9">
        <v>105</v>
      </c>
      <c r="Q44" s="9">
        <v>0</v>
      </c>
      <c r="R44" s="9">
        <v>0</v>
      </c>
      <c r="S44" s="9">
        <v>0</v>
      </c>
      <c r="T44" s="9">
        <v>0</v>
      </c>
    </row>
    <row r="45" spans="1:20">
      <c r="A45" s="5">
        <v>1233383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113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</row>
    <row r="46" spans="1:20">
      <c r="A46" s="5">
        <v>1220847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126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0">
      <c r="A47" s="5">
        <v>1233735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90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</row>
    <row r="48" spans="1:20">
      <c r="A48" s="5">
        <v>1234034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40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</row>
    <row r="49" spans="1:20">
      <c r="A49" s="5">
        <v>1221254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18">
        <v>150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</row>
    <row r="50" spans="1:20">
      <c r="A50" s="5">
        <v>1234217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220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</row>
    <row r="51" spans="1:20">
      <c r="A51" s="5">
        <v>1234111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220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</row>
    <row r="52" spans="1:20">
      <c r="A52" s="5">
        <v>1234110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220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</row>
    <row r="53" spans="1:20">
      <c r="A53" s="5">
        <v>1235097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206</v>
      </c>
      <c r="K53" s="9">
        <v>343</v>
      </c>
      <c r="L53" s="9">
        <v>0</v>
      </c>
      <c r="M53" s="9">
        <v>0</v>
      </c>
      <c r="N53" s="9">
        <v>343</v>
      </c>
      <c r="O53" s="9">
        <v>307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</row>
    <row r="54" spans="1:20">
      <c r="A54" s="5">
        <v>1236619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10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</row>
    <row r="55" spans="1:20">
      <c r="A55" s="5">
        <v>1236930</v>
      </c>
      <c r="B55" s="9">
        <v>264</v>
      </c>
      <c r="C55" s="9">
        <v>339</v>
      </c>
      <c r="D55" s="9">
        <v>339</v>
      </c>
      <c r="E55" s="9">
        <v>0</v>
      </c>
      <c r="F55" s="9">
        <v>0</v>
      </c>
      <c r="G55" s="9">
        <v>130</v>
      </c>
      <c r="H55" s="18">
        <v>339</v>
      </c>
      <c r="I55" s="9">
        <v>267</v>
      </c>
      <c r="J55" s="9">
        <v>254</v>
      </c>
      <c r="K55" s="9">
        <v>16</v>
      </c>
      <c r="L55" s="9">
        <v>0</v>
      </c>
      <c r="M55" s="9">
        <v>0</v>
      </c>
      <c r="N55" s="9">
        <v>352</v>
      </c>
      <c r="O55" s="9">
        <v>334</v>
      </c>
      <c r="P55" s="9">
        <v>276</v>
      </c>
      <c r="Q55" s="9">
        <v>0</v>
      </c>
      <c r="R55" s="9">
        <v>0</v>
      </c>
      <c r="S55" s="9">
        <v>0</v>
      </c>
      <c r="T55" s="9">
        <v>0</v>
      </c>
    </row>
    <row r="56" spans="1:20">
      <c r="A56" s="5">
        <v>1237468</v>
      </c>
      <c r="B56" s="9">
        <v>87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5">
        <v>1237457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10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</row>
    <row r="58" spans="1:20">
      <c r="A58" s="5">
        <v>1234905</v>
      </c>
      <c r="B58" s="9">
        <v>383</v>
      </c>
      <c r="C58" s="9">
        <v>40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700</v>
      </c>
      <c r="S58" s="9">
        <v>0</v>
      </c>
      <c r="T58" s="9">
        <v>0</v>
      </c>
    </row>
    <row r="59" spans="1:20">
      <c r="A59" s="5">
        <v>1238480</v>
      </c>
      <c r="B59" s="9">
        <v>914</v>
      </c>
      <c r="C59" s="9">
        <v>1303</v>
      </c>
      <c r="D59" s="9">
        <v>1269</v>
      </c>
      <c r="E59" s="9">
        <v>0</v>
      </c>
      <c r="F59" s="9">
        <v>0</v>
      </c>
      <c r="G59" s="18">
        <v>1648</v>
      </c>
      <c r="H59" s="9">
        <v>643</v>
      </c>
      <c r="I59" s="9">
        <v>1015</v>
      </c>
      <c r="J59" s="9">
        <v>1216</v>
      </c>
      <c r="K59" s="9">
        <v>1739</v>
      </c>
      <c r="L59" s="9">
        <v>0</v>
      </c>
      <c r="M59" s="9">
        <v>0</v>
      </c>
      <c r="N59" s="9">
        <v>1316</v>
      </c>
      <c r="O59" s="9">
        <v>1672</v>
      </c>
      <c r="P59" s="9">
        <v>1258</v>
      </c>
      <c r="Q59" s="9">
        <v>1180</v>
      </c>
      <c r="R59" s="9">
        <v>863</v>
      </c>
      <c r="S59" s="9">
        <v>0</v>
      </c>
      <c r="T59" s="9">
        <v>0</v>
      </c>
    </row>
    <row r="60" spans="1:20">
      <c r="A60" s="5">
        <v>1238453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76</v>
      </c>
      <c r="K60" s="9">
        <v>311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</row>
    <row r="61" spans="1:20">
      <c r="A61" s="5">
        <v>1232775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431</v>
      </c>
      <c r="L61" s="9">
        <v>0</v>
      </c>
      <c r="M61" s="9">
        <v>0</v>
      </c>
      <c r="N61" s="9">
        <v>298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</row>
    <row r="62" spans="1:20">
      <c r="A62" s="5">
        <v>1240029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18">
        <v>415</v>
      </c>
      <c r="H62" s="9">
        <v>183</v>
      </c>
      <c r="I62" s="9">
        <v>350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</row>
    <row r="63" spans="1:20">
      <c r="A63" s="5">
        <v>1240032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18">
        <v>415</v>
      </c>
      <c r="H63" s="9">
        <v>183</v>
      </c>
      <c r="I63" s="9">
        <v>350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</row>
    <row r="64" spans="1:20">
      <c r="A64" s="5">
        <v>1240180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300</v>
      </c>
      <c r="R64" s="9">
        <v>300</v>
      </c>
      <c r="S64" s="9">
        <v>0</v>
      </c>
      <c r="T64" s="9">
        <v>0</v>
      </c>
    </row>
    <row r="65" spans="1:20">
      <c r="A65" s="5">
        <v>1240184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300</v>
      </c>
      <c r="R65" s="9">
        <v>300</v>
      </c>
      <c r="S65" s="9">
        <v>0</v>
      </c>
      <c r="T65" s="9">
        <v>0</v>
      </c>
    </row>
    <row r="66" spans="1:20">
      <c r="A66" s="5">
        <v>1216452</v>
      </c>
      <c r="B66" s="9">
        <v>173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374</v>
      </c>
      <c r="R66" s="9">
        <v>144</v>
      </c>
      <c r="S66" s="9">
        <v>0</v>
      </c>
      <c r="T66" s="9">
        <v>0</v>
      </c>
    </row>
    <row r="67" spans="1:20">
      <c r="A67" s="5">
        <v>1231011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310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</row>
    <row r="68" spans="1:20">
      <c r="A68" s="5">
        <v>1232894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264</v>
      </c>
      <c r="R68" s="9">
        <v>0</v>
      </c>
      <c r="S68" s="9">
        <v>0</v>
      </c>
      <c r="T68" s="9">
        <v>0</v>
      </c>
    </row>
    <row r="69" spans="1:20">
      <c r="A69" s="5">
        <v>1233385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264</v>
      </c>
      <c r="R69" s="9">
        <v>0</v>
      </c>
      <c r="S69" s="9">
        <v>0</v>
      </c>
      <c r="T69" s="9">
        <v>0</v>
      </c>
    </row>
    <row r="70" spans="1:20">
      <c r="A70" s="5">
        <v>1232895</v>
      </c>
      <c r="B70" s="9">
        <v>0</v>
      </c>
      <c r="C70" s="9">
        <v>34</v>
      </c>
      <c r="D70" s="9">
        <v>142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1</v>
      </c>
      <c r="O70" s="9">
        <v>0</v>
      </c>
      <c r="P70" s="9">
        <v>0</v>
      </c>
      <c r="Q70" s="9">
        <v>1</v>
      </c>
      <c r="R70" s="9">
        <v>0</v>
      </c>
      <c r="S70" s="9">
        <v>0</v>
      </c>
      <c r="T70" s="9">
        <v>0</v>
      </c>
    </row>
    <row r="71" spans="1:20">
      <c r="A71" s="5">
        <v>1232922</v>
      </c>
      <c r="B71" s="9">
        <v>0</v>
      </c>
      <c r="C71" s="9">
        <v>34</v>
      </c>
      <c r="D71" s="9">
        <v>142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</row>
    <row r="72" spans="1:20">
      <c r="A72" s="5">
        <v>1233580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72</v>
      </c>
      <c r="I72" s="9">
        <v>58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</row>
    <row r="73" spans="1:20">
      <c r="A73" s="5">
        <v>1233387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1</v>
      </c>
      <c r="O73" s="9">
        <v>0</v>
      </c>
      <c r="P73" s="9">
        <v>0</v>
      </c>
      <c r="Q73" s="9">
        <v>1</v>
      </c>
      <c r="R73" s="9">
        <v>0</v>
      </c>
      <c r="S73" s="9">
        <v>0</v>
      </c>
      <c r="T73" s="9">
        <v>0</v>
      </c>
    </row>
  </sheetData>
  <autoFilter ref="A1:T17" xr:uid="{AA3D6D64-5C08-4AB3-BE1B-33C113FA9DB3}"/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FFA1-FF0C-4589-8DAD-16289DFE27BB}">
  <sheetPr>
    <tabColor rgb="FFFFFF00"/>
  </sheetPr>
  <dimension ref="B2:P104"/>
  <sheetViews>
    <sheetView zoomScale="160" zoomScaleNormal="160" workbookViewId="0">
      <pane xSplit="2" ySplit="3" topLeftCell="C81" activePane="bottomRight" state="frozen"/>
      <selection pane="topRight" activeCell="C1" sqref="C1"/>
      <selection pane="bottomLeft" activeCell="A7" sqref="A7"/>
      <selection pane="bottomRight" activeCell="B84" sqref="A84:XFD84"/>
    </sheetView>
  </sheetViews>
  <sheetFormatPr defaultColWidth="9.33203125" defaultRowHeight="12"/>
  <cols>
    <col min="1" max="1" width="9.5" style="5" bestFit="1" customWidth="1"/>
    <col min="2" max="2" width="10.1640625" style="19" bestFit="1" customWidth="1"/>
    <col min="3" max="12" width="8.1640625" style="108" customWidth="1"/>
    <col min="13" max="13" width="9.33203125" style="108"/>
    <col min="14" max="16" width="0" style="5" hidden="1" customWidth="1"/>
    <col min="17" max="16384" width="9.33203125" style="5"/>
  </cols>
  <sheetData>
    <row r="2" spans="2:16" s="8" customFormat="1">
      <c r="B2" s="8" t="s">
        <v>0</v>
      </c>
      <c r="C2" s="125" t="s">
        <v>721</v>
      </c>
      <c r="D2" s="125" t="s">
        <v>723</v>
      </c>
      <c r="E2" s="125" t="s">
        <v>725</v>
      </c>
      <c r="F2" s="125" t="s">
        <v>727</v>
      </c>
      <c r="G2" s="125" t="s">
        <v>731</v>
      </c>
      <c r="H2" s="125" t="s">
        <v>736</v>
      </c>
      <c r="I2" s="125" t="s">
        <v>745</v>
      </c>
      <c r="J2" s="125" t="s">
        <v>754</v>
      </c>
      <c r="K2" s="125" t="s">
        <v>764</v>
      </c>
      <c r="L2" s="125" t="s">
        <v>773</v>
      </c>
      <c r="M2" s="125"/>
    </row>
    <row r="3" spans="2:16" s="8" customFormat="1">
      <c r="C3" s="125" t="s">
        <v>722</v>
      </c>
      <c r="D3" s="125" t="s">
        <v>724</v>
      </c>
      <c r="E3" s="125" t="s">
        <v>726</v>
      </c>
      <c r="F3" s="125" t="s">
        <v>728</v>
      </c>
      <c r="G3" s="125" t="s">
        <v>732</v>
      </c>
      <c r="H3" s="125" t="s">
        <v>737</v>
      </c>
      <c r="I3" s="125" t="s">
        <v>746</v>
      </c>
      <c r="J3" s="125" t="s">
        <v>755</v>
      </c>
      <c r="K3" s="125" t="s">
        <v>765</v>
      </c>
      <c r="L3" s="125" t="s">
        <v>774</v>
      </c>
      <c r="M3" s="125"/>
      <c r="N3" s="126">
        <v>46036</v>
      </c>
      <c r="O3" s="126">
        <v>46029</v>
      </c>
    </row>
    <row r="4" spans="2:16">
      <c r="B4" s="19">
        <v>1226384</v>
      </c>
      <c r="C4" s="108">
        <v>1060</v>
      </c>
      <c r="D4" s="108">
        <v>0</v>
      </c>
      <c r="E4" s="108">
        <v>0</v>
      </c>
      <c r="F4" s="108">
        <v>0</v>
      </c>
      <c r="G4" s="108">
        <v>1060</v>
      </c>
      <c r="H4" s="108">
        <v>600</v>
      </c>
      <c r="I4" s="108">
        <v>300</v>
      </c>
      <c r="J4" s="108">
        <v>400</v>
      </c>
      <c r="K4" s="108">
        <v>200</v>
      </c>
      <c r="L4" s="108">
        <v>0</v>
      </c>
      <c r="N4" s="78">
        <f>SUM(C4:K4)</f>
        <v>3620</v>
      </c>
      <c r="O4" s="5">
        <f>VLOOKUP(B4,'0107 W12'!B9:R131,17,0)</f>
        <v>2560</v>
      </c>
      <c r="P4" s="78">
        <f>+N4-O4</f>
        <v>1060</v>
      </c>
    </row>
    <row r="5" spans="2:16">
      <c r="B5" s="19">
        <v>1226388</v>
      </c>
      <c r="C5" s="108">
        <v>1060</v>
      </c>
      <c r="D5" s="108">
        <v>0</v>
      </c>
      <c r="E5" s="108">
        <v>0</v>
      </c>
      <c r="F5" s="108">
        <v>0</v>
      </c>
      <c r="G5" s="108">
        <v>1060</v>
      </c>
      <c r="H5" s="108">
        <v>600</v>
      </c>
      <c r="I5" s="108">
        <v>300</v>
      </c>
      <c r="J5" s="108">
        <v>400</v>
      </c>
      <c r="K5" s="108">
        <v>200</v>
      </c>
      <c r="L5" s="108">
        <v>0</v>
      </c>
      <c r="N5" s="78">
        <f t="shared" ref="N5:N68" si="0">SUM(C5:K5)</f>
        <v>3620</v>
      </c>
      <c r="O5" s="5">
        <f>VLOOKUP(B5,'0107 W12'!B10:R132,17,0)</f>
        <v>2560</v>
      </c>
      <c r="P5" s="78">
        <f t="shared" ref="P5:P38" si="1">+N5-O5</f>
        <v>1060</v>
      </c>
    </row>
    <row r="6" spans="2:16">
      <c r="B6" s="19">
        <v>1227431</v>
      </c>
      <c r="C6" s="108">
        <v>0</v>
      </c>
      <c r="D6" s="108">
        <v>96</v>
      </c>
      <c r="E6" s="108">
        <v>0</v>
      </c>
      <c r="F6" s="108">
        <v>0</v>
      </c>
      <c r="G6" s="108">
        <v>0</v>
      </c>
      <c r="H6" s="108">
        <v>0</v>
      </c>
      <c r="I6" s="108">
        <v>0</v>
      </c>
      <c r="J6" s="108">
        <v>0</v>
      </c>
      <c r="K6" s="108">
        <v>0</v>
      </c>
      <c r="L6" s="108">
        <v>0</v>
      </c>
      <c r="N6" s="78">
        <f t="shared" si="0"/>
        <v>96</v>
      </c>
      <c r="O6" s="5">
        <f>VLOOKUP(B6,'0107 W12'!B11:R133,17,0)</f>
        <v>96</v>
      </c>
      <c r="P6" s="78">
        <f t="shared" si="1"/>
        <v>0</v>
      </c>
    </row>
    <row r="7" spans="2:16">
      <c r="B7" s="19">
        <v>1227433</v>
      </c>
      <c r="C7" s="108">
        <v>0</v>
      </c>
      <c r="D7" s="108">
        <v>96</v>
      </c>
      <c r="E7" s="108">
        <v>0</v>
      </c>
      <c r="F7" s="108">
        <v>0</v>
      </c>
      <c r="G7" s="108">
        <v>0</v>
      </c>
      <c r="H7" s="108">
        <v>0</v>
      </c>
      <c r="I7" s="108">
        <v>0</v>
      </c>
      <c r="J7" s="108">
        <v>0</v>
      </c>
      <c r="K7" s="108">
        <v>0</v>
      </c>
      <c r="L7" s="108">
        <v>0</v>
      </c>
      <c r="N7" s="78">
        <f t="shared" si="0"/>
        <v>96</v>
      </c>
      <c r="O7" s="5">
        <f>VLOOKUP(B7,'0107 W12'!B12:R134,17,0)</f>
        <v>96</v>
      </c>
      <c r="P7" s="78">
        <f t="shared" si="1"/>
        <v>0</v>
      </c>
    </row>
    <row r="8" spans="2:16">
      <c r="B8" s="19">
        <v>1229673</v>
      </c>
      <c r="C8" s="108">
        <v>950</v>
      </c>
      <c r="D8" s="108">
        <v>800</v>
      </c>
      <c r="E8" s="108">
        <v>600</v>
      </c>
      <c r="F8" s="108">
        <v>600</v>
      </c>
      <c r="G8" s="108">
        <v>900</v>
      </c>
      <c r="H8" s="108">
        <v>1000</v>
      </c>
      <c r="I8" s="108">
        <v>1000</v>
      </c>
      <c r="J8" s="108">
        <v>900</v>
      </c>
      <c r="K8" s="108">
        <v>1300</v>
      </c>
      <c r="L8" s="108">
        <v>700</v>
      </c>
      <c r="N8" s="78">
        <f t="shared" si="0"/>
        <v>8050</v>
      </c>
      <c r="O8" s="5">
        <f>VLOOKUP(B8,'0107 W12'!B13:R135,17,0)</f>
        <v>7900</v>
      </c>
      <c r="P8" s="78">
        <f t="shared" si="1"/>
        <v>150</v>
      </c>
    </row>
    <row r="9" spans="2:16">
      <c r="B9" s="19">
        <v>1230692</v>
      </c>
      <c r="C9" s="108">
        <v>1000</v>
      </c>
      <c r="D9" s="108">
        <v>1000</v>
      </c>
      <c r="E9" s="108">
        <v>0</v>
      </c>
      <c r="F9" s="108">
        <v>1000</v>
      </c>
      <c r="G9" s="108">
        <v>700</v>
      </c>
      <c r="H9" s="108">
        <v>600</v>
      </c>
      <c r="I9" s="108">
        <v>700</v>
      </c>
      <c r="J9" s="108">
        <v>600</v>
      </c>
      <c r="K9" s="108">
        <v>1400</v>
      </c>
      <c r="L9" s="108">
        <v>800</v>
      </c>
      <c r="N9" s="78">
        <f t="shared" si="0"/>
        <v>7000</v>
      </c>
      <c r="O9" s="5">
        <f>VLOOKUP(B9,'0107 W12'!B14:R136,17,0)</f>
        <v>7000</v>
      </c>
      <c r="P9" s="78">
        <f t="shared" si="1"/>
        <v>0</v>
      </c>
    </row>
    <row r="10" spans="2:16">
      <c r="B10" s="19">
        <v>1230696</v>
      </c>
      <c r="C10" s="108">
        <v>200</v>
      </c>
      <c r="D10" s="108">
        <v>200</v>
      </c>
      <c r="E10" s="108">
        <v>100</v>
      </c>
      <c r="F10" s="108">
        <v>0</v>
      </c>
      <c r="G10" s="108">
        <v>0</v>
      </c>
      <c r="H10" s="108">
        <v>200</v>
      </c>
      <c r="I10" s="108">
        <v>200</v>
      </c>
      <c r="J10" s="108">
        <v>0</v>
      </c>
      <c r="K10" s="108">
        <v>0</v>
      </c>
      <c r="L10" s="108">
        <v>200</v>
      </c>
      <c r="N10" s="78">
        <f t="shared" si="0"/>
        <v>900</v>
      </c>
      <c r="O10" s="5">
        <f>VLOOKUP(B10,'0107 W12'!B15:R137,17,0)</f>
        <v>1000</v>
      </c>
      <c r="P10" s="78">
        <f t="shared" si="1"/>
        <v>-100</v>
      </c>
    </row>
    <row r="11" spans="2:16">
      <c r="B11" s="19">
        <v>1230854</v>
      </c>
      <c r="C11" s="108">
        <v>0</v>
      </c>
      <c r="D11" s="108">
        <v>100</v>
      </c>
      <c r="E11" s="108">
        <v>0</v>
      </c>
      <c r="F11" s="108">
        <v>0</v>
      </c>
      <c r="G11" s="108">
        <v>0</v>
      </c>
      <c r="H11" s="108">
        <v>0</v>
      </c>
      <c r="I11" s="108">
        <v>200</v>
      </c>
      <c r="J11" s="108">
        <v>0</v>
      </c>
      <c r="K11" s="108">
        <v>0</v>
      </c>
      <c r="L11" s="108">
        <v>0</v>
      </c>
      <c r="N11" s="78">
        <f t="shared" si="0"/>
        <v>300</v>
      </c>
      <c r="O11" s="5">
        <f>VLOOKUP(B11,'0107 W12'!B16:R138,17,0)</f>
        <v>400</v>
      </c>
      <c r="P11" s="78">
        <f t="shared" si="1"/>
        <v>-100</v>
      </c>
    </row>
    <row r="12" spans="2:16">
      <c r="B12" s="19">
        <v>1231202</v>
      </c>
      <c r="C12" s="108">
        <v>0</v>
      </c>
      <c r="D12" s="108">
        <v>0</v>
      </c>
      <c r="E12" s="108">
        <v>0</v>
      </c>
      <c r="F12" s="108">
        <v>0</v>
      </c>
      <c r="G12" s="108">
        <v>150</v>
      </c>
      <c r="H12" s="108">
        <v>0</v>
      </c>
      <c r="I12" s="108">
        <v>0</v>
      </c>
      <c r="J12" s="108">
        <v>0</v>
      </c>
      <c r="K12" s="108">
        <v>0</v>
      </c>
      <c r="L12" s="108">
        <v>0</v>
      </c>
      <c r="N12" s="78">
        <f t="shared" si="0"/>
        <v>150</v>
      </c>
      <c r="O12" s="5">
        <f>VLOOKUP(B12,'0107 W12'!B17:R139,17,0)</f>
        <v>150</v>
      </c>
      <c r="P12" s="78">
        <f t="shared" si="1"/>
        <v>0</v>
      </c>
    </row>
    <row r="13" spans="2:16">
      <c r="B13" s="19">
        <v>1231898</v>
      </c>
      <c r="C13" s="108">
        <v>2240</v>
      </c>
      <c r="D13" s="108">
        <v>2240</v>
      </c>
      <c r="E13" s="108">
        <v>1912</v>
      </c>
      <c r="F13" s="108">
        <v>1344</v>
      </c>
      <c r="G13" s="108">
        <v>1792</v>
      </c>
      <c r="H13" s="108">
        <v>1792</v>
      </c>
      <c r="I13" s="108">
        <v>1792</v>
      </c>
      <c r="J13" s="108">
        <v>1792</v>
      </c>
      <c r="K13" s="108">
        <v>2240</v>
      </c>
      <c r="L13" s="108">
        <v>1792</v>
      </c>
      <c r="N13" s="78">
        <f t="shared" si="0"/>
        <v>17144</v>
      </c>
      <c r="O13" s="5">
        <f>VLOOKUP(B13,'0107 W12'!B18:R140,17,0)</f>
        <v>16248</v>
      </c>
      <c r="P13" s="78">
        <f t="shared" si="1"/>
        <v>896</v>
      </c>
    </row>
    <row r="14" spans="2:16">
      <c r="B14" s="19">
        <v>1233492</v>
      </c>
      <c r="C14" s="108">
        <v>0</v>
      </c>
      <c r="D14" s="108">
        <v>0</v>
      </c>
      <c r="E14" s="108">
        <v>0</v>
      </c>
      <c r="F14" s="108">
        <v>0</v>
      </c>
      <c r="G14" s="108">
        <v>0</v>
      </c>
      <c r="H14" s="108">
        <v>0</v>
      </c>
      <c r="I14" s="108">
        <v>500</v>
      </c>
      <c r="J14" s="108">
        <v>0</v>
      </c>
      <c r="K14" s="108">
        <v>300</v>
      </c>
      <c r="L14" s="108">
        <v>400</v>
      </c>
      <c r="N14" s="78">
        <f t="shared" si="0"/>
        <v>800</v>
      </c>
      <c r="O14" s="5">
        <f>VLOOKUP(B14,'0107 W12'!B19:R141,17,0)</f>
        <v>800</v>
      </c>
      <c r="P14" s="78">
        <f t="shared" si="1"/>
        <v>0</v>
      </c>
    </row>
    <row r="15" spans="2:16">
      <c r="B15" s="19">
        <v>1233498</v>
      </c>
      <c r="C15" s="108">
        <v>0</v>
      </c>
      <c r="D15" s="108">
        <v>0</v>
      </c>
      <c r="E15" s="108">
        <v>0</v>
      </c>
      <c r="F15" s="108">
        <v>0</v>
      </c>
      <c r="G15" s="108">
        <v>0</v>
      </c>
      <c r="H15" s="108">
        <v>0</v>
      </c>
      <c r="I15" s="108">
        <v>500</v>
      </c>
      <c r="J15" s="108">
        <v>0</v>
      </c>
      <c r="K15" s="108">
        <v>300</v>
      </c>
      <c r="L15" s="108">
        <v>400</v>
      </c>
      <c r="N15" s="78">
        <f t="shared" si="0"/>
        <v>800</v>
      </c>
      <c r="O15" s="5">
        <f>VLOOKUP(B15,'0107 W12'!B20:R142,17,0)</f>
        <v>800</v>
      </c>
      <c r="P15" s="78">
        <f t="shared" si="1"/>
        <v>0</v>
      </c>
    </row>
    <row r="16" spans="2:16">
      <c r="B16" s="19">
        <v>1233623</v>
      </c>
      <c r="C16" s="108">
        <v>0</v>
      </c>
      <c r="D16" s="108">
        <v>0</v>
      </c>
      <c r="E16" s="108">
        <v>0</v>
      </c>
      <c r="F16" s="108">
        <v>0</v>
      </c>
      <c r="G16" s="108">
        <v>0</v>
      </c>
      <c r="H16" s="108">
        <v>0</v>
      </c>
      <c r="I16" s="108">
        <v>500</v>
      </c>
      <c r="J16" s="108">
        <v>0</v>
      </c>
      <c r="K16" s="108">
        <v>300</v>
      </c>
      <c r="L16" s="108">
        <v>400</v>
      </c>
      <c r="N16" s="78">
        <f t="shared" si="0"/>
        <v>800</v>
      </c>
      <c r="O16" s="5">
        <f>VLOOKUP(B16,'0107 W12'!B21:R143,17,0)</f>
        <v>800</v>
      </c>
      <c r="P16" s="78">
        <f t="shared" si="1"/>
        <v>0</v>
      </c>
    </row>
    <row r="17" spans="2:16">
      <c r="B17" s="19">
        <v>1233761</v>
      </c>
      <c r="C17" s="108">
        <v>200</v>
      </c>
      <c r="D17" s="108">
        <v>350</v>
      </c>
      <c r="E17" s="108">
        <v>0</v>
      </c>
      <c r="F17" s="108">
        <v>200</v>
      </c>
      <c r="G17" s="108">
        <v>0</v>
      </c>
      <c r="H17" s="108">
        <v>200</v>
      </c>
      <c r="I17" s="108">
        <v>0</v>
      </c>
      <c r="J17" s="108">
        <v>250</v>
      </c>
      <c r="K17" s="108">
        <v>200</v>
      </c>
      <c r="L17" s="108">
        <v>200</v>
      </c>
      <c r="N17" s="78">
        <f t="shared" si="0"/>
        <v>1400</v>
      </c>
      <c r="O17" s="5">
        <f>VLOOKUP(B17,'0107 W12'!B22:R144,17,0)</f>
        <v>1400</v>
      </c>
      <c r="P17" s="78">
        <f t="shared" si="1"/>
        <v>0</v>
      </c>
    </row>
    <row r="18" spans="2:16">
      <c r="B18" s="19">
        <v>1233877</v>
      </c>
      <c r="C18" s="108">
        <v>0</v>
      </c>
      <c r="D18" s="108">
        <v>0</v>
      </c>
      <c r="E18" s="108">
        <v>0</v>
      </c>
      <c r="F18" s="108">
        <v>0</v>
      </c>
      <c r="G18" s="108">
        <v>120</v>
      </c>
      <c r="H18" s="108">
        <v>0</v>
      </c>
      <c r="I18" s="108">
        <v>0</v>
      </c>
      <c r="J18" s="108">
        <v>0</v>
      </c>
      <c r="K18" s="108">
        <v>0</v>
      </c>
      <c r="L18" s="108">
        <v>0</v>
      </c>
      <c r="N18" s="78">
        <f t="shared" si="0"/>
        <v>120</v>
      </c>
      <c r="O18" s="5">
        <f>VLOOKUP(B18,'0107 W12'!B23:R145,17,0)</f>
        <v>120</v>
      </c>
      <c r="P18" s="78">
        <f t="shared" si="1"/>
        <v>0</v>
      </c>
    </row>
    <row r="19" spans="2:16">
      <c r="B19" s="19">
        <v>1234614</v>
      </c>
      <c r="C19" s="108">
        <v>0</v>
      </c>
      <c r="D19" s="108">
        <v>0</v>
      </c>
      <c r="E19" s="108">
        <v>0</v>
      </c>
      <c r="F19" s="108">
        <v>0</v>
      </c>
      <c r="G19" s="108">
        <v>0</v>
      </c>
      <c r="H19" s="108">
        <v>400</v>
      </c>
      <c r="I19" s="108">
        <v>400</v>
      </c>
      <c r="J19" s="108">
        <v>0</v>
      </c>
      <c r="K19" s="108">
        <v>300</v>
      </c>
      <c r="L19" s="108">
        <v>300</v>
      </c>
      <c r="N19" s="78">
        <f t="shared" si="0"/>
        <v>1100</v>
      </c>
      <c r="O19" s="5">
        <f>VLOOKUP(B19,'0107 W12'!B24:R146,17,0)</f>
        <v>1100</v>
      </c>
      <c r="P19" s="78">
        <f t="shared" si="1"/>
        <v>0</v>
      </c>
    </row>
    <row r="20" spans="2:16">
      <c r="B20" s="19">
        <v>1235003</v>
      </c>
      <c r="C20" s="108">
        <v>900</v>
      </c>
      <c r="D20" s="108">
        <v>1300</v>
      </c>
      <c r="E20" s="108">
        <v>550</v>
      </c>
      <c r="F20" s="108">
        <v>650</v>
      </c>
      <c r="G20" s="108">
        <v>600</v>
      </c>
      <c r="H20" s="108">
        <v>1250</v>
      </c>
      <c r="I20" s="108">
        <v>1100</v>
      </c>
      <c r="J20" s="108">
        <v>950</v>
      </c>
      <c r="K20" s="108">
        <v>1150</v>
      </c>
      <c r="L20" s="108">
        <v>1050</v>
      </c>
      <c r="N20" s="78">
        <f t="shared" si="0"/>
        <v>8450</v>
      </c>
      <c r="O20" s="5">
        <f>VLOOKUP(B20,'0107 W12'!B25:R147,17,0)</f>
        <v>8800</v>
      </c>
      <c r="P20" s="78">
        <f t="shared" si="1"/>
        <v>-350</v>
      </c>
    </row>
    <row r="21" spans="2:16">
      <c r="B21" s="19">
        <v>1235058</v>
      </c>
      <c r="C21" s="108">
        <v>150</v>
      </c>
      <c r="D21" s="108">
        <v>200</v>
      </c>
      <c r="E21" s="108">
        <v>100</v>
      </c>
      <c r="F21" s="108">
        <v>100</v>
      </c>
      <c r="G21" s="108">
        <v>0</v>
      </c>
      <c r="H21" s="108">
        <v>250</v>
      </c>
      <c r="I21" s="108">
        <v>200</v>
      </c>
      <c r="J21" s="108">
        <v>250</v>
      </c>
      <c r="K21" s="108">
        <v>150</v>
      </c>
      <c r="L21" s="108">
        <v>250</v>
      </c>
      <c r="N21" s="78">
        <f t="shared" si="0"/>
        <v>1400</v>
      </c>
      <c r="O21" s="5">
        <f>VLOOKUP(B21,'0107 W12'!B26:R148,17,0)</f>
        <v>1450</v>
      </c>
      <c r="P21" s="78">
        <f t="shared" si="1"/>
        <v>-50</v>
      </c>
    </row>
    <row r="22" spans="2:16">
      <c r="B22" s="19">
        <v>1235623</v>
      </c>
      <c r="C22" s="108">
        <v>936</v>
      </c>
      <c r="D22" s="108">
        <v>936</v>
      </c>
      <c r="E22" s="108">
        <v>0</v>
      </c>
      <c r="F22" s="108">
        <v>0</v>
      </c>
      <c r="G22" s="108">
        <v>0</v>
      </c>
      <c r="H22" s="108">
        <v>0</v>
      </c>
      <c r="I22" s="108">
        <v>2808</v>
      </c>
      <c r="J22" s="108">
        <v>0</v>
      </c>
      <c r="K22" s="108">
        <v>0</v>
      </c>
      <c r="L22" s="108">
        <v>0</v>
      </c>
      <c r="N22" s="78">
        <f t="shared" si="0"/>
        <v>4680</v>
      </c>
      <c r="O22" s="5">
        <f>VLOOKUP(B22,'0107 W12'!B27:R149,17,0)</f>
        <v>4680</v>
      </c>
      <c r="P22" s="78">
        <f t="shared" si="1"/>
        <v>0</v>
      </c>
    </row>
    <row r="23" spans="2:16">
      <c r="B23" s="19">
        <v>1236091</v>
      </c>
      <c r="C23" s="108">
        <v>200</v>
      </c>
      <c r="D23" s="108">
        <v>150</v>
      </c>
      <c r="E23" s="108">
        <v>0</v>
      </c>
      <c r="F23" s="108">
        <v>100</v>
      </c>
      <c r="G23" s="108">
        <v>0</v>
      </c>
      <c r="H23" s="108">
        <v>350</v>
      </c>
      <c r="I23" s="108">
        <v>300</v>
      </c>
      <c r="J23" s="108">
        <v>0</v>
      </c>
      <c r="K23" s="108">
        <v>0</v>
      </c>
      <c r="L23" s="108">
        <v>300</v>
      </c>
      <c r="N23" s="78">
        <f t="shared" si="0"/>
        <v>1100</v>
      </c>
      <c r="O23" s="5">
        <f>VLOOKUP(B23,'0107 W12'!B28:R150,17,0)</f>
        <v>1300</v>
      </c>
      <c r="P23" s="78">
        <f t="shared" si="1"/>
        <v>-200</v>
      </c>
    </row>
    <row r="24" spans="2:16">
      <c r="B24" s="19">
        <v>1236488</v>
      </c>
      <c r="C24" s="108">
        <v>800</v>
      </c>
      <c r="D24" s="108">
        <v>700</v>
      </c>
      <c r="E24" s="108">
        <v>500</v>
      </c>
      <c r="F24" s="108">
        <v>700</v>
      </c>
      <c r="G24" s="108">
        <v>1200</v>
      </c>
      <c r="H24" s="108">
        <v>1300</v>
      </c>
      <c r="I24" s="108">
        <v>1200</v>
      </c>
      <c r="J24" s="108">
        <v>1300</v>
      </c>
      <c r="K24" s="108">
        <v>1000</v>
      </c>
      <c r="L24" s="108">
        <v>1000</v>
      </c>
      <c r="N24" s="78">
        <f t="shared" si="0"/>
        <v>8700</v>
      </c>
      <c r="O24" s="5">
        <f>VLOOKUP(B24,'0107 W12'!B29:R151,17,0)</f>
        <v>8800</v>
      </c>
      <c r="P24" s="78">
        <f t="shared" si="1"/>
        <v>-100</v>
      </c>
    </row>
    <row r="25" spans="2:16">
      <c r="B25" s="19">
        <v>1236534</v>
      </c>
      <c r="C25" s="108">
        <v>200</v>
      </c>
      <c r="D25" s="108">
        <v>200</v>
      </c>
      <c r="E25" s="108">
        <v>0</v>
      </c>
      <c r="F25" s="108">
        <v>200</v>
      </c>
      <c r="G25" s="108">
        <v>200</v>
      </c>
      <c r="H25" s="108">
        <v>200</v>
      </c>
      <c r="I25" s="108">
        <v>200</v>
      </c>
      <c r="J25" s="108">
        <v>200</v>
      </c>
      <c r="K25" s="108">
        <v>200</v>
      </c>
      <c r="L25" s="108">
        <v>300</v>
      </c>
      <c r="N25" s="78">
        <f t="shared" si="0"/>
        <v>1600</v>
      </c>
      <c r="O25" s="5">
        <f>VLOOKUP(B25,'0107 W12'!B30:R152,17,0)</f>
        <v>2100</v>
      </c>
      <c r="P25" s="78">
        <f t="shared" si="1"/>
        <v>-500</v>
      </c>
    </row>
    <row r="26" spans="2:16">
      <c r="B26" s="19">
        <v>1236962</v>
      </c>
      <c r="C26" s="108">
        <v>700</v>
      </c>
      <c r="D26" s="108">
        <v>700</v>
      </c>
      <c r="E26" s="108">
        <v>500</v>
      </c>
      <c r="F26" s="108">
        <v>800</v>
      </c>
      <c r="G26" s="108">
        <v>700</v>
      </c>
      <c r="H26" s="108">
        <v>900</v>
      </c>
      <c r="I26" s="108">
        <v>900</v>
      </c>
      <c r="J26" s="108">
        <v>900</v>
      </c>
      <c r="K26" s="108">
        <v>1700</v>
      </c>
      <c r="L26" s="108">
        <v>900</v>
      </c>
      <c r="N26" s="78">
        <f t="shared" si="0"/>
        <v>7800</v>
      </c>
      <c r="O26" s="5">
        <f>VLOOKUP(B26,'0107 W12'!B31:R153,17,0)</f>
        <v>8300</v>
      </c>
      <c r="P26" s="78">
        <f t="shared" si="1"/>
        <v>-500</v>
      </c>
    </row>
    <row r="27" spans="2:16">
      <c r="B27" s="19">
        <v>1237088</v>
      </c>
      <c r="C27" s="108">
        <v>3042</v>
      </c>
      <c r="D27" s="108">
        <v>3460</v>
      </c>
      <c r="E27" s="108">
        <v>2400</v>
      </c>
      <c r="F27" s="108">
        <v>3700</v>
      </c>
      <c r="G27" s="108">
        <v>3450</v>
      </c>
      <c r="H27" s="108">
        <v>3724</v>
      </c>
      <c r="I27" s="108">
        <v>3400</v>
      </c>
      <c r="J27" s="108">
        <v>3300</v>
      </c>
      <c r="K27" s="108">
        <v>5400</v>
      </c>
      <c r="L27" s="108">
        <v>3126</v>
      </c>
      <c r="N27" s="78">
        <f t="shared" si="0"/>
        <v>31876</v>
      </c>
      <c r="O27" s="5">
        <f>VLOOKUP(B27,'0107 W12'!B32:R154,17,0)</f>
        <v>34546</v>
      </c>
      <c r="P27" s="78">
        <f t="shared" si="1"/>
        <v>-2670</v>
      </c>
    </row>
    <row r="28" spans="2:16">
      <c r="B28" s="19">
        <v>1237586</v>
      </c>
      <c r="C28" s="108">
        <v>2240</v>
      </c>
      <c r="D28" s="108">
        <v>2240</v>
      </c>
      <c r="E28" s="108">
        <v>1912</v>
      </c>
      <c r="F28" s="108">
        <v>1344</v>
      </c>
      <c r="G28" s="108">
        <v>1792</v>
      </c>
      <c r="H28" s="108">
        <v>1792</v>
      </c>
      <c r="I28" s="108">
        <v>1792</v>
      </c>
      <c r="J28" s="108">
        <v>1792</v>
      </c>
      <c r="K28" s="108">
        <v>2240</v>
      </c>
      <c r="L28" s="108">
        <v>1792</v>
      </c>
      <c r="N28" s="78">
        <f t="shared" si="0"/>
        <v>17144</v>
      </c>
      <c r="O28" s="5">
        <f>VLOOKUP(B28,'0107 W12'!B33:R155,17,0)</f>
        <v>16248</v>
      </c>
      <c r="P28" s="78">
        <f t="shared" si="1"/>
        <v>896</v>
      </c>
    </row>
    <row r="29" spans="2:16">
      <c r="B29" s="19">
        <v>1237748</v>
      </c>
      <c r="C29" s="108">
        <v>780</v>
      </c>
      <c r="D29" s="108">
        <v>0</v>
      </c>
      <c r="E29" s="108">
        <v>0</v>
      </c>
      <c r="F29" s="108">
        <v>676</v>
      </c>
      <c r="G29" s="108">
        <v>0</v>
      </c>
      <c r="H29" s="108">
        <v>0</v>
      </c>
      <c r="I29" s="108">
        <v>0</v>
      </c>
      <c r="J29" s="108">
        <v>520</v>
      </c>
      <c r="K29" s="108">
        <v>0</v>
      </c>
      <c r="L29" s="108">
        <v>0</v>
      </c>
      <c r="N29" s="78">
        <f t="shared" si="0"/>
        <v>1976</v>
      </c>
      <c r="O29" s="5">
        <f>VLOOKUP(B29,'0107 W12'!B34:R156,17,0)</f>
        <v>1144</v>
      </c>
      <c r="P29" s="78">
        <f t="shared" si="1"/>
        <v>832</v>
      </c>
    </row>
    <row r="30" spans="2:16">
      <c r="B30" s="19">
        <v>1237765</v>
      </c>
      <c r="C30" s="108">
        <v>150</v>
      </c>
      <c r="D30" s="108">
        <v>0</v>
      </c>
      <c r="E30" s="108">
        <v>0</v>
      </c>
      <c r="F30" s="108">
        <v>0</v>
      </c>
      <c r="G30" s="108">
        <v>0</v>
      </c>
      <c r="H30" s="108">
        <v>0</v>
      </c>
      <c r="I30" s="108">
        <v>0</v>
      </c>
      <c r="J30" s="108">
        <v>0</v>
      </c>
      <c r="K30" s="108">
        <v>0</v>
      </c>
      <c r="L30" s="108">
        <v>0</v>
      </c>
      <c r="N30" s="78">
        <f t="shared" si="0"/>
        <v>150</v>
      </c>
      <c r="O30" s="5">
        <f>VLOOKUP(B30,'0107 W12'!B35:R157,17,0)</f>
        <v>0</v>
      </c>
      <c r="P30" s="78">
        <f t="shared" si="1"/>
        <v>150</v>
      </c>
    </row>
    <row r="31" spans="2:16">
      <c r="B31" s="19">
        <v>1238128</v>
      </c>
      <c r="C31" s="108">
        <v>3811</v>
      </c>
      <c r="D31" s="108">
        <v>0</v>
      </c>
      <c r="E31" s="108">
        <v>0</v>
      </c>
      <c r="F31" s="108">
        <v>4460</v>
      </c>
      <c r="G31" s="108">
        <v>0</v>
      </c>
      <c r="H31" s="108">
        <v>0</v>
      </c>
      <c r="I31" s="108">
        <v>0</v>
      </c>
      <c r="J31" s="108">
        <v>7636</v>
      </c>
      <c r="K31" s="108">
        <v>256</v>
      </c>
      <c r="L31" s="108">
        <v>0</v>
      </c>
      <c r="N31" s="78">
        <f t="shared" si="0"/>
        <v>16163</v>
      </c>
      <c r="O31" s="5">
        <f>VLOOKUP(B31,'0107 W12'!B36:R158,17,0)</f>
        <v>9240</v>
      </c>
      <c r="P31" s="78">
        <f t="shared" si="1"/>
        <v>6923</v>
      </c>
    </row>
    <row r="32" spans="2:16">
      <c r="B32" s="19">
        <v>1239651</v>
      </c>
      <c r="C32" s="108">
        <v>0</v>
      </c>
      <c r="D32" s="108">
        <v>700</v>
      </c>
      <c r="E32" s="108">
        <v>0</v>
      </c>
      <c r="F32" s="108">
        <v>500</v>
      </c>
      <c r="G32" s="108">
        <v>200</v>
      </c>
      <c r="H32" s="108">
        <v>300</v>
      </c>
      <c r="I32" s="108">
        <v>400</v>
      </c>
      <c r="J32" s="108">
        <v>200</v>
      </c>
      <c r="K32" s="108">
        <v>500</v>
      </c>
      <c r="L32" s="108">
        <v>300</v>
      </c>
      <c r="N32" s="78">
        <f t="shared" si="0"/>
        <v>2800</v>
      </c>
      <c r="O32" s="5">
        <f>VLOOKUP(B32,'0107 W12'!B37:R159,17,0)</f>
        <v>3000</v>
      </c>
      <c r="P32" s="78">
        <f t="shared" si="1"/>
        <v>-200</v>
      </c>
    </row>
    <row r="33" spans="2:16">
      <c r="B33" s="19">
        <v>1239988</v>
      </c>
      <c r="C33" s="108">
        <v>992</v>
      </c>
      <c r="D33" s="108">
        <v>1142</v>
      </c>
      <c r="E33" s="108">
        <v>250</v>
      </c>
      <c r="F33" s="108">
        <v>900</v>
      </c>
      <c r="G33" s="108">
        <v>0</v>
      </c>
      <c r="H33" s="108">
        <v>500</v>
      </c>
      <c r="I33" s="108">
        <v>1200</v>
      </c>
      <c r="J33" s="108">
        <v>1000</v>
      </c>
      <c r="K33" s="108">
        <v>400</v>
      </c>
      <c r="L33" s="108">
        <v>1200</v>
      </c>
      <c r="N33" s="78">
        <f t="shared" si="0"/>
        <v>6384</v>
      </c>
      <c r="O33" s="5">
        <f>VLOOKUP(B33,'0107 W12'!B38:R160,17,0)</f>
        <v>6242</v>
      </c>
      <c r="P33" s="78">
        <f t="shared" si="1"/>
        <v>142</v>
      </c>
    </row>
    <row r="34" spans="2:16">
      <c r="B34" s="19">
        <v>1240180</v>
      </c>
      <c r="C34" s="108">
        <v>996</v>
      </c>
      <c r="D34" s="108">
        <v>1596</v>
      </c>
      <c r="E34" s="108">
        <v>1024</v>
      </c>
      <c r="F34" s="108">
        <v>1300</v>
      </c>
      <c r="G34" s="108">
        <v>700</v>
      </c>
      <c r="H34" s="108">
        <v>1484</v>
      </c>
      <c r="I34" s="108">
        <v>1850</v>
      </c>
      <c r="J34" s="108">
        <v>1396</v>
      </c>
      <c r="K34" s="108">
        <v>700</v>
      </c>
      <c r="L34" s="108">
        <v>1350</v>
      </c>
      <c r="N34" s="78">
        <f t="shared" si="0"/>
        <v>11046</v>
      </c>
      <c r="O34" s="5">
        <f>VLOOKUP(B34,'0107 W12'!B39:R161,17,0)</f>
        <v>9400</v>
      </c>
      <c r="P34" s="78">
        <f t="shared" si="1"/>
        <v>1646</v>
      </c>
    </row>
    <row r="35" spans="2:16">
      <c r="B35" s="19">
        <v>1240184</v>
      </c>
      <c r="C35" s="108">
        <v>996</v>
      </c>
      <c r="D35" s="108">
        <v>1596</v>
      </c>
      <c r="E35" s="108">
        <v>724</v>
      </c>
      <c r="F35" s="108">
        <v>1300</v>
      </c>
      <c r="G35" s="108">
        <v>700</v>
      </c>
      <c r="H35" s="108">
        <v>1334</v>
      </c>
      <c r="I35" s="108">
        <v>1450</v>
      </c>
      <c r="J35" s="108">
        <v>1396</v>
      </c>
      <c r="K35" s="108">
        <v>700</v>
      </c>
      <c r="L35" s="108">
        <v>1350</v>
      </c>
      <c r="N35" s="78">
        <f t="shared" si="0"/>
        <v>10196</v>
      </c>
      <c r="O35" s="5">
        <f>VLOOKUP(B35,'0107 W12'!B40:R162,17,0)</f>
        <v>8400</v>
      </c>
      <c r="P35" s="78">
        <f t="shared" si="1"/>
        <v>1796</v>
      </c>
    </row>
    <row r="36" spans="2:16">
      <c r="B36" s="19">
        <v>1240308</v>
      </c>
      <c r="C36" s="108">
        <v>750</v>
      </c>
      <c r="D36" s="108">
        <v>850</v>
      </c>
      <c r="E36" s="108">
        <v>200</v>
      </c>
      <c r="F36" s="108">
        <v>600</v>
      </c>
      <c r="G36" s="108">
        <v>350</v>
      </c>
      <c r="H36" s="108">
        <v>750</v>
      </c>
      <c r="I36" s="108">
        <v>650</v>
      </c>
      <c r="J36" s="108">
        <v>550</v>
      </c>
      <c r="K36" s="108">
        <v>450</v>
      </c>
      <c r="L36" s="108">
        <v>400</v>
      </c>
      <c r="N36" s="78">
        <f t="shared" si="0"/>
        <v>5150</v>
      </c>
      <c r="O36" s="5">
        <f>VLOOKUP(B36,'0107 W12'!B41:R163,17,0)</f>
        <v>5150</v>
      </c>
      <c r="P36" s="78">
        <f t="shared" si="1"/>
        <v>0</v>
      </c>
    </row>
    <row r="37" spans="2:16">
      <c r="B37" s="19">
        <v>1241134</v>
      </c>
      <c r="C37" s="108">
        <v>0</v>
      </c>
      <c r="D37" s="108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08">
        <v>1900</v>
      </c>
      <c r="L37" s="108">
        <v>1100</v>
      </c>
      <c r="N37" s="78">
        <f t="shared" si="0"/>
        <v>1900</v>
      </c>
      <c r="O37" s="5">
        <f>VLOOKUP(B37,'0107 W12'!B42:R164,17,0)</f>
        <v>1900</v>
      </c>
      <c r="P37" s="78">
        <f t="shared" si="1"/>
        <v>0</v>
      </c>
    </row>
    <row r="38" spans="2:16">
      <c r="B38" s="19">
        <v>1241601</v>
      </c>
      <c r="C38" s="108">
        <v>4900</v>
      </c>
      <c r="D38" s="108">
        <v>5000</v>
      </c>
      <c r="E38" s="108">
        <v>2400</v>
      </c>
      <c r="F38" s="108">
        <v>4400</v>
      </c>
      <c r="G38" s="108">
        <v>3800</v>
      </c>
      <c r="H38" s="108">
        <v>4100</v>
      </c>
      <c r="I38" s="108">
        <v>3100</v>
      </c>
      <c r="J38" s="108">
        <v>4000</v>
      </c>
      <c r="K38" s="108">
        <v>4700</v>
      </c>
      <c r="L38" s="108">
        <v>4100</v>
      </c>
      <c r="N38" s="78">
        <f t="shared" si="0"/>
        <v>36400</v>
      </c>
      <c r="O38" s="5">
        <f>VLOOKUP(B38,'0107 W12'!B43:R165,17,0)</f>
        <v>36400</v>
      </c>
      <c r="P38" s="78">
        <f t="shared" si="1"/>
        <v>0</v>
      </c>
    </row>
    <row r="39" spans="2:16">
      <c r="N39" s="78"/>
    </row>
    <row r="40" spans="2:16">
      <c r="N40" s="78"/>
    </row>
    <row r="41" spans="2:16">
      <c r="N41" s="78"/>
    </row>
    <row r="42" spans="2:16" s="8" customFormat="1">
      <c r="B42" s="8" t="s">
        <v>0</v>
      </c>
      <c r="C42" s="125" t="s">
        <v>721</v>
      </c>
      <c r="D42" s="125" t="s">
        <v>723</v>
      </c>
      <c r="E42" s="125" t="s">
        <v>725</v>
      </c>
      <c r="F42" s="125" t="s">
        <v>727</v>
      </c>
      <c r="G42" s="125" t="s">
        <v>731</v>
      </c>
      <c r="H42" s="125" t="s">
        <v>736</v>
      </c>
      <c r="I42" s="125" t="s">
        <v>745</v>
      </c>
      <c r="J42" s="125" t="s">
        <v>754</v>
      </c>
      <c r="K42" s="125" t="s">
        <v>764</v>
      </c>
      <c r="L42" s="125" t="s">
        <v>773</v>
      </c>
      <c r="M42" s="125"/>
      <c r="N42" s="78"/>
    </row>
    <row r="43" spans="2:16" s="8" customFormat="1">
      <c r="C43" s="125" t="s">
        <v>722</v>
      </c>
      <c r="D43" s="125" t="s">
        <v>724</v>
      </c>
      <c r="E43" s="125" t="s">
        <v>726</v>
      </c>
      <c r="F43" s="125" t="s">
        <v>728</v>
      </c>
      <c r="G43" s="125" t="s">
        <v>732</v>
      </c>
      <c r="H43" s="125" t="s">
        <v>737</v>
      </c>
      <c r="I43" s="125" t="s">
        <v>746</v>
      </c>
      <c r="J43" s="125" t="s">
        <v>755</v>
      </c>
      <c r="K43" s="125" t="s">
        <v>765</v>
      </c>
      <c r="L43" s="125" t="s">
        <v>774</v>
      </c>
      <c r="M43" s="125"/>
      <c r="N43" s="78"/>
    </row>
    <row r="44" spans="2:16">
      <c r="B44" s="19">
        <v>1216452</v>
      </c>
      <c r="C44" s="108">
        <v>0</v>
      </c>
      <c r="D44" s="108">
        <v>0</v>
      </c>
      <c r="E44" s="108">
        <v>0</v>
      </c>
      <c r="F44" s="108">
        <v>288</v>
      </c>
      <c r="G44" s="108">
        <v>0</v>
      </c>
      <c r="H44" s="108">
        <v>0</v>
      </c>
      <c r="I44" s="108">
        <v>0</v>
      </c>
      <c r="J44" s="108">
        <v>0</v>
      </c>
      <c r="K44" s="108">
        <v>144</v>
      </c>
      <c r="L44" s="108">
        <v>0</v>
      </c>
      <c r="N44" s="78">
        <f t="shared" si="0"/>
        <v>432</v>
      </c>
      <c r="O44" s="5">
        <f>VLOOKUP(B44,'0107 W12'!B49:R171,17,0)</f>
        <v>144</v>
      </c>
      <c r="P44" s="78">
        <f t="shared" ref="P44:P104" si="2">+N44-O44</f>
        <v>288</v>
      </c>
    </row>
    <row r="45" spans="2:16">
      <c r="B45" s="19">
        <v>1220847</v>
      </c>
      <c r="C45" s="108">
        <v>3186</v>
      </c>
      <c r="D45" s="108">
        <v>0</v>
      </c>
      <c r="E45" s="108">
        <v>130</v>
      </c>
      <c r="F45" s="108">
        <v>0</v>
      </c>
      <c r="G45" s="108">
        <v>0</v>
      </c>
      <c r="H45" s="108">
        <v>1086</v>
      </c>
      <c r="I45" s="108">
        <v>0</v>
      </c>
      <c r="J45" s="108">
        <v>0</v>
      </c>
      <c r="K45" s="108">
        <v>0</v>
      </c>
      <c r="L45" s="108">
        <v>0</v>
      </c>
      <c r="N45" s="78">
        <f t="shared" si="0"/>
        <v>4402</v>
      </c>
      <c r="O45" s="5">
        <f>VLOOKUP(B45,'0107 W12'!B50:R172,17,0)</f>
        <v>3772</v>
      </c>
      <c r="P45" s="78">
        <f t="shared" si="2"/>
        <v>630</v>
      </c>
    </row>
    <row r="46" spans="2:16">
      <c r="B46" s="19">
        <v>1221967</v>
      </c>
      <c r="C46" s="108">
        <v>20</v>
      </c>
      <c r="D46" s="108">
        <v>50</v>
      </c>
      <c r="E46" s="108">
        <v>0</v>
      </c>
      <c r="F46" s="108">
        <v>0</v>
      </c>
      <c r="G46" s="108">
        <v>0</v>
      </c>
      <c r="H46" s="108">
        <v>20</v>
      </c>
      <c r="I46" s="108">
        <v>0</v>
      </c>
      <c r="J46" s="108">
        <v>329</v>
      </c>
      <c r="K46" s="108">
        <v>0</v>
      </c>
      <c r="L46" s="108">
        <v>0</v>
      </c>
      <c r="N46" s="78">
        <f t="shared" si="0"/>
        <v>419</v>
      </c>
      <c r="O46" s="5">
        <f>VLOOKUP(B46,'0107 W12'!B51:R173,17,0)</f>
        <v>419</v>
      </c>
      <c r="P46" s="78">
        <f t="shared" si="2"/>
        <v>0</v>
      </c>
    </row>
    <row r="47" spans="2:16">
      <c r="B47" s="19">
        <v>1225464</v>
      </c>
      <c r="C47" s="108">
        <v>756</v>
      </c>
      <c r="D47" s="108">
        <v>0</v>
      </c>
      <c r="E47" s="108">
        <v>0</v>
      </c>
      <c r="F47" s="108">
        <v>0</v>
      </c>
      <c r="G47" s="108">
        <v>0</v>
      </c>
      <c r="H47" s="108">
        <v>780</v>
      </c>
      <c r="I47" s="108">
        <v>0</v>
      </c>
      <c r="J47" s="108">
        <v>0</v>
      </c>
      <c r="K47" s="108">
        <v>0</v>
      </c>
      <c r="L47" s="108">
        <v>0</v>
      </c>
      <c r="N47" s="78">
        <f t="shared" si="0"/>
        <v>1536</v>
      </c>
      <c r="O47" s="5">
        <f>VLOOKUP(B47,'0107 W12'!B52:R174,17,0)</f>
        <v>1536</v>
      </c>
      <c r="P47" s="78">
        <f t="shared" si="2"/>
        <v>0</v>
      </c>
    </row>
    <row r="48" spans="2:16">
      <c r="B48" s="19">
        <v>1227306</v>
      </c>
      <c r="C48" s="108">
        <v>0</v>
      </c>
      <c r="D48" s="108">
        <v>0</v>
      </c>
      <c r="E48" s="108">
        <v>0</v>
      </c>
      <c r="F48" s="108">
        <v>0</v>
      </c>
      <c r="G48" s="108">
        <v>0</v>
      </c>
      <c r="H48" s="108">
        <v>300</v>
      </c>
      <c r="I48" s="108">
        <v>700</v>
      </c>
      <c r="J48" s="108">
        <v>250</v>
      </c>
      <c r="K48" s="108">
        <v>200</v>
      </c>
      <c r="L48" s="108">
        <v>650</v>
      </c>
      <c r="N48" s="78">
        <f t="shared" si="0"/>
        <v>1450</v>
      </c>
      <c r="O48" s="5">
        <f>VLOOKUP(B48,'0107 W12'!B53:R175,17,0)</f>
        <v>1370</v>
      </c>
      <c r="P48" s="78">
        <f t="shared" si="2"/>
        <v>80</v>
      </c>
    </row>
    <row r="49" spans="2:16">
      <c r="B49" s="19">
        <v>1227359</v>
      </c>
      <c r="C49" s="108">
        <v>0</v>
      </c>
      <c r="D49" s="108">
        <v>0</v>
      </c>
      <c r="E49" s="108">
        <v>20</v>
      </c>
      <c r="F49" s="108">
        <v>0</v>
      </c>
      <c r="G49" s="108">
        <v>0</v>
      </c>
      <c r="H49" s="108">
        <v>0</v>
      </c>
      <c r="I49" s="108">
        <v>0</v>
      </c>
      <c r="J49" s="108">
        <v>0</v>
      </c>
      <c r="K49" s="108">
        <v>0</v>
      </c>
      <c r="L49" s="108">
        <v>0</v>
      </c>
      <c r="N49" s="78">
        <f t="shared" si="0"/>
        <v>20</v>
      </c>
      <c r="O49" s="5">
        <f>VLOOKUP(B49,'0107 W12'!B54:R176,17,0)</f>
        <v>20</v>
      </c>
      <c r="P49" s="78">
        <f t="shared" si="2"/>
        <v>0</v>
      </c>
    </row>
    <row r="50" spans="2:16">
      <c r="B50" s="19">
        <v>1229050</v>
      </c>
      <c r="C50" s="108">
        <v>0</v>
      </c>
      <c r="D50" s="108">
        <v>0</v>
      </c>
      <c r="E50" s="108">
        <v>0</v>
      </c>
      <c r="F50" s="108">
        <v>180</v>
      </c>
      <c r="G50" s="108">
        <v>0</v>
      </c>
      <c r="H50" s="108">
        <v>0</v>
      </c>
      <c r="I50" s="108">
        <v>0</v>
      </c>
      <c r="J50" s="108">
        <v>205</v>
      </c>
      <c r="K50" s="108">
        <v>0</v>
      </c>
      <c r="L50" s="108">
        <v>0</v>
      </c>
      <c r="N50" s="78">
        <f t="shared" si="0"/>
        <v>385</v>
      </c>
      <c r="O50" s="5">
        <f>VLOOKUP(B50,'0107 W12'!B55:R177,17,0)</f>
        <v>385</v>
      </c>
      <c r="P50" s="78">
        <f t="shared" si="2"/>
        <v>0</v>
      </c>
    </row>
    <row r="51" spans="2:16">
      <c r="B51" s="19">
        <v>1229088</v>
      </c>
      <c r="C51" s="108">
        <v>160</v>
      </c>
      <c r="D51" s="108">
        <v>300</v>
      </c>
      <c r="E51" s="108">
        <v>350</v>
      </c>
      <c r="F51" s="108">
        <v>0</v>
      </c>
      <c r="G51" s="108">
        <v>0</v>
      </c>
      <c r="H51" s="108">
        <v>350</v>
      </c>
      <c r="I51" s="108">
        <v>250</v>
      </c>
      <c r="J51" s="108">
        <v>0</v>
      </c>
      <c r="K51" s="108">
        <v>0</v>
      </c>
      <c r="L51" s="108">
        <v>300</v>
      </c>
      <c r="N51" s="78">
        <f t="shared" si="0"/>
        <v>1410</v>
      </c>
      <c r="O51" s="5">
        <f>VLOOKUP(B51,'0107 W12'!B56:R178,17,0)</f>
        <v>1408</v>
      </c>
      <c r="P51" s="78">
        <f t="shared" si="2"/>
        <v>2</v>
      </c>
    </row>
    <row r="52" spans="2:16">
      <c r="B52" s="19">
        <v>1229776</v>
      </c>
      <c r="C52" s="108">
        <v>0</v>
      </c>
      <c r="D52" s="108">
        <v>0</v>
      </c>
      <c r="E52" s="108">
        <v>0</v>
      </c>
      <c r="F52" s="108">
        <v>0</v>
      </c>
      <c r="G52" s="108">
        <v>0</v>
      </c>
      <c r="H52" s="108">
        <v>0</v>
      </c>
      <c r="I52" s="108">
        <v>0</v>
      </c>
      <c r="J52" s="108">
        <v>100</v>
      </c>
      <c r="K52" s="108">
        <v>0</v>
      </c>
      <c r="L52" s="108">
        <v>0</v>
      </c>
      <c r="N52" s="78">
        <f t="shared" si="0"/>
        <v>100</v>
      </c>
      <c r="O52" s="5">
        <f>VLOOKUP(B52,'0107 W12'!B57:R179,17,0)</f>
        <v>100</v>
      </c>
      <c r="P52" s="78">
        <f t="shared" si="2"/>
        <v>0</v>
      </c>
    </row>
    <row r="53" spans="2:16">
      <c r="B53" s="19">
        <v>1230685</v>
      </c>
      <c r="C53" s="108">
        <v>0</v>
      </c>
      <c r="D53" s="108">
        <v>300</v>
      </c>
      <c r="E53" s="108">
        <v>0</v>
      </c>
      <c r="F53" s="108">
        <v>150</v>
      </c>
      <c r="G53" s="108">
        <v>0</v>
      </c>
      <c r="H53" s="108">
        <v>200</v>
      </c>
      <c r="I53" s="108">
        <v>250</v>
      </c>
      <c r="J53" s="108">
        <v>0</v>
      </c>
      <c r="K53" s="108">
        <v>0</v>
      </c>
      <c r="L53" s="108">
        <v>200</v>
      </c>
      <c r="N53" s="78">
        <f t="shared" si="0"/>
        <v>900</v>
      </c>
      <c r="O53" s="5">
        <f>VLOOKUP(B53,'0107 W12'!B58:R180,17,0)</f>
        <v>900</v>
      </c>
      <c r="P53" s="78">
        <f t="shared" si="2"/>
        <v>0</v>
      </c>
    </row>
    <row r="54" spans="2:16">
      <c r="B54" s="19">
        <v>1230692</v>
      </c>
      <c r="C54" s="108">
        <v>0</v>
      </c>
      <c r="D54" s="108">
        <v>150</v>
      </c>
      <c r="E54" s="108">
        <v>0</v>
      </c>
      <c r="F54" s="108">
        <v>150</v>
      </c>
      <c r="G54" s="108">
        <v>0</v>
      </c>
      <c r="H54" s="108">
        <v>0</v>
      </c>
      <c r="I54" s="108">
        <v>0</v>
      </c>
      <c r="J54" s="108">
        <v>0</v>
      </c>
      <c r="K54" s="108">
        <v>0</v>
      </c>
      <c r="L54" s="108">
        <v>100</v>
      </c>
      <c r="N54" s="78">
        <f t="shared" si="0"/>
        <v>300</v>
      </c>
      <c r="O54" s="5">
        <f>VLOOKUP(B54,'0107 W12'!B59:R181,17,0)</f>
        <v>300</v>
      </c>
      <c r="P54" s="78">
        <f t="shared" si="2"/>
        <v>0</v>
      </c>
    </row>
    <row r="55" spans="2:16">
      <c r="B55" s="19">
        <v>1230791</v>
      </c>
      <c r="C55" s="108">
        <v>0</v>
      </c>
      <c r="D55" s="108">
        <v>23</v>
      </c>
      <c r="E55" s="108">
        <v>0</v>
      </c>
      <c r="F55" s="108">
        <v>0</v>
      </c>
      <c r="G55" s="108">
        <v>0</v>
      </c>
      <c r="H55" s="108">
        <v>140</v>
      </c>
      <c r="I55" s="108">
        <v>26</v>
      </c>
      <c r="J55" s="108">
        <v>0</v>
      </c>
      <c r="K55" s="108">
        <v>0</v>
      </c>
      <c r="L55" s="108">
        <v>0</v>
      </c>
      <c r="N55" s="78">
        <f t="shared" si="0"/>
        <v>189</v>
      </c>
      <c r="O55" s="5">
        <f>VLOOKUP(B55,'0107 W12'!B60:R182,17,0)</f>
        <v>189</v>
      </c>
      <c r="P55" s="78">
        <f t="shared" si="2"/>
        <v>0</v>
      </c>
    </row>
    <row r="56" spans="2:16">
      <c r="B56" s="19">
        <v>1231011</v>
      </c>
      <c r="C56" s="108">
        <v>0</v>
      </c>
      <c r="D56" s="108">
        <v>0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>
        <v>0</v>
      </c>
      <c r="K56" s="108">
        <v>0</v>
      </c>
      <c r="L56" s="108">
        <v>90</v>
      </c>
      <c r="N56" s="78">
        <f t="shared" si="0"/>
        <v>0</v>
      </c>
      <c r="O56" s="5" t="e">
        <f>VLOOKUP(B56,'0107 W12'!B61:R183,17,0)</f>
        <v>#N/A</v>
      </c>
      <c r="P56" s="78" t="e">
        <f t="shared" si="2"/>
        <v>#N/A</v>
      </c>
    </row>
    <row r="57" spans="2:16">
      <c r="B57" s="19">
        <v>1231090</v>
      </c>
      <c r="C57" s="108">
        <v>1135</v>
      </c>
      <c r="D57" s="108">
        <v>0</v>
      </c>
      <c r="E57" s="108">
        <v>0</v>
      </c>
      <c r="F57" s="108">
        <v>0</v>
      </c>
      <c r="G57" s="108">
        <v>0</v>
      </c>
      <c r="H57" s="108">
        <v>300</v>
      </c>
      <c r="I57" s="108">
        <v>0</v>
      </c>
      <c r="J57" s="108">
        <v>1125</v>
      </c>
      <c r="K57" s="108">
        <v>0</v>
      </c>
      <c r="L57" s="108">
        <v>0</v>
      </c>
      <c r="N57" s="78">
        <f t="shared" si="0"/>
        <v>2560</v>
      </c>
      <c r="O57" s="5">
        <f>VLOOKUP(B57,'0107 W12'!B62:R184,17,0)</f>
        <v>2774</v>
      </c>
      <c r="P57" s="78">
        <f t="shared" si="2"/>
        <v>-214</v>
      </c>
    </row>
    <row r="58" spans="2:16">
      <c r="B58" s="19">
        <v>1231578</v>
      </c>
      <c r="C58" s="108">
        <v>200</v>
      </c>
      <c r="D58" s="108">
        <v>400</v>
      </c>
      <c r="E58" s="108">
        <v>0</v>
      </c>
      <c r="F58" s="108">
        <v>200</v>
      </c>
      <c r="G58" s="108">
        <v>0</v>
      </c>
      <c r="H58" s="108">
        <v>300</v>
      </c>
      <c r="I58" s="108">
        <v>200</v>
      </c>
      <c r="J58" s="108">
        <v>200</v>
      </c>
      <c r="K58" s="108">
        <v>0</v>
      </c>
      <c r="L58" s="108">
        <v>200</v>
      </c>
      <c r="N58" s="78">
        <f t="shared" si="0"/>
        <v>1500</v>
      </c>
      <c r="O58" s="5">
        <f>VLOOKUP(B58,'0107 W12'!B63:R185,17,0)</f>
        <v>1500</v>
      </c>
      <c r="P58" s="78">
        <f t="shared" si="2"/>
        <v>0</v>
      </c>
    </row>
    <row r="59" spans="2:16">
      <c r="B59" s="19">
        <v>1231797</v>
      </c>
      <c r="C59" s="108">
        <v>0</v>
      </c>
      <c r="D59" s="108">
        <v>136</v>
      </c>
      <c r="E59" s="108">
        <v>0</v>
      </c>
      <c r="F59" s="108">
        <v>0</v>
      </c>
      <c r="G59" s="108">
        <v>0</v>
      </c>
      <c r="H59" s="108">
        <v>0</v>
      </c>
      <c r="I59" s="108">
        <v>139</v>
      </c>
      <c r="J59" s="108">
        <v>0</v>
      </c>
      <c r="K59" s="108">
        <v>0</v>
      </c>
      <c r="L59" s="108">
        <v>0</v>
      </c>
      <c r="N59" s="78">
        <f t="shared" si="0"/>
        <v>275</v>
      </c>
      <c r="O59" s="5">
        <f>VLOOKUP(B59,'0107 W12'!B64:R186,17,0)</f>
        <v>275</v>
      </c>
      <c r="P59" s="78">
        <f t="shared" si="2"/>
        <v>0</v>
      </c>
    </row>
    <row r="60" spans="2:16">
      <c r="B60" s="19">
        <v>1232066</v>
      </c>
      <c r="C60" s="108">
        <v>54</v>
      </c>
      <c r="D60" s="108">
        <v>0</v>
      </c>
      <c r="E60" s="108">
        <v>0</v>
      </c>
      <c r="F60" s="108">
        <v>180</v>
      </c>
      <c r="G60" s="108">
        <v>0</v>
      </c>
      <c r="H60" s="108">
        <v>0</v>
      </c>
      <c r="I60" s="108">
        <v>0</v>
      </c>
      <c r="J60" s="108">
        <v>288</v>
      </c>
      <c r="K60" s="108">
        <v>0</v>
      </c>
      <c r="L60" s="108">
        <v>0</v>
      </c>
      <c r="N60" s="78">
        <f t="shared" si="0"/>
        <v>522</v>
      </c>
      <c r="O60" s="5">
        <f>VLOOKUP(B60,'0107 W12'!B65:R187,17,0)</f>
        <v>582</v>
      </c>
      <c r="P60" s="78">
        <f t="shared" si="2"/>
        <v>-60</v>
      </c>
    </row>
    <row r="61" spans="2:16">
      <c r="B61" s="19">
        <v>1232528</v>
      </c>
      <c r="C61" s="108">
        <v>10760</v>
      </c>
      <c r="D61" s="108">
        <v>63</v>
      </c>
      <c r="E61" s="108">
        <v>0</v>
      </c>
      <c r="F61" s="108">
        <v>0</v>
      </c>
      <c r="G61" s="108">
        <v>1890</v>
      </c>
      <c r="H61" s="108">
        <v>6080</v>
      </c>
      <c r="I61" s="108">
        <v>0</v>
      </c>
      <c r="J61" s="108">
        <v>0</v>
      </c>
      <c r="K61" s="108">
        <v>0</v>
      </c>
      <c r="L61" s="108">
        <v>0</v>
      </c>
      <c r="N61" s="78">
        <f t="shared" si="0"/>
        <v>18793</v>
      </c>
      <c r="O61" s="5">
        <f>VLOOKUP(B61,'0107 W12'!B66:R188,17,0)</f>
        <v>15461</v>
      </c>
      <c r="P61" s="78">
        <f t="shared" si="2"/>
        <v>3332</v>
      </c>
    </row>
    <row r="62" spans="2:16">
      <c r="B62" s="19">
        <v>1232553</v>
      </c>
      <c r="C62" s="108">
        <v>0</v>
      </c>
      <c r="D62" s="108">
        <v>0</v>
      </c>
      <c r="E62" s="108">
        <v>108</v>
      </c>
      <c r="F62" s="108">
        <v>0</v>
      </c>
      <c r="G62" s="108">
        <v>0</v>
      </c>
      <c r="H62" s="108">
        <v>0</v>
      </c>
      <c r="I62" s="108">
        <v>108</v>
      </c>
      <c r="J62" s="108">
        <v>0</v>
      </c>
      <c r="K62" s="108">
        <v>0</v>
      </c>
      <c r="L62" s="108">
        <v>0</v>
      </c>
      <c r="N62" s="78">
        <f t="shared" si="0"/>
        <v>216</v>
      </c>
      <c r="O62" s="5">
        <f>VLOOKUP(B62,'0107 W12'!B67:R189,17,0)</f>
        <v>216</v>
      </c>
      <c r="P62" s="78">
        <f t="shared" si="2"/>
        <v>0</v>
      </c>
    </row>
    <row r="63" spans="2:16">
      <c r="B63" s="19">
        <v>1232693</v>
      </c>
      <c r="C63" s="108">
        <v>0</v>
      </c>
      <c r="D63" s="108">
        <v>0</v>
      </c>
      <c r="E63" s="108">
        <v>0</v>
      </c>
      <c r="F63" s="108">
        <v>0</v>
      </c>
      <c r="G63" s="108">
        <v>0</v>
      </c>
      <c r="H63" s="108">
        <v>56</v>
      </c>
      <c r="I63" s="108">
        <v>0</v>
      </c>
      <c r="J63" s="108">
        <v>0</v>
      </c>
      <c r="K63" s="108">
        <v>0</v>
      </c>
      <c r="L63" s="108">
        <v>0</v>
      </c>
      <c r="N63" s="78">
        <f t="shared" si="0"/>
        <v>56</v>
      </c>
      <c r="O63" s="5">
        <f>VLOOKUP(B63,'0107 W12'!B68:R190,17,0)</f>
        <v>56</v>
      </c>
      <c r="P63" s="78">
        <f t="shared" si="2"/>
        <v>0</v>
      </c>
    </row>
    <row r="64" spans="2:16">
      <c r="B64" s="19">
        <v>1232775</v>
      </c>
      <c r="C64" s="108">
        <v>1340</v>
      </c>
      <c r="D64" s="108">
        <v>1550</v>
      </c>
      <c r="E64" s="108">
        <v>700</v>
      </c>
      <c r="F64" s="108">
        <v>1237</v>
      </c>
      <c r="G64" s="108">
        <v>348</v>
      </c>
      <c r="H64" s="108">
        <v>1571</v>
      </c>
      <c r="I64" s="108">
        <v>1970</v>
      </c>
      <c r="J64" s="108">
        <v>1230</v>
      </c>
      <c r="K64" s="108">
        <v>1400</v>
      </c>
      <c r="L64" s="108">
        <v>1600</v>
      </c>
      <c r="N64" s="78">
        <f t="shared" si="0"/>
        <v>11346</v>
      </c>
      <c r="O64" s="5">
        <f>VLOOKUP(B64,'0107 W12'!B69:R191,17,0)</f>
        <v>10518</v>
      </c>
      <c r="P64" s="78">
        <f t="shared" si="2"/>
        <v>828</v>
      </c>
    </row>
    <row r="65" spans="2:16">
      <c r="B65" s="19">
        <v>1232846</v>
      </c>
      <c r="C65" s="108">
        <v>1270</v>
      </c>
      <c r="D65" s="108">
        <v>950</v>
      </c>
      <c r="E65" s="108">
        <v>340</v>
      </c>
      <c r="F65" s="108">
        <v>640</v>
      </c>
      <c r="G65" s="108">
        <v>0</v>
      </c>
      <c r="H65" s="108">
        <v>288</v>
      </c>
      <c r="I65" s="108">
        <v>476</v>
      </c>
      <c r="J65" s="108">
        <v>168</v>
      </c>
      <c r="K65" s="108">
        <v>300</v>
      </c>
      <c r="L65" s="108">
        <v>400</v>
      </c>
      <c r="N65" s="78">
        <f t="shared" si="0"/>
        <v>4432</v>
      </c>
      <c r="O65" s="5">
        <f>VLOOKUP(B65,'0107 W12'!B70:R192,17,0)</f>
        <v>4476</v>
      </c>
      <c r="P65" s="78">
        <f t="shared" si="2"/>
        <v>-44</v>
      </c>
    </row>
    <row r="66" spans="2:16">
      <c r="B66" s="19">
        <v>1232894</v>
      </c>
      <c r="C66" s="108">
        <v>576</v>
      </c>
      <c r="D66" s="108">
        <v>0</v>
      </c>
      <c r="E66" s="108">
        <v>0</v>
      </c>
      <c r="F66" s="108">
        <v>240</v>
      </c>
      <c r="G66" s="108">
        <v>0</v>
      </c>
      <c r="H66" s="108">
        <v>288</v>
      </c>
      <c r="I66" s="108">
        <v>0</v>
      </c>
      <c r="J66" s="108">
        <v>168</v>
      </c>
      <c r="K66" s="108">
        <v>0</v>
      </c>
      <c r="L66" s="108">
        <v>0</v>
      </c>
      <c r="N66" s="78">
        <f t="shared" si="0"/>
        <v>1272</v>
      </c>
      <c r="O66" s="5">
        <f>VLOOKUP(B66,'0107 W12'!B71:R193,17,0)</f>
        <v>1296</v>
      </c>
      <c r="P66" s="78">
        <f t="shared" si="2"/>
        <v>-24</v>
      </c>
    </row>
    <row r="67" spans="2:16">
      <c r="B67" s="19">
        <v>1232895</v>
      </c>
      <c r="C67" s="108">
        <v>694</v>
      </c>
      <c r="D67" s="108">
        <v>950</v>
      </c>
      <c r="E67" s="108">
        <v>340</v>
      </c>
      <c r="F67" s="108">
        <v>400</v>
      </c>
      <c r="G67" s="108">
        <v>0</v>
      </c>
      <c r="H67" s="108">
        <v>0</v>
      </c>
      <c r="I67" s="108">
        <v>476</v>
      </c>
      <c r="J67" s="108">
        <v>0</v>
      </c>
      <c r="K67" s="108">
        <v>300</v>
      </c>
      <c r="L67" s="108">
        <v>400</v>
      </c>
      <c r="N67" s="78">
        <f t="shared" si="0"/>
        <v>3160</v>
      </c>
      <c r="O67" s="5">
        <f>VLOOKUP(B67,'0107 W12'!B72:R194,17,0)</f>
        <v>3180</v>
      </c>
      <c r="P67" s="78">
        <f t="shared" si="2"/>
        <v>-20</v>
      </c>
    </row>
    <row r="68" spans="2:16">
      <c r="B68" s="19">
        <v>1232922</v>
      </c>
      <c r="C68" s="108">
        <v>0</v>
      </c>
      <c r="D68" s="108">
        <v>275</v>
      </c>
      <c r="E68" s="108">
        <v>40</v>
      </c>
      <c r="F68" s="108">
        <v>0</v>
      </c>
      <c r="G68" s="108">
        <v>0</v>
      </c>
      <c r="H68" s="108">
        <v>0</v>
      </c>
      <c r="I68" s="108">
        <v>276</v>
      </c>
      <c r="J68" s="108">
        <v>0</v>
      </c>
      <c r="K68" s="108">
        <v>0</v>
      </c>
      <c r="L68" s="108">
        <v>0</v>
      </c>
      <c r="N68" s="78">
        <f t="shared" si="0"/>
        <v>591</v>
      </c>
      <c r="O68" s="5">
        <f>VLOOKUP(B68,'0107 W12'!B73:R195,17,0)</f>
        <v>591</v>
      </c>
      <c r="P68" s="78">
        <f t="shared" si="2"/>
        <v>0</v>
      </c>
    </row>
    <row r="69" spans="2:16">
      <c r="B69" s="19">
        <v>1232982</v>
      </c>
      <c r="C69" s="108">
        <v>325</v>
      </c>
      <c r="D69" s="108">
        <v>0</v>
      </c>
      <c r="E69" s="108">
        <v>0</v>
      </c>
      <c r="F69" s="108">
        <v>0</v>
      </c>
      <c r="G69" s="108">
        <v>0</v>
      </c>
      <c r="H69" s="108">
        <v>0</v>
      </c>
      <c r="I69" s="108">
        <v>0</v>
      </c>
      <c r="J69" s="108">
        <v>0</v>
      </c>
      <c r="K69" s="108">
        <v>0</v>
      </c>
      <c r="L69" s="108">
        <v>0</v>
      </c>
      <c r="N69" s="78">
        <f t="shared" ref="N69:N104" si="3">SUM(C69:K69)</f>
        <v>325</v>
      </c>
      <c r="O69" s="5">
        <f>VLOOKUP(B69,'0107 W12'!B74:R196,17,0)</f>
        <v>0</v>
      </c>
      <c r="P69" s="78">
        <f t="shared" si="2"/>
        <v>325</v>
      </c>
    </row>
    <row r="70" spans="2:16">
      <c r="B70" s="19">
        <v>1233025</v>
      </c>
      <c r="C70" s="108">
        <v>0</v>
      </c>
      <c r="D70" s="108">
        <v>0</v>
      </c>
      <c r="E70" s="108">
        <v>0</v>
      </c>
      <c r="F70" s="108">
        <v>0</v>
      </c>
      <c r="G70" s="108">
        <v>0</v>
      </c>
      <c r="H70" s="108">
        <v>56</v>
      </c>
      <c r="I70" s="108">
        <v>0</v>
      </c>
      <c r="J70" s="108">
        <v>0</v>
      </c>
      <c r="K70" s="108">
        <v>0</v>
      </c>
      <c r="L70" s="108">
        <v>0</v>
      </c>
      <c r="N70" s="78">
        <f t="shared" si="3"/>
        <v>56</v>
      </c>
      <c r="O70" s="5">
        <f>VLOOKUP(B70,'0107 W12'!B75:R197,17,0)</f>
        <v>56</v>
      </c>
      <c r="P70" s="78">
        <f t="shared" si="2"/>
        <v>0</v>
      </c>
    </row>
    <row r="71" spans="2:16">
      <c r="B71" s="19">
        <v>1233165</v>
      </c>
      <c r="C71" s="108">
        <v>0</v>
      </c>
      <c r="D71" s="108">
        <v>0</v>
      </c>
      <c r="E71" s="108">
        <v>0</v>
      </c>
      <c r="F71" s="108">
        <v>0</v>
      </c>
      <c r="G71" s="108">
        <v>0</v>
      </c>
      <c r="H71" s="108">
        <v>0</v>
      </c>
      <c r="I71" s="108">
        <v>250</v>
      </c>
      <c r="J71" s="108">
        <v>0</v>
      </c>
      <c r="K71" s="108">
        <v>0</v>
      </c>
      <c r="L71" s="108">
        <v>0</v>
      </c>
      <c r="N71" s="78">
        <f t="shared" si="3"/>
        <v>250</v>
      </c>
      <c r="O71" s="5">
        <f>VLOOKUP(B71,'0107 W12'!B76:R198,17,0)</f>
        <v>250</v>
      </c>
      <c r="P71" s="78">
        <f t="shared" si="2"/>
        <v>0</v>
      </c>
    </row>
    <row r="72" spans="2:16">
      <c r="B72" s="19">
        <v>1233383</v>
      </c>
      <c r="C72" s="108">
        <v>0</v>
      </c>
      <c r="D72" s="108">
        <v>150</v>
      </c>
      <c r="E72" s="108">
        <v>0</v>
      </c>
      <c r="F72" s="108">
        <v>0</v>
      </c>
      <c r="G72" s="108">
        <v>0</v>
      </c>
      <c r="H72" s="108">
        <v>0</v>
      </c>
      <c r="I72" s="108">
        <v>154</v>
      </c>
      <c r="J72" s="108">
        <v>0</v>
      </c>
      <c r="K72" s="108">
        <v>0</v>
      </c>
      <c r="L72" s="108">
        <v>0</v>
      </c>
      <c r="N72" s="78">
        <f t="shared" si="3"/>
        <v>304</v>
      </c>
      <c r="O72" s="5">
        <f>VLOOKUP(B72,'0107 W12'!B77:R199,17,0)</f>
        <v>304</v>
      </c>
      <c r="P72" s="78">
        <f t="shared" si="2"/>
        <v>0</v>
      </c>
    </row>
    <row r="73" spans="2:16">
      <c r="B73" s="19">
        <v>1233384</v>
      </c>
      <c r="C73" s="108">
        <v>694</v>
      </c>
      <c r="D73" s="108">
        <v>600</v>
      </c>
      <c r="E73" s="108">
        <v>300</v>
      </c>
      <c r="F73" s="108">
        <v>400</v>
      </c>
      <c r="G73" s="108">
        <v>0</v>
      </c>
      <c r="H73" s="108">
        <v>0</v>
      </c>
      <c r="I73" s="108">
        <v>200</v>
      </c>
      <c r="J73" s="108">
        <v>0</v>
      </c>
      <c r="K73" s="108">
        <v>300</v>
      </c>
      <c r="L73" s="108">
        <v>400</v>
      </c>
      <c r="N73" s="78">
        <f t="shared" si="3"/>
        <v>2494</v>
      </c>
      <c r="O73" s="5">
        <f>VLOOKUP(B73,'0107 W12'!B78:R200,17,0)</f>
        <v>2589</v>
      </c>
      <c r="P73" s="78">
        <f t="shared" si="2"/>
        <v>-95</v>
      </c>
    </row>
    <row r="74" spans="2:16">
      <c r="B74" s="19">
        <v>1233385</v>
      </c>
      <c r="C74" s="108">
        <v>0</v>
      </c>
      <c r="D74" s="108">
        <v>0</v>
      </c>
      <c r="E74" s="108">
        <v>0</v>
      </c>
      <c r="F74" s="108">
        <v>240</v>
      </c>
      <c r="G74" s="108">
        <v>0</v>
      </c>
      <c r="H74" s="108">
        <v>0</v>
      </c>
      <c r="I74" s="108">
        <v>0</v>
      </c>
      <c r="J74" s="108">
        <v>168</v>
      </c>
      <c r="K74" s="108">
        <v>0</v>
      </c>
      <c r="L74" s="108">
        <v>0</v>
      </c>
      <c r="N74" s="78">
        <f t="shared" si="3"/>
        <v>408</v>
      </c>
      <c r="O74" s="5">
        <f>VLOOKUP(B74,'0107 W12'!B79:R201,17,0)</f>
        <v>432</v>
      </c>
      <c r="P74" s="78">
        <f t="shared" si="2"/>
        <v>-24</v>
      </c>
    </row>
    <row r="75" spans="2:16">
      <c r="B75" s="19">
        <v>1233387</v>
      </c>
      <c r="C75" s="108">
        <v>576</v>
      </c>
      <c r="D75" s="108">
        <v>75</v>
      </c>
      <c r="E75" s="108">
        <v>0</v>
      </c>
      <c r="F75" s="108">
        <v>0</v>
      </c>
      <c r="G75" s="108">
        <v>0</v>
      </c>
      <c r="H75" s="108">
        <v>288</v>
      </c>
      <c r="I75" s="108">
        <v>0</v>
      </c>
      <c r="J75" s="108">
        <v>0</v>
      </c>
      <c r="K75" s="108">
        <v>0</v>
      </c>
      <c r="L75" s="108">
        <v>0</v>
      </c>
      <c r="N75" s="78">
        <f t="shared" si="3"/>
        <v>939</v>
      </c>
      <c r="O75" s="5">
        <f>VLOOKUP(B75,'0107 W12'!B80:R202,17,0)</f>
        <v>864</v>
      </c>
      <c r="P75" s="78">
        <f t="shared" si="2"/>
        <v>75</v>
      </c>
    </row>
    <row r="76" spans="2:16">
      <c r="B76" s="19">
        <v>1234110</v>
      </c>
      <c r="C76" s="108">
        <v>0</v>
      </c>
      <c r="D76" s="108">
        <v>0</v>
      </c>
      <c r="E76" s="108">
        <v>0</v>
      </c>
      <c r="F76" s="108">
        <v>0</v>
      </c>
      <c r="G76" s="108">
        <v>0</v>
      </c>
      <c r="H76" s="108">
        <v>0</v>
      </c>
      <c r="I76" s="108">
        <v>50</v>
      </c>
      <c r="J76" s="108">
        <v>0</v>
      </c>
      <c r="K76" s="108">
        <v>0</v>
      </c>
      <c r="L76" s="108">
        <v>0</v>
      </c>
      <c r="N76" s="78">
        <f t="shared" si="3"/>
        <v>50</v>
      </c>
      <c r="O76" s="5">
        <f>VLOOKUP(B76,'0107 W12'!B81:R203,17,0)</f>
        <v>50</v>
      </c>
      <c r="P76" s="78">
        <f t="shared" si="2"/>
        <v>0</v>
      </c>
    </row>
    <row r="77" spans="2:16">
      <c r="B77" s="19">
        <v>1234111</v>
      </c>
      <c r="C77" s="108">
        <v>0</v>
      </c>
      <c r="D77" s="108">
        <v>0</v>
      </c>
      <c r="E77" s="108">
        <v>0</v>
      </c>
      <c r="F77" s="108">
        <v>0</v>
      </c>
      <c r="G77" s="108">
        <v>0</v>
      </c>
      <c r="H77" s="108">
        <v>0</v>
      </c>
      <c r="I77" s="108">
        <v>50</v>
      </c>
      <c r="J77" s="108">
        <v>0</v>
      </c>
      <c r="K77" s="108">
        <v>0</v>
      </c>
      <c r="L77" s="108">
        <v>0</v>
      </c>
      <c r="N77" s="78">
        <f t="shared" si="3"/>
        <v>50</v>
      </c>
      <c r="O77" s="5">
        <f>VLOOKUP(B77,'0107 W12'!B82:R204,17,0)</f>
        <v>50</v>
      </c>
      <c r="P77" s="78">
        <f t="shared" si="2"/>
        <v>0</v>
      </c>
    </row>
    <row r="78" spans="2:16">
      <c r="B78" s="19">
        <v>1234217</v>
      </c>
      <c r="C78" s="108">
        <v>0</v>
      </c>
      <c r="D78" s="108">
        <v>0</v>
      </c>
      <c r="E78" s="108">
        <v>0</v>
      </c>
      <c r="F78" s="108">
        <v>0</v>
      </c>
      <c r="G78" s="108">
        <v>0</v>
      </c>
      <c r="H78" s="108">
        <v>0</v>
      </c>
      <c r="I78" s="108">
        <v>50</v>
      </c>
      <c r="J78" s="108">
        <v>0</v>
      </c>
      <c r="K78" s="108">
        <v>0</v>
      </c>
      <c r="L78" s="108">
        <v>0</v>
      </c>
      <c r="N78" s="78">
        <f t="shared" si="3"/>
        <v>50</v>
      </c>
      <c r="O78" s="5">
        <f>VLOOKUP(B78,'0107 W12'!B83:R205,17,0)</f>
        <v>50</v>
      </c>
      <c r="P78" s="78">
        <f t="shared" si="2"/>
        <v>0</v>
      </c>
    </row>
    <row r="79" spans="2:16">
      <c r="B79" s="19">
        <v>1234222</v>
      </c>
      <c r="C79" s="108">
        <v>0</v>
      </c>
      <c r="D79" s="108">
        <v>164</v>
      </c>
      <c r="E79" s="108">
        <v>0</v>
      </c>
      <c r="F79" s="108">
        <v>704</v>
      </c>
      <c r="G79" s="108">
        <v>0</v>
      </c>
      <c r="H79" s="108">
        <v>0</v>
      </c>
      <c r="I79" s="108">
        <v>0</v>
      </c>
      <c r="J79" s="108">
        <v>777</v>
      </c>
      <c r="K79" s="108">
        <v>0</v>
      </c>
      <c r="L79" s="108">
        <v>0</v>
      </c>
      <c r="N79" s="78">
        <f t="shared" si="3"/>
        <v>1645</v>
      </c>
      <c r="O79" s="5">
        <f>VLOOKUP(B79,'0107 W12'!B84:R206,17,0)</f>
        <v>1645</v>
      </c>
      <c r="P79" s="78">
        <f t="shared" si="2"/>
        <v>0</v>
      </c>
    </row>
    <row r="80" spans="2:16">
      <c r="B80" s="19">
        <v>1234905</v>
      </c>
      <c r="C80" s="108">
        <v>823</v>
      </c>
      <c r="D80" s="108">
        <v>700</v>
      </c>
      <c r="E80" s="108">
        <v>150</v>
      </c>
      <c r="F80" s="108">
        <v>0</v>
      </c>
      <c r="G80" s="108">
        <v>150</v>
      </c>
      <c r="H80" s="108">
        <v>650</v>
      </c>
      <c r="I80" s="108">
        <v>1041</v>
      </c>
      <c r="J80" s="108">
        <v>650</v>
      </c>
      <c r="K80" s="108">
        <v>600</v>
      </c>
      <c r="L80" s="108">
        <v>1250</v>
      </c>
      <c r="N80" s="78">
        <f t="shared" si="3"/>
        <v>4764</v>
      </c>
      <c r="O80" s="5">
        <f>VLOOKUP(B80,'0107 W12'!B85:R207,17,0)</f>
        <v>4521</v>
      </c>
      <c r="P80" s="78">
        <f t="shared" si="2"/>
        <v>243</v>
      </c>
    </row>
    <row r="81" spans="2:16">
      <c r="B81" s="19">
        <v>1235097</v>
      </c>
      <c r="C81" s="108">
        <v>0</v>
      </c>
      <c r="D81" s="108">
        <v>0</v>
      </c>
      <c r="E81" s="108">
        <v>0</v>
      </c>
      <c r="F81" s="108">
        <v>0</v>
      </c>
      <c r="G81" s="108">
        <v>0</v>
      </c>
      <c r="H81" s="108">
        <v>100</v>
      </c>
      <c r="I81" s="108">
        <v>150</v>
      </c>
      <c r="J81" s="108">
        <v>100</v>
      </c>
      <c r="K81" s="108">
        <v>340</v>
      </c>
      <c r="L81" s="108">
        <v>200</v>
      </c>
      <c r="N81" s="78">
        <f t="shared" si="3"/>
        <v>690</v>
      </c>
      <c r="O81" s="5">
        <f>VLOOKUP(B81,'0107 W12'!B86:R208,17,0)</f>
        <v>1000</v>
      </c>
      <c r="P81" s="78">
        <f t="shared" si="2"/>
        <v>-310</v>
      </c>
    </row>
    <row r="82" spans="2:16">
      <c r="B82" s="19">
        <v>1235845</v>
      </c>
      <c r="C82" s="108">
        <v>1663</v>
      </c>
      <c r="D82" s="108">
        <v>1325</v>
      </c>
      <c r="E82" s="108">
        <v>0</v>
      </c>
      <c r="F82" s="108">
        <v>0</v>
      </c>
      <c r="G82" s="108">
        <v>0</v>
      </c>
      <c r="H82" s="108">
        <v>0</v>
      </c>
      <c r="I82" s="108">
        <v>0</v>
      </c>
      <c r="J82" s="108">
        <v>337</v>
      </c>
      <c r="K82" s="108">
        <v>0</v>
      </c>
      <c r="L82" s="108">
        <v>0</v>
      </c>
      <c r="N82" s="78">
        <f t="shared" si="3"/>
        <v>3325</v>
      </c>
      <c r="O82" s="5">
        <f>VLOOKUP(B82,'0107 W12'!B87:R209,17,0)</f>
        <v>1662</v>
      </c>
      <c r="P82" s="78">
        <f t="shared" si="2"/>
        <v>1663</v>
      </c>
    </row>
    <row r="83" spans="2:16">
      <c r="B83" s="19">
        <v>1236387</v>
      </c>
      <c r="C83" s="108">
        <v>200</v>
      </c>
      <c r="D83" s="108">
        <v>370</v>
      </c>
      <c r="E83" s="108">
        <v>500</v>
      </c>
      <c r="F83" s="108">
        <v>500</v>
      </c>
      <c r="G83" s="108">
        <v>700</v>
      </c>
      <c r="H83" s="108">
        <v>717</v>
      </c>
      <c r="I83" s="108">
        <v>600</v>
      </c>
      <c r="J83" s="108">
        <v>900</v>
      </c>
      <c r="K83" s="108">
        <v>1350</v>
      </c>
      <c r="L83" s="108">
        <v>800</v>
      </c>
      <c r="N83" s="78">
        <f t="shared" si="3"/>
        <v>5837</v>
      </c>
      <c r="O83" s="5">
        <f>VLOOKUP(B83,'0107 W12'!B88:R210,17,0)</f>
        <v>6990</v>
      </c>
      <c r="P83" s="78">
        <f t="shared" si="2"/>
        <v>-1153</v>
      </c>
    </row>
    <row r="84" spans="2:16">
      <c r="B84" s="19">
        <v>1236600</v>
      </c>
      <c r="C84" s="108">
        <v>0</v>
      </c>
      <c r="D84" s="108">
        <v>874</v>
      </c>
      <c r="E84" s="108">
        <v>65</v>
      </c>
      <c r="F84" s="108">
        <v>0</v>
      </c>
      <c r="G84" s="108">
        <v>0</v>
      </c>
      <c r="H84" s="108">
        <v>0</v>
      </c>
      <c r="I84" s="108">
        <v>878</v>
      </c>
      <c r="J84" s="108">
        <v>0</v>
      </c>
      <c r="K84" s="108">
        <v>0</v>
      </c>
      <c r="L84" s="108">
        <v>0</v>
      </c>
      <c r="N84" s="78">
        <f t="shared" si="3"/>
        <v>1817</v>
      </c>
      <c r="O84" s="5">
        <f>VLOOKUP(B84,'0107 W12'!B89:R211,17,0)</f>
        <v>1817</v>
      </c>
      <c r="P84" s="78">
        <f t="shared" si="2"/>
        <v>0</v>
      </c>
    </row>
    <row r="85" spans="2:16">
      <c r="B85" s="19">
        <v>1236601</v>
      </c>
      <c r="C85" s="108">
        <v>0</v>
      </c>
      <c r="D85" s="108">
        <v>106</v>
      </c>
      <c r="E85" s="108">
        <v>0</v>
      </c>
      <c r="F85" s="108">
        <v>0</v>
      </c>
      <c r="G85" s="108">
        <v>0</v>
      </c>
      <c r="H85" s="108">
        <v>0</v>
      </c>
      <c r="I85" s="108">
        <v>112</v>
      </c>
      <c r="J85" s="108">
        <v>0</v>
      </c>
      <c r="K85" s="108">
        <v>0</v>
      </c>
      <c r="L85" s="108">
        <v>0</v>
      </c>
      <c r="N85" s="78">
        <f t="shared" si="3"/>
        <v>218</v>
      </c>
      <c r="O85" s="5">
        <f>VLOOKUP(B85,'0107 W12'!B90:R212,17,0)</f>
        <v>218</v>
      </c>
      <c r="P85" s="78">
        <f t="shared" si="2"/>
        <v>0</v>
      </c>
    </row>
    <row r="86" spans="2:16">
      <c r="B86" s="19">
        <v>1236619</v>
      </c>
      <c r="C86" s="108">
        <v>0</v>
      </c>
      <c r="D86" s="108">
        <v>0</v>
      </c>
      <c r="E86" s="108">
        <v>0</v>
      </c>
      <c r="F86" s="108">
        <v>0</v>
      </c>
      <c r="G86" s="108">
        <v>0</v>
      </c>
      <c r="H86" s="108">
        <v>0</v>
      </c>
      <c r="I86" s="108">
        <v>180</v>
      </c>
      <c r="J86" s="108">
        <v>0</v>
      </c>
      <c r="K86" s="108">
        <v>0</v>
      </c>
      <c r="L86" s="108">
        <v>0</v>
      </c>
      <c r="N86" s="78">
        <f t="shared" si="3"/>
        <v>180</v>
      </c>
      <c r="O86" s="5">
        <f>VLOOKUP(B86,'0107 W12'!B91:R213,17,0)</f>
        <v>180</v>
      </c>
      <c r="P86" s="78">
        <f t="shared" si="2"/>
        <v>0</v>
      </c>
    </row>
    <row r="87" spans="2:16">
      <c r="B87" s="19">
        <v>1236930</v>
      </c>
      <c r="C87" s="108">
        <v>1945</v>
      </c>
      <c r="D87" s="108">
        <v>800</v>
      </c>
      <c r="E87" s="108">
        <v>200</v>
      </c>
      <c r="F87" s="108">
        <v>774</v>
      </c>
      <c r="G87" s="108">
        <v>712</v>
      </c>
      <c r="H87" s="108">
        <v>2666</v>
      </c>
      <c r="I87" s="108">
        <v>1300</v>
      </c>
      <c r="J87" s="108">
        <v>1660</v>
      </c>
      <c r="K87" s="108">
        <v>800</v>
      </c>
      <c r="L87" s="108">
        <v>1100</v>
      </c>
      <c r="N87" s="78">
        <f t="shared" si="3"/>
        <v>10857</v>
      </c>
      <c r="O87" s="5">
        <f>VLOOKUP(B87,'0107 W12'!B92:R214,17,0)</f>
        <v>10371</v>
      </c>
      <c r="P87" s="78">
        <f t="shared" si="2"/>
        <v>486</v>
      </c>
    </row>
    <row r="88" spans="2:16">
      <c r="B88" s="19">
        <v>1237210</v>
      </c>
      <c r="C88" s="108">
        <v>0</v>
      </c>
      <c r="D88" s="108">
        <v>0</v>
      </c>
      <c r="E88" s="108">
        <v>0</v>
      </c>
      <c r="F88" s="108">
        <v>200</v>
      </c>
      <c r="G88" s="108">
        <v>0</v>
      </c>
      <c r="H88" s="108">
        <v>0</v>
      </c>
      <c r="I88" s="108">
        <v>160</v>
      </c>
      <c r="J88" s="108">
        <v>0</v>
      </c>
      <c r="K88" s="108">
        <v>0</v>
      </c>
      <c r="L88" s="108">
        <v>0</v>
      </c>
      <c r="N88" s="78">
        <f t="shared" si="3"/>
        <v>360</v>
      </c>
      <c r="O88" s="5">
        <f>VLOOKUP(B88,'0107 W12'!B93:R215,17,0)</f>
        <v>360</v>
      </c>
      <c r="P88" s="78">
        <f t="shared" si="2"/>
        <v>0</v>
      </c>
    </row>
    <row r="89" spans="2:16">
      <c r="B89" s="19">
        <v>1237386</v>
      </c>
      <c r="C89" s="108">
        <v>0</v>
      </c>
      <c r="D89" s="108">
        <v>0</v>
      </c>
      <c r="E89" s="108">
        <v>0</v>
      </c>
      <c r="F89" s="108">
        <v>0</v>
      </c>
      <c r="G89" s="108">
        <v>0</v>
      </c>
      <c r="H89" s="108">
        <v>0</v>
      </c>
      <c r="I89" s="108">
        <v>255</v>
      </c>
      <c r="J89" s="108">
        <v>0</v>
      </c>
      <c r="K89" s="108">
        <v>0</v>
      </c>
      <c r="L89" s="108">
        <v>0</v>
      </c>
      <c r="N89" s="78">
        <f t="shared" si="3"/>
        <v>255</v>
      </c>
      <c r="O89" s="5">
        <f>VLOOKUP(B89,'0107 W12'!B94:R216,17,0)</f>
        <v>255</v>
      </c>
      <c r="P89" s="78">
        <f t="shared" si="2"/>
        <v>0</v>
      </c>
    </row>
    <row r="90" spans="2:16">
      <c r="B90" s="19">
        <v>1237457</v>
      </c>
      <c r="C90" s="108">
        <v>0</v>
      </c>
      <c r="D90" s="108">
        <v>0</v>
      </c>
      <c r="E90" s="108">
        <v>0</v>
      </c>
      <c r="F90" s="108">
        <v>0</v>
      </c>
      <c r="G90" s="108">
        <v>0</v>
      </c>
      <c r="H90" s="108">
        <v>0</v>
      </c>
      <c r="I90" s="108">
        <v>108</v>
      </c>
      <c r="J90" s="108">
        <v>0</v>
      </c>
      <c r="K90" s="108">
        <v>0</v>
      </c>
      <c r="L90" s="108">
        <v>0</v>
      </c>
      <c r="N90" s="78">
        <f t="shared" si="3"/>
        <v>108</v>
      </c>
      <c r="O90" s="5">
        <f>VLOOKUP(B90,'0107 W12'!B95:R217,17,0)</f>
        <v>108</v>
      </c>
      <c r="P90" s="78">
        <f t="shared" si="2"/>
        <v>0</v>
      </c>
    </row>
    <row r="91" spans="2:16">
      <c r="B91" s="19">
        <v>1237468</v>
      </c>
      <c r="C91" s="108">
        <v>0</v>
      </c>
      <c r="D91" s="108">
        <v>276</v>
      </c>
      <c r="E91" s="108">
        <v>0</v>
      </c>
      <c r="F91" s="108">
        <v>0</v>
      </c>
      <c r="G91" s="108">
        <v>0</v>
      </c>
      <c r="H91" s="108">
        <v>0</v>
      </c>
      <c r="I91" s="108">
        <v>278</v>
      </c>
      <c r="J91" s="108">
        <v>0</v>
      </c>
      <c r="K91" s="108">
        <v>0</v>
      </c>
      <c r="L91" s="108">
        <v>0</v>
      </c>
      <c r="N91" s="78">
        <f t="shared" si="3"/>
        <v>554</v>
      </c>
      <c r="O91" s="5">
        <f>VLOOKUP(B91,'0107 W12'!B96:R218,17,0)</f>
        <v>554</v>
      </c>
      <c r="P91" s="78">
        <f t="shared" si="2"/>
        <v>0</v>
      </c>
    </row>
    <row r="92" spans="2:16">
      <c r="B92" s="19">
        <v>1238092</v>
      </c>
      <c r="C92" s="108">
        <v>0</v>
      </c>
      <c r="D92" s="108">
        <v>0</v>
      </c>
      <c r="E92" s="108">
        <v>0</v>
      </c>
      <c r="F92" s="108">
        <v>144</v>
      </c>
      <c r="G92" s="108">
        <v>0</v>
      </c>
      <c r="H92" s="108">
        <v>0</v>
      </c>
      <c r="I92" s="108">
        <v>0</v>
      </c>
      <c r="J92" s="108">
        <v>0</v>
      </c>
      <c r="K92" s="108">
        <v>0</v>
      </c>
      <c r="L92" s="108">
        <v>0</v>
      </c>
      <c r="N92" s="78">
        <f t="shared" si="3"/>
        <v>144</v>
      </c>
      <c r="O92" s="5">
        <f>VLOOKUP(B92,'0107 W12'!B97:R219,17,0)</f>
        <v>144</v>
      </c>
      <c r="P92" s="78">
        <f t="shared" si="2"/>
        <v>0</v>
      </c>
    </row>
    <row r="93" spans="2:16">
      <c r="B93" s="19">
        <v>1238453</v>
      </c>
      <c r="C93" s="108">
        <v>40</v>
      </c>
      <c r="D93" s="108">
        <v>262</v>
      </c>
      <c r="E93" s="108">
        <v>0</v>
      </c>
      <c r="F93" s="108">
        <v>0</v>
      </c>
      <c r="G93" s="108">
        <v>0</v>
      </c>
      <c r="H93" s="108">
        <v>0</v>
      </c>
      <c r="I93" s="108">
        <v>248</v>
      </c>
      <c r="J93" s="108">
        <v>0</v>
      </c>
      <c r="K93" s="108">
        <v>0</v>
      </c>
      <c r="L93" s="108">
        <v>0</v>
      </c>
      <c r="N93" s="78">
        <f t="shared" si="3"/>
        <v>550</v>
      </c>
      <c r="O93" s="5">
        <f>VLOOKUP(B93,'0107 W12'!B98:R220,17,0)</f>
        <v>510</v>
      </c>
      <c r="P93" s="78">
        <f t="shared" si="2"/>
        <v>40</v>
      </c>
    </row>
    <row r="94" spans="2:16">
      <c r="B94" s="19">
        <v>1238480</v>
      </c>
      <c r="C94" s="108">
        <v>6510</v>
      </c>
      <c r="D94" s="108">
        <v>3780</v>
      </c>
      <c r="E94" s="108">
        <v>3830</v>
      </c>
      <c r="F94" s="108">
        <v>5385</v>
      </c>
      <c r="G94" s="108">
        <v>4715</v>
      </c>
      <c r="H94" s="108">
        <v>6771</v>
      </c>
      <c r="I94" s="108">
        <v>680</v>
      </c>
      <c r="J94" s="108">
        <v>1270</v>
      </c>
      <c r="K94" s="108">
        <v>13830</v>
      </c>
      <c r="L94" s="108">
        <v>1030</v>
      </c>
      <c r="N94" s="78">
        <f t="shared" si="3"/>
        <v>46771</v>
      </c>
      <c r="O94" s="5">
        <f>VLOOKUP(B94,'0107 W12'!B99:R221,17,0)</f>
        <v>42414</v>
      </c>
      <c r="P94" s="78">
        <f t="shared" si="2"/>
        <v>4357</v>
      </c>
    </row>
    <row r="95" spans="2:16">
      <c r="B95" s="19">
        <v>1238605</v>
      </c>
      <c r="C95" s="108">
        <v>0</v>
      </c>
      <c r="D95" s="108">
        <v>339</v>
      </c>
      <c r="E95" s="108">
        <v>350</v>
      </c>
      <c r="F95" s="108">
        <v>100</v>
      </c>
      <c r="G95" s="108">
        <v>0</v>
      </c>
      <c r="H95" s="108">
        <v>450</v>
      </c>
      <c r="I95" s="108">
        <v>614</v>
      </c>
      <c r="J95" s="108">
        <v>0</v>
      </c>
      <c r="K95" s="108">
        <v>0</v>
      </c>
      <c r="L95" s="108">
        <v>0</v>
      </c>
      <c r="N95" s="78">
        <f t="shared" si="3"/>
        <v>1853</v>
      </c>
      <c r="O95" s="5">
        <f>VLOOKUP(B95,'0107 W12'!B100:R222,17,0)</f>
        <v>1803</v>
      </c>
      <c r="P95" s="78">
        <f t="shared" si="2"/>
        <v>50</v>
      </c>
    </row>
    <row r="96" spans="2:16">
      <c r="B96" s="127">
        <v>1240029</v>
      </c>
      <c r="C96" s="108">
        <v>0</v>
      </c>
      <c r="D96" s="108">
        <v>502</v>
      </c>
      <c r="E96" s="108">
        <v>0</v>
      </c>
      <c r="F96" s="108">
        <v>0</v>
      </c>
      <c r="G96" s="108">
        <v>0</v>
      </c>
      <c r="H96" s="108">
        <v>100</v>
      </c>
      <c r="I96" s="108">
        <v>400</v>
      </c>
      <c r="J96" s="108">
        <v>250</v>
      </c>
      <c r="K96" s="108">
        <v>150</v>
      </c>
      <c r="L96" s="108">
        <v>400</v>
      </c>
      <c r="N96" s="78">
        <f t="shared" si="3"/>
        <v>1402</v>
      </c>
      <c r="O96" s="5">
        <f>VLOOKUP(B96,'0107 W12'!B101:R223,17,0)</f>
        <v>2997</v>
      </c>
      <c r="P96" s="78">
        <f t="shared" si="2"/>
        <v>-1595</v>
      </c>
    </row>
    <row r="97" spans="2:16">
      <c r="B97" s="127">
        <v>1240032</v>
      </c>
      <c r="C97" s="108">
        <v>0</v>
      </c>
      <c r="D97" s="108">
        <v>502</v>
      </c>
      <c r="E97" s="108">
        <v>0</v>
      </c>
      <c r="F97" s="108">
        <v>0</v>
      </c>
      <c r="G97" s="108">
        <v>0</v>
      </c>
      <c r="H97" s="108">
        <v>100</v>
      </c>
      <c r="I97" s="108">
        <v>400</v>
      </c>
      <c r="J97" s="108">
        <v>250</v>
      </c>
      <c r="K97" s="108">
        <v>150</v>
      </c>
      <c r="L97" s="108">
        <v>400</v>
      </c>
      <c r="N97" s="78">
        <f t="shared" si="3"/>
        <v>1402</v>
      </c>
      <c r="O97" s="5">
        <f>VLOOKUP(B97,'0107 W12'!B102:R224,17,0)</f>
        <v>2997</v>
      </c>
      <c r="P97" s="78">
        <f t="shared" si="2"/>
        <v>-1595</v>
      </c>
    </row>
    <row r="98" spans="2:16">
      <c r="B98" s="19">
        <v>1240180</v>
      </c>
      <c r="C98" s="108">
        <v>0</v>
      </c>
      <c r="D98" s="108">
        <v>100</v>
      </c>
      <c r="E98" s="108">
        <v>150</v>
      </c>
      <c r="F98" s="108">
        <v>120</v>
      </c>
      <c r="G98" s="108">
        <v>0</v>
      </c>
      <c r="H98" s="108">
        <v>200</v>
      </c>
      <c r="I98" s="108">
        <v>400</v>
      </c>
      <c r="J98" s="108">
        <v>200</v>
      </c>
      <c r="K98" s="108">
        <v>0</v>
      </c>
      <c r="L98" s="108">
        <v>0</v>
      </c>
      <c r="N98" s="78">
        <f t="shared" si="3"/>
        <v>1170</v>
      </c>
      <c r="O98" s="5">
        <f>VLOOKUP(B98,'0107 W12'!B103:R225,17,0)</f>
        <v>1550</v>
      </c>
      <c r="P98" s="78">
        <f t="shared" si="2"/>
        <v>-380</v>
      </c>
    </row>
    <row r="99" spans="2:16">
      <c r="B99" s="19">
        <v>1240184</v>
      </c>
      <c r="C99" s="108">
        <v>0</v>
      </c>
      <c r="D99" s="108">
        <v>100</v>
      </c>
      <c r="E99" s="108">
        <v>150</v>
      </c>
      <c r="F99" s="108">
        <v>120</v>
      </c>
      <c r="G99" s="108">
        <v>0</v>
      </c>
      <c r="H99" s="108">
        <v>200</v>
      </c>
      <c r="I99" s="108">
        <v>400</v>
      </c>
      <c r="J99" s="108">
        <v>200</v>
      </c>
      <c r="K99" s="108">
        <v>0</v>
      </c>
      <c r="L99" s="108">
        <v>0</v>
      </c>
      <c r="N99" s="78">
        <f t="shared" si="3"/>
        <v>1170</v>
      </c>
      <c r="O99" s="5">
        <f>VLOOKUP(B99,'0107 W12'!B104:R226,17,0)</f>
        <v>1550</v>
      </c>
      <c r="P99" s="78">
        <f t="shared" si="2"/>
        <v>-380</v>
      </c>
    </row>
    <row r="100" spans="2:16">
      <c r="B100" s="19">
        <v>1241343</v>
      </c>
      <c r="C100" s="108">
        <v>0</v>
      </c>
      <c r="D100" s="108">
        <v>0</v>
      </c>
      <c r="E100" s="108">
        <v>0</v>
      </c>
      <c r="F100" s="108">
        <v>20</v>
      </c>
      <c r="G100" s="108">
        <v>0</v>
      </c>
      <c r="H100" s="108">
        <v>0</v>
      </c>
      <c r="I100" s="108">
        <v>0</v>
      </c>
      <c r="J100" s="108">
        <v>0</v>
      </c>
      <c r="K100" s="108">
        <v>0</v>
      </c>
      <c r="L100" s="108">
        <v>0</v>
      </c>
      <c r="N100" s="78">
        <f t="shared" si="3"/>
        <v>20</v>
      </c>
      <c r="O100" s="5">
        <f>VLOOKUP(B100,'0107 W12'!B105:R227,17,0)</f>
        <v>20</v>
      </c>
      <c r="P100" s="78">
        <f t="shared" si="2"/>
        <v>0</v>
      </c>
    </row>
    <row r="101" spans="2:16">
      <c r="B101" s="19">
        <v>1241347</v>
      </c>
      <c r="C101" s="108">
        <v>0</v>
      </c>
      <c r="D101" s="108">
        <v>0</v>
      </c>
      <c r="E101" s="108">
        <v>0</v>
      </c>
      <c r="F101" s="108">
        <v>20</v>
      </c>
      <c r="G101" s="108">
        <v>0</v>
      </c>
      <c r="H101" s="108">
        <v>0</v>
      </c>
      <c r="I101" s="108">
        <v>0</v>
      </c>
      <c r="J101" s="108">
        <v>0</v>
      </c>
      <c r="K101" s="108">
        <v>0</v>
      </c>
      <c r="L101" s="108">
        <v>0</v>
      </c>
      <c r="N101" s="78">
        <f t="shared" si="3"/>
        <v>20</v>
      </c>
      <c r="O101" s="5">
        <f>VLOOKUP(B101,'0107 W12'!B106:R228,17,0)</f>
        <v>20</v>
      </c>
      <c r="P101" s="78">
        <f t="shared" si="2"/>
        <v>0</v>
      </c>
    </row>
    <row r="102" spans="2:16">
      <c r="B102" s="19">
        <v>1241387</v>
      </c>
      <c r="C102" s="108">
        <v>0</v>
      </c>
      <c r="D102" s="108">
        <v>0</v>
      </c>
      <c r="E102" s="108">
        <v>0</v>
      </c>
      <c r="F102" s="108">
        <v>151</v>
      </c>
      <c r="G102" s="108">
        <v>0</v>
      </c>
      <c r="H102" s="108">
        <v>0</v>
      </c>
      <c r="I102" s="108">
        <v>0</v>
      </c>
      <c r="J102" s="108">
        <v>0</v>
      </c>
      <c r="K102" s="108">
        <v>0</v>
      </c>
      <c r="L102" s="108">
        <v>0</v>
      </c>
      <c r="N102" s="78">
        <f t="shared" si="3"/>
        <v>151</v>
      </c>
      <c r="O102" s="5">
        <f>VLOOKUP(B102,'0107 W12'!B107:R229,17,0)</f>
        <v>151</v>
      </c>
      <c r="P102" s="78">
        <f t="shared" si="2"/>
        <v>0</v>
      </c>
    </row>
    <row r="103" spans="2:16">
      <c r="B103" s="19">
        <v>1241474</v>
      </c>
      <c r="C103" s="108">
        <v>0</v>
      </c>
      <c r="D103" s="108">
        <v>0</v>
      </c>
      <c r="E103" s="108">
        <v>0</v>
      </c>
      <c r="F103" s="108">
        <v>37</v>
      </c>
      <c r="G103" s="108">
        <v>0</v>
      </c>
      <c r="H103" s="108">
        <v>0</v>
      </c>
      <c r="I103" s="108">
        <v>0</v>
      </c>
      <c r="J103" s="108">
        <v>0</v>
      </c>
      <c r="K103" s="108">
        <v>0</v>
      </c>
      <c r="L103" s="108">
        <v>0</v>
      </c>
      <c r="N103" s="78">
        <f t="shared" si="3"/>
        <v>37</v>
      </c>
      <c r="O103" s="5">
        <f>VLOOKUP(B103,'0107 W12'!B108:R230,17,0)</f>
        <v>37</v>
      </c>
      <c r="P103" s="78">
        <f t="shared" si="2"/>
        <v>0</v>
      </c>
    </row>
    <row r="104" spans="2:16">
      <c r="B104" s="19">
        <v>1241480</v>
      </c>
      <c r="C104" s="108">
        <v>0</v>
      </c>
      <c r="D104" s="108">
        <v>0</v>
      </c>
      <c r="E104" s="108">
        <v>0</v>
      </c>
      <c r="F104" s="108">
        <v>26</v>
      </c>
      <c r="G104" s="108">
        <v>0</v>
      </c>
      <c r="H104" s="108">
        <v>0</v>
      </c>
      <c r="I104" s="108">
        <v>0</v>
      </c>
      <c r="J104" s="108">
        <v>0</v>
      </c>
      <c r="K104" s="108">
        <v>0</v>
      </c>
      <c r="L104" s="108">
        <v>0</v>
      </c>
      <c r="N104" s="78">
        <f t="shared" si="3"/>
        <v>26</v>
      </c>
      <c r="O104" s="5">
        <f>VLOOKUP(B104,'0107 W12'!B109:R231,17,0)</f>
        <v>26</v>
      </c>
      <c r="P104" s="78">
        <f t="shared" si="2"/>
        <v>0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67A3-4D03-4287-92EE-019904325656}">
  <dimension ref="A1:S69"/>
  <sheetViews>
    <sheetView topLeftCell="A35" zoomScale="130" zoomScaleNormal="130" workbookViewId="0">
      <selection activeCell="A49" sqref="A49:XFD49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16384" width="9.33203125" style="5"/>
  </cols>
  <sheetData>
    <row r="1" spans="1:19">
      <c r="A1" s="74" t="s">
        <v>0</v>
      </c>
      <c r="B1" s="69" t="s">
        <v>750</v>
      </c>
      <c r="C1" s="69" t="s">
        <v>751</v>
      </c>
      <c r="D1" s="69" t="s">
        <v>752</v>
      </c>
      <c r="E1" s="70" t="s">
        <v>753</v>
      </c>
      <c r="F1" s="69" t="s">
        <v>757</v>
      </c>
      <c r="G1" s="69" t="s">
        <v>758</v>
      </c>
      <c r="H1" s="69" t="s">
        <v>759</v>
      </c>
      <c r="I1" s="69" t="s">
        <v>760</v>
      </c>
      <c r="J1" s="69" t="s">
        <v>761</v>
      </c>
      <c r="K1" s="69" t="s">
        <v>762</v>
      </c>
      <c r="L1" s="70" t="s">
        <v>763</v>
      </c>
      <c r="M1" s="69" t="s">
        <v>766</v>
      </c>
      <c r="N1" s="69" t="s">
        <v>767</v>
      </c>
      <c r="O1" s="69" t="s">
        <v>768</v>
      </c>
      <c r="P1" s="69" t="s">
        <v>769</v>
      </c>
      <c r="Q1" s="69" t="s">
        <v>770</v>
      </c>
      <c r="R1" s="69" t="s">
        <v>771</v>
      </c>
      <c r="S1" s="70" t="s">
        <v>772</v>
      </c>
    </row>
    <row r="2" spans="1:19">
      <c r="A2" s="30">
        <v>1234614</v>
      </c>
      <c r="B2" s="32">
        <v>50</v>
      </c>
      <c r="C2" s="32">
        <v>0</v>
      </c>
      <c r="D2" s="32">
        <v>0</v>
      </c>
      <c r="E2" s="32">
        <v>0</v>
      </c>
      <c r="F2" s="32">
        <v>508</v>
      </c>
      <c r="G2" s="17">
        <v>362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</row>
    <row r="3" spans="1:19">
      <c r="A3" s="30">
        <v>1229673</v>
      </c>
      <c r="B3" s="32">
        <v>0</v>
      </c>
      <c r="C3" s="32">
        <v>0</v>
      </c>
      <c r="D3" s="32">
        <v>0</v>
      </c>
      <c r="E3" s="32">
        <v>0</v>
      </c>
      <c r="F3" s="32">
        <v>400</v>
      </c>
      <c r="G3" s="17">
        <v>400</v>
      </c>
      <c r="H3" s="32">
        <v>400</v>
      </c>
      <c r="I3" s="32">
        <v>400</v>
      </c>
      <c r="J3" s="32">
        <v>400</v>
      </c>
      <c r="K3" s="32">
        <v>0</v>
      </c>
      <c r="L3" s="32">
        <v>0</v>
      </c>
      <c r="M3" s="32">
        <v>0</v>
      </c>
      <c r="N3" s="32">
        <v>200</v>
      </c>
      <c r="O3" s="32">
        <v>0</v>
      </c>
      <c r="P3" s="32">
        <v>300</v>
      </c>
      <c r="Q3" s="32">
        <v>300</v>
      </c>
      <c r="R3" s="32">
        <v>0</v>
      </c>
      <c r="S3" s="32">
        <v>0</v>
      </c>
    </row>
    <row r="4" spans="1:19">
      <c r="A4" s="30">
        <v>1233632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64</v>
      </c>
      <c r="P4" s="32">
        <v>337</v>
      </c>
      <c r="Q4" s="32">
        <v>0</v>
      </c>
      <c r="R4" s="32">
        <v>0</v>
      </c>
      <c r="S4" s="32">
        <v>0</v>
      </c>
    </row>
    <row r="5" spans="1:19">
      <c r="A5" s="30">
        <v>1237088</v>
      </c>
      <c r="B5" s="32">
        <v>1142</v>
      </c>
      <c r="C5" s="32">
        <v>1656</v>
      </c>
      <c r="D5" s="32">
        <v>0</v>
      </c>
      <c r="E5" s="32">
        <v>0</v>
      </c>
      <c r="F5" s="32">
        <v>1026</v>
      </c>
      <c r="G5" s="109">
        <v>554</v>
      </c>
      <c r="H5" s="32">
        <v>794</v>
      </c>
      <c r="I5" s="32">
        <v>330</v>
      </c>
      <c r="J5" s="32">
        <v>1039</v>
      </c>
      <c r="K5" s="32">
        <v>0</v>
      </c>
      <c r="L5" s="32">
        <v>0</v>
      </c>
      <c r="M5" s="32">
        <v>332</v>
      </c>
      <c r="N5" s="32">
        <v>330</v>
      </c>
      <c r="O5" s="32">
        <v>788</v>
      </c>
      <c r="P5" s="32">
        <v>1168</v>
      </c>
      <c r="Q5" s="32">
        <v>1638</v>
      </c>
      <c r="R5" s="32">
        <v>0</v>
      </c>
      <c r="S5" s="32">
        <v>0</v>
      </c>
    </row>
    <row r="6" spans="1:19">
      <c r="A6" s="30">
        <v>1238128</v>
      </c>
      <c r="B6" s="32">
        <v>912</v>
      </c>
      <c r="C6" s="32">
        <v>960</v>
      </c>
      <c r="D6" s="32">
        <v>0</v>
      </c>
      <c r="E6" s="32">
        <v>0</v>
      </c>
      <c r="F6" s="32">
        <v>546</v>
      </c>
      <c r="G6" s="17">
        <v>480</v>
      </c>
      <c r="H6" s="32">
        <v>76</v>
      </c>
      <c r="I6" s="32">
        <v>144</v>
      </c>
      <c r="J6" s="32">
        <v>480</v>
      </c>
      <c r="K6" s="32">
        <v>0</v>
      </c>
      <c r="L6" s="32">
        <v>0</v>
      </c>
      <c r="M6" s="32">
        <v>60</v>
      </c>
      <c r="N6" s="32">
        <v>0</v>
      </c>
      <c r="O6" s="32">
        <v>0</v>
      </c>
      <c r="P6" s="32">
        <v>280</v>
      </c>
      <c r="Q6" s="32">
        <v>480</v>
      </c>
      <c r="R6" s="32">
        <v>0</v>
      </c>
      <c r="S6" s="32">
        <v>0</v>
      </c>
    </row>
    <row r="7" spans="1:19">
      <c r="A7" s="30">
        <v>1236962</v>
      </c>
      <c r="B7" s="32">
        <v>250</v>
      </c>
      <c r="C7" s="32">
        <v>250</v>
      </c>
      <c r="D7" s="32">
        <v>0</v>
      </c>
      <c r="E7" s="32">
        <v>0</v>
      </c>
      <c r="F7" s="32">
        <v>200</v>
      </c>
      <c r="G7" s="17">
        <v>400</v>
      </c>
      <c r="H7" s="32">
        <v>200</v>
      </c>
      <c r="I7" s="32">
        <v>200</v>
      </c>
      <c r="J7" s="32">
        <v>300</v>
      </c>
      <c r="K7" s="32">
        <v>0</v>
      </c>
      <c r="L7" s="32">
        <v>0</v>
      </c>
      <c r="M7" s="32">
        <v>0</v>
      </c>
      <c r="N7" s="32">
        <v>500</v>
      </c>
      <c r="O7" s="32">
        <v>300</v>
      </c>
      <c r="P7" s="32">
        <v>300</v>
      </c>
      <c r="Q7" s="32">
        <v>290</v>
      </c>
      <c r="R7" s="32">
        <v>0</v>
      </c>
      <c r="S7" s="32">
        <v>0</v>
      </c>
    </row>
    <row r="8" spans="1:19">
      <c r="A8" s="30">
        <v>1233761</v>
      </c>
      <c r="B8" s="32">
        <v>250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150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</row>
    <row r="9" spans="1:19">
      <c r="A9" s="30">
        <v>1239651</v>
      </c>
      <c r="B9" s="32">
        <v>0</v>
      </c>
      <c r="C9" s="32">
        <v>0</v>
      </c>
      <c r="D9" s="32">
        <v>0</v>
      </c>
      <c r="E9" s="32">
        <v>0</v>
      </c>
      <c r="F9" s="32">
        <v>205</v>
      </c>
      <c r="G9" s="32">
        <v>0</v>
      </c>
      <c r="H9" s="32">
        <v>0</v>
      </c>
      <c r="I9" s="32">
        <v>300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400</v>
      </c>
      <c r="Q9" s="32">
        <v>0</v>
      </c>
      <c r="R9" s="32">
        <v>0</v>
      </c>
      <c r="S9" s="32">
        <v>0</v>
      </c>
    </row>
    <row r="10" spans="1:19">
      <c r="A10" s="30">
        <v>1239988</v>
      </c>
      <c r="B10" s="32">
        <v>454</v>
      </c>
      <c r="C10" s="32">
        <v>454</v>
      </c>
      <c r="D10" s="32">
        <v>0</v>
      </c>
      <c r="E10" s="32">
        <v>0</v>
      </c>
      <c r="F10" s="32">
        <v>454</v>
      </c>
      <c r="G10" s="17">
        <v>454</v>
      </c>
      <c r="H10" s="32">
        <v>356</v>
      </c>
      <c r="I10" s="32">
        <v>478</v>
      </c>
      <c r="J10" s="32">
        <v>454</v>
      </c>
      <c r="K10" s="32">
        <v>0</v>
      </c>
      <c r="L10" s="32">
        <v>0</v>
      </c>
      <c r="M10" s="32">
        <v>174</v>
      </c>
      <c r="N10" s="32">
        <v>120</v>
      </c>
      <c r="O10" s="32">
        <v>336</v>
      </c>
      <c r="P10" s="32">
        <v>454</v>
      </c>
      <c r="Q10" s="32">
        <v>454</v>
      </c>
      <c r="R10" s="32">
        <v>0</v>
      </c>
      <c r="S10" s="32">
        <v>0</v>
      </c>
    </row>
    <row r="11" spans="1:19">
      <c r="A11" s="30">
        <v>1240180</v>
      </c>
      <c r="B11" s="32">
        <v>358</v>
      </c>
      <c r="C11" s="32">
        <v>358</v>
      </c>
      <c r="D11" s="32">
        <v>0</v>
      </c>
      <c r="E11" s="32">
        <v>0</v>
      </c>
      <c r="F11" s="32">
        <v>358</v>
      </c>
      <c r="G11" s="17">
        <v>358</v>
      </c>
      <c r="H11" s="32">
        <v>280</v>
      </c>
      <c r="I11" s="32">
        <v>358</v>
      </c>
      <c r="J11" s="32">
        <v>358</v>
      </c>
      <c r="K11" s="32">
        <v>0</v>
      </c>
      <c r="L11" s="32">
        <v>0</v>
      </c>
      <c r="M11" s="32">
        <v>666</v>
      </c>
      <c r="N11" s="32">
        <v>188</v>
      </c>
      <c r="O11" s="32">
        <v>212</v>
      </c>
      <c r="P11" s="32">
        <v>64</v>
      </c>
      <c r="Q11" s="32">
        <v>358</v>
      </c>
      <c r="R11" s="32">
        <v>0</v>
      </c>
      <c r="S11" s="32">
        <v>0</v>
      </c>
    </row>
    <row r="12" spans="1:19">
      <c r="A12" s="30">
        <v>1240184</v>
      </c>
      <c r="B12" s="32">
        <v>358</v>
      </c>
      <c r="C12" s="32">
        <v>358</v>
      </c>
      <c r="D12" s="32">
        <v>0</v>
      </c>
      <c r="E12" s="32">
        <v>0</v>
      </c>
      <c r="F12" s="32">
        <v>358</v>
      </c>
      <c r="G12" s="17">
        <v>358</v>
      </c>
      <c r="H12" s="32">
        <v>280</v>
      </c>
      <c r="I12" s="32">
        <v>358</v>
      </c>
      <c r="J12" s="32">
        <v>308</v>
      </c>
      <c r="K12" s="32">
        <v>0</v>
      </c>
      <c r="L12" s="32">
        <v>0</v>
      </c>
      <c r="M12" s="32">
        <v>616</v>
      </c>
      <c r="N12" s="32">
        <v>188</v>
      </c>
      <c r="O12" s="32">
        <v>212</v>
      </c>
      <c r="P12" s="32">
        <v>64</v>
      </c>
      <c r="Q12" s="32">
        <v>358</v>
      </c>
      <c r="R12" s="32">
        <v>0</v>
      </c>
      <c r="S12" s="32">
        <v>0</v>
      </c>
    </row>
    <row r="13" spans="1:19">
      <c r="A13" s="30">
        <v>1240308</v>
      </c>
      <c r="B13" s="32">
        <v>350</v>
      </c>
      <c r="C13" s="32">
        <v>200</v>
      </c>
      <c r="D13" s="32">
        <v>0</v>
      </c>
      <c r="E13" s="32">
        <v>0</v>
      </c>
      <c r="F13" s="32">
        <v>0</v>
      </c>
      <c r="G13" s="17">
        <v>450</v>
      </c>
      <c r="H13" s="32">
        <v>300</v>
      </c>
      <c r="I13" s="32">
        <v>0</v>
      </c>
      <c r="J13" s="32">
        <v>0</v>
      </c>
      <c r="K13" s="32">
        <v>0</v>
      </c>
      <c r="L13" s="32">
        <v>0</v>
      </c>
      <c r="M13" s="32">
        <v>400</v>
      </c>
      <c r="N13" s="32">
        <v>350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</row>
    <row r="17" spans="1:19">
      <c r="A17" s="5" t="s">
        <v>0</v>
      </c>
      <c r="B17" s="9" t="s">
        <v>750</v>
      </c>
      <c r="C17" s="9" t="s">
        <v>751</v>
      </c>
      <c r="D17" s="9" t="s">
        <v>752</v>
      </c>
      <c r="E17" s="9" t="s">
        <v>753</v>
      </c>
      <c r="F17" s="9" t="s">
        <v>757</v>
      </c>
      <c r="G17" s="9" t="s">
        <v>758</v>
      </c>
      <c r="H17" s="9" t="s">
        <v>759</v>
      </c>
      <c r="I17" s="9" t="s">
        <v>760</v>
      </c>
      <c r="J17" s="9" t="s">
        <v>761</v>
      </c>
      <c r="K17" s="9" t="s">
        <v>762</v>
      </c>
      <c r="L17" s="9" t="s">
        <v>763</v>
      </c>
      <c r="M17" s="9" t="s">
        <v>766</v>
      </c>
      <c r="N17" s="9" t="s">
        <v>767</v>
      </c>
      <c r="O17" s="9" t="s">
        <v>768</v>
      </c>
      <c r="P17" s="9" t="s">
        <v>769</v>
      </c>
      <c r="Q17" s="9" t="s">
        <v>770</v>
      </c>
      <c r="R17" s="9" t="s">
        <v>771</v>
      </c>
      <c r="S17" s="9" t="s">
        <v>772</v>
      </c>
    </row>
    <row r="18" spans="1:19">
      <c r="A18" s="5">
        <v>1232846</v>
      </c>
      <c r="B18" s="9">
        <v>21</v>
      </c>
      <c r="C18" s="9">
        <v>0</v>
      </c>
      <c r="D18" s="9">
        <v>0</v>
      </c>
      <c r="E18" s="9">
        <v>0</v>
      </c>
      <c r="F18" s="9">
        <v>0</v>
      </c>
      <c r="G18" s="18">
        <v>403</v>
      </c>
      <c r="H18" s="18">
        <v>352</v>
      </c>
      <c r="I18" s="9">
        <v>449</v>
      </c>
      <c r="J18" s="9">
        <v>2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</row>
    <row r="19" spans="1:19">
      <c r="A19" s="5">
        <v>1232895</v>
      </c>
      <c r="B19" s="9">
        <v>21</v>
      </c>
      <c r="C19" s="9">
        <v>0</v>
      </c>
      <c r="D19" s="9">
        <v>0</v>
      </c>
      <c r="E19" s="9">
        <v>0</v>
      </c>
      <c r="F19" s="9">
        <v>0</v>
      </c>
      <c r="G19" s="18">
        <v>403</v>
      </c>
      <c r="H19" s="18">
        <v>352</v>
      </c>
      <c r="I19" s="9">
        <v>449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</row>
    <row r="20" spans="1:19">
      <c r="A20" s="5">
        <v>1233384</v>
      </c>
      <c r="B20" s="9">
        <v>21</v>
      </c>
      <c r="C20" s="9">
        <v>0</v>
      </c>
      <c r="D20" s="9">
        <v>0</v>
      </c>
      <c r="E20" s="9">
        <v>0</v>
      </c>
      <c r="F20" s="9">
        <v>0</v>
      </c>
      <c r="G20" s="18">
        <v>403</v>
      </c>
      <c r="H20" s="18">
        <v>352</v>
      </c>
      <c r="I20" s="9">
        <v>449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</row>
    <row r="21" spans="1:19">
      <c r="A21" s="5">
        <v>1233165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250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</row>
    <row r="22" spans="1:19">
      <c r="A22" s="5">
        <v>1236387</v>
      </c>
      <c r="B22" s="9">
        <v>0</v>
      </c>
      <c r="C22" s="9">
        <v>0</v>
      </c>
      <c r="D22" s="9">
        <v>0</v>
      </c>
      <c r="E22" s="9">
        <v>0</v>
      </c>
      <c r="F22" s="98">
        <v>411</v>
      </c>
      <c r="G22" s="98">
        <v>325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426</v>
      </c>
      <c r="N22" s="9">
        <v>71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</row>
    <row r="23" spans="1:19">
      <c r="A23" s="5">
        <v>1232775</v>
      </c>
      <c r="B23" s="9">
        <v>309</v>
      </c>
      <c r="C23" s="9">
        <v>309</v>
      </c>
      <c r="D23" s="9">
        <v>0</v>
      </c>
      <c r="E23" s="9">
        <v>0</v>
      </c>
      <c r="F23" s="98">
        <v>298</v>
      </c>
      <c r="G23" s="98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251</v>
      </c>
      <c r="O23" s="9">
        <v>92</v>
      </c>
      <c r="P23" s="9">
        <v>309</v>
      </c>
      <c r="Q23" s="9">
        <v>276</v>
      </c>
      <c r="R23" s="9">
        <v>0</v>
      </c>
      <c r="S23" s="9">
        <v>0</v>
      </c>
    </row>
    <row r="24" spans="1:19">
      <c r="A24" s="5">
        <v>1238605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18">
        <v>42</v>
      </c>
      <c r="H24" s="18">
        <v>187</v>
      </c>
      <c r="I24" s="9">
        <v>182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</row>
    <row r="25" spans="1:19">
      <c r="A25" s="5">
        <v>1230685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28</v>
      </c>
      <c r="P25" s="9">
        <v>122</v>
      </c>
      <c r="Q25" s="9">
        <v>0</v>
      </c>
      <c r="R25" s="9">
        <v>0</v>
      </c>
      <c r="S25" s="9">
        <v>0</v>
      </c>
    </row>
    <row r="30" spans="1:19">
      <c r="A30" s="74" t="s">
        <v>0</v>
      </c>
      <c r="B30" s="69" t="s">
        <v>750</v>
      </c>
      <c r="C30" s="69" t="s">
        <v>751</v>
      </c>
      <c r="D30" s="69" t="s">
        <v>752</v>
      </c>
      <c r="E30" s="70" t="s">
        <v>753</v>
      </c>
      <c r="F30" s="69" t="s">
        <v>757</v>
      </c>
      <c r="G30" s="69" t="s">
        <v>758</v>
      </c>
      <c r="H30" s="69" t="s">
        <v>759</v>
      </c>
      <c r="I30" s="69" t="s">
        <v>760</v>
      </c>
      <c r="J30" s="69" t="s">
        <v>761</v>
      </c>
      <c r="K30" s="69" t="s">
        <v>762</v>
      </c>
      <c r="L30" s="70" t="s">
        <v>763</v>
      </c>
      <c r="M30" s="69" t="s">
        <v>766</v>
      </c>
      <c r="N30" s="69" t="s">
        <v>767</v>
      </c>
      <c r="O30" s="69" t="s">
        <v>768</v>
      </c>
      <c r="P30" s="69" t="s">
        <v>769</v>
      </c>
      <c r="Q30" s="69" t="s">
        <v>770</v>
      </c>
      <c r="R30" s="69" t="s">
        <v>771</v>
      </c>
      <c r="S30" s="70" t="s">
        <v>772</v>
      </c>
    </row>
    <row r="31" spans="1:19">
      <c r="A31" s="30">
        <v>1230692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17">
        <v>250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</row>
    <row r="32" spans="1:19">
      <c r="A32" s="30">
        <v>1227306</v>
      </c>
      <c r="B32" s="32">
        <v>0</v>
      </c>
      <c r="C32" s="32">
        <v>0</v>
      </c>
      <c r="D32" s="32">
        <v>0</v>
      </c>
      <c r="E32" s="32">
        <v>0</v>
      </c>
      <c r="F32" s="32">
        <v>118</v>
      </c>
      <c r="G32" s="32">
        <v>487</v>
      </c>
      <c r="H32" s="17">
        <v>378</v>
      </c>
      <c r="I32" s="32">
        <v>177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</row>
    <row r="33" spans="1:19">
      <c r="A33" s="30">
        <v>1229088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242</v>
      </c>
      <c r="N33" s="32">
        <v>520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</row>
    <row r="34" spans="1:19">
      <c r="A34" s="30">
        <v>1231090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17">
        <v>200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207</v>
      </c>
      <c r="P34" s="32">
        <v>551</v>
      </c>
      <c r="Q34" s="32">
        <v>600</v>
      </c>
      <c r="R34" s="32">
        <v>0</v>
      </c>
      <c r="S34" s="32">
        <v>0</v>
      </c>
    </row>
    <row r="35" spans="1:19">
      <c r="A35" s="30">
        <v>1229776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17">
        <v>200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</row>
    <row r="36" spans="1:19">
      <c r="A36" s="30">
        <v>1225464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28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</row>
    <row r="37" spans="1:19">
      <c r="A37" s="30">
        <v>1234222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276</v>
      </c>
      <c r="J37" s="32">
        <v>202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</row>
    <row r="38" spans="1:19">
      <c r="A38" s="30">
        <v>1232528</v>
      </c>
      <c r="B38" s="32">
        <v>651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365</v>
      </c>
      <c r="K38" s="32">
        <v>0</v>
      </c>
      <c r="L38" s="32">
        <v>0</v>
      </c>
      <c r="M38" s="32">
        <v>684</v>
      </c>
      <c r="N38" s="32">
        <v>686</v>
      </c>
      <c r="O38" s="32">
        <v>340</v>
      </c>
      <c r="P38" s="32">
        <v>0</v>
      </c>
      <c r="Q38" s="32">
        <v>0</v>
      </c>
      <c r="R38" s="32">
        <v>0</v>
      </c>
      <c r="S38" s="32">
        <v>0</v>
      </c>
    </row>
    <row r="39" spans="1:19">
      <c r="A39" s="30">
        <v>1232846</v>
      </c>
      <c r="B39" s="32">
        <v>34</v>
      </c>
      <c r="C39" s="32">
        <v>142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265</v>
      </c>
      <c r="P39" s="32">
        <v>0</v>
      </c>
      <c r="Q39" s="32">
        <v>0</v>
      </c>
      <c r="R39" s="32">
        <v>0</v>
      </c>
      <c r="S39" s="32">
        <v>0</v>
      </c>
    </row>
    <row r="40" spans="1:19">
      <c r="A40" s="30">
        <v>1229050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34</v>
      </c>
      <c r="O40" s="32">
        <v>146</v>
      </c>
      <c r="P40" s="32">
        <v>0</v>
      </c>
      <c r="Q40" s="32">
        <v>0</v>
      </c>
      <c r="R40" s="32">
        <v>0</v>
      </c>
      <c r="S40" s="32">
        <v>0</v>
      </c>
    </row>
    <row r="41" spans="1:19">
      <c r="A41" s="30">
        <v>1233383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113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</row>
    <row r="42" spans="1:19">
      <c r="A42" s="30">
        <v>1220847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126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</row>
    <row r="43" spans="1:19">
      <c r="A43" s="30">
        <v>1233735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90</v>
      </c>
      <c r="P43" s="32">
        <v>0</v>
      </c>
      <c r="Q43" s="32">
        <v>0</v>
      </c>
      <c r="R43" s="32">
        <v>0</v>
      </c>
      <c r="S43" s="32">
        <v>0</v>
      </c>
    </row>
    <row r="44" spans="1:19">
      <c r="A44" s="30">
        <v>1234034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40</v>
      </c>
      <c r="P44" s="32">
        <v>0</v>
      </c>
      <c r="Q44" s="32">
        <v>0</v>
      </c>
      <c r="R44" s="32">
        <v>0</v>
      </c>
      <c r="S44" s="32">
        <v>0</v>
      </c>
    </row>
    <row r="45" spans="1:19">
      <c r="A45" s="30">
        <v>1221254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150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</row>
    <row r="46" spans="1:19">
      <c r="A46" s="30">
        <v>1234217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220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</row>
    <row r="47" spans="1:19">
      <c r="A47" s="30">
        <v>1234111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17">
        <v>220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</row>
    <row r="48" spans="1:19">
      <c r="A48" s="30">
        <v>1234110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17">
        <v>220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</row>
    <row r="49" spans="1:19">
      <c r="A49" s="30">
        <v>1235097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206</v>
      </c>
      <c r="J49" s="32">
        <v>343</v>
      </c>
      <c r="K49" s="32">
        <v>0</v>
      </c>
      <c r="L49" s="32">
        <v>0</v>
      </c>
      <c r="M49" s="32">
        <v>343</v>
      </c>
      <c r="N49" s="32">
        <v>307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</row>
    <row r="50" spans="1:19">
      <c r="A50" s="30">
        <v>1235845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416</v>
      </c>
      <c r="J50" s="32">
        <v>622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</row>
    <row r="51" spans="1:19">
      <c r="A51" s="30">
        <v>1236619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10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</row>
    <row r="52" spans="1:19">
      <c r="A52" s="30">
        <v>1236930</v>
      </c>
      <c r="B52" s="32">
        <v>339</v>
      </c>
      <c r="C52" s="32">
        <v>339</v>
      </c>
      <c r="D52" s="32">
        <v>0</v>
      </c>
      <c r="E52" s="32">
        <v>0</v>
      </c>
      <c r="F52" s="32">
        <v>130</v>
      </c>
      <c r="G52" s="32">
        <v>339</v>
      </c>
      <c r="H52" s="17">
        <v>267</v>
      </c>
      <c r="I52" s="32">
        <v>254</v>
      </c>
      <c r="J52" s="32">
        <v>16</v>
      </c>
      <c r="K52" s="32">
        <v>0</v>
      </c>
      <c r="L52" s="32">
        <v>0</v>
      </c>
      <c r="M52" s="32">
        <v>339</v>
      </c>
      <c r="N52" s="32">
        <v>347</v>
      </c>
      <c r="O52" s="32">
        <v>276</v>
      </c>
      <c r="P52" s="32">
        <v>0</v>
      </c>
      <c r="Q52" s="32">
        <v>0</v>
      </c>
      <c r="R52" s="32">
        <v>0</v>
      </c>
      <c r="S52" s="32">
        <v>0</v>
      </c>
    </row>
    <row r="53" spans="1:19">
      <c r="A53" s="30">
        <v>1237457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10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</row>
    <row r="54" spans="1:19">
      <c r="A54" s="30">
        <v>1234905</v>
      </c>
      <c r="B54" s="32">
        <v>40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700</v>
      </c>
      <c r="R54" s="32">
        <v>0</v>
      </c>
      <c r="S54" s="32">
        <v>0</v>
      </c>
    </row>
    <row r="55" spans="1:19">
      <c r="A55" s="30">
        <v>1238480</v>
      </c>
      <c r="B55" s="32">
        <v>1303</v>
      </c>
      <c r="C55" s="32">
        <v>1269</v>
      </c>
      <c r="D55" s="32">
        <v>0</v>
      </c>
      <c r="E55" s="32">
        <v>0</v>
      </c>
      <c r="F55" s="32">
        <v>1648</v>
      </c>
      <c r="G55" s="17">
        <v>643</v>
      </c>
      <c r="H55" s="32">
        <v>1015</v>
      </c>
      <c r="I55" s="32">
        <v>1110</v>
      </c>
      <c r="J55" s="32">
        <v>1063</v>
      </c>
      <c r="K55" s="32">
        <v>0</v>
      </c>
      <c r="L55" s="32">
        <v>0</v>
      </c>
      <c r="M55" s="32">
        <v>1270</v>
      </c>
      <c r="N55" s="32">
        <v>1366</v>
      </c>
      <c r="O55" s="32">
        <v>833</v>
      </c>
      <c r="P55" s="32">
        <v>1308</v>
      </c>
      <c r="Q55" s="32">
        <v>1222</v>
      </c>
      <c r="R55" s="32">
        <v>0</v>
      </c>
      <c r="S55" s="32">
        <v>0</v>
      </c>
    </row>
    <row r="56" spans="1:19">
      <c r="A56" s="30">
        <v>1238453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76</v>
      </c>
      <c r="J56" s="32">
        <v>311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</row>
    <row r="57" spans="1:19">
      <c r="A57" s="30">
        <v>1232775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431</v>
      </c>
      <c r="K57" s="32">
        <v>0</v>
      </c>
      <c r="L57" s="32">
        <v>0</v>
      </c>
      <c r="M57" s="32">
        <v>418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</row>
    <row r="58" spans="1:19">
      <c r="A58" s="30">
        <v>1240029</v>
      </c>
      <c r="B58" s="32">
        <v>0</v>
      </c>
      <c r="C58" s="32">
        <v>0</v>
      </c>
      <c r="D58" s="32">
        <v>0</v>
      </c>
      <c r="E58" s="32">
        <v>0</v>
      </c>
      <c r="F58" s="32">
        <v>415</v>
      </c>
      <c r="G58" s="17">
        <v>183</v>
      </c>
      <c r="H58" s="32">
        <v>350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150</v>
      </c>
      <c r="O58" s="32">
        <v>350</v>
      </c>
      <c r="P58" s="32">
        <v>0</v>
      </c>
      <c r="Q58" s="32">
        <v>0</v>
      </c>
      <c r="R58" s="32">
        <v>0</v>
      </c>
      <c r="S58" s="32">
        <v>0</v>
      </c>
    </row>
    <row r="59" spans="1:19">
      <c r="A59" s="30">
        <v>1240032</v>
      </c>
      <c r="B59" s="32">
        <v>0</v>
      </c>
      <c r="C59" s="32">
        <v>0</v>
      </c>
      <c r="D59" s="32">
        <v>0</v>
      </c>
      <c r="E59" s="32">
        <v>0</v>
      </c>
      <c r="F59" s="32">
        <v>415</v>
      </c>
      <c r="G59" s="17">
        <v>183</v>
      </c>
      <c r="H59" s="32">
        <v>350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150</v>
      </c>
      <c r="O59" s="32">
        <v>350</v>
      </c>
      <c r="P59" s="32">
        <v>0</v>
      </c>
      <c r="Q59" s="32">
        <v>0</v>
      </c>
      <c r="R59" s="32">
        <v>0</v>
      </c>
      <c r="S59" s="32">
        <v>0</v>
      </c>
    </row>
    <row r="60" spans="1:19">
      <c r="A60" s="30">
        <v>1240180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300</v>
      </c>
      <c r="Q60" s="32">
        <v>300</v>
      </c>
      <c r="R60" s="32">
        <v>0</v>
      </c>
      <c r="S60" s="32">
        <v>0</v>
      </c>
    </row>
    <row r="61" spans="1:19">
      <c r="A61" s="30">
        <v>1240184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300</v>
      </c>
      <c r="Q61" s="32">
        <v>300</v>
      </c>
      <c r="R61" s="32">
        <v>0</v>
      </c>
      <c r="S61" s="32">
        <v>0</v>
      </c>
    </row>
    <row r="62" spans="1:19">
      <c r="A62" s="30">
        <v>1216452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374</v>
      </c>
      <c r="Q62" s="32">
        <v>144</v>
      </c>
      <c r="R62" s="32">
        <v>0</v>
      </c>
      <c r="S62" s="32">
        <v>0</v>
      </c>
    </row>
    <row r="63" spans="1:19">
      <c r="A63" s="30">
        <v>1231011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310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</row>
    <row r="64" spans="1:19">
      <c r="A64" s="30">
        <v>1232894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264</v>
      </c>
      <c r="P64" s="32">
        <v>0</v>
      </c>
      <c r="Q64" s="32">
        <v>0</v>
      </c>
      <c r="R64" s="32">
        <v>0</v>
      </c>
      <c r="S64" s="32">
        <v>0</v>
      </c>
    </row>
    <row r="65" spans="1:19">
      <c r="A65" s="30">
        <v>1233385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264</v>
      </c>
      <c r="P65" s="32">
        <v>0</v>
      </c>
      <c r="Q65" s="32">
        <v>0</v>
      </c>
      <c r="R65" s="32">
        <v>0</v>
      </c>
      <c r="S65" s="32">
        <v>0</v>
      </c>
    </row>
    <row r="66" spans="1:19">
      <c r="A66" s="30">
        <v>1232895</v>
      </c>
      <c r="B66" s="32">
        <v>34</v>
      </c>
      <c r="C66" s="32">
        <v>142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1</v>
      </c>
      <c r="P66" s="32">
        <v>0</v>
      </c>
      <c r="Q66" s="32">
        <v>0</v>
      </c>
      <c r="R66" s="32">
        <v>0</v>
      </c>
      <c r="S66" s="32">
        <v>0</v>
      </c>
    </row>
    <row r="67" spans="1:19">
      <c r="A67" s="30">
        <v>1232922</v>
      </c>
      <c r="B67" s="32">
        <v>34</v>
      </c>
      <c r="C67" s="32">
        <v>142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</row>
    <row r="68" spans="1:19">
      <c r="A68" s="30">
        <v>1233580</v>
      </c>
      <c r="B68" s="32">
        <v>0</v>
      </c>
      <c r="C68" s="32">
        <v>0</v>
      </c>
      <c r="D68" s="32">
        <v>0</v>
      </c>
      <c r="E68" s="32">
        <v>0</v>
      </c>
      <c r="F68" s="32">
        <v>0</v>
      </c>
      <c r="G68" s="32">
        <v>72</v>
      </c>
      <c r="H68" s="32">
        <v>58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</row>
    <row r="69" spans="1:19">
      <c r="A69" s="30">
        <v>1233387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1</v>
      </c>
      <c r="P69" s="32">
        <v>0</v>
      </c>
      <c r="Q69" s="32">
        <v>0</v>
      </c>
      <c r="R69" s="32">
        <v>0</v>
      </c>
      <c r="S69" s="32">
        <v>0</v>
      </c>
    </row>
  </sheetData>
  <autoFilter ref="A1:S13" xr:uid="{334367A3-4D03-4287-92EE-019904325656}"/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6EA9-0AF4-4EFD-AE55-C175B2F13601}">
  <dimension ref="A1:R66"/>
  <sheetViews>
    <sheetView zoomScale="130" zoomScaleNormal="130" workbookViewId="0">
      <selection activeCell="A13" sqref="A13:XFD13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16384" width="9.33203125" style="5"/>
  </cols>
  <sheetData>
    <row r="1" spans="1:18">
      <c r="A1" s="74" t="s">
        <v>0</v>
      </c>
      <c r="B1" s="69" t="s">
        <v>751</v>
      </c>
      <c r="C1" s="69" t="s">
        <v>752</v>
      </c>
      <c r="D1" s="70" t="s">
        <v>753</v>
      </c>
      <c r="E1" s="69" t="s">
        <v>757</v>
      </c>
      <c r="F1" s="69" t="s">
        <v>758</v>
      </c>
      <c r="G1" s="69" t="s">
        <v>759</v>
      </c>
      <c r="H1" s="69" t="s">
        <v>760</v>
      </c>
      <c r="I1" s="69" t="s">
        <v>761</v>
      </c>
      <c r="J1" s="69" t="s">
        <v>762</v>
      </c>
      <c r="K1" s="70" t="s">
        <v>763</v>
      </c>
      <c r="L1" s="69" t="s">
        <v>766</v>
      </c>
      <c r="M1" s="69" t="s">
        <v>767</v>
      </c>
      <c r="N1" s="69" t="s">
        <v>768</v>
      </c>
      <c r="O1" s="69" t="s">
        <v>769</v>
      </c>
      <c r="P1" s="69" t="s">
        <v>770</v>
      </c>
      <c r="Q1" s="69" t="s">
        <v>771</v>
      </c>
      <c r="R1" s="70" t="s">
        <v>772</v>
      </c>
    </row>
    <row r="2" spans="1:18">
      <c r="A2" s="30">
        <v>1234614</v>
      </c>
      <c r="B2" s="32">
        <v>0</v>
      </c>
      <c r="C2" s="32">
        <v>0</v>
      </c>
      <c r="D2" s="32">
        <v>0</v>
      </c>
      <c r="E2" s="32">
        <v>508</v>
      </c>
      <c r="F2" s="32">
        <v>362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</row>
    <row r="3" spans="1:18">
      <c r="A3" s="30">
        <v>1229673</v>
      </c>
      <c r="B3" s="32">
        <v>0</v>
      </c>
      <c r="C3" s="32">
        <v>0</v>
      </c>
      <c r="D3" s="32">
        <v>0</v>
      </c>
      <c r="E3" s="32">
        <v>400</v>
      </c>
      <c r="F3" s="32">
        <v>400</v>
      </c>
      <c r="G3" s="17">
        <v>400</v>
      </c>
      <c r="H3" s="32">
        <v>400</v>
      </c>
      <c r="I3" s="32">
        <v>400</v>
      </c>
      <c r="J3" s="32">
        <v>0</v>
      </c>
      <c r="K3" s="32">
        <v>0</v>
      </c>
      <c r="L3" s="32">
        <v>0</v>
      </c>
      <c r="M3" s="32">
        <v>200</v>
      </c>
      <c r="N3" s="32">
        <v>0</v>
      </c>
      <c r="O3" s="32">
        <v>300</v>
      </c>
      <c r="P3" s="32">
        <v>300</v>
      </c>
      <c r="Q3" s="32">
        <v>0</v>
      </c>
      <c r="R3" s="32">
        <v>0</v>
      </c>
    </row>
    <row r="4" spans="1:18">
      <c r="A4" s="30">
        <v>1233632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64</v>
      </c>
      <c r="O4" s="32">
        <v>337</v>
      </c>
      <c r="P4" s="32">
        <v>0</v>
      </c>
      <c r="Q4" s="32">
        <v>0</v>
      </c>
      <c r="R4" s="32">
        <v>0</v>
      </c>
    </row>
    <row r="5" spans="1:18" s="104" customFormat="1">
      <c r="A5" s="107">
        <v>1237088</v>
      </c>
      <c r="B5" s="75">
        <v>1656</v>
      </c>
      <c r="C5" s="75">
        <v>0</v>
      </c>
      <c r="D5" s="75">
        <v>0</v>
      </c>
      <c r="E5" s="75">
        <v>1026</v>
      </c>
      <c r="F5" s="75">
        <v>554</v>
      </c>
      <c r="G5" s="109">
        <v>794</v>
      </c>
      <c r="H5" s="75">
        <v>0</v>
      </c>
      <c r="I5" s="75">
        <v>1039</v>
      </c>
      <c r="J5" s="75">
        <v>0</v>
      </c>
      <c r="K5" s="75">
        <v>0</v>
      </c>
      <c r="L5" s="75">
        <v>332</v>
      </c>
      <c r="M5" s="75">
        <v>330</v>
      </c>
      <c r="N5" s="75">
        <v>788</v>
      </c>
      <c r="O5" s="75">
        <v>1168</v>
      </c>
      <c r="P5" s="75">
        <v>1638</v>
      </c>
      <c r="Q5" s="75">
        <v>0</v>
      </c>
      <c r="R5" s="75">
        <v>0</v>
      </c>
    </row>
    <row r="6" spans="1:18" s="104" customFormat="1">
      <c r="A6" s="107">
        <v>1238128</v>
      </c>
      <c r="B6" s="75">
        <v>960</v>
      </c>
      <c r="C6" s="75">
        <v>0</v>
      </c>
      <c r="D6" s="75">
        <v>0</v>
      </c>
      <c r="E6" s="75">
        <v>546</v>
      </c>
      <c r="F6" s="75">
        <v>480</v>
      </c>
      <c r="G6" s="109">
        <v>76</v>
      </c>
      <c r="H6" s="75">
        <v>144</v>
      </c>
      <c r="I6" s="75">
        <v>480</v>
      </c>
      <c r="J6" s="75">
        <v>0</v>
      </c>
      <c r="K6" s="75">
        <v>0</v>
      </c>
      <c r="L6" s="75">
        <v>60</v>
      </c>
      <c r="M6" s="75">
        <v>0</v>
      </c>
      <c r="N6" s="75">
        <v>0</v>
      </c>
      <c r="O6" s="75">
        <v>280</v>
      </c>
      <c r="P6" s="75">
        <v>480</v>
      </c>
      <c r="Q6" s="75">
        <v>0</v>
      </c>
      <c r="R6" s="75">
        <v>0</v>
      </c>
    </row>
    <row r="7" spans="1:18" s="104" customFormat="1">
      <c r="A7" s="107">
        <v>1236962</v>
      </c>
      <c r="B7" s="75">
        <v>250</v>
      </c>
      <c r="C7" s="75">
        <v>0</v>
      </c>
      <c r="D7" s="75">
        <v>0</v>
      </c>
      <c r="E7" s="75">
        <v>200</v>
      </c>
      <c r="F7" s="75">
        <v>400</v>
      </c>
      <c r="G7" s="109">
        <v>200</v>
      </c>
      <c r="H7" s="75">
        <v>200</v>
      </c>
      <c r="I7" s="75">
        <v>300</v>
      </c>
      <c r="J7" s="75">
        <v>0</v>
      </c>
      <c r="K7" s="75">
        <v>0</v>
      </c>
      <c r="L7" s="75">
        <v>0</v>
      </c>
      <c r="M7" s="75">
        <v>500</v>
      </c>
      <c r="N7" s="75">
        <v>300</v>
      </c>
      <c r="O7" s="75">
        <v>300</v>
      </c>
      <c r="P7" s="75">
        <v>290</v>
      </c>
      <c r="Q7" s="75">
        <v>0</v>
      </c>
      <c r="R7" s="75">
        <v>0</v>
      </c>
    </row>
    <row r="8" spans="1:18">
      <c r="A8" s="30">
        <v>1233761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150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</row>
    <row r="9" spans="1:18">
      <c r="A9" s="30">
        <v>1239651</v>
      </c>
      <c r="B9" s="32">
        <v>0</v>
      </c>
      <c r="C9" s="32">
        <v>0</v>
      </c>
      <c r="D9" s="32">
        <v>0</v>
      </c>
      <c r="E9" s="32">
        <v>205</v>
      </c>
      <c r="F9" s="32">
        <v>0</v>
      </c>
      <c r="G9" s="32">
        <v>0</v>
      </c>
      <c r="H9" s="32">
        <v>300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400</v>
      </c>
      <c r="P9" s="32">
        <v>0</v>
      </c>
      <c r="Q9" s="32">
        <v>0</v>
      </c>
      <c r="R9" s="32">
        <v>0</v>
      </c>
    </row>
    <row r="10" spans="1:18">
      <c r="A10" s="30">
        <v>1239988</v>
      </c>
      <c r="B10" s="32">
        <v>454</v>
      </c>
      <c r="C10" s="32">
        <v>0</v>
      </c>
      <c r="D10" s="32">
        <v>0</v>
      </c>
      <c r="E10" s="32">
        <v>454</v>
      </c>
      <c r="F10" s="32">
        <v>454</v>
      </c>
      <c r="G10" s="17">
        <v>356</v>
      </c>
      <c r="H10" s="32">
        <v>478</v>
      </c>
      <c r="I10" s="32">
        <v>454</v>
      </c>
      <c r="J10" s="32">
        <v>0</v>
      </c>
      <c r="K10" s="32">
        <v>0</v>
      </c>
      <c r="L10" s="32">
        <v>174</v>
      </c>
      <c r="M10" s="32">
        <v>120</v>
      </c>
      <c r="N10" s="32">
        <v>336</v>
      </c>
      <c r="O10" s="32">
        <v>454</v>
      </c>
      <c r="P10" s="32">
        <v>454</v>
      </c>
      <c r="Q10" s="32">
        <v>0</v>
      </c>
      <c r="R10" s="32">
        <v>0</v>
      </c>
    </row>
    <row r="11" spans="1:18" s="104" customFormat="1">
      <c r="A11" s="107">
        <v>1240180</v>
      </c>
      <c r="B11" s="75">
        <v>358</v>
      </c>
      <c r="C11" s="75">
        <v>0</v>
      </c>
      <c r="D11" s="75">
        <v>0</v>
      </c>
      <c r="E11" s="75">
        <v>358</v>
      </c>
      <c r="F11" s="75">
        <v>358</v>
      </c>
      <c r="G11" s="109">
        <v>280</v>
      </c>
      <c r="H11" s="75">
        <v>358</v>
      </c>
      <c r="I11" s="75">
        <v>358</v>
      </c>
      <c r="J11" s="75">
        <v>0</v>
      </c>
      <c r="K11" s="75">
        <v>0</v>
      </c>
      <c r="L11" s="75">
        <v>666</v>
      </c>
      <c r="M11" s="75">
        <v>188</v>
      </c>
      <c r="N11" s="75">
        <v>212</v>
      </c>
      <c r="O11" s="75">
        <v>64</v>
      </c>
      <c r="P11" s="75">
        <v>358</v>
      </c>
      <c r="Q11" s="75">
        <v>0</v>
      </c>
      <c r="R11" s="75">
        <v>0</v>
      </c>
    </row>
    <row r="12" spans="1:18" s="104" customFormat="1">
      <c r="A12" s="107">
        <v>1240184</v>
      </c>
      <c r="B12" s="75">
        <v>358</v>
      </c>
      <c r="C12" s="75">
        <v>0</v>
      </c>
      <c r="D12" s="75">
        <v>0</v>
      </c>
      <c r="E12" s="75">
        <v>358</v>
      </c>
      <c r="F12" s="75">
        <v>358</v>
      </c>
      <c r="G12" s="109">
        <v>280</v>
      </c>
      <c r="H12" s="75">
        <v>358</v>
      </c>
      <c r="I12" s="75">
        <v>308</v>
      </c>
      <c r="J12" s="75">
        <v>0</v>
      </c>
      <c r="K12" s="75">
        <v>0</v>
      </c>
      <c r="L12" s="75">
        <v>616</v>
      </c>
      <c r="M12" s="75">
        <v>188</v>
      </c>
      <c r="N12" s="75">
        <v>212</v>
      </c>
      <c r="O12" s="75">
        <v>64</v>
      </c>
      <c r="P12" s="75">
        <v>358</v>
      </c>
      <c r="Q12" s="75">
        <v>0</v>
      </c>
      <c r="R12" s="75">
        <v>0</v>
      </c>
    </row>
    <row r="13" spans="1:18">
      <c r="A13" s="30">
        <v>1240308</v>
      </c>
      <c r="B13" s="32">
        <v>200</v>
      </c>
      <c r="C13" s="32">
        <v>0</v>
      </c>
      <c r="D13" s="32">
        <v>0</v>
      </c>
      <c r="E13" s="32">
        <v>0</v>
      </c>
      <c r="F13" s="32">
        <v>450</v>
      </c>
      <c r="G13" s="17">
        <v>300</v>
      </c>
      <c r="H13" s="32">
        <v>0</v>
      </c>
      <c r="I13" s="32">
        <v>0</v>
      </c>
      <c r="J13" s="32">
        <v>0</v>
      </c>
      <c r="K13" s="32">
        <v>0</v>
      </c>
      <c r="L13" s="32">
        <v>400</v>
      </c>
      <c r="M13" s="32">
        <v>350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</row>
    <row r="16" spans="1:18">
      <c r="A16" s="5" t="s">
        <v>0</v>
      </c>
      <c r="B16" s="9" t="s">
        <v>751</v>
      </c>
      <c r="C16" s="9" t="s">
        <v>752</v>
      </c>
      <c r="D16" s="9" t="s">
        <v>753</v>
      </c>
      <c r="E16" s="9" t="s">
        <v>757</v>
      </c>
      <c r="F16" s="9" t="s">
        <v>758</v>
      </c>
      <c r="G16" s="9" t="s">
        <v>759</v>
      </c>
      <c r="H16" s="9" t="s">
        <v>760</v>
      </c>
      <c r="I16" s="9" t="s">
        <v>761</v>
      </c>
      <c r="J16" s="9" t="s">
        <v>762</v>
      </c>
      <c r="K16" s="9" t="s">
        <v>763</v>
      </c>
      <c r="L16" s="9" t="s">
        <v>766</v>
      </c>
      <c r="M16" s="9" t="s">
        <v>767</v>
      </c>
      <c r="N16" s="9" t="s">
        <v>768</v>
      </c>
      <c r="O16" s="9" t="s">
        <v>769</v>
      </c>
      <c r="P16" s="9" t="s">
        <v>770</v>
      </c>
      <c r="Q16" s="9" t="s">
        <v>771</v>
      </c>
      <c r="R16" s="9" t="s">
        <v>772</v>
      </c>
    </row>
    <row r="17" spans="1:18">
      <c r="A17" s="5">
        <v>1232846</v>
      </c>
      <c r="B17" s="9">
        <v>0</v>
      </c>
      <c r="C17" s="9">
        <v>0</v>
      </c>
      <c r="D17" s="9">
        <v>0</v>
      </c>
      <c r="E17" s="9">
        <v>0</v>
      </c>
      <c r="F17" s="9">
        <v>403</v>
      </c>
      <c r="G17" s="9">
        <v>352</v>
      </c>
      <c r="H17" s="9">
        <v>449</v>
      </c>
      <c r="I17" s="9">
        <v>2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</row>
    <row r="18" spans="1:18">
      <c r="A18" s="5">
        <v>1232895</v>
      </c>
      <c r="B18" s="9">
        <v>0</v>
      </c>
      <c r="C18" s="9">
        <v>0</v>
      </c>
      <c r="D18" s="9">
        <v>0</v>
      </c>
      <c r="E18" s="9">
        <v>0</v>
      </c>
      <c r="F18" s="9">
        <v>403</v>
      </c>
      <c r="G18" s="9">
        <v>352</v>
      </c>
      <c r="H18" s="9">
        <v>449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>
      <c r="A19" s="5">
        <v>1233384</v>
      </c>
      <c r="B19" s="9">
        <v>0</v>
      </c>
      <c r="C19" s="9">
        <v>0</v>
      </c>
      <c r="D19" s="9">
        <v>0</v>
      </c>
      <c r="E19" s="9">
        <v>0</v>
      </c>
      <c r="F19" s="9">
        <v>403</v>
      </c>
      <c r="G19" s="9">
        <v>352</v>
      </c>
      <c r="H19" s="9">
        <v>449</v>
      </c>
      <c r="I19" s="9">
        <v>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</row>
    <row r="20" spans="1:18">
      <c r="A20" s="5">
        <v>1233165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250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>
      <c r="A21" s="5">
        <v>1236387</v>
      </c>
      <c r="B21" s="9">
        <v>0</v>
      </c>
      <c r="C21" s="9">
        <v>0</v>
      </c>
      <c r="D21" s="9">
        <v>0</v>
      </c>
      <c r="E21" s="9">
        <v>411</v>
      </c>
      <c r="F21" s="9">
        <v>325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426</v>
      </c>
      <c r="M21" s="9">
        <v>71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</row>
    <row r="22" spans="1:18">
      <c r="A22" s="5">
        <v>1232775</v>
      </c>
      <c r="B22" s="9">
        <v>309</v>
      </c>
      <c r="C22" s="9">
        <v>0</v>
      </c>
      <c r="D22" s="9">
        <v>0</v>
      </c>
      <c r="E22" s="9">
        <v>298</v>
      </c>
      <c r="F22" s="9">
        <v>8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251</v>
      </c>
      <c r="N22" s="9">
        <v>92</v>
      </c>
      <c r="O22" s="9">
        <v>309</v>
      </c>
      <c r="P22" s="9">
        <v>276</v>
      </c>
      <c r="Q22" s="9">
        <v>0</v>
      </c>
      <c r="R22" s="9">
        <v>0</v>
      </c>
    </row>
    <row r="23" spans="1:18">
      <c r="A23" s="5">
        <v>1238605</v>
      </c>
      <c r="B23" s="9">
        <v>0</v>
      </c>
      <c r="C23" s="9">
        <v>0</v>
      </c>
      <c r="D23" s="9">
        <v>0</v>
      </c>
      <c r="E23" s="9">
        <v>0</v>
      </c>
      <c r="F23" s="9">
        <v>42</v>
      </c>
      <c r="G23" s="9">
        <v>187</v>
      </c>
      <c r="H23" s="9">
        <v>182</v>
      </c>
      <c r="I23" s="9">
        <v>2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</row>
    <row r="24" spans="1:18">
      <c r="A24" s="5">
        <v>1230685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28</v>
      </c>
      <c r="O24" s="9">
        <v>122</v>
      </c>
      <c r="P24" s="9">
        <v>0</v>
      </c>
      <c r="Q24" s="9">
        <v>0</v>
      </c>
      <c r="R24" s="9">
        <v>0</v>
      </c>
    </row>
    <row r="28" spans="1:18">
      <c r="A28" s="5" t="s">
        <v>0</v>
      </c>
      <c r="B28" s="9" t="s">
        <v>751</v>
      </c>
      <c r="C28" s="9" t="s">
        <v>752</v>
      </c>
      <c r="D28" s="9" t="s">
        <v>753</v>
      </c>
      <c r="E28" s="9" t="s">
        <v>757</v>
      </c>
      <c r="F28" s="9" t="s">
        <v>758</v>
      </c>
      <c r="G28" s="9" t="s">
        <v>759</v>
      </c>
      <c r="H28" s="9" t="s">
        <v>760</v>
      </c>
      <c r="I28" s="9" t="s">
        <v>761</v>
      </c>
      <c r="J28" s="9" t="s">
        <v>762</v>
      </c>
      <c r="K28" s="9" t="s">
        <v>763</v>
      </c>
      <c r="L28" s="9" t="s">
        <v>766</v>
      </c>
      <c r="M28" s="9" t="s">
        <v>767</v>
      </c>
      <c r="N28" s="9" t="s">
        <v>768</v>
      </c>
      <c r="O28" s="9" t="s">
        <v>769</v>
      </c>
      <c r="P28" s="9" t="s">
        <v>770</v>
      </c>
      <c r="Q28" s="9" t="s">
        <v>771</v>
      </c>
      <c r="R28" s="9" t="s">
        <v>772</v>
      </c>
    </row>
    <row r="29" spans="1:18">
      <c r="A29" s="5">
        <v>1230692</v>
      </c>
      <c r="B29" s="9">
        <v>0</v>
      </c>
      <c r="C29" s="9">
        <v>0</v>
      </c>
      <c r="D29" s="9">
        <v>0</v>
      </c>
      <c r="E29" s="9">
        <v>0</v>
      </c>
      <c r="F29" s="98">
        <v>250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</row>
    <row r="30" spans="1:18">
      <c r="A30" s="5">
        <v>1227306</v>
      </c>
      <c r="B30" s="9">
        <v>0</v>
      </c>
      <c r="C30" s="9">
        <v>0</v>
      </c>
      <c r="D30" s="9">
        <v>0</v>
      </c>
      <c r="E30" s="9">
        <v>118</v>
      </c>
      <c r="F30" s="9">
        <v>487</v>
      </c>
      <c r="G30" s="9">
        <v>378</v>
      </c>
      <c r="H30" s="18">
        <v>177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>
      <c r="A31" s="5">
        <v>1231090</v>
      </c>
      <c r="B31" s="9">
        <v>0</v>
      </c>
      <c r="C31" s="9">
        <v>0</v>
      </c>
      <c r="D31" s="9">
        <v>0</v>
      </c>
      <c r="E31" s="9">
        <v>0</v>
      </c>
      <c r="F31" s="98">
        <v>200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207</v>
      </c>
      <c r="O31" s="9">
        <v>551</v>
      </c>
      <c r="P31" s="9">
        <v>600</v>
      </c>
      <c r="Q31" s="9">
        <v>0</v>
      </c>
      <c r="R31" s="9">
        <v>0</v>
      </c>
    </row>
    <row r="32" spans="1:18">
      <c r="A32" s="5">
        <v>1229776</v>
      </c>
      <c r="B32" s="9">
        <v>0</v>
      </c>
      <c r="C32" s="9">
        <v>0</v>
      </c>
      <c r="D32" s="9">
        <v>0</v>
      </c>
      <c r="E32" s="9">
        <v>0</v>
      </c>
      <c r="F32" s="98">
        <v>200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>
      <c r="A33" s="5">
        <v>1225464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28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</row>
    <row r="34" spans="1:18">
      <c r="A34" s="5">
        <v>1234222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276</v>
      </c>
      <c r="I34" s="9">
        <v>202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>
      <c r="A35" s="5">
        <v>1232528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365</v>
      </c>
      <c r="J35" s="9">
        <v>0</v>
      </c>
      <c r="K35" s="9">
        <v>0</v>
      </c>
      <c r="L35" s="9">
        <v>684</v>
      </c>
      <c r="M35" s="9">
        <v>686</v>
      </c>
      <c r="N35" s="9">
        <v>340</v>
      </c>
      <c r="O35" s="9">
        <v>0</v>
      </c>
      <c r="P35" s="9">
        <v>0</v>
      </c>
      <c r="Q35" s="9">
        <v>0</v>
      </c>
      <c r="R35" s="9">
        <v>0</v>
      </c>
    </row>
    <row r="36" spans="1:18" s="20" customFormat="1">
      <c r="A36" s="20">
        <v>1232846</v>
      </c>
      <c r="B36" s="10">
        <v>142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265</v>
      </c>
      <c r="O36" s="10">
        <v>0</v>
      </c>
      <c r="P36" s="10">
        <v>0</v>
      </c>
      <c r="Q36" s="10">
        <v>0</v>
      </c>
      <c r="R36" s="10">
        <v>0</v>
      </c>
    </row>
    <row r="37" spans="1:18">
      <c r="A37" s="5">
        <v>1229050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34</v>
      </c>
      <c r="N37" s="9">
        <v>146</v>
      </c>
      <c r="O37" s="9">
        <v>0</v>
      </c>
      <c r="P37" s="9">
        <v>0</v>
      </c>
      <c r="Q37" s="9">
        <v>0</v>
      </c>
      <c r="R37" s="9">
        <v>0</v>
      </c>
    </row>
    <row r="38" spans="1:18">
      <c r="A38" s="5">
        <v>1233383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18">
        <v>113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>
      <c r="A39" s="5">
        <v>1220847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18">
        <v>126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</row>
    <row r="40" spans="1:18">
      <c r="A40" s="5">
        <v>1233735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90</v>
      </c>
      <c r="O40" s="9">
        <v>0</v>
      </c>
      <c r="P40" s="9">
        <v>0</v>
      </c>
      <c r="Q40" s="9">
        <v>0</v>
      </c>
      <c r="R40" s="9">
        <v>0</v>
      </c>
    </row>
    <row r="41" spans="1:18">
      <c r="A41" s="5">
        <v>1234034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40</v>
      </c>
      <c r="O41" s="9">
        <v>0</v>
      </c>
      <c r="P41" s="9">
        <v>0</v>
      </c>
      <c r="Q41" s="9">
        <v>0</v>
      </c>
      <c r="R41" s="9">
        <v>0</v>
      </c>
    </row>
    <row r="42" spans="1:18">
      <c r="A42" s="5">
        <v>1221254</v>
      </c>
      <c r="B42" s="9">
        <v>0</v>
      </c>
      <c r="C42" s="9">
        <v>0</v>
      </c>
      <c r="D42" s="9">
        <v>0</v>
      </c>
      <c r="E42" s="9">
        <v>0</v>
      </c>
      <c r="F42" s="98">
        <v>150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>
      <c r="A43" s="5">
        <v>1234217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18">
        <v>220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>
      <c r="A44" s="5">
        <v>1234111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8">
        <v>220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>
      <c r="A45" s="5">
        <v>1234110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8">
        <v>220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</row>
    <row r="46" spans="1:18">
      <c r="A46" s="5">
        <v>1235097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18">
        <v>206</v>
      </c>
      <c r="I46" s="9">
        <v>343</v>
      </c>
      <c r="J46" s="9">
        <v>0</v>
      </c>
      <c r="K46" s="9">
        <v>0</v>
      </c>
      <c r="L46" s="9">
        <v>343</v>
      </c>
      <c r="M46" s="9">
        <v>307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>
      <c r="A47" s="5">
        <v>1235845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416</v>
      </c>
      <c r="I47" s="9">
        <v>622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</row>
    <row r="48" spans="1:18">
      <c r="A48" s="5">
        <v>1236619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10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>
      <c r="A49" s="5">
        <v>1236930</v>
      </c>
      <c r="B49" s="9">
        <v>339</v>
      </c>
      <c r="C49" s="9">
        <v>0</v>
      </c>
      <c r="D49" s="9">
        <v>0</v>
      </c>
      <c r="E49" s="9">
        <v>130</v>
      </c>
      <c r="F49" s="9">
        <v>339</v>
      </c>
      <c r="G49" s="9">
        <v>267</v>
      </c>
      <c r="H49" s="18">
        <v>254</v>
      </c>
      <c r="I49" s="9">
        <v>16</v>
      </c>
      <c r="J49" s="9">
        <v>0</v>
      </c>
      <c r="K49" s="9">
        <v>0</v>
      </c>
      <c r="L49" s="9">
        <v>339</v>
      </c>
      <c r="M49" s="9">
        <v>347</v>
      </c>
      <c r="N49" s="9">
        <v>276</v>
      </c>
      <c r="O49" s="9">
        <v>0</v>
      </c>
      <c r="P49" s="9">
        <v>306</v>
      </c>
      <c r="Q49" s="9">
        <v>0</v>
      </c>
      <c r="R49" s="9">
        <v>0</v>
      </c>
    </row>
    <row r="50" spans="1:18">
      <c r="A50" s="5">
        <v>1237457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10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>
      <c r="A51" s="5">
        <v>1234905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700</v>
      </c>
      <c r="Q51" s="9">
        <v>0</v>
      </c>
      <c r="R51" s="9">
        <v>0</v>
      </c>
    </row>
    <row r="52" spans="1:18" s="20" customFormat="1">
      <c r="A52" s="20">
        <v>1238480</v>
      </c>
      <c r="B52" s="10">
        <v>1269</v>
      </c>
      <c r="C52" s="10">
        <v>0</v>
      </c>
      <c r="D52" s="10">
        <v>0</v>
      </c>
      <c r="E52" s="10">
        <v>1648</v>
      </c>
      <c r="F52" s="10">
        <v>643</v>
      </c>
      <c r="G52" s="63">
        <v>1015</v>
      </c>
      <c r="H52" s="10">
        <v>1110</v>
      </c>
      <c r="I52" s="10">
        <v>1063</v>
      </c>
      <c r="J52" s="10">
        <v>0</v>
      </c>
      <c r="K52" s="10">
        <v>0</v>
      </c>
      <c r="L52" s="10">
        <v>872</v>
      </c>
      <c r="M52" s="10">
        <v>1234</v>
      </c>
      <c r="N52" s="10">
        <v>695</v>
      </c>
      <c r="O52" s="10">
        <v>1308</v>
      </c>
      <c r="P52" s="10">
        <v>1222</v>
      </c>
      <c r="Q52" s="10">
        <v>0</v>
      </c>
      <c r="R52" s="10">
        <v>0</v>
      </c>
    </row>
    <row r="53" spans="1:18">
      <c r="A53" s="5">
        <v>1238453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76</v>
      </c>
      <c r="I53" s="9">
        <v>311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</row>
    <row r="54" spans="1:18">
      <c r="A54" s="5">
        <v>1232775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431</v>
      </c>
      <c r="J54" s="9">
        <v>0</v>
      </c>
      <c r="K54" s="9">
        <v>0</v>
      </c>
      <c r="L54" s="9">
        <v>418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</row>
    <row r="55" spans="1:18">
      <c r="A55" s="5">
        <v>1240029</v>
      </c>
      <c r="B55" s="9">
        <v>0</v>
      </c>
      <c r="C55" s="9">
        <v>0</v>
      </c>
      <c r="D55" s="9">
        <v>0</v>
      </c>
      <c r="E55" s="9">
        <v>415</v>
      </c>
      <c r="F55" s="9">
        <v>183</v>
      </c>
      <c r="G55" s="18">
        <v>350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150</v>
      </c>
      <c r="N55" s="9">
        <v>350</v>
      </c>
      <c r="O55" s="9">
        <v>0</v>
      </c>
      <c r="P55" s="9">
        <v>0</v>
      </c>
      <c r="Q55" s="9">
        <v>0</v>
      </c>
      <c r="R55" s="9">
        <v>0</v>
      </c>
    </row>
    <row r="56" spans="1:18">
      <c r="A56" s="5">
        <v>1240032</v>
      </c>
      <c r="B56" s="9">
        <v>0</v>
      </c>
      <c r="C56" s="9">
        <v>0</v>
      </c>
      <c r="D56" s="9">
        <v>0</v>
      </c>
      <c r="E56" s="9">
        <v>415</v>
      </c>
      <c r="F56" s="9">
        <v>183</v>
      </c>
      <c r="G56" s="18">
        <v>350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150</v>
      </c>
      <c r="N56" s="9">
        <v>350</v>
      </c>
      <c r="O56" s="9">
        <v>0</v>
      </c>
      <c r="P56" s="9">
        <v>0</v>
      </c>
      <c r="Q56" s="9">
        <v>0</v>
      </c>
      <c r="R56" s="9">
        <v>0</v>
      </c>
    </row>
    <row r="57" spans="1:18">
      <c r="A57" s="5">
        <v>1240180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300</v>
      </c>
      <c r="P57" s="9">
        <v>100</v>
      </c>
      <c r="Q57" s="9">
        <v>0</v>
      </c>
      <c r="R57" s="9">
        <v>0</v>
      </c>
    </row>
    <row r="58" spans="1:18">
      <c r="A58" s="5">
        <v>1240184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300</v>
      </c>
      <c r="P58" s="9">
        <v>100</v>
      </c>
      <c r="Q58" s="9">
        <v>0</v>
      </c>
      <c r="R58" s="9">
        <v>0</v>
      </c>
    </row>
    <row r="59" spans="1:18">
      <c r="A59" s="5">
        <v>1216452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374</v>
      </c>
      <c r="M59" s="9">
        <v>144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</row>
    <row r="60" spans="1:18">
      <c r="A60" s="5">
        <v>1231011</v>
      </c>
      <c r="B60" s="9">
        <v>0</v>
      </c>
      <c r="C60" s="9">
        <v>0</v>
      </c>
      <c r="D60" s="9">
        <v>0</v>
      </c>
      <c r="E60" s="9">
        <v>0</v>
      </c>
      <c r="F60" s="18">
        <v>310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</row>
    <row r="61" spans="1:18">
      <c r="A61" s="5">
        <v>1232894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264</v>
      </c>
      <c r="O61" s="9">
        <v>0</v>
      </c>
      <c r="P61" s="9">
        <v>0</v>
      </c>
      <c r="Q61" s="9">
        <v>0</v>
      </c>
      <c r="R61" s="9">
        <v>0</v>
      </c>
    </row>
    <row r="62" spans="1:18">
      <c r="A62" s="5">
        <v>1233385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264</v>
      </c>
      <c r="O62" s="9">
        <v>0</v>
      </c>
      <c r="P62" s="9">
        <v>0</v>
      </c>
      <c r="Q62" s="9">
        <v>0</v>
      </c>
      <c r="R62" s="9">
        <v>0</v>
      </c>
    </row>
    <row r="63" spans="1:18">
      <c r="A63" s="5">
        <v>1232895</v>
      </c>
      <c r="B63" s="9">
        <v>142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1</v>
      </c>
      <c r="O63" s="9">
        <v>0</v>
      </c>
      <c r="P63" s="9">
        <v>0</v>
      </c>
      <c r="Q63" s="9">
        <v>0</v>
      </c>
      <c r="R63" s="9">
        <v>0</v>
      </c>
    </row>
    <row r="64" spans="1:18">
      <c r="A64" s="5">
        <v>1232922</v>
      </c>
      <c r="B64" s="9">
        <v>142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</row>
    <row r="65" spans="1:18">
      <c r="A65" s="5">
        <v>1233580</v>
      </c>
      <c r="B65" s="9">
        <v>0</v>
      </c>
      <c r="C65" s="9">
        <v>0</v>
      </c>
      <c r="D65" s="9">
        <v>0</v>
      </c>
      <c r="E65" s="9">
        <v>0</v>
      </c>
      <c r="F65" s="18">
        <v>72</v>
      </c>
      <c r="G65" s="9">
        <v>58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</row>
    <row r="66" spans="1:18">
      <c r="A66" s="5">
        <v>1233387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1</v>
      </c>
      <c r="O66" s="9">
        <v>0</v>
      </c>
      <c r="P66" s="9">
        <v>0</v>
      </c>
      <c r="Q66" s="9">
        <v>0</v>
      </c>
      <c r="R66" s="9">
        <v>0</v>
      </c>
    </row>
  </sheetData>
  <autoFilter ref="A1:R13" xr:uid="{872C6EA9-0AF4-4EFD-AE55-C175B2F13601}"/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E5D6-7507-463E-B0B0-E3BC885E8B97}">
  <dimension ref="A1:O65"/>
  <sheetViews>
    <sheetView topLeftCell="A24" zoomScale="115" zoomScaleNormal="115" workbookViewId="0">
      <selection activeCell="S53" sqref="S53:S54"/>
    </sheetView>
  </sheetViews>
  <sheetFormatPr defaultRowHeight="11.25"/>
  <cols>
    <col min="2" max="14" width="9.1640625" style="14" customWidth="1"/>
    <col min="15" max="15" width="9.1640625" style="14"/>
  </cols>
  <sheetData>
    <row r="1" spans="1:15">
      <c r="A1" s="129" t="s">
        <v>0</v>
      </c>
      <c r="B1" s="130" t="s">
        <v>757</v>
      </c>
      <c r="C1" s="130" t="s">
        <v>758</v>
      </c>
      <c r="D1" s="130" t="s">
        <v>759</v>
      </c>
      <c r="E1" s="130" t="s">
        <v>760</v>
      </c>
      <c r="F1" s="130" t="s">
        <v>761</v>
      </c>
      <c r="G1" s="130" t="s">
        <v>762</v>
      </c>
      <c r="H1" s="131" t="s">
        <v>763</v>
      </c>
      <c r="I1" s="130" t="s">
        <v>766</v>
      </c>
      <c r="J1" s="130" t="s">
        <v>767</v>
      </c>
      <c r="K1" s="130" t="s">
        <v>768</v>
      </c>
      <c r="L1" s="130" t="s">
        <v>769</v>
      </c>
      <c r="M1" s="130" t="s">
        <v>770</v>
      </c>
      <c r="N1" s="130" t="s">
        <v>771</v>
      </c>
      <c r="O1" s="131" t="s">
        <v>772</v>
      </c>
    </row>
    <row r="2" spans="1:15">
      <c r="A2" s="128">
        <v>1234614</v>
      </c>
      <c r="B2" s="132">
        <v>508</v>
      </c>
      <c r="C2" s="132">
        <v>362</v>
      </c>
      <c r="D2" s="132">
        <v>0</v>
      </c>
      <c r="E2" s="132">
        <v>0</v>
      </c>
      <c r="F2" s="132">
        <v>0</v>
      </c>
      <c r="G2" s="132">
        <v>0</v>
      </c>
      <c r="H2" s="132">
        <v>0</v>
      </c>
      <c r="I2" s="132">
        <v>0</v>
      </c>
      <c r="J2" s="132">
        <v>0</v>
      </c>
      <c r="K2" s="132">
        <v>0</v>
      </c>
      <c r="L2" s="132">
        <v>0</v>
      </c>
      <c r="M2" s="132">
        <v>0</v>
      </c>
      <c r="N2" s="132">
        <v>0</v>
      </c>
      <c r="O2" s="132">
        <v>0</v>
      </c>
    </row>
    <row r="3" spans="1:15">
      <c r="A3" s="128">
        <v>1229673</v>
      </c>
      <c r="B3" s="132">
        <v>400</v>
      </c>
      <c r="C3" s="132">
        <v>400</v>
      </c>
      <c r="D3" s="132">
        <v>400</v>
      </c>
      <c r="E3" s="133">
        <v>400</v>
      </c>
      <c r="F3" s="132">
        <v>400</v>
      </c>
      <c r="G3" s="132">
        <v>0</v>
      </c>
      <c r="H3" s="132">
        <v>0</v>
      </c>
      <c r="I3" s="132">
        <v>0</v>
      </c>
      <c r="J3" s="132">
        <v>200</v>
      </c>
      <c r="K3" s="132">
        <v>0</v>
      </c>
      <c r="L3" s="132">
        <v>300</v>
      </c>
      <c r="M3" s="132">
        <v>300</v>
      </c>
      <c r="N3" s="132">
        <v>0</v>
      </c>
      <c r="O3" s="132">
        <v>0</v>
      </c>
    </row>
    <row r="4" spans="1:15">
      <c r="A4" s="128">
        <v>1233632</v>
      </c>
      <c r="B4" s="132">
        <v>0</v>
      </c>
      <c r="C4" s="132">
        <v>0</v>
      </c>
      <c r="D4" s="132">
        <v>0</v>
      </c>
      <c r="E4" s="132">
        <v>0</v>
      </c>
      <c r="F4" s="132">
        <v>0</v>
      </c>
      <c r="G4" s="132">
        <v>0</v>
      </c>
      <c r="H4" s="132">
        <v>0</v>
      </c>
      <c r="I4" s="132">
        <v>0</v>
      </c>
      <c r="J4" s="132">
        <v>0</v>
      </c>
      <c r="K4" s="132">
        <v>64</v>
      </c>
      <c r="L4" s="132">
        <v>337</v>
      </c>
      <c r="M4" s="132">
        <v>0</v>
      </c>
      <c r="N4" s="132">
        <v>0</v>
      </c>
      <c r="O4" s="132">
        <v>0</v>
      </c>
    </row>
    <row r="5" spans="1:15">
      <c r="A5" s="128">
        <v>1237088</v>
      </c>
      <c r="B5" s="132">
        <v>1026</v>
      </c>
      <c r="C5" s="132">
        <v>554</v>
      </c>
      <c r="D5" s="132">
        <v>794</v>
      </c>
      <c r="E5" s="133">
        <v>330</v>
      </c>
      <c r="F5" s="132">
        <v>1039</v>
      </c>
      <c r="G5" s="132">
        <v>0</v>
      </c>
      <c r="H5" s="132">
        <v>0</v>
      </c>
      <c r="I5" s="132">
        <v>332</v>
      </c>
      <c r="J5" s="132">
        <v>330</v>
      </c>
      <c r="K5" s="132">
        <v>788</v>
      </c>
      <c r="L5" s="132">
        <v>1168</v>
      </c>
      <c r="M5" s="132">
        <v>1638</v>
      </c>
      <c r="N5" s="132">
        <v>0</v>
      </c>
      <c r="O5" s="132">
        <v>0</v>
      </c>
    </row>
    <row r="6" spans="1:15">
      <c r="A6" s="128">
        <v>1238128</v>
      </c>
      <c r="B6" s="132">
        <v>546</v>
      </c>
      <c r="C6" s="132">
        <v>480</v>
      </c>
      <c r="D6" s="132">
        <v>76</v>
      </c>
      <c r="E6" s="133">
        <v>144</v>
      </c>
      <c r="F6" s="132">
        <v>480</v>
      </c>
      <c r="G6" s="132">
        <v>0</v>
      </c>
      <c r="H6" s="132">
        <v>0</v>
      </c>
      <c r="I6" s="132">
        <v>60</v>
      </c>
      <c r="J6" s="132">
        <v>0</v>
      </c>
      <c r="K6" s="132">
        <v>0</v>
      </c>
      <c r="L6" s="132">
        <v>280</v>
      </c>
      <c r="M6" s="132">
        <v>480</v>
      </c>
      <c r="N6" s="132">
        <v>0</v>
      </c>
      <c r="O6" s="132">
        <v>0</v>
      </c>
    </row>
    <row r="7" spans="1:15">
      <c r="A7" s="128">
        <v>1236962</v>
      </c>
      <c r="B7" s="132">
        <v>200</v>
      </c>
      <c r="C7" s="132">
        <v>400</v>
      </c>
      <c r="D7" s="132">
        <v>200</v>
      </c>
      <c r="E7" s="133">
        <v>200</v>
      </c>
      <c r="F7" s="132">
        <v>300</v>
      </c>
      <c r="G7" s="132">
        <v>0</v>
      </c>
      <c r="H7" s="132">
        <v>0</v>
      </c>
      <c r="I7" s="132">
        <v>0</v>
      </c>
      <c r="J7" s="132">
        <v>500</v>
      </c>
      <c r="K7" s="132">
        <v>300</v>
      </c>
      <c r="L7" s="132">
        <v>300</v>
      </c>
      <c r="M7" s="132">
        <v>290</v>
      </c>
      <c r="N7" s="132">
        <v>0</v>
      </c>
      <c r="O7" s="132">
        <v>0</v>
      </c>
    </row>
    <row r="8" spans="1:15">
      <c r="A8" s="128">
        <v>1233761</v>
      </c>
      <c r="B8" s="132">
        <v>0</v>
      </c>
      <c r="C8" s="132">
        <v>0</v>
      </c>
      <c r="D8" s="132">
        <v>0</v>
      </c>
      <c r="E8" s="133">
        <v>150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</row>
    <row r="9" spans="1:15">
      <c r="A9" s="128">
        <v>1239651</v>
      </c>
      <c r="B9" s="132">
        <v>205</v>
      </c>
      <c r="C9" s="132">
        <v>0</v>
      </c>
      <c r="D9" s="132">
        <v>0</v>
      </c>
      <c r="E9" s="133">
        <v>300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400</v>
      </c>
      <c r="M9" s="132">
        <v>0</v>
      </c>
      <c r="N9" s="132">
        <v>0</v>
      </c>
      <c r="O9" s="132">
        <v>0</v>
      </c>
    </row>
    <row r="10" spans="1:15">
      <c r="A10" s="128">
        <v>1239988</v>
      </c>
      <c r="B10" s="132">
        <v>454</v>
      </c>
      <c r="C10" s="132">
        <v>454</v>
      </c>
      <c r="D10" s="132">
        <v>356</v>
      </c>
      <c r="E10" s="133">
        <v>478</v>
      </c>
      <c r="F10" s="132">
        <v>454</v>
      </c>
      <c r="G10" s="132">
        <v>0</v>
      </c>
      <c r="H10" s="132">
        <v>0</v>
      </c>
      <c r="I10" s="132">
        <v>174</v>
      </c>
      <c r="J10" s="132">
        <v>120</v>
      </c>
      <c r="K10" s="132">
        <v>336</v>
      </c>
      <c r="L10" s="132">
        <v>454</v>
      </c>
      <c r="M10" s="132">
        <v>454</v>
      </c>
      <c r="N10" s="132">
        <v>0</v>
      </c>
      <c r="O10" s="132">
        <v>0</v>
      </c>
    </row>
    <row r="11" spans="1:15">
      <c r="A11" s="128">
        <v>1240180</v>
      </c>
      <c r="B11" s="132">
        <v>358</v>
      </c>
      <c r="C11" s="132">
        <v>358</v>
      </c>
      <c r="D11" s="132">
        <v>280</v>
      </c>
      <c r="E11" s="133">
        <v>358</v>
      </c>
      <c r="F11" s="132">
        <v>358</v>
      </c>
      <c r="G11" s="132">
        <v>0</v>
      </c>
      <c r="H11" s="132">
        <v>0</v>
      </c>
      <c r="I11" s="132">
        <v>666</v>
      </c>
      <c r="J11" s="132">
        <v>188</v>
      </c>
      <c r="K11" s="132">
        <v>212</v>
      </c>
      <c r="L11" s="132">
        <v>64</v>
      </c>
      <c r="M11" s="132">
        <v>358</v>
      </c>
      <c r="N11" s="132">
        <v>0</v>
      </c>
      <c r="O11" s="132">
        <v>0</v>
      </c>
    </row>
    <row r="12" spans="1:15">
      <c r="A12" s="128">
        <v>1240184</v>
      </c>
      <c r="B12" s="132">
        <v>358</v>
      </c>
      <c r="C12" s="132">
        <v>358</v>
      </c>
      <c r="D12" s="132">
        <v>280</v>
      </c>
      <c r="E12" s="133">
        <v>358</v>
      </c>
      <c r="F12" s="132">
        <v>308</v>
      </c>
      <c r="G12" s="132">
        <v>0</v>
      </c>
      <c r="H12" s="132">
        <v>0</v>
      </c>
      <c r="I12" s="132">
        <v>616</v>
      </c>
      <c r="J12" s="132">
        <v>188</v>
      </c>
      <c r="K12" s="132">
        <v>212</v>
      </c>
      <c r="L12" s="132">
        <v>64</v>
      </c>
      <c r="M12" s="132">
        <v>358</v>
      </c>
      <c r="N12" s="132">
        <v>0</v>
      </c>
      <c r="O12" s="132">
        <v>0</v>
      </c>
    </row>
    <row r="13" spans="1:15">
      <c r="A13" s="128">
        <v>1240308</v>
      </c>
      <c r="B13" s="132">
        <v>0</v>
      </c>
      <c r="C13" s="132">
        <v>450</v>
      </c>
      <c r="D13" s="132">
        <v>300</v>
      </c>
      <c r="E13" s="132">
        <v>0</v>
      </c>
      <c r="F13" s="132">
        <v>0</v>
      </c>
      <c r="G13" s="132">
        <v>0</v>
      </c>
      <c r="H13" s="132">
        <v>0</v>
      </c>
      <c r="I13" s="132">
        <v>400</v>
      </c>
      <c r="J13" s="132">
        <v>350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</row>
    <row r="16" spans="1:15">
      <c r="A16" s="2" t="s">
        <v>0</v>
      </c>
      <c r="B16" s="14" t="s">
        <v>775</v>
      </c>
      <c r="C16" s="14" t="s">
        <v>776</v>
      </c>
      <c r="D16" s="14" t="s">
        <v>777</v>
      </c>
      <c r="E16" s="14" t="s">
        <v>778</v>
      </c>
      <c r="F16" s="14" t="s">
        <v>779</v>
      </c>
      <c r="G16" s="14" t="s">
        <v>780</v>
      </c>
      <c r="H16" s="14" t="s">
        <v>781</v>
      </c>
      <c r="I16" s="14" t="s">
        <v>782</v>
      </c>
      <c r="J16" s="14" t="s">
        <v>783</v>
      </c>
      <c r="K16" s="14" t="s">
        <v>784</v>
      </c>
      <c r="L16" s="14" t="s">
        <v>785</v>
      </c>
      <c r="M16" s="14" t="s">
        <v>786</v>
      </c>
      <c r="N16" s="14" t="s">
        <v>787</v>
      </c>
      <c r="O16" s="14" t="s">
        <v>788</v>
      </c>
    </row>
    <row r="17" spans="1:15">
      <c r="A17">
        <v>1232846</v>
      </c>
      <c r="B17" s="14">
        <v>0</v>
      </c>
      <c r="C17" s="92">
        <v>403</v>
      </c>
      <c r="D17" s="92">
        <v>352</v>
      </c>
      <c r="E17" s="16">
        <v>449</v>
      </c>
      <c r="F17" s="16">
        <v>2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</row>
    <row r="18" spans="1:15">
      <c r="A18">
        <v>1232895</v>
      </c>
      <c r="B18" s="14">
        <v>0</v>
      </c>
      <c r="C18" s="92">
        <v>403</v>
      </c>
      <c r="D18" s="92">
        <v>352</v>
      </c>
      <c r="E18" s="16">
        <v>449</v>
      </c>
      <c r="F18" s="16">
        <v>2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 spans="1:15">
      <c r="A19">
        <v>1233384</v>
      </c>
      <c r="B19" s="14">
        <v>0</v>
      </c>
      <c r="C19" s="92">
        <v>403</v>
      </c>
      <c r="D19" s="92">
        <v>352</v>
      </c>
      <c r="E19" s="16">
        <v>449</v>
      </c>
      <c r="F19" s="16">
        <v>2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</row>
    <row r="20" spans="1:15">
      <c r="A20">
        <v>1233165</v>
      </c>
      <c r="B20" s="14">
        <v>0</v>
      </c>
      <c r="C20" s="14">
        <v>0</v>
      </c>
      <c r="D20" s="14">
        <v>0</v>
      </c>
      <c r="E20" s="14">
        <v>0</v>
      </c>
      <c r="F20" s="16">
        <v>250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 spans="1:15">
      <c r="A21">
        <v>1236387</v>
      </c>
      <c r="B21" s="92">
        <v>411</v>
      </c>
      <c r="C21" s="92">
        <v>325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426</v>
      </c>
      <c r="J21" s="14">
        <v>71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</row>
    <row r="22" spans="1:15">
      <c r="A22">
        <v>1232775</v>
      </c>
      <c r="B22" s="92">
        <v>298</v>
      </c>
      <c r="C22" s="92">
        <v>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251</v>
      </c>
      <c r="K22" s="14">
        <v>92</v>
      </c>
      <c r="L22" s="14">
        <v>309</v>
      </c>
      <c r="M22" s="14">
        <v>276</v>
      </c>
      <c r="N22" s="14">
        <v>0</v>
      </c>
      <c r="O22" s="14">
        <v>0</v>
      </c>
    </row>
    <row r="23" spans="1:15">
      <c r="A23">
        <v>1238605</v>
      </c>
      <c r="B23" s="14">
        <v>0</v>
      </c>
      <c r="C23" s="134">
        <v>42</v>
      </c>
      <c r="D23" s="134">
        <v>187</v>
      </c>
      <c r="E23" s="97">
        <v>182</v>
      </c>
      <c r="F23" s="16">
        <v>2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</row>
    <row r="24" spans="1:15">
      <c r="A24">
        <v>1230685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28</v>
      </c>
      <c r="L24" s="14">
        <v>122</v>
      </c>
      <c r="M24" s="14">
        <v>0</v>
      </c>
      <c r="N24" s="14">
        <v>0</v>
      </c>
      <c r="O24" s="14">
        <v>0</v>
      </c>
    </row>
    <row r="27" spans="1:15">
      <c r="A27" s="2" t="s">
        <v>0</v>
      </c>
      <c r="B27" s="14" t="s">
        <v>775</v>
      </c>
      <c r="C27" s="14" t="s">
        <v>776</v>
      </c>
      <c r="D27" s="14" t="s">
        <v>777</v>
      </c>
      <c r="E27" s="14" t="s">
        <v>778</v>
      </c>
      <c r="F27" s="14" t="s">
        <v>779</v>
      </c>
      <c r="G27" s="14" t="s">
        <v>780</v>
      </c>
      <c r="H27" s="14" t="s">
        <v>781</v>
      </c>
      <c r="I27" s="14" t="s">
        <v>782</v>
      </c>
      <c r="J27" s="14" t="s">
        <v>783</v>
      </c>
      <c r="K27" s="14" t="s">
        <v>784</v>
      </c>
      <c r="L27" s="14" t="s">
        <v>785</v>
      </c>
      <c r="M27" s="14" t="s">
        <v>786</v>
      </c>
      <c r="N27" s="14" t="s">
        <v>787</v>
      </c>
      <c r="O27" s="14" t="s">
        <v>788</v>
      </c>
    </row>
    <row r="28" spans="1:15">
      <c r="A28">
        <v>1230692</v>
      </c>
      <c r="B28" s="14">
        <v>0</v>
      </c>
      <c r="C28" s="14">
        <v>250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 spans="1:15">
      <c r="A29">
        <v>1227306</v>
      </c>
      <c r="B29" s="14">
        <v>14</v>
      </c>
      <c r="C29" s="14">
        <v>487</v>
      </c>
      <c r="D29" s="14">
        <v>378</v>
      </c>
      <c r="E29" s="14">
        <v>177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</row>
    <row r="30" spans="1:15">
      <c r="A30">
        <v>1231090</v>
      </c>
      <c r="B30" s="14">
        <v>0</v>
      </c>
      <c r="C30" s="14">
        <v>200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207</v>
      </c>
      <c r="L30" s="14">
        <v>551</v>
      </c>
      <c r="M30" s="14">
        <v>600</v>
      </c>
      <c r="N30" s="14">
        <v>0</v>
      </c>
      <c r="O30" s="14">
        <v>0</v>
      </c>
    </row>
    <row r="31" spans="1:15">
      <c r="A31">
        <v>1229776</v>
      </c>
      <c r="B31" s="14">
        <v>0</v>
      </c>
      <c r="C31" s="14">
        <v>200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</row>
    <row r="32" spans="1:15">
      <c r="A32">
        <v>1225464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28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 spans="1:15">
      <c r="A33">
        <v>1234222</v>
      </c>
      <c r="B33" s="14">
        <v>0</v>
      </c>
      <c r="C33" s="14">
        <v>0</v>
      </c>
      <c r="D33" s="14">
        <v>0</v>
      </c>
      <c r="E33" s="16">
        <v>276</v>
      </c>
      <c r="F33" s="14">
        <v>202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</row>
    <row r="34" spans="1:15">
      <c r="A34">
        <v>1232528</v>
      </c>
      <c r="B34" s="14">
        <v>0</v>
      </c>
      <c r="C34" s="14">
        <v>0</v>
      </c>
      <c r="D34" s="14">
        <v>0</v>
      </c>
      <c r="E34" s="14">
        <v>0</v>
      </c>
      <c r="F34" s="14">
        <v>365</v>
      </c>
      <c r="G34" s="14">
        <v>0</v>
      </c>
      <c r="H34" s="14">
        <v>0</v>
      </c>
      <c r="I34" s="14">
        <v>684</v>
      </c>
      <c r="J34" s="14">
        <v>686</v>
      </c>
      <c r="K34" s="14">
        <v>340</v>
      </c>
      <c r="L34" s="14">
        <v>0</v>
      </c>
      <c r="M34" s="14">
        <v>0</v>
      </c>
      <c r="N34" s="14">
        <v>0</v>
      </c>
      <c r="O34" s="14">
        <v>0</v>
      </c>
    </row>
    <row r="35" spans="1:15">
      <c r="A35">
        <v>1232846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265</v>
      </c>
      <c r="L35" s="14">
        <v>0</v>
      </c>
      <c r="M35" s="14">
        <v>0</v>
      </c>
      <c r="N35" s="14">
        <v>0</v>
      </c>
      <c r="O35" s="14">
        <v>0</v>
      </c>
    </row>
    <row r="36" spans="1:15">
      <c r="A36">
        <v>1229050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34</v>
      </c>
      <c r="K36" s="14">
        <v>146</v>
      </c>
      <c r="L36" s="14">
        <v>0</v>
      </c>
      <c r="M36" s="14">
        <v>0</v>
      </c>
      <c r="N36" s="14">
        <v>0</v>
      </c>
      <c r="O36" s="14">
        <v>0</v>
      </c>
    </row>
    <row r="37" spans="1:15">
      <c r="A37">
        <v>1233383</v>
      </c>
      <c r="B37" s="14">
        <v>0</v>
      </c>
      <c r="C37" s="14">
        <v>0</v>
      </c>
      <c r="D37" s="14">
        <v>113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</row>
    <row r="38" spans="1:15">
      <c r="A38">
        <v>1220847</v>
      </c>
      <c r="B38" s="14">
        <v>0</v>
      </c>
      <c r="C38" s="14">
        <v>0</v>
      </c>
      <c r="D38" s="14">
        <v>126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 spans="1:15">
      <c r="A39">
        <v>1233735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90</v>
      </c>
      <c r="L39" s="14">
        <v>0</v>
      </c>
      <c r="M39" s="14">
        <v>0</v>
      </c>
      <c r="N39" s="14">
        <v>0</v>
      </c>
      <c r="O39" s="14">
        <v>0</v>
      </c>
    </row>
    <row r="40" spans="1:15">
      <c r="A40">
        <v>1234034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40</v>
      </c>
      <c r="L40" s="14">
        <v>0</v>
      </c>
      <c r="M40" s="14">
        <v>0</v>
      </c>
      <c r="N40" s="14">
        <v>0</v>
      </c>
      <c r="O40" s="14">
        <v>0</v>
      </c>
    </row>
    <row r="41" spans="1:15">
      <c r="A41">
        <v>1221254</v>
      </c>
      <c r="B41" s="14">
        <v>0</v>
      </c>
      <c r="C41" s="14">
        <v>150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</row>
    <row r="42" spans="1:15">
      <c r="A42">
        <v>1234217</v>
      </c>
      <c r="B42" s="14">
        <v>0</v>
      </c>
      <c r="C42" s="14">
        <v>0</v>
      </c>
      <c r="D42" s="14">
        <v>220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 spans="1:15">
      <c r="A43">
        <v>1234111</v>
      </c>
      <c r="B43" s="14">
        <v>0</v>
      </c>
      <c r="C43" s="14">
        <v>0</v>
      </c>
      <c r="D43" s="14">
        <v>220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</row>
    <row r="44" spans="1:15">
      <c r="A44">
        <v>1234110</v>
      </c>
      <c r="B44" s="14">
        <v>0</v>
      </c>
      <c r="C44" s="14">
        <v>0</v>
      </c>
      <c r="D44" s="14">
        <v>220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 spans="1:15">
      <c r="A45">
        <v>1235097</v>
      </c>
      <c r="B45" s="14">
        <v>0</v>
      </c>
      <c r="C45" s="14">
        <v>0</v>
      </c>
      <c r="D45" s="14">
        <v>0</v>
      </c>
      <c r="E45" s="14">
        <v>206</v>
      </c>
      <c r="F45" s="16">
        <v>343</v>
      </c>
      <c r="G45" s="14">
        <v>0</v>
      </c>
      <c r="H45" s="14">
        <v>0</v>
      </c>
      <c r="I45" s="14">
        <v>343</v>
      </c>
      <c r="J45" s="14">
        <v>307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</row>
    <row r="46" spans="1:15">
      <c r="A46">
        <v>1235845</v>
      </c>
      <c r="B46" s="14">
        <v>0</v>
      </c>
      <c r="C46" s="14">
        <v>0</v>
      </c>
      <c r="D46" s="14">
        <v>0</v>
      </c>
      <c r="E46" s="14">
        <v>416</v>
      </c>
      <c r="F46" s="14">
        <v>622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 spans="1:15">
      <c r="A47">
        <v>1236619</v>
      </c>
      <c r="B47" s="14">
        <v>0</v>
      </c>
      <c r="C47" s="14">
        <v>0</v>
      </c>
      <c r="D47" s="14">
        <v>0</v>
      </c>
      <c r="E47" s="16">
        <v>10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</row>
    <row r="48" spans="1:15">
      <c r="A48">
        <v>1236930</v>
      </c>
      <c r="B48" s="14">
        <v>130</v>
      </c>
      <c r="C48" s="14">
        <v>339</v>
      </c>
      <c r="D48" s="14">
        <v>267</v>
      </c>
      <c r="E48" s="14">
        <v>254</v>
      </c>
      <c r="F48" s="16">
        <v>16</v>
      </c>
      <c r="G48" s="14">
        <v>0</v>
      </c>
      <c r="H48" s="14">
        <v>0</v>
      </c>
      <c r="I48" s="14">
        <v>339</v>
      </c>
      <c r="J48" s="14">
        <v>347</v>
      </c>
      <c r="K48" s="14">
        <v>276</v>
      </c>
      <c r="L48" s="14">
        <v>0</v>
      </c>
      <c r="M48" s="14">
        <v>306</v>
      </c>
      <c r="N48" s="14">
        <v>0</v>
      </c>
      <c r="O48" s="14">
        <v>0</v>
      </c>
    </row>
    <row r="49" spans="1:15">
      <c r="A49">
        <v>1237457</v>
      </c>
      <c r="B49" s="14">
        <v>0</v>
      </c>
      <c r="C49" s="14">
        <v>0</v>
      </c>
      <c r="D49" s="14">
        <v>0</v>
      </c>
      <c r="E49" s="16">
        <v>10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</row>
    <row r="50" spans="1:15">
      <c r="A50">
        <v>1234905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700</v>
      </c>
      <c r="N50" s="14">
        <v>0</v>
      </c>
      <c r="O50" s="14">
        <v>0</v>
      </c>
    </row>
    <row r="51" spans="1:15">
      <c r="A51">
        <v>1238480</v>
      </c>
      <c r="B51" s="14">
        <v>1648</v>
      </c>
      <c r="C51" s="14">
        <v>643</v>
      </c>
      <c r="D51" s="14">
        <v>1015</v>
      </c>
      <c r="E51" s="16">
        <v>1110</v>
      </c>
      <c r="F51" s="14">
        <v>1063</v>
      </c>
      <c r="G51" s="14">
        <v>0</v>
      </c>
      <c r="H51" s="14">
        <v>0</v>
      </c>
      <c r="I51" s="14">
        <v>872</v>
      </c>
      <c r="J51" s="14">
        <v>1234</v>
      </c>
      <c r="K51" s="14">
        <v>695</v>
      </c>
      <c r="L51" s="14">
        <v>1308</v>
      </c>
      <c r="M51" s="14">
        <v>1222</v>
      </c>
      <c r="N51" s="14">
        <v>0</v>
      </c>
      <c r="O51" s="14">
        <v>0</v>
      </c>
    </row>
    <row r="52" spans="1:15">
      <c r="A52">
        <v>1238453</v>
      </c>
      <c r="B52" s="14">
        <v>0</v>
      </c>
      <c r="C52" s="14">
        <v>0</v>
      </c>
      <c r="D52" s="14">
        <v>0</v>
      </c>
      <c r="E52" s="16">
        <v>76</v>
      </c>
      <c r="F52" s="14">
        <v>311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 spans="1:15">
      <c r="A53">
        <v>1232775</v>
      </c>
      <c r="B53" s="14">
        <v>0</v>
      </c>
      <c r="C53" s="14">
        <v>0</v>
      </c>
      <c r="D53" s="14">
        <v>0</v>
      </c>
      <c r="E53" s="14">
        <v>0</v>
      </c>
      <c r="F53" s="14">
        <v>431</v>
      </c>
      <c r="G53" s="14">
        <v>0</v>
      </c>
      <c r="H53" s="14">
        <v>0</v>
      </c>
      <c r="I53" s="14">
        <v>418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</row>
    <row r="54" spans="1:15">
      <c r="A54">
        <v>1240029</v>
      </c>
      <c r="B54" s="14">
        <v>415</v>
      </c>
      <c r="C54" s="14">
        <v>183</v>
      </c>
      <c r="D54" s="14">
        <v>350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150</v>
      </c>
      <c r="K54" s="14">
        <v>350</v>
      </c>
      <c r="L54" s="14">
        <v>0</v>
      </c>
      <c r="M54" s="14">
        <v>0</v>
      </c>
      <c r="N54" s="14">
        <v>0</v>
      </c>
      <c r="O54" s="14">
        <v>0</v>
      </c>
    </row>
    <row r="55" spans="1:15">
      <c r="A55">
        <v>1240032</v>
      </c>
      <c r="B55" s="14">
        <v>415</v>
      </c>
      <c r="C55" s="14">
        <v>183</v>
      </c>
      <c r="D55" s="14">
        <v>350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150</v>
      </c>
      <c r="K55" s="14">
        <v>350</v>
      </c>
      <c r="L55" s="14">
        <v>0</v>
      </c>
      <c r="M55" s="14">
        <v>0</v>
      </c>
      <c r="N55" s="14">
        <v>0</v>
      </c>
      <c r="O55" s="14">
        <v>0</v>
      </c>
    </row>
    <row r="56" spans="1:15">
      <c r="A56">
        <v>1240180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300</v>
      </c>
      <c r="M56" s="14">
        <v>100</v>
      </c>
      <c r="N56" s="14">
        <v>0</v>
      </c>
      <c r="O56" s="14">
        <v>0</v>
      </c>
    </row>
    <row r="57" spans="1:15">
      <c r="A57">
        <v>1240184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300</v>
      </c>
      <c r="M57" s="14">
        <v>100</v>
      </c>
      <c r="N57" s="14">
        <v>0</v>
      </c>
      <c r="O57" s="14">
        <v>0</v>
      </c>
    </row>
    <row r="58" spans="1:15">
      <c r="A58">
        <v>1241138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80</v>
      </c>
      <c r="M58" s="14">
        <v>0</v>
      </c>
      <c r="N58" s="14">
        <v>0</v>
      </c>
      <c r="O58" s="14">
        <v>0</v>
      </c>
    </row>
    <row r="59" spans="1:15">
      <c r="A59">
        <v>1216452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374</v>
      </c>
      <c r="J59" s="14">
        <v>144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</row>
    <row r="60" spans="1:15">
      <c r="A60">
        <v>1231011</v>
      </c>
      <c r="B60" s="14">
        <v>0</v>
      </c>
      <c r="C60" s="14">
        <v>310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 spans="1:15">
      <c r="A61">
        <v>1232894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264</v>
      </c>
      <c r="L61" s="14">
        <v>0</v>
      </c>
      <c r="M61" s="14">
        <v>0</v>
      </c>
      <c r="N61" s="14">
        <v>0</v>
      </c>
      <c r="O61" s="14">
        <v>0</v>
      </c>
    </row>
    <row r="62" spans="1:15">
      <c r="A62">
        <v>1233385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264</v>
      </c>
      <c r="L62" s="14">
        <v>0</v>
      </c>
      <c r="M62" s="14">
        <v>0</v>
      </c>
      <c r="N62" s="14">
        <v>0</v>
      </c>
      <c r="O62" s="14">
        <v>0</v>
      </c>
    </row>
    <row r="63" spans="1:15">
      <c r="A63">
        <v>1233580</v>
      </c>
      <c r="B63" s="14">
        <v>0</v>
      </c>
      <c r="C63" s="14">
        <v>72</v>
      </c>
      <c r="D63" s="16">
        <v>58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</row>
    <row r="64" spans="1:15">
      <c r="A64">
        <v>1232895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1</v>
      </c>
      <c r="L64" s="14">
        <v>0</v>
      </c>
      <c r="M64" s="14">
        <v>0</v>
      </c>
      <c r="N64" s="14">
        <v>0</v>
      </c>
      <c r="O64" s="14">
        <v>0</v>
      </c>
    </row>
    <row r="65" spans="1:15">
      <c r="A65">
        <v>1233387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1</v>
      </c>
      <c r="L65" s="14">
        <v>0</v>
      </c>
      <c r="M65" s="14">
        <v>0</v>
      </c>
      <c r="N65" s="14">
        <v>0</v>
      </c>
      <c r="O65" s="14">
        <v>0</v>
      </c>
    </row>
  </sheetData>
  <autoFilter ref="A1:O13" xr:uid="{BE1BE5D6-7507-463E-B0B0-E3BC885E8B97}"/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8DC-379D-4024-80B9-5BB1FC0FFFE7}">
  <dimension ref="A1:U80"/>
  <sheetViews>
    <sheetView topLeftCell="A50" zoomScale="145" zoomScaleNormal="145" workbookViewId="0">
      <selection activeCell="R49" sqref="R49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20" width="9.5" style="9" customWidth="1"/>
    <col min="21" max="21" width="9.5" style="9" bestFit="1" customWidth="1"/>
    <col min="22" max="16384" width="9.33203125" style="5"/>
  </cols>
  <sheetData>
    <row r="1" spans="1:21">
      <c r="A1" s="5" t="s">
        <v>0</v>
      </c>
      <c r="B1" s="9" t="s">
        <v>758</v>
      </c>
      <c r="C1" s="9" t="s">
        <v>759</v>
      </c>
      <c r="D1" s="9" t="s">
        <v>760</v>
      </c>
      <c r="E1" s="9" t="s">
        <v>761</v>
      </c>
      <c r="F1" s="9" t="s">
        <v>762</v>
      </c>
      <c r="G1" s="9" t="s">
        <v>763</v>
      </c>
      <c r="H1" s="9" t="s">
        <v>766</v>
      </c>
      <c r="I1" s="9" t="s">
        <v>767</v>
      </c>
      <c r="J1" s="9" t="s">
        <v>768</v>
      </c>
      <c r="K1" s="9" t="s">
        <v>769</v>
      </c>
      <c r="L1" s="9" t="s">
        <v>770</v>
      </c>
      <c r="M1" s="9" t="s">
        <v>771</v>
      </c>
      <c r="N1" s="9" t="s">
        <v>772</v>
      </c>
      <c r="O1" s="9" t="s">
        <v>789</v>
      </c>
      <c r="P1" s="9" t="s">
        <v>790</v>
      </c>
      <c r="Q1" s="9" t="s">
        <v>791</v>
      </c>
      <c r="R1" s="9" t="s">
        <v>792</v>
      </c>
      <c r="S1" s="9" t="s">
        <v>793</v>
      </c>
      <c r="T1" s="9" t="s">
        <v>794</v>
      </c>
      <c r="U1" s="9" t="s">
        <v>795</v>
      </c>
    </row>
    <row r="2" spans="1:21">
      <c r="A2" s="5">
        <v>1234614</v>
      </c>
      <c r="B2" s="9">
        <v>362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>
      <c r="A3" s="5">
        <v>1226384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401</v>
      </c>
      <c r="Q3" s="9">
        <v>400</v>
      </c>
      <c r="R3" s="9">
        <v>260</v>
      </c>
      <c r="S3" s="9">
        <v>0</v>
      </c>
      <c r="T3" s="9">
        <v>0</v>
      </c>
      <c r="U3" s="9">
        <v>0</v>
      </c>
    </row>
    <row r="4" spans="1:21">
      <c r="A4" s="5">
        <v>1226388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401</v>
      </c>
      <c r="Q4" s="9">
        <v>400</v>
      </c>
      <c r="R4" s="9">
        <v>260</v>
      </c>
      <c r="S4" s="9">
        <v>0</v>
      </c>
      <c r="T4" s="9">
        <v>0</v>
      </c>
      <c r="U4" s="9">
        <v>0</v>
      </c>
    </row>
    <row r="5" spans="1:21">
      <c r="A5" s="5">
        <v>1229673</v>
      </c>
      <c r="B5" s="9">
        <v>400</v>
      </c>
      <c r="C5" s="9">
        <v>400</v>
      </c>
      <c r="D5" s="9">
        <v>400</v>
      </c>
      <c r="E5" s="18">
        <v>400</v>
      </c>
      <c r="F5" s="9">
        <v>0</v>
      </c>
      <c r="G5" s="9">
        <v>0</v>
      </c>
      <c r="H5" s="9">
        <v>0</v>
      </c>
      <c r="I5" s="9">
        <v>200</v>
      </c>
      <c r="J5" s="9">
        <v>0</v>
      </c>
      <c r="K5" s="9">
        <v>300</v>
      </c>
      <c r="L5" s="9">
        <v>300</v>
      </c>
      <c r="M5" s="9">
        <v>0</v>
      </c>
      <c r="N5" s="9">
        <v>0</v>
      </c>
      <c r="O5" s="9">
        <v>250</v>
      </c>
      <c r="P5" s="9">
        <v>250</v>
      </c>
      <c r="Q5" s="9">
        <v>250</v>
      </c>
      <c r="R5" s="9">
        <v>250</v>
      </c>
      <c r="S5" s="9">
        <v>250</v>
      </c>
      <c r="T5" s="9">
        <v>0</v>
      </c>
      <c r="U5" s="9">
        <v>0</v>
      </c>
    </row>
    <row r="6" spans="1:21">
      <c r="A6" s="5">
        <v>1233632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64</v>
      </c>
      <c r="K6" s="9">
        <v>216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</row>
    <row r="7" spans="1:21">
      <c r="A7" s="5">
        <v>1235623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542</v>
      </c>
      <c r="P7" s="9">
        <v>394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>
      <c r="A8" s="5">
        <v>1237088</v>
      </c>
      <c r="B8" s="9">
        <v>554</v>
      </c>
      <c r="C8" s="9">
        <v>794</v>
      </c>
      <c r="D8" s="9">
        <v>330</v>
      </c>
      <c r="E8" s="110">
        <v>1039</v>
      </c>
      <c r="F8" s="9">
        <v>0</v>
      </c>
      <c r="G8" s="9">
        <v>0</v>
      </c>
      <c r="H8" s="9">
        <v>332</v>
      </c>
      <c r="I8" s="9">
        <v>330</v>
      </c>
      <c r="J8" s="9">
        <v>788</v>
      </c>
      <c r="K8" s="9">
        <v>1168</v>
      </c>
      <c r="L8" s="9">
        <v>1638</v>
      </c>
      <c r="M8" s="9">
        <v>0</v>
      </c>
      <c r="N8" s="9">
        <v>0</v>
      </c>
      <c r="O8" s="9">
        <v>1354</v>
      </c>
      <c r="P8" s="9">
        <v>1350</v>
      </c>
      <c r="Q8" s="9">
        <v>236</v>
      </c>
      <c r="R8" s="9">
        <v>1226</v>
      </c>
      <c r="S8" s="9">
        <v>1132</v>
      </c>
      <c r="T8" s="9">
        <v>0</v>
      </c>
      <c r="U8" s="9">
        <v>0</v>
      </c>
    </row>
    <row r="9" spans="1:21">
      <c r="A9" s="5">
        <v>1237765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150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>
      <c r="A10" s="5">
        <v>1237748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458</v>
      </c>
      <c r="Q10" s="9">
        <v>422</v>
      </c>
      <c r="R10" s="9">
        <v>0</v>
      </c>
      <c r="S10" s="9">
        <v>0</v>
      </c>
      <c r="T10" s="9">
        <v>0</v>
      </c>
      <c r="U10" s="9">
        <v>0</v>
      </c>
    </row>
    <row r="11" spans="1:21">
      <c r="A11" s="5">
        <v>1236091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200</v>
      </c>
      <c r="T11" s="9">
        <v>0</v>
      </c>
      <c r="U11" s="9">
        <v>0</v>
      </c>
    </row>
    <row r="12" spans="1:21">
      <c r="A12" s="5">
        <v>1238128</v>
      </c>
      <c r="B12" s="9">
        <v>480</v>
      </c>
      <c r="C12" s="9">
        <v>76</v>
      </c>
      <c r="D12" s="9">
        <v>144</v>
      </c>
      <c r="E12" s="110">
        <v>480</v>
      </c>
      <c r="F12" s="9">
        <v>0</v>
      </c>
      <c r="G12" s="9">
        <v>0</v>
      </c>
      <c r="H12" s="9">
        <v>60</v>
      </c>
      <c r="I12" s="9">
        <v>0</v>
      </c>
      <c r="J12" s="9">
        <v>0</v>
      </c>
      <c r="K12" s="9">
        <v>76</v>
      </c>
      <c r="L12" s="9">
        <v>480</v>
      </c>
      <c r="M12" s="9">
        <v>0</v>
      </c>
      <c r="N12" s="9">
        <v>0</v>
      </c>
      <c r="O12" s="9">
        <v>396</v>
      </c>
      <c r="P12" s="9">
        <v>590</v>
      </c>
      <c r="Q12" s="9">
        <v>588</v>
      </c>
      <c r="R12" s="9">
        <v>480</v>
      </c>
      <c r="S12" s="9">
        <v>378</v>
      </c>
      <c r="T12" s="9">
        <v>0</v>
      </c>
      <c r="U12" s="9">
        <v>0</v>
      </c>
    </row>
    <row r="13" spans="1:21">
      <c r="A13" s="5">
        <v>1236962</v>
      </c>
      <c r="B13" s="9">
        <v>400</v>
      </c>
      <c r="C13" s="9">
        <v>200</v>
      </c>
      <c r="D13" s="9">
        <v>200</v>
      </c>
      <c r="E13" s="110">
        <v>300</v>
      </c>
      <c r="F13" s="9">
        <v>0</v>
      </c>
      <c r="G13" s="9">
        <v>0</v>
      </c>
      <c r="H13" s="9">
        <v>0</v>
      </c>
      <c r="I13" s="9">
        <v>500</v>
      </c>
      <c r="J13" s="9">
        <v>300</v>
      </c>
      <c r="K13" s="9">
        <v>300</v>
      </c>
      <c r="L13" s="9">
        <v>290</v>
      </c>
      <c r="M13" s="9">
        <v>0</v>
      </c>
      <c r="N13" s="9">
        <v>0</v>
      </c>
      <c r="O13" s="9">
        <v>300</v>
      </c>
      <c r="P13" s="9">
        <v>300</v>
      </c>
      <c r="Q13" s="9">
        <v>0</v>
      </c>
      <c r="R13" s="9">
        <v>300</v>
      </c>
      <c r="S13" s="9">
        <v>0</v>
      </c>
      <c r="T13" s="9">
        <v>0</v>
      </c>
      <c r="U13" s="9">
        <v>0</v>
      </c>
    </row>
    <row r="14" spans="1:21">
      <c r="A14" s="68">
        <v>1233761</v>
      </c>
      <c r="B14" s="9">
        <v>0</v>
      </c>
      <c r="C14" s="9">
        <v>0</v>
      </c>
      <c r="D14" s="9">
        <v>150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200</v>
      </c>
      <c r="P14" s="9">
        <v>0</v>
      </c>
      <c r="Q14" s="9">
        <v>0</v>
      </c>
      <c r="R14" s="9">
        <v>200</v>
      </c>
      <c r="S14" s="9">
        <v>200</v>
      </c>
      <c r="T14" s="9">
        <v>0</v>
      </c>
      <c r="U14" s="9">
        <v>0</v>
      </c>
    </row>
    <row r="15" spans="1:21">
      <c r="A15" s="5">
        <v>1239651</v>
      </c>
      <c r="B15" s="9">
        <v>0</v>
      </c>
      <c r="C15" s="9">
        <v>0</v>
      </c>
      <c r="D15" s="9">
        <v>300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400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</row>
    <row r="16" spans="1:21">
      <c r="A16" s="68">
        <v>1239988</v>
      </c>
      <c r="B16" s="9">
        <v>454</v>
      </c>
      <c r="C16" s="9">
        <v>356</v>
      </c>
      <c r="D16" s="9">
        <v>478</v>
      </c>
      <c r="E16" s="18">
        <v>454</v>
      </c>
      <c r="F16" s="9">
        <v>0</v>
      </c>
      <c r="G16" s="9">
        <v>0</v>
      </c>
      <c r="H16" s="9">
        <v>174</v>
      </c>
      <c r="I16" s="9">
        <v>120</v>
      </c>
      <c r="J16" s="9">
        <v>336</v>
      </c>
      <c r="K16" s="9">
        <v>454</v>
      </c>
      <c r="L16" s="9">
        <v>454</v>
      </c>
      <c r="M16" s="9">
        <v>0</v>
      </c>
      <c r="N16" s="9">
        <v>0</v>
      </c>
      <c r="O16" s="9">
        <v>454</v>
      </c>
      <c r="P16" s="9">
        <v>454</v>
      </c>
      <c r="Q16" s="9">
        <v>148</v>
      </c>
      <c r="R16" s="9">
        <v>0</v>
      </c>
      <c r="S16" s="9">
        <v>0</v>
      </c>
      <c r="T16" s="9">
        <v>0</v>
      </c>
      <c r="U16" s="9">
        <v>0</v>
      </c>
    </row>
    <row r="17" spans="1:21">
      <c r="A17" s="5">
        <v>1240180</v>
      </c>
      <c r="B17" s="9">
        <v>358</v>
      </c>
      <c r="C17" s="9">
        <v>280</v>
      </c>
      <c r="D17" s="9">
        <v>358</v>
      </c>
      <c r="E17" s="110">
        <v>358</v>
      </c>
      <c r="F17" s="9">
        <v>0</v>
      </c>
      <c r="G17" s="9">
        <v>0</v>
      </c>
      <c r="H17" s="9">
        <v>666</v>
      </c>
      <c r="I17" s="9">
        <v>282</v>
      </c>
      <c r="J17" s="9">
        <v>262</v>
      </c>
      <c r="K17" s="9">
        <v>178</v>
      </c>
      <c r="L17" s="9">
        <v>358</v>
      </c>
      <c r="M17" s="9">
        <v>0</v>
      </c>
      <c r="N17" s="9">
        <v>0</v>
      </c>
      <c r="O17" s="9">
        <v>358</v>
      </c>
      <c r="P17" s="9">
        <v>358</v>
      </c>
      <c r="Q17" s="9">
        <v>200</v>
      </c>
      <c r="R17" s="9">
        <v>358</v>
      </c>
      <c r="S17" s="9">
        <v>280</v>
      </c>
      <c r="T17" s="9">
        <v>0</v>
      </c>
      <c r="U17" s="9">
        <v>0</v>
      </c>
    </row>
    <row r="18" spans="1:21">
      <c r="A18" s="5">
        <v>1240184</v>
      </c>
      <c r="B18" s="9">
        <v>358</v>
      </c>
      <c r="C18" s="9">
        <v>280</v>
      </c>
      <c r="D18" s="9">
        <v>358</v>
      </c>
      <c r="E18" s="110">
        <v>308</v>
      </c>
      <c r="F18" s="9">
        <v>0</v>
      </c>
      <c r="G18" s="9">
        <v>0</v>
      </c>
      <c r="H18" s="9">
        <v>616</v>
      </c>
      <c r="I18" s="9">
        <v>282</v>
      </c>
      <c r="J18" s="9">
        <v>262</v>
      </c>
      <c r="K18" s="9">
        <v>178</v>
      </c>
      <c r="L18" s="9">
        <v>358</v>
      </c>
      <c r="M18" s="9">
        <v>0</v>
      </c>
      <c r="N18" s="9">
        <v>0</v>
      </c>
      <c r="O18" s="9">
        <v>358</v>
      </c>
      <c r="P18" s="9">
        <v>358</v>
      </c>
      <c r="Q18" s="9">
        <v>200</v>
      </c>
      <c r="R18" s="9">
        <v>358</v>
      </c>
      <c r="S18" s="9">
        <v>280</v>
      </c>
      <c r="T18" s="9">
        <v>0</v>
      </c>
      <c r="U18" s="9">
        <v>0</v>
      </c>
    </row>
    <row r="19" spans="1:21">
      <c r="A19" s="5">
        <v>1240308</v>
      </c>
      <c r="B19" s="9">
        <v>450</v>
      </c>
      <c r="C19" s="9">
        <v>300</v>
      </c>
      <c r="D19" s="9">
        <v>0</v>
      </c>
      <c r="E19" s="9">
        <v>0</v>
      </c>
      <c r="F19" s="9">
        <v>0</v>
      </c>
      <c r="G19" s="9">
        <v>0</v>
      </c>
      <c r="H19" s="9">
        <v>400</v>
      </c>
      <c r="I19" s="9">
        <v>350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700</v>
      </c>
      <c r="R19" s="9">
        <v>0</v>
      </c>
      <c r="S19" s="9">
        <v>350</v>
      </c>
      <c r="T19" s="9">
        <v>0</v>
      </c>
      <c r="U19" s="9">
        <v>0</v>
      </c>
    </row>
    <row r="20" spans="1:21">
      <c r="A20" s="68">
        <v>1241601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120</v>
      </c>
      <c r="P20" s="9">
        <v>0</v>
      </c>
      <c r="Q20" s="9">
        <v>200</v>
      </c>
      <c r="R20" s="9">
        <v>250</v>
      </c>
      <c r="S20" s="9">
        <v>0</v>
      </c>
      <c r="T20" s="9">
        <v>0</v>
      </c>
      <c r="U20" s="9">
        <v>0</v>
      </c>
    </row>
    <row r="25" spans="1:21">
      <c r="A25" s="5" t="s">
        <v>0</v>
      </c>
      <c r="B25" s="9" t="s">
        <v>758</v>
      </c>
      <c r="C25" s="9" t="s">
        <v>759</v>
      </c>
      <c r="D25" s="9" t="s">
        <v>760</v>
      </c>
      <c r="E25" s="9" t="s">
        <v>761</v>
      </c>
      <c r="F25" s="9" t="s">
        <v>762</v>
      </c>
      <c r="G25" s="9" t="s">
        <v>763</v>
      </c>
      <c r="H25" s="9" t="s">
        <v>766</v>
      </c>
      <c r="I25" s="9" t="s">
        <v>767</v>
      </c>
      <c r="J25" s="9" t="s">
        <v>768</v>
      </c>
      <c r="K25" s="9" t="s">
        <v>769</v>
      </c>
      <c r="L25" s="9" t="s">
        <v>770</v>
      </c>
      <c r="M25" s="9" t="s">
        <v>771</v>
      </c>
      <c r="N25" s="9" t="s">
        <v>772</v>
      </c>
      <c r="O25" s="9" t="s">
        <v>789</v>
      </c>
      <c r="P25" s="9" t="s">
        <v>790</v>
      </c>
      <c r="Q25" s="9" t="s">
        <v>791</v>
      </c>
      <c r="R25" s="9" t="s">
        <v>792</v>
      </c>
      <c r="S25" s="9" t="s">
        <v>793</v>
      </c>
      <c r="T25" s="9" t="s">
        <v>794</v>
      </c>
      <c r="U25" s="9" t="s">
        <v>795</v>
      </c>
    </row>
    <row r="26" spans="1:21">
      <c r="A26" s="5">
        <v>1232846</v>
      </c>
      <c r="B26" s="9">
        <v>403</v>
      </c>
      <c r="C26" s="9">
        <v>352</v>
      </c>
      <c r="D26" s="9">
        <v>449</v>
      </c>
      <c r="E26" s="9">
        <v>2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304</v>
      </c>
      <c r="T26" s="9">
        <v>0</v>
      </c>
      <c r="U26" s="9">
        <v>0</v>
      </c>
    </row>
    <row r="27" spans="1:21">
      <c r="A27" s="5">
        <v>1232895</v>
      </c>
      <c r="B27" s="9">
        <v>403</v>
      </c>
      <c r="C27" s="9">
        <v>352</v>
      </c>
      <c r="D27" s="9">
        <v>449</v>
      </c>
      <c r="E27" s="9">
        <v>2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304</v>
      </c>
      <c r="T27" s="9">
        <v>0</v>
      </c>
      <c r="U27" s="9">
        <v>0</v>
      </c>
    </row>
    <row r="28" spans="1:21">
      <c r="A28" s="5">
        <v>1233384</v>
      </c>
      <c r="B28" s="9">
        <v>403</v>
      </c>
      <c r="C28" s="9">
        <v>352</v>
      </c>
      <c r="D28" s="9">
        <v>449</v>
      </c>
      <c r="E28" s="9">
        <v>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304</v>
      </c>
      <c r="T28" s="9">
        <v>0</v>
      </c>
      <c r="U28" s="9">
        <v>0</v>
      </c>
    </row>
    <row r="29" spans="1:21">
      <c r="A29" s="5">
        <v>1233165</v>
      </c>
      <c r="B29" s="9">
        <v>0</v>
      </c>
      <c r="C29" s="9">
        <v>0</v>
      </c>
      <c r="D29" s="9">
        <v>0</v>
      </c>
      <c r="E29" s="9">
        <v>250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0" spans="1:21">
      <c r="A30" s="5">
        <v>1236387</v>
      </c>
      <c r="B30" s="9">
        <v>325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426</v>
      </c>
      <c r="I30" s="9">
        <v>71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150</v>
      </c>
      <c r="Q30" s="9">
        <v>357</v>
      </c>
      <c r="R30" s="9">
        <v>71</v>
      </c>
      <c r="S30" s="9">
        <v>0</v>
      </c>
      <c r="T30" s="9">
        <v>0</v>
      </c>
      <c r="U30" s="9">
        <v>0</v>
      </c>
    </row>
    <row r="31" spans="1:21">
      <c r="A31" s="5">
        <v>1232775</v>
      </c>
      <c r="B31" s="9">
        <v>8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251</v>
      </c>
      <c r="J31" s="9">
        <v>109</v>
      </c>
      <c r="K31" s="9">
        <v>309</v>
      </c>
      <c r="L31" s="9">
        <v>276</v>
      </c>
      <c r="M31" s="9">
        <v>0</v>
      </c>
      <c r="N31" s="9">
        <v>0</v>
      </c>
      <c r="O31" s="9">
        <v>400</v>
      </c>
      <c r="P31" s="9">
        <v>183</v>
      </c>
      <c r="Q31" s="9">
        <v>0</v>
      </c>
      <c r="R31" s="9">
        <v>538</v>
      </c>
      <c r="S31" s="9">
        <v>255</v>
      </c>
      <c r="T31" s="9">
        <v>0</v>
      </c>
      <c r="U31" s="9">
        <v>0</v>
      </c>
    </row>
    <row r="32" spans="1:21">
      <c r="A32" s="5">
        <v>1238605</v>
      </c>
      <c r="B32" s="9">
        <v>42</v>
      </c>
      <c r="C32" s="9">
        <v>187</v>
      </c>
      <c r="D32" s="9">
        <v>182</v>
      </c>
      <c r="E32" s="9">
        <v>2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</row>
    <row r="33" spans="1:21">
      <c r="A33" s="5">
        <v>1230685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28</v>
      </c>
      <c r="K33" s="9">
        <v>122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</row>
    <row r="38" spans="1:21">
      <c r="A38" s="5" t="s">
        <v>0</v>
      </c>
      <c r="B38" s="9" t="s">
        <v>758</v>
      </c>
      <c r="C38" s="9" t="s">
        <v>759</v>
      </c>
      <c r="D38" s="9" t="s">
        <v>760</v>
      </c>
      <c r="E38" s="9" t="s">
        <v>761</v>
      </c>
      <c r="F38" s="9" t="s">
        <v>762</v>
      </c>
      <c r="G38" s="9" t="s">
        <v>763</v>
      </c>
      <c r="H38" s="9" t="s">
        <v>766</v>
      </c>
      <c r="I38" s="9" t="s">
        <v>767</v>
      </c>
      <c r="J38" s="9" t="s">
        <v>768</v>
      </c>
      <c r="K38" s="9" t="s">
        <v>769</v>
      </c>
      <c r="L38" s="9" t="s">
        <v>770</v>
      </c>
      <c r="M38" s="9" t="s">
        <v>771</v>
      </c>
      <c r="N38" s="9" t="s">
        <v>772</v>
      </c>
      <c r="O38" s="9" t="s">
        <v>789</v>
      </c>
      <c r="P38" s="9" t="s">
        <v>790</v>
      </c>
      <c r="Q38" s="9" t="s">
        <v>791</v>
      </c>
      <c r="R38" s="9" t="s">
        <v>792</v>
      </c>
      <c r="S38" s="9" t="s">
        <v>793</v>
      </c>
      <c r="T38" s="9" t="s">
        <v>794</v>
      </c>
      <c r="U38" s="9" t="s">
        <v>795</v>
      </c>
    </row>
    <row r="39" spans="1:21">
      <c r="A39" s="5">
        <v>1230692</v>
      </c>
      <c r="B39" s="9">
        <v>250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</row>
    <row r="40" spans="1:21">
      <c r="A40" s="5">
        <v>1221967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600</v>
      </c>
      <c r="P40" s="9">
        <v>233</v>
      </c>
      <c r="Q40" s="9">
        <v>191</v>
      </c>
      <c r="R40" s="9">
        <v>0</v>
      </c>
      <c r="S40" s="9">
        <v>0</v>
      </c>
      <c r="T40" s="9">
        <v>0</v>
      </c>
      <c r="U40" s="9">
        <v>0</v>
      </c>
    </row>
    <row r="41" spans="1:21">
      <c r="A41" s="5">
        <v>1227306</v>
      </c>
      <c r="B41" s="9">
        <v>487</v>
      </c>
      <c r="C41" s="9">
        <v>378</v>
      </c>
      <c r="D41" s="9">
        <v>177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</row>
    <row r="42" spans="1:21">
      <c r="A42" s="5">
        <v>1229088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758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4</v>
      </c>
      <c r="T42" s="9">
        <v>0</v>
      </c>
      <c r="U42" s="9">
        <v>0</v>
      </c>
    </row>
    <row r="43" spans="1:21">
      <c r="A43" s="5">
        <v>1231090</v>
      </c>
      <c r="B43" s="9">
        <v>200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240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810</v>
      </c>
      <c r="T43" s="9">
        <v>0</v>
      </c>
      <c r="U43" s="9">
        <v>0</v>
      </c>
    </row>
    <row r="44" spans="1:21">
      <c r="A44" s="5">
        <v>1229776</v>
      </c>
      <c r="B44" s="9">
        <v>200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5">
        <v>1225464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28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756</v>
      </c>
      <c r="T45" s="9">
        <v>0</v>
      </c>
      <c r="U45" s="9">
        <v>0</v>
      </c>
    </row>
    <row r="46" spans="1:21">
      <c r="A46" s="5">
        <v>1232066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54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>
      <c r="A47" s="5">
        <v>1234222</v>
      </c>
      <c r="B47" s="9">
        <v>0</v>
      </c>
      <c r="C47" s="9">
        <v>0</v>
      </c>
      <c r="D47" s="9">
        <v>276</v>
      </c>
      <c r="E47" s="18">
        <v>202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5">
        <v>1232528</v>
      </c>
      <c r="B48" s="9">
        <v>0</v>
      </c>
      <c r="C48" s="9">
        <v>0</v>
      </c>
      <c r="D48" s="9">
        <v>0</v>
      </c>
      <c r="E48" s="9">
        <v>365</v>
      </c>
      <c r="F48" s="9">
        <v>0</v>
      </c>
      <c r="G48" s="9">
        <v>0</v>
      </c>
      <c r="H48" s="9">
        <v>979</v>
      </c>
      <c r="I48" s="9">
        <v>850</v>
      </c>
      <c r="J48" s="9">
        <v>340</v>
      </c>
      <c r="K48" s="9">
        <v>0</v>
      </c>
      <c r="L48" s="9">
        <v>0</v>
      </c>
      <c r="M48" s="9">
        <v>0</v>
      </c>
      <c r="N48" s="9">
        <v>0</v>
      </c>
      <c r="O48" s="9">
        <v>686</v>
      </c>
      <c r="P48" s="9">
        <v>686</v>
      </c>
      <c r="Q48" s="9">
        <v>552</v>
      </c>
      <c r="R48" s="9">
        <v>686</v>
      </c>
      <c r="S48" s="9">
        <v>2699</v>
      </c>
      <c r="T48" s="9">
        <v>0</v>
      </c>
      <c r="U48" s="9">
        <v>0</v>
      </c>
    </row>
    <row r="49" spans="1:21">
      <c r="A49" s="5">
        <v>1232846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265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75</v>
      </c>
      <c r="S49" s="9">
        <v>576</v>
      </c>
      <c r="T49" s="9">
        <v>0</v>
      </c>
      <c r="U49" s="9">
        <v>0</v>
      </c>
    </row>
    <row r="50" spans="1:21">
      <c r="A50" s="5">
        <v>1229050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34</v>
      </c>
      <c r="J50" s="9">
        <v>146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5">
        <v>1233383</v>
      </c>
      <c r="B51" s="9">
        <v>0</v>
      </c>
      <c r="C51" s="9">
        <v>113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9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5">
        <v>1220847</v>
      </c>
      <c r="B52" s="9">
        <v>0</v>
      </c>
      <c r="C52" s="9">
        <v>126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3150</v>
      </c>
      <c r="T52" s="9">
        <v>0</v>
      </c>
      <c r="U52" s="9">
        <v>0</v>
      </c>
    </row>
    <row r="53" spans="1:21">
      <c r="A53" s="5">
        <v>1233735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90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5">
        <v>1234034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40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5">
        <v>1221254</v>
      </c>
      <c r="B55" s="9">
        <v>150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</row>
    <row r="56" spans="1:21">
      <c r="A56" s="5">
        <v>1234217</v>
      </c>
      <c r="B56" s="9">
        <v>0</v>
      </c>
      <c r="C56" s="9">
        <v>220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</row>
    <row r="57" spans="1:21">
      <c r="A57" s="5">
        <v>1234111</v>
      </c>
      <c r="B57" s="9">
        <v>0</v>
      </c>
      <c r="C57" s="9">
        <v>220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5">
        <v>1234110</v>
      </c>
      <c r="B58" s="9">
        <v>0</v>
      </c>
      <c r="C58" s="9">
        <v>220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68">
        <v>1235097</v>
      </c>
      <c r="B59" s="9">
        <v>0</v>
      </c>
      <c r="C59" s="9">
        <v>0</v>
      </c>
      <c r="D59" s="9">
        <v>206</v>
      </c>
      <c r="E59" s="18">
        <v>343</v>
      </c>
      <c r="F59" s="9">
        <v>0</v>
      </c>
      <c r="G59" s="9">
        <v>0</v>
      </c>
      <c r="H59" s="9">
        <v>343</v>
      </c>
      <c r="I59" s="9">
        <v>307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110</v>
      </c>
      <c r="S59" s="9">
        <v>0</v>
      </c>
      <c r="T59" s="9">
        <v>0</v>
      </c>
      <c r="U59" s="9">
        <v>0</v>
      </c>
    </row>
    <row r="60" spans="1:21">
      <c r="A60" s="5">
        <v>1235845</v>
      </c>
      <c r="B60" s="9">
        <v>0</v>
      </c>
      <c r="C60" s="9">
        <v>0</v>
      </c>
      <c r="D60" s="9">
        <v>416</v>
      </c>
      <c r="E60" s="18">
        <v>622</v>
      </c>
      <c r="F60" s="9">
        <v>0</v>
      </c>
      <c r="G60" s="9">
        <v>0</v>
      </c>
      <c r="H60" s="9">
        <v>0</v>
      </c>
      <c r="I60" s="9">
        <v>462</v>
      </c>
      <c r="J60" s="9">
        <v>210</v>
      </c>
      <c r="K60" s="9">
        <v>0</v>
      </c>
      <c r="L60" s="9">
        <v>0</v>
      </c>
      <c r="M60" s="9">
        <v>0</v>
      </c>
      <c r="N60" s="9">
        <v>0</v>
      </c>
      <c r="O60" s="9">
        <v>630</v>
      </c>
      <c r="P60" s="9">
        <v>630</v>
      </c>
      <c r="Q60" s="9">
        <v>65</v>
      </c>
      <c r="R60" s="9">
        <v>0</v>
      </c>
      <c r="S60" s="9">
        <v>0</v>
      </c>
      <c r="T60" s="9">
        <v>0</v>
      </c>
      <c r="U60" s="9">
        <v>0</v>
      </c>
    </row>
    <row r="61" spans="1:21">
      <c r="A61" s="5">
        <v>1236619</v>
      </c>
      <c r="B61" s="9">
        <v>0</v>
      </c>
      <c r="C61" s="9">
        <v>0</v>
      </c>
      <c r="D61" s="9">
        <v>10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5">
        <v>1236930</v>
      </c>
      <c r="B62" s="9">
        <v>339</v>
      </c>
      <c r="C62" s="9">
        <v>267</v>
      </c>
      <c r="D62" s="9">
        <v>254</v>
      </c>
      <c r="E62" s="9">
        <v>16</v>
      </c>
      <c r="F62" s="9">
        <v>0</v>
      </c>
      <c r="G62" s="9">
        <v>0</v>
      </c>
      <c r="H62" s="18">
        <v>339</v>
      </c>
      <c r="I62" s="9">
        <v>347</v>
      </c>
      <c r="J62" s="9">
        <v>276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340</v>
      </c>
      <c r="Q62" s="9">
        <v>270</v>
      </c>
      <c r="R62" s="9">
        <v>340</v>
      </c>
      <c r="S62" s="9">
        <v>1084</v>
      </c>
      <c r="T62" s="9">
        <v>0</v>
      </c>
      <c r="U62" s="9">
        <v>0</v>
      </c>
    </row>
    <row r="63" spans="1:21">
      <c r="A63" s="68">
        <v>1232982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187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138</v>
      </c>
      <c r="T63" s="9">
        <v>0</v>
      </c>
      <c r="U63" s="9">
        <v>0</v>
      </c>
    </row>
    <row r="64" spans="1:21">
      <c r="A64" s="5">
        <v>1237457</v>
      </c>
      <c r="B64" s="9">
        <v>0</v>
      </c>
      <c r="C64" s="9">
        <v>0</v>
      </c>
      <c r="D64" s="9">
        <v>10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>
      <c r="A65" s="5">
        <v>1234905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250</v>
      </c>
      <c r="M65" s="9">
        <v>0</v>
      </c>
      <c r="N65" s="9">
        <v>0</v>
      </c>
      <c r="O65" s="9">
        <v>450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5">
        <v>1238480</v>
      </c>
      <c r="B66" s="9">
        <v>643</v>
      </c>
      <c r="C66" s="9">
        <v>1015</v>
      </c>
      <c r="D66" s="9">
        <v>1110</v>
      </c>
      <c r="E66" s="18">
        <v>1063</v>
      </c>
      <c r="F66" s="9">
        <v>0</v>
      </c>
      <c r="G66" s="9">
        <v>0</v>
      </c>
      <c r="H66" s="9">
        <v>867</v>
      </c>
      <c r="I66" s="9">
        <v>867</v>
      </c>
      <c r="J66" s="9">
        <v>485</v>
      </c>
      <c r="K66" s="9">
        <v>1760</v>
      </c>
      <c r="L66" s="9">
        <v>1698</v>
      </c>
      <c r="M66" s="9">
        <v>0</v>
      </c>
      <c r="N66" s="9">
        <v>0</v>
      </c>
      <c r="O66" s="9">
        <v>872</v>
      </c>
      <c r="P66" s="9">
        <v>872</v>
      </c>
      <c r="Q66" s="9">
        <v>1101</v>
      </c>
      <c r="R66" s="9">
        <v>1135</v>
      </c>
      <c r="S66" s="9">
        <v>1380</v>
      </c>
      <c r="T66" s="9">
        <v>0</v>
      </c>
      <c r="U66" s="9">
        <v>0</v>
      </c>
    </row>
    <row r="67" spans="1:21">
      <c r="A67" s="5">
        <v>1238453</v>
      </c>
      <c r="B67" s="9">
        <v>0</v>
      </c>
      <c r="C67" s="9">
        <v>0</v>
      </c>
      <c r="D67" s="9">
        <v>76</v>
      </c>
      <c r="E67" s="18">
        <v>311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</row>
    <row r="68" spans="1:21">
      <c r="A68" s="5">
        <v>1232775</v>
      </c>
      <c r="B68" s="9">
        <v>0</v>
      </c>
      <c r="C68" s="9">
        <v>0</v>
      </c>
      <c r="D68" s="9">
        <v>0</v>
      </c>
      <c r="E68" s="18">
        <v>431</v>
      </c>
      <c r="F68" s="9">
        <v>0</v>
      </c>
      <c r="G68" s="9">
        <v>0</v>
      </c>
      <c r="H68" s="9">
        <v>418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286</v>
      </c>
      <c r="T68" s="9">
        <v>0</v>
      </c>
      <c r="U68" s="9">
        <v>0</v>
      </c>
    </row>
    <row r="69" spans="1:21">
      <c r="A69" s="5">
        <v>1240029</v>
      </c>
      <c r="B69" s="9">
        <v>183</v>
      </c>
      <c r="C69" s="9">
        <v>350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450</v>
      </c>
      <c r="J69" s="9">
        <v>50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58">
        <v>1240032</v>
      </c>
      <c r="B70" s="9">
        <v>183</v>
      </c>
      <c r="C70" s="9">
        <v>350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450</v>
      </c>
      <c r="J70" s="9">
        <v>50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</row>
    <row r="71" spans="1:21">
      <c r="A71" s="5">
        <v>1240180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300</v>
      </c>
      <c r="L71" s="9">
        <v>100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</row>
    <row r="72" spans="1:21">
      <c r="A72" s="5">
        <v>1240184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300</v>
      </c>
      <c r="L72" s="9">
        <v>100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</row>
    <row r="73" spans="1:21">
      <c r="A73" s="5">
        <v>1241138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80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</row>
    <row r="74" spans="1:21">
      <c r="A74" s="5">
        <v>1216452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374</v>
      </c>
      <c r="I74" s="9">
        <v>144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</row>
    <row r="75" spans="1:21">
      <c r="A75" s="5">
        <v>1231011</v>
      </c>
      <c r="B75" s="9">
        <v>310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</row>
    <row r="76" spans="1:21">
      <c r="A76" s="5">
        <v>1232894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264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576</v>
      </c>
      <c r="T76" s="9">
        <v>0</v>
      </c>
      <c r="U76" s="9">
        <v>0</v>
      </c>
    </row>
    <row r="77" spans="1:21">
      <c r="A77" s="5">
        <v>1233387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1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75</v>
      </c>
      <c r="S77" s="9">
        <v>576</v>
      </c>
      <c r="T77" s="9">
        <v>0</v>
      </c>
      <c r="U77" s="9">
        <v>0</v>
      </c>
    </row>
    <row r="78" spans="1:21">
      <c r="A78" s="5">
        <v>1233385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264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</row>
    <row r="79" spans="1:21">
      <c r="A79" s="5">
        <v>1233580</v>
      </c>
      <c r="B79" s="9">
        <v>72</v>
      </c>
      <c r="C79" s="9">
        <v>58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</row>
    <row r="80" spans="1:21">
      <c r="A80" s="5">
        <v>1232895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1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75</v>
      </c>
      <c r="S80" s="9">
        <v>0</v>
      </c>
      <c r="T80" s="9">
        <v>0</v>
      </c>
      <c r="U80" s="9">
        <v>0</v>
      </c>
    </row>
  </sheetData>
  <autoFilter ref="A1:U20" xr:uid="{1A15A8DC-379D-4024-80B9-5BB1FC0FFFE7}"/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E467-279C-4DC4-8CBA-347B93CA3D03}">
  <dimension ref="A1:S71"/>
  <sheetViews>
    <sheetView topLeftCell="A13" zoomScale="115" zoomScaleNormal="115" workbookViewId="0">
      <selection activeCell="L24" sqref="L24:L25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16384" width="9.33203125" style="5"/>
  </cols>
  <sheetData>
    <row r="1" spans="1:19">
      <c r="A1" s="5" t="s">
        <v>0</v>
      </c>
      <c r="B1" s="9" t="s">
        <v>759</v>
      </c>
      <c r="C1" s="9" t="s">
        <v>760</v>
      </c>
      <c r="D1" s="9" t="s">
        <v>761</v>
      </c>
      <c r="E1" s="9" t="s">
        <v>762</v>
      </c>
      <c r="F1" s="9" t="s">
        <v>763</v>
      </c>
      <c r="G1" s="9" t="s">
        <v>766</v>
      </c>
      <c r="H1" s="9" t="s">
        <v>767</v>
      </c>
      <c r="I1" s="9" t="s">
        <v>768</v>
      </c>
      <c r="J1" s="9" t="s">
        <v>769</v>
      </c>
      <c r="K1" s="9" t="s">
        <v>770</v>
      </c>
      <c r="L1" s="9" t="s">
        <v>771</v>
      </c>
      <c r="M1" s="9" t="s">
        <v>772</v>
      </c>
      <c r="N1" s="9" t="s">
        <v>789</v>
      </c>
      <c r="O1" s="9" t="s">
        <v>790</v>
      </c>
      <c r="P1" s="9" t="s">
        <v>791</v>
      </c>
      <c r="Q1" s="9" t="s">
        <v>792</v>
      </c>
      <c r="R1" s="9" t="s">
        <v>793</v>
      </c>
      <c r="S1" s="9" t="s">
        <v>794</v>
      </c>
    </row>
    <row r="2" spans="1:19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401</v>
      </c>
      <c r="P2" s="9">
        <v>400</v>
      </c>
      <c r="Q2" s="9">
        <v>260</v>
      </c>
      <c r="R2" s="9">
        <v>0</v>
      </c>
      <c r="S2" s="9">
        <v>0</v>
      </c>
    </row>
    <row r="3" spans="1:19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401</v>
      </c>
      <c r="P3" s="9">
        <v>400</v>
      </c>
      <c r="Q3" s="9">
        <v>260</v>
      </c>
      <c r="R3" s="9">
        <v>0</v>
      </c>
      <c r="S3" s="9">
        <v>0</v>
      </c>
    </row>
    <row r="4" spans="1:19">
      <c r="A4" s="5">
        <v>1229673</v>
      </c>
      <c r="B4" s="9">
        <v>400</v>
      </c>
      <c r="C4" s="9">
        <v>400</v>
      </c>
      <c r="D4" s="9">
        <v>400</v>
      </c>
      <c r="E4" s="9">
        <v>0</v>
      </c>
      <c r="F4" s="9">
        <v>0</v>
      </c>
      <c r="G4" s="9">
        <v>0</v>
      </c>
      <c r="H4" s="9">
        <v>200</v>
      </c>
      <c r="I4" s="9">
        <v>0</v>
      </c>
      <c r="J4" s="9">
        <v>300</v>
      </c>
      <c r="K4" s="9">
        <v>300</v>
      </c>
      <c r="L4" s="9">
        <v>0</v>
      </c>
      <c r="M4" s="9">
        <v>0</v>
      </c>
      <c r="N4" s="9">
        <v>250</v>
      </c>
      <c r="O4" s="9">
        <v>250</v>
      </c>
      <c r="P4" s="9">
        <v>250</v>
      </c>
      <c r="Q4" s="9">
        <v>250</v>
      </c>
      <c r="R4" s="9">
        <v>250</v>
      </c>
      <c r="S4" s="9">
        <v>0</v>
      </c>
    </row>
    <row r="5" spans="1:19">
      <c r="A5" s="5">
        <v>1233632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64</v>
      </c>
      <c r="J5" s="9">
        <v>216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</row>
    <row r="6" spans="1:19">
      <c r="A6" s="5">
        <v>1235623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542</v>
      </c>
      <c r="O6" s="9">
        <v>394</v>
      </c>
      <c r="P6" s="9">
        <v>0</v>
      </c>
      <c r="Q6" s="9">
        <v>0</v>
      </c>
      <c r="R6" s="9">
        <v>0</v>
      </c>
      <c r="S6" s="9">
        <v>0</v>
      </c>
    </row>
    <row r="7" spans="1:19">
      <c r="A7" s="5">
        <v>1237088</v>
      </c>
      <c r="B7" s="9">
        <v>794</v>
      </c>
      <c r="C7" s="9">
        <v>330</v>
      </c>
      <c r="D7" s="9">
        <v>1039</v>
      </c>
      <c r="E7" s="9">
        <v>0</v>
      </c>
      <c r="F7" s="9">
        <v>0</v>
      </c>
      <c r="G7" s="9">
        <v>332</v>
      </c>
      <c r="H7" s="9">
        <v>330</v>
      </c>
      <c r="I7" s="9">
        <v>788</v>
      </c>
      <c r="J7" s="9">
        <v>1168</v>
      </c>
      <c r="K7" s="9">
        <v>1638</v>
      </c>
      <c r="L7" s="9">
        <v>0</v>
      </c>
      <c r="M7" s="9">
        <v>0</v>
      </c>
      <c r="N7" s="9">
        <v>1354</v>
      </c>
      <c r="O7" s="9">
        <v>1350</v>
      </c>
      <c r="P7" s="9">
        <v>236</v>
      </c>
      <c r="Q7" s="9">
        <v>1226</v>
      </c>
      <c r="R7" s="9">
        <v>1132</v>
      </c>
      <c r="S7" s="9">
        <v>0</v>
      </c>
    </row>
    <row r="8" spans="1:19">
      <c r="A8" s="5">
        <v>1237765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150</v>
      </c>
      <c r="O8" s="9">
        <v>0</v>
      </c>
      <c r="P8" s="9">
        <v>0</v>
      </c>
      <c r="Q8" s="9">
        <v>0</v>
      </c>
      <c r="R8" s="9">
        <v>0</v>
      </c>
      <c r="S8" s="9">
        <v>0</v>
      </c>
    </row>
    <row r="9" spans="1:19">
      <c r="A9" s="5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458</v>
      </c>
      <c r="P9" s="9">
        <v>422</v>
      </c>
      <c r="Q9" s="9">
        <v>0</v>
      </c>
      <c r="R9" s="9">
        <v>0</v>
      </c>
      <c r="S9" s="9">
        <v>0</v>
      </c>
    </row>
    <row r="10" spans="1:19">
      <c r="A10" s="5">
        <v>1236091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200</v>
      </c>
      <c r="S10" s="9">
        <v>0</v>
      </c>
    </row>
    <row r="11" spans="1:19">
      <c r="A11" s="5">
        <v>1238128</v>
      </c>
      <c r="B11" s="9">
        <v>76</v>
      </c>
      <c r="C11" s="9">
        <v>144</v>
      </c>
      <c r="D11" s="9">
        <v>480</v>
      </c>
      <c r="E11" s="9">
        <v>0</v>
      </c>
      <c r="F11" s="9">
        <v>0</v>
      </c>
      <c r="G11" s="9">
        <v>60</v>
      </c>
      <c r="H11" s="9">
        <v>0</v>
      </c>
      <c r="I11" s="9">
        <v>0</v>
      </c>
      <c r="J11" s="9">
        <v>76</v>
      </c>
      <c r="K11" s="9">
        <v>480</v>
      </c>
      <c r="L11" s="9">
        <v>0</v>
      </c>
      <c r="M11" s="9">
        <v>0</v>
      </c>
      <c r="N11" s="9">
        <v>396</v>
      </c>
      <c r="O11" s="9">
        <v>590</v>
      </c>
      <c r="P11" s="9">
        <v>424</v>
      </c>
      <c r="Q11" s="9">
        <v>590</v>
      </c>
      <c r="R11" s="9">
        <v>464</v>
      </c>
      <c r="S11" s="9">
        <v>0</v>
      </c>
    </row>
    <row r="12" spans="1:19">
      <c r="A12" s="5">
        <v>1236962</v>
      </c>
      <c r="B12" s="9">
        <v>200</v>
      </c>
      <c r="C12" s="9">
        <v>200</v>
      </c>
      <c r="D12" s="9">
        <v>300</v>
      </c>
      <c r="E12" s="9">
        <v>0</v>
      </c>
      <c r="F12" s="9">
        <v>0</v>
      </c>
      <c r="G12" s="9">
        <v>0</v>
      </c>
      <c r="H12" s="9">
        <v>500</v>
      </c>
      <c r="I12" s="9">
        <v>300</v>
      </c>
      <c r="J12" s="9">
        <v>300</v>
      </c>
      <c r="K12" s="9">
        <v>290</v>
      </c>
      <c r="L12" s="9">
        <v>0</v>
      </c>
      <c r="M12" s="9">
        <v>0</v>
      </c>
      <c r="N12" s="9">
        <v>300</v>
      </c>
      <c r="O12" s="9">
        <v>300</v>
      </c>
      <c r="P12" s="9">
        <v>0</v>
      </c>
      <c r="Q12" s="9">
        <v>300</v>
      </c>
      <c r="R12" s="9">
        <v>0</v>
      </c>
      <c r="S12" s="9">
        <v>0</v>
      </c>
    </row>
    <row r="13" spans="1:19">
      <c r="A13" s="5">
        <v>1233761</v>
      </c>
      <c r="B13" s="9">
        <v>0</v>
      </c>
      <c r="C13" s="9">
        <v>150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200</v>
      </c>
      <c r="O13" s="9">
        <v>0</v>
      </c>
      <c r="P13" s="9">
        <v>0</v>
      </c>
      <c r="Q13" s="9">
        <v>200</v>
      </c>
      <c r="R13" s="9">
        <v>200</v>
      </c>
      <c r="S13" s="9">
        <v>0</v>
      </c>
    </row>
    <row r="14" spans="1:19">
      <c r="A14" s="5">
        <v>1239651</v>
      </c>
      <c r="B14" s="9">
        <v>0</v>
      </c>
      <c r="C14" s="9">
        <v>300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400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</row>
    <row r="15" spans="1:19">
      <c r="A15" s="5">
        <v>1239988</v>
      </c>
      <c r="B15" s="9">
        <v>356</v>
      </c>
      <c r="C15" s="9">
        <v>478</v>
      </c>
      <c r="D15" s="9">
        <v>454</v>
      </c>
      <c r="E15" s="9">
        <v>0</v>
      </c>
      <c r="F15" s="9">
        <v>0</v>
      </c>
      <c r="G15" s="18">
        <v>174</v>
      </c>
      <c r="H15" s="9">
        <v>120</v>
      </c>
      <c r="I15" s="9">
        <v>336</v>
      </c>
      <c r="J15" s="9">
        <v>454</v>
      </c>
      <c r="K15" s="9">
        <v>454</v>
      </c>
      <c r="L15" s="9">
        <v>0</v>
      </c>
      <c r="M15" s="9">
        <v>0</v>
      </c>
      <c r="N15" s="9">
        <v>454</v>
      </c>
      <c r="O15" s="9">
        <v>454</v>
      </c>
      <c r="P15" s="9">
        <v>148</v>
      </c>
      <c r="Q15" s="9">
        <v>0</v>
      </c>
      <c r="R15" s="9">
        <v>0</v>
      </c>
      <c r="S15" s="9">
        <v>0</v>
      </c>
    </row>
    <row r="16" spans="1:19">
      <c r="A16" s="5">
        <v>1240180</v>
      </c>
      <c r="B16" s="9">
        <v>280</v>
      </c>
      <c r="C16" s="9">
        <v>358</v>
      </c>
      <c r="D16" s="9">
        <v>358</v>
      </c>
      <c r="E16" s="9">
        <v>0</v>
      </c>
      <c r="F16" s="9">
        <v>0</v>
      </c>
      <c r="G16" s="18">
        <v>462</v>
      </c>
      <c r="H16" s="9">
        <v>282</v>
      </c>
      <c r="I16" s="9">
        <v>262</v>
      </c>
      <c r="J16" s="9">
        <v>178</v>
      </c>
      <c r="K16" s="9">
        <v>358</v>
      </c>
      <c r="L16" s="9">
        <v>0</v>
      </c>
      <c r="M16" s="9">
        <v>0</v>
      </c>
      <c r="N16" s="9">
        <v>358</v>
      </c>
      <c r="O16" s="9">
        <v>358</v>
      </c>
      <c r="P16" s="9">
        <v>200</v>
      </c>
      <c r="Q16" s="9">
        <v>294</v>
      </c>
      <c r="R16" s="9">
        <v>280</v>
      </c>
      <c r="S16" s="9">
        <v>0</v>
      </c>
    </row>
    <row r="17" spans="1:19">
      <c r="A17" s="5">
        <v>1240184</v>
      </c>
      <c r="B17" s="9">
        <v>280</v>
      </c>
      <c r="C17" s="9">
        <v>358</v>
      </c>
      <c r="D17" s="9">
        <v>308</v>
      </c>
      <c r="E17" s="9">
        <v>0</v>
      </c>
      <c r="F17" s="9">
        <v>0</v>
      </c>
      <c r="G17" s="18">
        <v>362</v>
      </c>
      <c r="H17" s="9">
        <v>282</v>
      </c>
      <c r="I17" s="9">
        <v>262</v>
      </c>
      <c r="J17" s="9">
        <v>178</v>
      </c>
      <c r="K17" s="9">
        <v>358</v>
      </c>
      <c r="L17" s="9">
        <v>0</v>
      </c>
      <c r="M17" s="9">
        <v>0</v>
      </c>
      <c r="N17" s="9">
        <v>358</v>
      </c>
      <c r="O17" s="9">
        <v>358</v>
      </c>
      <c r="P17" s="9">
        <v>200</v>
      </c>
      <c r="Q17" s="9">
        <v>294</v>
      </c>
      <c r="R17" s="9">
        <v>280</v>
      </c>
      <c r="S17" s="9">
        <v>0</v>
      </c>
    </row>
    <row r="18" spans="1:19">
      <c r="A18" s="5">
        <v>1240308</v>
      </c>
      <c r="B18" s="9">
        <v>300</v>
      </c>
      <c r="C18" s="9">
        <v>0</v>
      </c>
      <c r="D18" s="9">
        <v>0</v>
      </c>
      <c r="E18" s="9">
        <v>0</v>
      </c>
      <c r="F18" s="9">
        <v>0</v>
      </c>
      <c r="G18" s="18">
        <v>400</v>
      </c>
      <c r="H18" s="9">
        <v>350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700</v>
      </c>
      <c r="Q18" s="9">
        <v>0</v>
      </c>
      <c r="R18" s="9">
        <v>350</v>
      </c>
      <c r="S18" s="9">
        <v>0</v>
      </c>
    </row>
    <row r="19" spans="1:19">
      <c r="A19" s="5">
        <v>1241601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120</v>
      </c>
      <c r="O19" s="9">
        <v>0</v>
      </c>
      <c r="P19" s="9">
        <v>500</v>
      </c>
      <c r="Q19" s="9">
        <v>896</v>
      </c>
      <c r="R19" s="9">
        <v>550</v>
      </c>
      <c r="S19" s="9">
        <v>0</v>
      </c>
    </row>
    <row r="22" spans="1:19">
      <c r="A22" s="5" t="s">
        <v>0</v>
      </c>
      <c r="B22" s="9" t="s">
        <v>759</v>
      </c>
      <c r="C22" s="9" t="s">
        <v>760</v>
      </c>
      <c r="D22" s="9" t="s">
        <v>761</v>
      </c>
      <c r="E22" s="9" t="s">
        <v>762</v>
      </c>
      <c r="F22" s="9" t="s">
        <v>763</v>
      </c>
      <c r="G22" s="9" t="s">
        <v>766</v>
      </c>
      <c r="H22" s="9" t="s">
        <v>767</v>
      </c>
      <c r="I22" s="9" t="s">
        <v>768</v>
      </c>
      <c r="J22" s="9" t="s">
        <v>769</v>
      </c>
      <c r="K22" s="9" t="s">
        <v>770</v>
      </c>
      <c r="L22" s="9" t="s">
        <v>771</v>
      </c>
      <c r="M22" s="9" t="s">
        <v>772</v>
      </c>
      <c r="N22" s="9" t="s">
        <v>789</v>
      </c>
      <c r="O22" s="9" t="s">
        <v>790</v>
      </c>
      <c r="P22" s="9" t="s">
        <v>791</v>
      </c>
      <c r="Q22" s="9" t="s">
        <v>792</v>
      </c>
      <c r="R22" s="9" t="s">
        <v>793</v>
      </c>
      <c r="S22" s="9" t="s">
        <v>794</v>
      </c>
    </row>
    <row r="23" spans="1:19">
      <c r="A23" s="5">
        <v>1232846</v>
      </c>
      <c r="B23" s="9">
        <v>352</v>
      </c>
      <c r="C23" s="9">
        <v>449</v>
      </c>
      <c r="D23" s="9">
        <v>2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304</v>
      </c>
      <c r="S23" s="9">
        <v>0</v>
      </c>
    </row>
    <row r="24" spans="1:19">
      <c r="A24" s="5">
        <v>1232895</v>
      </c>
      <c r="B24" s="9">
        <v>352</v>
      </c>
      <c r="C24" s="9">
        <v>449</v>
      </c>
      <c r="D24" s="9">
        <v>2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304</v>
      </c>
      <c r="S24" s="9">
        <v>0</v>
      </c>
    </row>
    <row r="25" spans="1:19">
      <c r="A25" s="5">
        <v>1233384</v>
      </c>
      <c r="B25" s="9">
        <v>352</v>
      </c>
      <c r="C25" s="9">
        <v>449</v>
      </c>
      <c r="D25" s="9">
        <v>2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304</v>
      </c>
      <c r="S25" s="9">
        <v>0</v>
      </c>
    </row>
    <row r="26" spans="1:19">
      <c r="A26" s="5">
        <v>1233165</v>
      </c>
      <c r="B26" s="9">
        <v>0</v>
      </c>
      <c r="C26" s="9">
        <v>0</v>
      </c>
      <c r="D26" s="9">
        <v>250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</row>
    <row r="27" spans="1:19">
      <c r="A27" s="5">
        <v>1236387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426</v>
      </c>
      <c r="H27" s="9">
        <v>71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150</v>
      </c>
      <c r="P27" s="9">
        <v>357</v>
      </c>
      <c r="Q27" s="9">
        <v>71</v>
      </c>
      <c r="R27" s="9">
        <v>0</v>
      </c>
      <c r="S27" s="9">
        <v>0</v>
      </c>
    </row>
    <row r="28" spans="1:19">
      <c r="A28" s="5">
        <v>1232775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251</v>
      </c>
      <c r="I28" s="9">
        <v>109</v>
      </c>
      <c r="J28" s="9">
        <v>311</v>
      </c>
      <c r="K28" s="9">
        <v>278</v>
      </c>
      <c r="L28" s="9">
        <v>0</v>
      </c>
      <c r="M28" s="9">
        <v>0</v>
      </c>
      <c r="N28" s="9">
        <v>620</v>
      </c>
      <c r="O28" s="9">
        <v>282</v>
      </c>
      <c r="P28" s="9">
        <v>0</v>
      </c>
      <c r="Q28" s="9">
        <v>248</v>
      </c>
      <c r="R28" s="9">
        <v>245</v>
      </c>
      <c r="S28" s="9">
        <v>0</v>
      </c>
    </row>
    <row r="29" spans="1:19">
      <c r="A29" s="5">
        <v>1238605</v>
      </c>
      <c r="B29" s="9">
        <v>187</v>
      </c>
      <c r="C29" s="9">
        <v>182</v>
      </c>
      <c r="D29" s="9">
        <v>2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</row>
    <row r="30" spans="1:19">
      <c r="A30" s="5">
        <v>1230685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28</v>
      </c>
      <c r="J30" s="9">
        <v>122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3" spans="1:19">
      <c r="A33" s="74" t="s">
        <v>0</v>
      </c>
      <c r="B33" s="69" t="s">
        <v>759</v>
      </c>
      <c r="C33" s="69" t="s">
        <v>760</v>
      </c>
      <c r="D33" s="69" t="s">
        <v>761</v>
      </c>
      <c r="E33" s="69" t="s">
        <v>762</v>
      </c>
      <c r="F33" s="70" t="s">
        <v>763</v>
      </c>
      <c r="G33" s="69" t="s">
        <v>766</v>
      </c>
      <c r="H33" s="69" t="s">
        <v>767</v>
      </c>
      <c r="I33" s="69" t="s">
        <v>768</v>
      </c>
      <c r="J33" s="69" t="s">
        <v>769</v>
      </c>
      <c r="K33" s="69" t="s">
        <v>770</v>
      </c>
      <c r="L33" s="69" t="s">
        <v>771</v>
      </c>
      <c r="M33" s="70" t="s">
        <v>772</v>
      </c>
      <c r="N33" s="69" t="s">
        <v>789</v>
      </c>
      <c r="O33" s="69" t="s">
        <v>790</v>
      </c>
      <c r="P33" s="69" t="s">
        <v>791</v>
      </c>
      <c r="Q33" s="69" t="s">
        <v>792</v>
      </c>
      <c r="R33" s="69" t="s">
        <v>793</v>
      </c>
      <c r="S33" s="69" t="s">
        <v>794</v>
      </c>
    </row>
    <row r="34" spans="1:19">
      <c r="A34" s="30">
        <v>1221967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51</v>
      </c>
      <c r="R34" s="32">
        <v>0</v>
      </c>
      <c r="S34" s="32">
        <v>0</v>
      </c>
    </row>
    <row r="35" spans="1:19">
      <c r="A35" s="30">
        <v>1227306</v>
      </c>
      <c r="B35" s="32">
        <v>378</v>
      </c>
      <c r="C35" s="32">
        <v>177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</row>
    <row r="36" spans="1:19" s="20" customFormat="1">
      <c r="A36" s="66">
        <v>1229088</v>
      </c>
      <c r="B36" s="61">
        <v>0</v>
      </c>
      <c r="C36" s="61">
        <v>0</v>
      </c>
      <c r="D36" s="61">
        <v>0</v>
      </c>
      <c r="E36" s="61">
        <v>0</v>
      </c>
      <c r="F36" s="61">
        <v>0</v>
      </c>
      <c r="G36" s="61">
        <v>0</v>
      </c>
      <c r="H36" s="61">
        <v>0</v>
      </c>
      <c r="I36" s="61">
        <v>0</v>
      </c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>
        <v>654</v>
      </c>
      <c r="S36" s="61">
        <v>0</v>
      </c>
    </row>
    <row r="37" spans="1:19">
      <c r="A37" s="30">
        <v>1231090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240</v>
      </c>
      <c r="R37" s="32">
        <v>0</v>
      </c>
      <c r="S37" s="32">
        <v>0</v>
      </c>
    </row>
    <row r="38" spans="1:19">
      <c r="A38" s="30">
        <v>1225464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28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756</v>
      </c>
      <c r="R38" s="32">
        <v>0</v>
      </c>
      <c r="S38" s="32">
        <v>0</v>
      </c>
    </row>
    <row r="39" spans="1:19">
      <c r="A39" s="30">
        <v>1232066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54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</row>
    <row r="40" spans="1:19">
      <c r="A40" s="30">
        <v>1234222</v>
      </c>
      <c r="B40" s="32">
        <v>0</v>
      </c>
      <c r="C40" s="32">
        <v>276</v>
      </c>
      <c r="D40" s="32">
        <v>202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</row>
    <row r="41" spans="1:19">
      <c r="A41" s="30">
        <v>1232528</v>
      </c>
      <c r="B41" s="32">
        <v>0</v>
      </c>
      <c r="C41" s="32">
        <v>0</v>
      </c>
      <c r="D41" s="32">
        <v>365</v>
      </c>
      <c r="E41" s="32">
        <v>0</v>
      </c>
      <c r="F41" s="32">
        <v>0</v>
      </c>
      <c r="G41" s="32">
        <v>1359</v>
      </c>
      <c r="H41" s="32">
        <v>850</v>
      </c>
      <c r="I41" s="32">
        <v>340</v>
      </c>
      <c r="J41" s="32">
        <v>0</v>
      </c>
      <c r="K41" s="32">
        <v>0</v>
      </c>
      <c r="L41" s="32">
        <v>0</v>
      </c>
      <c r="M41" s="32">
        <v>0</v>
      </c>
      <c r="N41" s="32">
        <v>686</v>
      </c>
      <c r="O41" s="32">
        <v>674</v>
      </c>
      <c r="P41" s="32">
        <v>539</v>
      </c>
      <c r="Q41" s="32">
        <v>686</v>
      </c>
      <c r="R41" s="32">
        <v>184</v>
      </c>
      <c r="S41" s="32">
        <v>0</v>
      </c>
    </row>
    <row r="42" spans="1:19">
      <c r="A42" s="30">
        <v>1232846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265</v>
      </c>
      <c r="J42" s="32">
        <v>75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</row>
    <row r="43" spans="1:19">
      <c r="A43" s="30">
        <v>1229050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147</v>
      </c>
      <c r="I43" s="32">
        <v>33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</row>
    <row r="44" spans="1:19">
      <c r="A44" s="30">
        <v>1233383</v>
      </c>
      <c r="B44" s="32">
        <v>113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9</v>
      </c>
      <c r="P44" s="32">
        <v>0</v>
      </c>
      <c r="Q44" s="32">
        <v>0</v>
      </c>
      <c r="R44" s="32">
        <v>0</v>
      </c>
      <c r="S44" s="32">
        <v>0</v>
      </c>
    </row>
    <row r="45" spans="1:19">
      <c r="A45" s="30">
        <v>1220847</v>
      </c>
      <c r="B45" s="32">
        <v>126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</row>
    <row r="46" spans="1:19">
      <c r="A46" s="30">
        <v>1233735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90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</row>
    <row r="47" spans="1:19">
      <c r="A47" s="30">
        <v>1234034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40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</row>
    <row r="48" spans="1:19">
      <c r="A48" s="30">
        <v>1234217</v>
      </c>
      <c r="B48" s="32">
        <v>220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</row>
    <row r="49" spans="1:19">
      <c r="A49" s="30">
        <v>1234111</v>
      </c>
      <c r="B49" s="32">
        <v>220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</row>
    <row r="50" spans="1:19">
      <c r="A50" s="30">
        <v>1234110</v>
      </c>
      <c r="B50" s="32">
        <v>220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</row>
    <row r="51" spans="1:19">
      <c r="A51" s="30">
        <v>1235097</v>
      </c>
      <c r="B51" s="32">
        <v>0</v>
      </c>
      <c r="C51" s="32">
        <v>206</v>
      </c>
      <c r="D51" s="32">
        <v>343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288</v>
      </c>
      <c r="P51" s="32">
        <v>269</v>
      </c>
      <c r="Q51" s="32">
        <v>203</v>
      </c>
      <c r="R51" s="32">
        <v>0</v>
      </c>
      <c r="S51" s="32">
        <v>0</v>
      </c>
    </row>
    <row r="52" spans="1:19">
      <c r="A52" s="30">
        <v>1235845</v>
      </c>
      <c r="B52" s="32">
        <v>0</v>
      </c>
      <c r="C52" s="32">
        <v>416</v>
      </c>
      <c r="D52" s="32">
        <v>622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210</v>
      </c>
      <c r="K52" s="32">
        <v>462</v>
      </c>
      <c r="L52" s="32">
        <v>0</v>
      </c>
      <c r="M52" s="32">
        <v>0</v>
      </c>
      <c r="N52" s="32">
        <v>630</v>
      </c>
      <c r="O52" s="32">
        <v>630</v>
      </c>
      <c r="P52" s="32">
        <v>65</v>
      </c>
      <c r="Q52" s="32">
        <v>0</v>
      </c>
      <c r="R52" s="32">
        <v>0</v>
      </c>
      <c r="S52" s="32">
        <v>0</v>
      </c>
    </row>
    <row r="53" spans="1:19">
      <c r="A53" s="30">
        <v>1236619</v>
      </c>
      <c r="B53" s="32">
        <v>0</v>
      </c>
      <c r="C53" s="32">
        <v>10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</row>
    <row r="54" spans="1:19">
      <c r="A54" s="30">
        <v>1236930</v>
      </c>
      <c r="B54" s="32">
        <v>267</v>
      </c>
      <c r="C54" s="32">
        <v>254</v>
      </c>
      <c r="D54" s="32">
        <v>16</v>
      </c>
      <c r="E54" s="32">
        <v>0</v>
      </c>
      <c r="F54" s="32">
        <v>0</v>
      </c>
      <c r="G54" s="32">
        <v>339</v>
      </c>
      <c r="H54" s="17">
        <v>347</v>
      </c>
      <c r="I54" s="32">
        <v>276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340</v>
      </c>
      <c r="P54" s="32">
        <v>270</v>
      </c>
      <c r="Q54" s="32">
        <v>540</v>
      </c>
      <c r="R54" s="32">
        <v>158</v>
      </c>
      <c r="S54" s="32">
        <v>0</v>
      </c>
    </row>
    <row r="55" spans="1:19">
      <c r="A55" s="111">
        <v>1232982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187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</row>
    <row r="56" spans="1:19">
      <c r="A56" s="30">
        <v>1237457</v>
      </c>
      <c r="B56" s="32">
        <v>0</v>
      </c>
      <c r="C56" s="32">
        <v>10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</row>
    <row r="57" spans="1:19">
      <c r="A57" s="30">
        <v>1234905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250</v>
      </c>
      <c r="L57" s="32">
        <v>0</v>
      </c>
      <c r="M57" s="32">
        <v>0</v>
      </c>
      <c r="N57" s="32">
        <v>450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</row>
    <row r="58" spans="1:19">
      <c r="A58" s="30">
        <v>1238480</v>
      </c>
      <c r="B58" s="32">
        <v>1015</v>
      </c>
      <c r="C58" s="32">
        <v>1110</v>
      </c>
      <c r="D58" s="32">
        <v>1063</v>
      </c>
      <c r="E58" s="32">
        <v>0</v>
      </c>
      <c r="F58" s="32">
        <v>0</v>
      </c>
      <c r="G58" s="17">
        <v>867</v>
      </c>
      <c r="H58" s="32">
        <v>1014</v>
      </c>
      <c r="I58" s="32">
        <v>1060</v>
      </c>
      <c r="J58" s="32">
        <v>1412</v>
      </c>
      <c r="K58" s="32">
        <v>1065</v>
      </c>
      <c r="L58" s="32">
        <v>0</v>
      </c>
      <c r="M58" s="32">
        <v>0</v>
      </c>
      <c r="N58" s="32">
        <v>972</v>
      </c>
      <c r="O58" s="32">
        <v>872</v>
      </c>
      <c r="P58" s="32">
        <v>1101</v>
      </c>
      <c r="Q58" s="32">
        <v>1153</v>
      </c>
      <c r="R58" s="32">
        <v>1186</v>
      </c>
      <c r="S58" s="32">
        <v>0</v>
      </c>
    </row>
    <row r="59" spans="1:19">
      <c r="A59" s="30">
        <v>1238453</v>
      </c>
      <c r="B59" s="32">
        <v>0</v>
      </c>
      <c r="C59" s="32">
        <v>76</v>
      </c>
      <c r="D59" s="32">
        <v>311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</row>
    <row r="60" spans="1:19">
      <c r="A60" s="30">
        <v>1232775</v>
      </c>
      <c r="B60" s="32">
        <v>0</v>
      </c>
      <c r="C60" s="32">
        <v>0</v>
      </c>
      <c r="D60" s="32">
        <v>431</v>
      </c>
      <c r="E60" s="32">
        <v>0</v>
      </c>
      <c r="F60" s="32">
        <v>0</v>
      </c>
      <c r="G60" s="17">
        <v>418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286</v>
      </c>
      <c r="R60" s="32">
        <v>0</v>
      </c>
      <c r="S60" s="32">
        <v>0</v>
      </c>
    </row>
    <row r="61" spans="1:19">
      <c r="A61" s="30">
        <v>1240029</v>
      </c>
      <c r="B61" s="32">
        <v>350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40</v>
      </c>
      <c r="K61" s="32">
        <v>460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</row>
    <row r="62" spans="1:19">
      <c r="A62" s="30">
        <v>1240032</v>
      </c>
      <c r="B62" s="32">
        <v>350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40</v>
      </c>
      <c r="K62" s="32">
        <v>460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</row>
    <row r="63" spans="1:19">
      <c r="A63" s="30">
        <v>1240180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300</v>
      </c>
      <c r="K63" s="32">
        <v>100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</row>
    <row r="64" spans="1:19">
      <c r="A64" s="30">
        <v>1240184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300</v>
      </c>
      <c r="K64" s="32">
        <v>100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</row>
    <row r="65" spans="1:19">
      <c r="A65" s="30">
        <v>1241138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80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</row>
    <row r="66" spans="1:19">
      <c r="A66" s="111">
        <v>1216452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276</v>
      </c>
      <c r="H66" s="32">
        <v>242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</row>
    <row r="67" spans="1:19">
      <c r="A67" s="30">
        <v>1232894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264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</row>
    <row r="68" spans="1:19">
      <c r="A68" s="30">
        <v>1233385</v>
      </c>
      <c r="B68" s="32">
        <v>0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264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</row>
    <row r="69" spans="1:19">
      <c r="A69" s="30">
        <v>1233580</v>
      </c>
      <c r="B69" s="32">
        <v>58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</row>
    <row r="70" spans="1:19">
      <c r="A70" s="30">
        <v>1232895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1</v>
      </c>
      <c r="J70" s="32">
        <v>75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</row>
    <row r="71" spans="1:19">
      <c r="A71" s="30">
        <v>1233387</v>
      </c>
      <c r="B71" s="32">
        <v>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1</v>
      </c>
      <c r="J71" s="32">
        <v>75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</row>
  </sheetData>
  <autoFilter ref="A1:S19" xr:uid="{C870E467-279C-4DC4-8CBA-347B93CA3D03}"/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FCA5-3D94-4CFC-8217-94CDEDCC5F62}">
  <sheetPr>
    <tabColor rgb="FFFFFF00"/>
  </sheetPr>
  <dimension ref="A1:O103"/>
  <sheetViews>
    <sheetView zoomScale="130" zoomScaleNormal="13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B43" sqref="A43:XFD43"/>
    </sheetView>
  </sheetViews>
  <sheetFormatPr defaultColWidth="9.33203125" defaultRowHeight="12"/>
  <cols>
    <col min="1" max="1" width="9.5" style="5" bestFit="1" customWidth="1"/>
    <col min="2" max="2" width="10.1640625" style="19" bestFit="1" customWidth="1"/>
    <col min="3" max="12" width="12.5" style="9" customWidth="1"/>
    <col min="13" max="15" width="9.33203125" style="9"/>
    <col min="16" max="16384" width="9.33203125" style="5"/>
  </cols>
  <sheetData>
    <row r="1" spans="1:15" s="8" customFormat="1">
      <c r="A1" s="8" t="s">
        <v>31</v>
      </c>
      <c r="B1" s="8" t="s">
        <v>0</v>
      </c>
      <c r="C1" s="102" t="s">
        <v>723</v>
      </c>
      <c r="D1" s="102" t="s">
        <v>725</v>
      </c>
      <c r="E1" s="102" t="s">
        <v>727</v>
      </c>
      <c r="F1" s="102" t="s">
        <v>731</v>
      </c>
      <c r="G1" s="102" t="s">
        <v>736</v>
      </c>
      <c r="H1" s="102" t="s">
        <v>745</v>
      </c>
      <c r="I1" s="102" t="s">
        <v>754</v>
      </c>
      <c r="J1" s="102" t="s">
        <v>764</v>
      </c>
      <c r="K1" s="102" t="s">
        <v>773</v>
      </c>
      <c r="L1" s="102" t="s">
        <v>796</v>
      </c>
      <c r="M1" s="102"/>
      <c r="N1" s="102"/>
      <c r="O1" s="102"/>
    </row>
    <row r="2" spans="1:15" s="8" customFormat="1">
      <c r="C2" s="102" t="s">
        <v>724</v>
      </c>
      <c r="D2" s="102" t="s">
        <v>726</v>
      </c>
      <c r="E2" s="102" t="s">
        <v>728</v>
      </c>
      <c r="F2" s="102" t="s">
        <v>732</v>
      </c>
      <c r="G2" s="102" t="s">
        <v>737</v>
      </c>
      <c r="H2" s="102" t="s">
        <v>746</v>
      </c>
      <c r="I2" s="102" t="s">
        <v>755</v>
      </c>
      <c r="J2" s="102" t="s">
        <v>765</v>
      </c>
      <c r="K2" s="102" t="s">
        <v>774</v>
      </c>
      <c r="L2" s="102" t="s">
        <v>797</v>
      </c>
      <c r="M2" s="102"/>
      <c r="N2" s="102"/>
      <c r="O2" s="102"/>
    </row>
    <row r="3" spans="1:15">
      <c r="B3" s="19">
        <v>1226384</v>
      </c>
      <c r="C3" s="9">
        <v>0</v>
      </c>
      <c r="D3" s="9">
        <v>0</v>
      </c>
      <c r="E3" s="9">
        <v>0</v>
      </c>
      <c r="F3" s="9">
        <v>1060</v>
      </c>
      <c r="G3" s="9">
        <v>600</v>
      </c>
      <c r="H3" s="9">
        <v>300</v>
      </c>
      <c r="I3" s="9">
        <v>400</v>
      </c>
      <c r="J3" s="9">
        <v>200</v>
      </c>
      <c r="K3" s="9">
        <v>0</v>
      </c>
      <c r="L3" s="9">
        <v>0</v>
      </c>
    </row>
    <row r="4" spans="1:15">
      <c r="B4" s="19">
        <v>1226388</v>
      </c>
      <c r="C4" s="9">
        <v>0</v>
      </c>
      <c r="D4" s="9">
        <v>0</v>
      </c>
      <c r="E4" s="9">
        <v>0</v>
      </c>
      <c r="F4" s="9">
        <v>1060</v>
      </c>
      <c r="G4" s="9">
        <v>600</v>
      </c>
      <c r="H4" s="9">
        <v>300</v>
      </c>
      <c r="I4" s="9">
        <v>400</v>
      </c>
      <c r="J4" s="9">
        <v>200</v>
      </c>
      <c r="K4" s="9">
        <v>0</v>
      </c>
      <c r="L4" s="9">
        <v>0</v>
      </c>
    </row>
    <row r="5" spans="1:15">
      <c r="B5" s="19">
        <v>1227431</v>
      </c>
      <c r="C5" s="9">
        <v>96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</row>
    <row r="6" spans="1:15">
      <c r="B6" s="19">
        <v>1227433</v>
      </c>
      <c r="C6" s="9">
        <v>96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</row>
    <row r="7" spans="1:15">
      <c r="B7" s="19">
        <v>1229673</v>
      </c>
      <c r="C7" s="9">
        <v>950</v>
      </c>
      <c r="D7" s="9">
        <v>300</v>
      </c>
      <c r="E7" s="9">
        <v>600</v>
      </c>
      <c r="F7" s="9">
        <v>900</v>
      </c>
      <c r="G7" s="9">
        <v>950</v>
      </c>
      <c r="H7" s="9">
        <v>950</v>
      </c>
      <c r="I7" s="9">
        <v>900</v>
      </c>
      <c r="J7" s="9">
        <v>1300</v>
      </c>
      <c r="K7" s="9">
        <v>700</v>
      </c>
      <c r="L7" s="9">
        <v>700</v>
      </c>
    </row>
    <row r="8" spans="1:15">
      <c r="B8" s="19">
        <v>1230692</v>
      </c>
      <c r="C8" s="9">
        <v>1000</v>
      </c>
      <c r="D8" s="9">
        <v>0</v>
      </c>
      <c r="E8" s="9">
        <v>1000</v>
      </c>
      <c r="F8" s="9">
        <v>700</v>
      </c>
      <c r="G8" s="9">
        <v>600</v>
      </c>
      <c r="H8" s="9">
        <v>700</v>
      </c>
      <c r="I8" s="9">
        <v>600</v>
      </c>
      <c r="J8" s="9">
        <v>1400</v>
      </c>
      <c r="K8" s="9">
        <v>800</v>
      </c>
      <c r="L8" s="9">
        <v>800</v>
      </c>
    </row>
    <row r="9" spans="1:15">
      <c r="B9" s="19">
        <v>1230696</v>
      </c>
      <c r="C9" s="9">
        <v>200</v>
      </c>
      <c r="D9" s="9">
        <v>100</v>
      </c>
      <c r="E9" s="9">
        <v>0</v>
      </c>
      <c r="F9" s="9">
        <v>0</v>
      </c>
      <c r="G9" s="9">
        <v>200</v>
      </c>
      <c r="H9" s="9">
        <v>100</v>
      </c>
      <c r="I9" s="9">
        <v>0</v>
      </c>
      <c r="J9" s="9">
        <v>0</v>
      </c>
      <c r="K9" s="9">
        <v>200</v>
      </c>
      <c r="L9" s="9">
        <v>200</v>
      </c>
    </row>
    <row r="10" spans="1:15">
      <c r="B10" s="19">
        <v>1230854</v>
      </c>
      <c r="C10" s="9">
        <v>0</v>
      </c>
      <c r="D10" s="9">
        <v>0</v>
      </c>
      <c r="E10" s="9">
        <v>100</v>
      </c>
      <c r="F10" s="9">
        <v>0</v>
      </c>
      <c r="G10" s="9">
        <v>0</v>
      </c>
      <c r="H10" s="9">
        <v>200</v>
      </c>
      <c r="I10" s="9">
        <v>0</v>
      </c>
      <c r="J10" s="9">
        <v>0</v>
      </c>
      <c r="K10" s="9">
        <v>0</v>
      </c>
      <c r="L10" s="9">
        <v>200</v>
      </c>
    </row>
    <row r="11" spans="1:15">
      <c r="B11" s="19">
        <v>1231202</v>
      </c>
      <c r="C11" s="9">
        <v>0</v>
      </c>
      <c r="D11" s="9">
        <v>0</v>
      </c>
      <c r="E11" s="9">
        <v>0</v>
      </c>
      <c r="F11" s="9">
        <v>150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</row>
    <row r="12" spans="1:15">
      <c r="B12" s="19">
        <v>1231898</v>
      </c>
      <c r="C12" s="9">
        <v>2240</v>
      </c>
      <c r="D12" s="9">
        <v>1912</v>
      </c>
      <c r="E12" s="9">
        <v>1344</v>
      </c>
      <c r="F12" s="9">
        <v>2240</v>
      </c>
      <c r="G12" s="9">
        <v>1792</v>
      </c>
      <c r="H12" s="9">
        <v>2240</v>
      </c>
      <c r="I12" s="9">
        <v>1792</v>
      </c>
      <c r="J12" s="9">
        <v>2240</v>
      </c>
      <c r="K12" s="9">
        <v>2240</v>
      </c>
      <c r="L12" s="9">
        <v>1344</v>
      </c>
    </row>
    <row r="13" spans="1:15">
      <c r="B13" s="19">
        <v>1232693</v>
      </c>
      <c r="C13" s="9">
        <v>126</v>
      </c>
      <c r="D13" s="9">
        <v>0</v>
      </c>
      <c r="E13" s="9">
        <v>609</v>
      </c>
      <c r="F13" s="9">
        <v>0</v>
      </c>
      <c r="G13" s="9">
        <v>0</v>
      </c>
      <c r="H13" s="9">
        <v>0</v>
      </c>
      <c r="I13" s="9">
        <v>861</v>
      </c>
      <c r="J13" s="9">
        <v>0</v>
      </c>
      <c r="K13" s="9">
        <v>0</v>
      </c>
      <c r="L13" s="9">
        <v>0</v>
      </c>
    </row>
    <row r="14" spans="1:15">
      <c r="B14" s="19">
        <v>1233025</v>
      </c>
      <c r="C14" s="9">
        <v>126</v>
      </c>
      <c r="D14" s="9">
        <v>0</v>
      </c>
      <c r="E14" s="9">
        <v>609</v>
      </c>
      <c r="F14" s="9">
        <v>0</v>
      </c>
      <c r="G14" s="9">
        <v>0</v>
      </c>
      <c r="H14" s="9">
        <v>0</v>
      </c>
      <c r="I14" s="9">
        <v>861</v>
      </c>
      <c r="J14" s="9">
        <v>0</v>
      </c>
      <c r="K14" s="9">
        <v>0</v>
      </c>
      <c r="L14" s="9">
        <v>0</v>
      </c>
    </row>
    <row r="15" spans="1:15">
      <c r="B15" s="19">
        <v>1233492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500</v>
      </c>
      <c r="I15" s="9">
        <v>0</v>
      </c>
      <c r="J15" s="9">
        <v>300</v>
      </c>
      <c r="K15" s="9">
        <v>400</v>
      </c>
      <c r="L15" s="9">
        <v>400</v>
      </c>
    </row>
    <row r="16" spans="1:15">
      <c r="B16" s="19">
        <v>1233498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500</v>
      </c>
      <c r="I16" s="9">
        <v>0</v>
      </c>
      <c r="J16" s="9">
        <v>300</v>
      </c>
      <c r="K16" s="9">
        <v>400</v>
      </c>
      <c r="L16" s="9">
        <v>400</v>
      </c>
    </row>
    <row r="17" spans="2:12">
      <c r="B17" s="19">
        <v>1233623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500</v>
      </c>
      <c r="I17" s="9">
        <v>0</v>
      </c>
      <c r="J17" s="9">
        <v>300</v>
      </c>
      <c r="K17" s="9">
        <v>400</v>
      </c>
      <c r="L17" s="9">
        <v>400</v>
      </c>
    </row>
    <row r="18" spans="2:12">
      <c r="B18" s="19">
        <v>1233761</v>
      </c>
      <c r="C18" s="9">
        <v>0</v>
      </c>
      <c r="D18" s="9">
        <v>0</v>
      </c>
      <c r="E18" s="9">
        <v>0</v>
      </c>
      <c r="F18" s="9">
        <v>150</v>
      </c>
      <c r="G18" s="9">
        <v>300</v>
      </c>
      <c r="H18" s="9">
        <v>250</v>
      </c>
      <c r="I18" s="9">
        <v>0</v>
      </c>
      <c r="J18" s="9">
        <v>100</v>
      </c>
      <c r="K18" s="9">
        <v>200</v>
      </c>
      <c r="L18" s="9">
        <v>200</v>
      </c>
    </row>
    <row r="19" spans="2:12">
      <c r="B19" s="19">
        <v>1233877</v>
      </c>
      <c r="C19" s="9">
        <v>0</v>
      </c>
      <c r="D19" s="9">
        <v>0</v>
      </c>
      <c r="E19" s="9">
        <v>0</v>
      </c>
      <c r="F19" s="9">
        <v>120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</row>
    <row r="20" spans="2:12">
      <c r="B20" s="19">
        <v>1234614</v>
      </c>
      <c r="C20" s="9">
        <v>0</v>
      </c>
      <c r="D20" s="9">
        <v>0</v>
      </c>
      <c r="E20" s="9">
        <v>0</v>
      </c>
      <c r="F20" s="9">
        <v>0</v>
      </c>
      <c r="G20" s="9">
        <v>400</v>
      </c>
      <c r="H20" s="9">
        <v>400</v>
      </c>
      <c r="I20" s="9">
        <v>0</v>
      </c>
      <c r="J20" s="9">
        <v>300</v>
      </c>
      <c r="K20" s="9">
        <v>300</v>
      </c>
      <c r="L20" s="9">
        <v>300</v>
      </c>
    </row>
    <row r="21" spans="2:12">
      <c r="B21" s="19">
        <v>1235003</v>
      </c>
      <c r="C21" s="9">
        <v>1300</v>
      </c>
      <c r="D21" s="9">
        <v>550</v>
      </c>
      <c r="E21" s="9">
        <v>650</v>
      </c>
      <c r="F21" s="9">
        <v>850</v>
      </c>
      <c r="G21" s="9">
        <v>1250</v>
      </c>
      <c r="H21" s="9">
        <v>1250</v>
      </c>
      <c r="I21" s="9">
        <v>950</v>
      </c>
      <c r="J21" s="9">
        <v>1050</v>
      </c>
      <c r="K21" s="9">
        <v>1050</v>
      </c>
      <c r="L21" s="9">
        <v>700</v>
      </c>
    </row>
    <row r="22" spans="2:12">
      <c r="B22" s="19">
        <v>1235058</v>
      </c>
      <c r="C22" s="9">
        <v>200</v>
      </c>
      <c r="D22" s="9">
        <v>100</v>
      </c>
      <c r="E22" s="9">
        <v>100</v>
      </c>
      <c r="F22" s="9">
        <v>0</v>
      </c>
      <c r="G22" s="9">
        <v>300</v>
      </c>
      <c r="H22" s="9">
        <v>250</v>
      </c>
      <c r="I22" s="9">
        <v>250</v>
      </c>
      <c r="J22" s="9">
        <v>150</v>
      </c>
      <c r="K22" s="9">
        <v>250</v>
      </c>
      <c r="L22" s="9">
        <v>100</v>
      </c>
    </row>
    <row r="23" spans="2:12">
      <c r="B23" s="19">
        <v>1235623</v>
      </c>
      <c r="C23" s="9">
        <v>0</v>
      </c>
      <c r="D23" s="9">
        <v>936</v>
      </c>
      <c r="E23" s="9">
        <v>0</v>
      </c>
      <c r="F23" s="9">
        <v>0</v>
      </c>
      <c r="G23" s="9">
        <v>0</v>
      </c>
      <c r="H23" s="9">
        <v>2808</v>
      </c>
      <c r="I23" s="9">
        <v>0</v>
      </c>
      <c r="J23" s="9">
        <v>0</v>
      </c>
      <c r="K23" s="9">
        <v>0</v>
      </c>
      <c r="L23" s="9">
        <v>0</v>
      </c>
    </row>
    <row r="24" spans="2:12">
      <c r="B24" s="19">
        <v>1236091</v>
      </c>
      <c r="C24" s="9">
        <v>150</v>
      </c>
      <c r="D24" s="9">
        <v>0</v>
      </c>
      <c r="E24" s="9">
        <v>100</v>
      </c>
      <c r="F24" s="9">
        <v>0</v>
      </c>
      <c r="G24" s="9">
        <v>350</v>
      </c>
      <c r="H24" s="9">
        <v>300</v>
      </c>
      <c r="I24" s="9">
        <v>0</v>
      </c>
      <c r="J24" s="9">
        <v>0</v>
      </c>
      <c r="K24" s="9">
        <v>300</v>
      </c>
      <c r="L24" s="9">
        <v>300</v>
      </c>
    </row>
    <row r="25" spans="2:12">
      <c r="B25" s="19">
        <v>1236488</v>
      </c>
      <c r="C25" s="9">
        <v>700</v>
      </c>
      <c r="D25" s="9">
        <v>500</v>
      </c>
      <c r="E25" s="9">
        <v>700</v>
      </c>
      <c r="F25" s="9">
        <v>500</v>
      </c>
      <c r="G25" s="9">
        <v>500</v>
      </c>
      <c r="H25" s="9">
        <v>500</v>
      </c>
      <c r="I25" s="9">
        <v>500</v>
      </c>
      <c r="J25" s="9">
        <v>600</v>
      </c>
      <c r="K25" s="9">
        <v>700</v>
      </c>
      <c r="L25" s="9">
        <v>700</v>
      </c>
    </row>
    <row r="26" spans="2:12">
      <c r="B26" s="19">
        <v>1236534</v>
      </c>
      <c r="C26" s="9">
        <v>200</v>
      </c>
      <c r="D26" s="9">
        <v>0</v>
      </c>
      <c r="E26" s="9">
        <v>200</v>
      </c>
      <c r="F26" s="9">
        <v>0</v>
      </c>
      <c r="G26" s="9">
        <v>200</v>
      </c>
      <c r="H26" s="9">
        <v>0</v>
      </c>
      <c r="I26" s="9">
        <v>0</v>
      </c>
      <c r="J26" s="9">
        <v>0</v>
      </c>
      <c r="K26" s="9">
        <v>300</v>
      </c>
      <c r="L26" s="9">
        <v>300</v>
      </c>
    </row>
    <row r="27" spans="2:12">
      <c r="B27" s="19">
        <v>1236962</v>
      </c>
      <c r="C27" s="9">
        <v>700</v>
      </c>
      <c r="D27" s="9">
        <v>300</v>
      </c>
      <c r="E27" s="9">
        <v>800</v>
      </c>
      <c r="F27" s="9">
        <v>700</v>
      </c>
      <c r="G27" s="9">
        <v>900</v>
      </c>
      <c r="H27" s="9">
        <v>900</v>
      </c>
      <c r="I27" s="9">
        <v>900</v>
      </c>
      <c r="J27" s="9">
        <v>1700</v>
      </c>
      <c r="K27" s="9">
        <v>900</v>
      </c>
      <c r="L27" s="9">
        <v>800</v>
      </c>
    </row>
    <row r="28" spans="2:12">
      <c r="B28" s="19">
        <v>1237088</v>
      </c>
      <c r="C28" s="9">
        <v>3592</v>
      </c>
      <c r="D28" s="9">
        <v>1300</v>
      </c>
      <c r="E28" s="9">
        <v>3900</v>
      </c>
      <c r="F28" s="9">
        <v>3450</v>
      </c>
      <c r="G28" s="9">
        <v>4174</v>
      </c>
      <c r="H28" s="9">
        <v>4100</v>
      </c>
      <c r="I28" s="9">
        <v>3900</v>
      </c>
      <c r="J28" s="9">
        <v>5450</v>
      </c>
      <c r="K28" s="9">
        <v>3276</v>
      </c>
      <c r="L28" s="9">
        <v>3756</v>
      </c>
    </row>
    <row r="29" spans="2:12">
      <c r="B29" s="19">
        <v>1237586</v>
      </c>
      <c r="C29" s="9">
        <v>2240</v>
      </c>
      <c r="D29" s="9">
        <v>1912</v>
      </c>
      <c r="E29" s="9">
        <v>1344</v>
      </c>
      <c r="F29" s="9">
        <v>2240</v>
      </c>
      <c r="G29" s="9">
        <v>1792</v>
      </c>
      <c r="H29" s="9">
        <v>2240</v>
      </c>
      <c r="I29" s="9">
        <v>1792</v>
      </c>
      <c r="J29" s="9">
        <v>2240</v>
      </c>
      <c r="K29" s="9">
        <v>2240</v>
      </c>
      <c r="L29" s="9">
        <v>1344</v>
      </c>
    </row>
    <row r="30" spans="2:12">
      <c r="B30" s="19">
        <v>1237748</v>
      </c>
      <c r="C30" s="9">
        <v>0</v>
      </c>
      <c r="D30" s="9">
        <v>0</v>
      </c>
      <c r="E30" s="9">
        <v>676</v>
      </c>
      <c r="F30" s="9">
        <v>0</v>
      </c>
      <c r="G30" s="9">
        <v>0</v>
      </c>
      <c r="H30" s="9">
        <v>0</v>
      </c>
      <c r="I30" s="9">
        <v>520</v>
      </c>
      <c r="J30" s="9">
        <v>0</v>
      </c>
      <c r="K30" s="9">
        <v>0</v>
      </c>
      <c r="L30" s="9">
        <v>0</v>
      </c>
    </row>
    <row r="31" spans="2:12">
      <c r="B31" s="19">
        <v>1238128</v>
      </c>
      <c r="C31" s="9">
        <v>1048</v>
      </c>
      <c r="D31" s="9">
        <v>0</v>
      </c>
      <c r="E31" s="9">
        <v>4460</v>
      </c>
      <c r="F31" s="9">
        <v>0</v>
      </c>
      <c r="G31" s="9">
        <v>0</v>
      </c>
      <c r="H31" s="9">
        <v>0</v>
      </c>
      <c r="I31" s="9">
        <v>7636</v>
      </c>
      <c r="J31" s="9">
        <v>0</v>
      </c>
      <c r="K31" s="9">
        <v>0</v>
      </c>
      <c r="L31" s="9">
        <v>0</v>
      </c>
    </row>
    <row r="32" spans="2:12">
      <c r="B32" s="19">
        <v>1239651</v>
      </c>
      <c r="C32" s="9">
        <v>600</v>
      </c>
      <c r="D32" s="9">
        <v>0</v>
      </c>
      <c r="E32" s="9">
        <v>500</v>
      </c>
      <c r="F32" s="9">
        <v>200</v>
      </c>
      <c r="G32" s="9">
        <v>300</v>
      </c>
      <c r="H32" s="9">
        <v>400</v>
      </c>
      <c r="I32" s="9">
        <v>200</v>
      </c>
      <c r="J32" s="9">
        <v>500</v>
      </c>
      <c r="K32" s="9">
        <v>300</v>
      </c>
      <c r="L32" s="9">
        <v>300</v>
      </c>
    </row>
    <row r="33" spans="1:15">
      <c r="B33" s="19">
        <v>1239988</v>
      </c>
      <c r="C33" s="9">
        <v>1078</v>
      </c>
      <c r="D33" s="9">
        <v>550</v>
      </c>
      <c r="E33" s="9">
        <v>900</v>
      </c>
      <c r="F33" s="9">
        <v>800</v>
      </c>
      <c r="G33" s="9">
        <v>800</v>
      </c>
      <c r="H33" s="9">
        <v>1300</v>
      </c>
      <c r="I33" s="9">
        <v>1000</v>
      </c>
      <c r="J33" s="9">
        <v>1300</v>
      </c>
      <c r="K33" s="9">
        <v>1200</v>
      </c>
      <c r="L33" s="9">
        <v>1450</v>
      </c>
    </row>
    <row r="34" spans="1:15">
      <c r="B34" s="19">
        <v>1240180</v>
      </c>
      <c r="C34" s="9">
        <v>1796</v>
      </c>
      <c r="D34" s="9">
        <v>1088</v>
      </c>
      <c r="E34" s="9">
        <v>1500</v>
      </c>
      <c r="F34" s="9">
        <v>1200</v>
      </c>
      <c r="G34" s="9">
        <v>1484</v>
      </c>
      <c r="H34" s="9">
        <v>1850</v>
      </c>
      <c r="I34" s="9">
        <v>1396</v>
      </c>
      <c r="J34" s="9">
        <v>1300</v>
      </c>
      <c r="K34" s="9">
        <v>1850</v>
      </c>
      <c r="L34" s="9">
        <v>1750</v>
      </c>
    </row>
    <row r="35" spans="1:15">
      <c r="B35" s="19">
        <v>1240184</v>
      </c>
      <c r="C35" s="9">
        <v>1796</v>
      </c>
      <c r="D35" s="9">
        <v>788</v>
      </c>
      <c r="E35" s="9">
        <v>1500</v>
      </c>
      <c r="F35" s="9">
        <v>1200</v>
      </c>
      <c r="G35" s="9">
        <v>1334</v>
      </c>
      <c r="H35" s="9">
        <v>1450</v>
      </c>
      <c r="I35" s="9">
        <v>1396</v>
      </c>
      <c r="J35" s="9">
        <v>1300</v>
      </c>
      <c r="K35" s="9">
        <v>1850</v>
      </c>
      <c r="L35" s="9">
        <v>1650</v>
      </c>
    </row>
    <row r="36" spans="1:15">
      <c r="B36" s="19">
        <v>1240308</v>
      </c>
      <c r="C36" s="9">
        <v>850</v>
      </c>
      <c r="D36" s="9">
        <v>100</v>
      </c>
      <c r="E36" s="9">
        <v>750</v>
      </c>
      <c r="F36" s="9">
        <v>750</v>
      </c>
      <c r="G36" s="9">
        <v>900</v>
      </c>
      <c r="H36" s="9">
        <v>950</v>
      </c>
      <c r="I36" s="9">
        <v>850</v>
      </c>
      <c r="J36" s="9">
        <v>550</v>
      </c>
      <c r="K36" s="9">
        <v>900</v>
      </c>
      <c r="L36" s="9">
        <v>950</v>
      </c>
    </row>
    <row r="37" spans="1:15">
      <c r="B37" s="19">
        <v>1241134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1900</v>
      </c>
      <c r="K37" s="9">
        <v>1100</v>
      </c>
      <c r="L37" s="9">
        <v>600</v>
      </c>
    </row>
    <row r="38" spans="1:15">
      <c r="B38" s="19">
        <v>1241601</v>
      </c>
      <c r="C38" s="9">
        <v>5200</v>
      </c>
      <c r="D38" s="9">
        <v>4134</v>
      </c>
      <c r="E38" s="9">
        <v>4600</v>
      </c>
      <c r="F38" s="9">
        <v>3800</v>
      </c>
      <c r="G38" s="9">
        <v>4100</v>
      </c>
      <c r="H38" s="9">
        <v>3100</v>
      </c>
      <c r="I38" s="9">
        <v>4000</v>
      </c>
      <c r="J38" s="9">
        <v>4700</v>
      </c>
      <c r="K38" s="9">
        <v>4100</v>
      </c>
      <c r="L38" s="9">
        <v>3800</v>
      </c>
    </row>
    <row r="41" spans="1:15" s="8" customFormat="1">
      <c r="A41" s="8" t="s">
        <v>27</v>
      </c>
      <c r="B41" s="8" t="s">
        <v>0</v>
      </c>
      <c r="C41" s="102" t="s">
        <v>723</v>
      </c>
      <c r="D41" s="102" t="s">
        <v>725</v>
      </c>
      <c r="E41" s="102" t="s">
        <v>727</v>
      </c>
      <c r="F41" s="102" t="s">
        <v>731</v>
      </c>
      <c r="G41" s="102" t="s">
        <v>736</v>
      </c>
      <c r="H41" s="102" t="s">
        <v>745</v>
      </c>
      <c r="I41" s="102" t="s">
        <v>754</v>
      </c>
      <c r="J41" s="102" t="s">
        <v>764</v>
      </c>
      <c r="K41" s="102" t="s">
        <v>773</v>
      </c>
      <c r="L41" s="102" t="s">
        <v>796</v>
      </c>
      <c r="M41" s="102"/>
      <c r="N41" s="102"/>
      <c r="O41" s="102"/>
    </row>
    <row r="42" spans="1:15" s="8" customFormat="1">
      <c r="C42" s="102" t="s">
        <v>724</v>
      </c>
      <c r="D42" s="102" t="s">
        <v>726</v>
      </c>
      <c r="E42" s="102" t="s">
        <v>728</v>
      </c>
      <c r="F42" s="102" t="s">
        <v>732</v>
      </c>
      <c r="G42" s="102" t="s">
        <v>737</v>
      </c>
      <c r="H42" s="102" t="s">
        <v>746</v>
      </c>
      <c r="I42" s="102" t="s">
        <v>755</v>
      </c>
      <c r="J42" s="102" t="s">
        <v>765</v>
      </c>
      <c r="K42" s="102" t="s">
        <v>774</v>
      </c>
      <c r="L42" s="102" t="s">
        <v>797</v>
      </c>
      <c r="M42" s="102"/>
      <c r="N42" s="102"/>
      <c r="O42" s="102"/>
    </row>
    <row r="43" spans="1:15">
      <c r="B43" s="19">
        <v>1216452</v>
      </c>
      <c r="C43" s="9">
        <v>0</v>
      </c>
      <c r="D43" s="9">
        <v>0</v>
      </c>
      <c r="E43" s="9">
        <v>288</v>
      </c>
      <c r="F43" s="9">
        <v>288</v>
      </c>
      <c r="G43" s="9">
        <v>0</v>
      </c>
      <c r="H43" s="9">
        <v>0</v>
      </c>
      <c r="I43" s="9">
        <v>288</v>
      </c>
      <c r="J43" s="9">
        <v>0</v>
      </c>
      <c r="K43" s="9">
        <v>0</v>
      </c>
      <c r="L43" s="9">
        <v>0</v>
      </c>
    </row>
    <row r="44" spans="1:15">
      <c r="B44" s="19">
        <v>1220847</v>
      </c>
      <c r="C44" s="9">
        <v>3150</v>
      </c>
      <c r="D44" s="9">
        <v>130</v>
      </c>
      <c r="E44" s="9">
        <v>0</v>
      </c>
      <c r="F44" s="9">
        <v>0</v>
      </c>
      <c r="G44" s="9">
        <v>2164</v>
      </c>
      <c r="H44" s="9">
        <v>0</v>
      </c>
      <c r="I44" s="9">
        <v>0</v>
      </c>
      <c r="J44" s="9">
        <v>33</v>
      </c>
      <c r="K44" s="9">
        <v>1050</v>
      </c>
      <c r="L44" s="9">
        <v>0</v>
      </c>
    </row>
    <row r="45" spans="1:15">
      <c r="B45" s="19">
        <v>1221967</v>
      </c>
      <c r="C45" s="9">
        <v>782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329</v>
      </c>
      <c r="J45" s="9">
        <v>0</v>
      </c>
      <c r="K45" s="9">
        <v>0</v>
      </c>
      <c r="L45" s="9">
        <v>0</v>
      </c>
    </row>
    <row r="46" spans="1:15">
      <c r="B46" s="19">
        <v>1225464</v>
      </c>
      <c r="C46" s="9">
        <v>0</v>
      </c>
      <c r="D46" s="9">
        <v>0</v>
      </c>
      <c r="E46" s="9">
        <v>0</v>
      </c>
      <c r="F46" s="9">
        <v>0</v>
      </c>
      <c r="G46" s="9">
        <v>756</v>
      </c>
      <c r="H46" s="9">
        <v>0</v>
      </c>
      <c r="I46" s="9">
        <v>0</v>
      </c>
      <c r="J46" s="9">
        <v>0</v>
      </c>
      <c r="K46" s="9">
        <v>756</v>
      </c>
      <c r="L46" s="9">
        <v>0</v>
      </c>
    </row>
    <row r="47" spans="1:15">
      <c r="B47" s="19">
        <v>1227306</v>
      </c>
      <c r="C47" s="9">
        <v>0</v>
      </c>
      <c r="D47" s="9">
        <v>0</v>
      </c>
      <c r="E47" s="9">
        <v>0</v>
      </c>
      <c r="F47" s="9">
        <v>0</v>
      </c>
      <c r="G47" s="9">
        <v>300</v>
      </c>
      <c r="H47" s="9">
        <v>300</v>
      </c>
      <c r="I47" s="9">
        <v>0</v>
      </c>
      <c r="J47" s="9">
        <v>200</v>
      </c>
      <c r="K47" s="9">
        <v>550</v>
      </c>
      <c r="L47" s="9">
        <v>500</v>
      </c>
    </row>
    <row r="48" spans="1:15">
      <c r="B48" s="19">
        <v>1227359</v>
      </c>
      <c r="C48" s="9">
        <v>0</v>
      </c>
      <c r="D48" s="9">
        <v>304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</row>
    <row r="49" spans="2:12">
      <c r="B49" s="19">
        <v>1229050</v>
      </c>
      <c r="C49" s="9">
        <v>0</v>
      </c>
      <c r="D49" s="9">
        <v>0</v>
      </c>
      <c r="E49" s="9">
        <v>180</v>
      </c>
      <c r="F49" s="9">
        <v>0</v>
      </c>
      <c r="G49" s="9">
        <v>0</v>
      </c>
      <c r="H49" s="9">
        <v>0</v>
      </c>
      <c r="I49" s="9">
        <v>205</v>
      </c>
      <c r="J49" s="9">
        <v>0</v>
      </c>
      <c r="K49" s="9">
        <v>0</v>
      </c>
      <c r="L49" s="9">
        <v>0</v>
      </c>
    </row>
    <row r="50" spans="2:12">
      <c r="B50" s="19">
        <v>1229088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350</v>
      </c>
      <c r="L50" s="9">
        <v>300</v>
      </c>
    </row>
    <row r="51" spans="2:12">
      <c r="B51" s="19">
        <v>1229776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100</v>
      </c>
      <c r="J51" s="9">
        <v>0</v>
      </c>
      <c r="K51" s="9">
        <v>0</v>
      </c>
      <c r="L51" s="9">
        <v>100</v>
      </c>
    </row>
    <row r="52" spans="2:12">
      <c r="B52" s="19">
        <v>1230685</v>
      </c>
      <c r="C52" s="9">
        <v>300</v>
      </c>
      <c r="D52" s="9">
        <v>0</v>
      </c>
      <c r="E52" s="9">
        <v>150</v>
      </c>
      <c r="F52" s="9">
        <v>0</v>
      </c>
      <c r="G52" s="9">
        <v>200</v>
      </c>
      <c r="H52" s="9">
        <v>250</v>
      </c>
      <c r="I52" s="9">
        <v>0</v>
      </c>
      <c r="J52" s="9">
        <v>0</v>
      </c>
      <c r="K52" s="9">
        <v>200</v>
      </c>
      <c r="L52" s="9">
        <v>200</v>
      </c>
    </row>
    <row r="53" spans="2:12">
      <c r="B53" s="19">
        <v>1230692</v>
      </c>
      <c r="C53" s="9">
        <v>150</v>
      </c>
      <c r="D53" s="9">
        <v>0</v>
      </c>
      <c r="E53" s="9">
        <v>150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100</v>
      </c>
      <c r="L53" s="9">
        <v>0</v>
      </c>
    </row>
    <row r="54" spans="2:12">
      <c r="B54" s="19">
        <v>1230791</v>
      </c>
      <c r="C54" s="9">
        <v>23</v>
      </c>
      <c r="D54" s="9">
        <v>0</v>
      </c>
      <c r="E54" s="9">
        <v>0</v>
      </c>
      <c r="F54" s="9">
        <v>0</v>
      </c>
      <c r="G54" s="9">
        <v>0</v>
      </c>
      <c r="H54" s="9">
        <v>26</v>
      </c>
      <c r="I54" s="9">
        <v>0</v>
      </c>
      <c r="J54" s="9">
        <v>0</v>
      </c>
      <c r="K54" s="9">
        <v>0</v>
      </c>
      <c r="L54" s="9">
        <v>0</v>
      </c>
    </row>
    <row r="55" spans="2:12">
      <c r="B55" s="19">
        <v>1231011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90</v>
      </c>
      <c r="L55" s="9">
        <v>0</v>
      </c>
    </row>
    <row r="56" spans="2:12">
      <c r="B56" s="19">
        <v>1231090</v>
      </c>
      <c r="C56" s="9">
        <v>810</v>
      </c>
      <c r="D56" s="9">
        <v>0</v>
      </c>
      <c r="E56" s="9">
        <v>0</v>
      </c>
      <c r="F56" s="9">
        <v>1495</v>
      </c>
      <c r="G56" s="9">
        <v>270</v>
      </c>
      <c r="H56" s="9">
        <v>0</v>
      </c>
      <c r="I56" s="9">
        <v>1125</v>
      </c>
      <c r="J56" s="9">
        <v>0</v>
      </c>
      <c r="K56" s="9">
        <v>540</v>
      </c>
      <c r="L56" s="9">
        <v>100</v>
      </c>
    </row>
    <row r="57" spans="2:12">
      <c r="B57" s="19">
        <v>1231578</v>
      </c>
      <c r="C57" s="9">
        <v>400</v>
      </c>
      <c r="D57" s="9">
        <v>0</v>
      </c>
      <c r="E57" s="9">
        <v>0</v>
      </c>
      <c r="F57" s="9">
        <v>0</v>
      </c>
      <c r="G57" s="9">
        <v>300</v>
      </c>
      <c r="H57" s="9">
        <v>200</v>
      </c>
      <c r="I57" s="9">
        <v>300</v>
      </c>
      <c r="J57" s="9">
        <v>0</v>
      </c>
      <c r="K57" s="9">
        <v>200</v>
      </c>
      <c r="L57" s="9">
        <v>200</v>
      </c>
    </row>
    <row r="58" spans="2:12">
      <c r="B58" s="19">
        <v>1231797</v>
      </c>
      <c r="C58" s="9">
        <v>0</v>
      </c>
      <c r="D58" s="9">
        <v>100</v>
      </c>
      <c r="E58" s="9">
        <v>0</v>
      </c>
      <c r="F58" s="9">
        <v>0</v>
      </c>
      <c r="G58" s="9">
        <v>0</v>
      </c>
      <c r="H58" s="9">
        <v>139</v>
      </c>
      <c r="I58" s="9">
        <v>0</v>
      </c>
      <c r="J58" s="9">
        <v>0</v>
      </c>
      <c r="K58" s="9">
        <v>0</v>
      </c>
      <c r="L58" s="9">
        <v>0</v>
      </c>
    </row>
    <row r="59" spans="2:12">
      <c r="B59" s="19">
        <v>1232066</v>
      </c>
      <c r="C59" s="9">
        <v>0</v>
      </c>
      <c r="D59" s="9">
        <v>0</v>
      </c>
      <c r="E59" s="9">
        <v>180</v>
      </c>
      <c r="F59" s="9">
        <v>0</v>
      </c>
      <c r="G59" s="9">
        <v>0</v>
      </c>
      <c r="H59" s="9">
        <v>0</v>
      </c>
      <c r="I59" s="9">
        <v>288</v>
      </c>
      <c r="J59" s="9">
        <v>0</v>
      </c>
      <c r="K59" s="9">
        <v>0</v>
      </c>
      <c r="L59" s="9">
        <v>0</v>
      </c>
    </row>
    <row r="60" spans="2:12">
      <c r="B60" s="19">
        <v>1232528</v>
      </c>
      <c r="C60" s="9">
        <v>7485</v>
      </c>
      <c r="D60" s="9">
        <v>0</v>
      </c>
      <c r="E60" s="9">
        <v>801</v>
      </c>
      <c r="F60" s="9">
        <v>0</v>
      </c>
      <c r="G60" s="9">
        <v>5601</v>
      </c>
      <c r="H60" s="9">
        <v>0</v>
      </c>
      <c r="I60" s="9">
        <v>1386</v>
      </c>
      <c r="J60" s="9">
        <v>42</v>
      </c>
      <c r="K60" s="9">
        <v>5580</v>
      </c>
      <c r="L60" s="9">
        <v>0</v>
      </c>
    </row>
    <row r="61" spans="2:12">
      <c r="B61" s="19">
        <v>1232553</v>
      </c>
      <c r="C61" s="9">
        <v>0</v>
      </c>
      <c r="D61" s="9">
        <v>108</v>
      </c>
      <c r="E61" s="9">
        <v>0</v>
      </c>
      <c r="F61" s="9">
        <v>0</v>
      </c>
      <c r="G61" s="9">
        <v>0</v>
      </c>
      <c r="H61" s="9">
        <v>108</v>
      </c>
      <c r="I61" s="9">
        <v>0</v>
      </c>
      <c r="J61" s="9">
        <v>0</v>
      </c>
      <c r="K61" s="9">
        <v>0</v>
      </c>
      <c r="L61" s="9">
        <v>0</v>
      </c>
    </row>
    <row r="62" spans="2:12">
      <c r="B62" s="19">
        <v>1232775</v>
      </c>
      <c r="C62" s="9">
        <v>1249</v>
      </c>
      <c r="D62" s="9">
        <v>1006</v>
      </c>
      <c r="E62" s="9">
        <v>1703</v>
      </c>
      <c r="F62" s="9">
        <v>348</v>
      </c>
      <c r="G62" s="9">
        <v>1392</v>
      </c>
      <c r="H62" s="9">
        <v>1970</v>
      </c>
      <c r="I62" s="9">
        <v>1730</v>
      </c>
      <c r="J62" s="9">
        <v>2055</v>
      </c>
      <c r="K62" s="9">
        <v>1986</v>
      </c>
      <c r="L62" s="9">
        <v>1300</v>
      </c>
    </row>
    <row r="63" spans="2:12">
      <c r="B63" s="19">
        <v>1232846</v>
      </c>
      <c r="C63" s="9">
        <v>1566</v>
      </c>
      <c r="D63" s="9">
        <v>466</v>
      </c>
      <c r="E63" s="9">
        <v>680</v>
      </c>
      <c r="F63" s="9">
        <v>0</v>
      </c>
      <c r="G63" s="9">
        <v>350</v>
      </c>
      <c r="H63" s="9">
        <v>476</v>
      </c>
      <c r="I63" s="9">
        <v>168</v>
      </c>
      <c r="J63" s="9">
        <v>200</v>
      </c>
      <c r="K63" s="9">
        <v>650</v>
      </c>
      <c r="L63" s="9">
        <v>300</v>
      </c>
    </row>
    <row r="64" spans="2:12">
      <c r="B64" s="19">
        <v>1232894</v>
      </c>
      <c r="C64" s="9">
        <v>576</v>
      </c>
      <c r="D64" s="9">
        <v>0</v>
      </c>
      <c r="E64" s="9">
        <v>240</v>
      </c>
      <c r="F64" s="9">
        <v>0</v>
      </c>
      <c r="G64" s="9">
        <v>350</v>
      </c>
      <c r="H64" s="9">
        <v>0</v>
      </c>
      <c r="I64" s="9">
        <v>168</v>
      </c>
      <c r="J64" s="9">
        <v>0</v>
      </c>
      <c r="K64" s="9">
        <v>350</v>
      </c>
      <c r="L64" s="9">
        <v>0</v>
      </c>
    </row>
    <row r="65" spans="2:12">
      <c r="B65" s="19">
        <v>1232895</v>
      </c>
      <c r="C65" s="9">
        <v>990</v>
      </c>
      <c r="D65" s="9">
        <v>466</v>
      </c>
      <c r="E65" s="9">
        <v>440</v>
      </c>
      <c r="F65" s="9">
        <v>0</v>
      </c>
      <c r="G65" s="9">
        <v>0</v>
      </c>
      <c r="H65" s="9">
        <v>476</v>
      </c>
      <c r="I65" s="9">
        <v>0</v>
      </c>
      <c r="J65" s="9">
        <v>200</v>
      </c>
      <c r="K65" s="9">
        <v>300</v>
      </c>
      <c r="L65" s="9">
        <v>300</v>
      </c>
    </row>
    <row r="66" spans="2:12">
      <c r="B66" s="19">
        <v>1232922</v>
      </c>
      <c r="C66" s="9">
        <v>0</v>
      </c>
      <c r="D66" s="9">
        <v>166</v>
      </c>
      <c r="E66" s="9">
        <v>40</v>
      </c>
      <c r="F66" s="9">
        <v>0</v>
      </c>
      <c r="G66" s="9">
        <v>0</v>
      </c>
      <c r="H66" s="9">
        <v>276</v>
      </c>
      <c r="I66" s="9">
        <v>0</v>
      </c>
      <c r="J66" s="9">
        <v>0</v>
      </c>
      <c r="K66" s="9">
        <v>0</v>
      </c>
      <c r="L66" s="9">
        <v>0</v>
      </c>
    </row>
    <row r="67" spans="2:12">
      <c r="B67" s="19">
        <v>1232982</v>
      </c>
      <c r="C67" s="9">
        <v>0</v>
      </c>
      <c r="D67" s="9">
        <v>0</v>
      </c>
      <c r="E67" s="9">
        <v>0</v>
      </c>
      <c r="F67" s="9">
        <v>300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2:12">
      <c r="B68" s="19">
        <v>1233165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650</v>
      </c>
      <c r="I68" s="9">
        <v>0</v>
      </c>
      <c r="J68" s="9">
        <v>0</v>
      </c>
      <c r="K68" s="9">
        <v>0</v>
      </c>
      <c r="L68" s="9">
        <v>0</v>
      </c>
    </row>
    <row r="69" spans="2:12">
      <c r="B69" s="19">
        <v>1233383</v>
      </c>
      <c r="C69" s="9">
        <v>0</v>
      </c>
      <c r="D69" s="9">
        <v>182</v>
      </c>
      <c r="E69" s="9">
        <v>0</v>
      </c>
      <c r="F69" s="9">
        <v>0</v>
      </c>
      <c r="G69" s="9">
        <v>0</v>
      </c>
      <c r="H69" s="9">
        <v>154</v>
      </c>
      <c r="I69" s="9">
        <v>0</v>
      </c>
      <c r="J69" s="9">
        <v>0</v>
      </c>
      <c r="K69" s="9">
        <v>0</v>
      </c>
      <c r="L69" s="9">
        <v>0</v>
      </c>
    </row>
    <row r="70" spans="2:12">
      <c r="B70" s="19">
        <v>1233384</v>
      </c>
      <c r="C70" s="9">
        <v>990</v>
      </c>
      <c r="D70" s="9">
        <v>300</v>
      </c>
      <c r="E70" s="9">
        <v>400</v>
      </c>
      <c r="F70" s="9">
        <v>0</v>
      </c>
      <c r="G70" s="9">
        <v>0</v>
      </c>
      <c r="H70" s="9">
        <v>200</v>
      </c>
      <c r="I70" s="9">
        <v>0</v>
      </c>
      <c r="J70" s="9">
        <v>200</v>
      </c>
      <c r="K70" s="9">
        <v>300</v>
      </c>
      <c r="L70" s="9">
        <v>300</v>
      </c>
    </row>
    <row r="71" spans="2:12">
      <c r="B71" s="19">
        <v>1233385</v>
      </c>
      <c r="C71" s="9">
        <v>0</v>
      </c>
      <c r="D71" s="9">
        <v>0</v>
      </c>
      <c r="E71" s="9">
        <v>240</v>
      </c>
      <c r="F71" s="9">
        <v>0</v>
      </c>
      <c r="G71" s="9">
        <v>0</v>
      </c>
      <c r="H71" s="9">
        <v>0</v>
      </c>
      <c r="I71" s="9">
        <v>168</v>
      </c>
      <c r="J71" s="9">
        <v>0</v>
      </c>
      <c r="K71" s="9">
        <v>0</v>
      </c>
      <c r="L71" s="9">
        <v>0</v>
      </c>
    </row>
    <row r="72" spans="2:12">
      <c r="B72" s="19">
        <v>1233386</v>
      </c>
      <c r="C72" s="9">
        <v>0</v>
      </c>
      <c r="D72" s="9">
        <v>0</v>
      </c>
      <c r="E72" s="9">
        <v>0</v>
      </c>
      <c r="F72" s="9">
        <v>0</v>
      </c>
      <c r="G72" s="9">
        <v>350</v>
      </c>
      <c r="H72" s="9">
        <v>0</v>
      </c>
      <c r="I72" s="9">
        <v>0</v>
      </c>
      <c r="J72" s="9">
        <v>0</v>
      </c>
      <c r="K72" s="9">
        <v>350</v>
      </c>
      <c r="L72" s="9">
        <v>0</v>
      </c>
    </row>
    <row r="73" spans="2:12">
      <c r="B73" s="19">
        <v>1233387</v>
      </c>
      <c r="C73" s="9">
        <v>576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</row>
    <row r="74" spans="2:12">
      <c r="B74" s="19">
        <v>1233580</v>
      </c>
      <c r="C74" s="9">
        <v>0</v>
      </c>
      <c r="D74" s="9">
        <v>0</v>
      </c>
      <c r="E74" s="9">
        <v>0</v>
      </c>
      <c r="F74" s="9">
        <v>0</v>
      </c>
      <c r="G74" s="9">
        <v>200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</row>
    <row r="75" spans="2:12">
      <c r="B75" s="19">
        <v>1234110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50</v>
      </c>
      <c r="I75" s="9">
        <v>0</v>
      </c>
      <c r="J75" s="9">
        <v>0</v>
      </c>
      <c r="K75" s="9">
        <v>0</v>
      </c>
      <c r="L75" s="9">
        <v>0</v>
      </c>
    </row>
    <row r="76" spans="2:12">
      <c r="B76" s="19">
        <v>1234111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50</v>
      </c>
      <c r="I76" s="9">
        <v>0</v>
      </c>
      <c r="J76" s="9">
        <v>0</v>
      </c>
      <c r="K76" s="9">
        <v>0</v>
      </c>
      <c r="L76" s="9">
        <v>0</v>
      </c>
    </row>
    <row r="77" spans="2:12">
      <c r="B77" s="19">
        <v>1234217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50</v>
      </c>
      <c r="I77" s="9">
        <v>0</v>
      </c>
      <c r="J77" s="9">
        <v>0</v>
      </c>
      <c r="K77" s="9">
        <v>0</v>
      </c>
      <c r="L77" s="9">
        <v>0</v>
      </c>
    </row>
    <row r="78" spans="2:12">
      <c r="B78" s="19">
        <v>1234222</v>
      </c>
      <c r="C78" s="9">
        <v>164</v>
      </c>
      <c r="D78" s="9">
        <v>0</v>
      </c>
      <c r="E78" s="9">
        <v>704</v>
      </c>
      <c r="F78" s="9">
        <v>0</v>
      </c>
      <c r="G78" s="9">
        <v>0</v>
      </c>
      <c r="H78" s="9">
        <v>0</v>
      </c>
      <c r="I78" s="9">
        <v>777</v>
      </c>
      <c r="J78" s="9">
        <v>0</v>
      </c>
      <c r="K78" s="9">
        <v>0</v>
      </c>
      <c r="L78" s="9">
        <v>0</v>
      </c>
    </row>
    <row r="79" spans="2:12">
      <c r="B79" s="19">
        <v>1234905</v>
      </c>
      <c r="C79" s="9">
        <v>623</v>
      </c>
      <c r="D79" s="9">
        <v>500</v>
      </c>
      <c r="E79" s="9">
        <v>550</v>
      </c>
      <c r="F79" s="9">
        <v>650</v>
      </c>
      <c r="G79" s="9">
        <v>650</v>
      </c>
      <c r="H79" s="9">
        <v>1041</v>
      </c>
      <c r="I79" s="9">
        <v>650</v>
      </c>
      <c r="J79" s="9">
        <v>1100</v>
      </c>
      <c r="K79" s="9">
        <v>1250</v>
      </c>
      <c r="L79" s="9">
        <v>1100</v>
      </c>
    </row>
    <row r="80" spans="2:12">
      <c r="B80" s="19">
        <v>1235097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140</v>
      </c>
      <c r="I80" s="9">
        <v>0</v>
      </c>
      <c r="J80" s="9">
        <v>190</v>
      </c>
      <c r="K80" s="9">
        <v>200</v>
      </c>
      <c r="L80" s="9">
        <v>250</v>
      </c>
    </row>
    <row r="81" spans="2:12">
      <c r="B81" s="19">
        <v>1235845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337</v>
      </c>
      <c r="J81" s="9">
        <v>0</v>
      </c>
      <c r="K81" s="9">
        <v>0</v>
      </c>
      <c r="L81" s="9">
        <v>0</v>
      </c>
    </row>
    <row r="82" spans="2:12">
      <c r="B82" s="19">
        <v>1236387</v>
      </c>
      <c r="C82" s="9">
        <v>0</v>
      </c>
      <c r="D82" s="9">
        <v>0</v>
      </c>
      <c r="E82" s="9">
        <v>0</v>
      </c>
      <c r="F82" s="9">
        <v>692</v>
      </c>
      <c r="G82" s="9">
        <v>700</v>
      </c>
      <c r="H82" s="9">
        <v>500</v>
      </c>
      <c r="I82" s="9">
        <v>300</v>
      </c>
      <c r="J82" s="9">
        <v>600</v>
      </c>
      <c r="K82" s="9">
        <v>450</v>
      </c>
      <c r="L82" s="9">
        <v>600</v>
      </c>
    </row>
    <row r="83" spans="2:12">
      <c r="B83" s="19">
        <v>1236600</v>
      </c>
      <c r="C83" s="9">
        <v>0</v>
      </c>
      <c r="D83" s="9">
        <v>765</v>
      </c>
      <c r="E83" s="9">
        <v>65</v>
      </c>
      <c r="F83" s="9">
        <v>0</v>
      </c>
      <c r="G83" s="9">
        <v>0</v>
      </c>
      <c r="H83" s="9">
        <v>878</v>
      </c>
      <c r="I83" s="9">
        <v>0</v>
      </c>
      <c r="J83" s="9">
        <v>0</v>
      </c>
      <c r="K83" s="9">
        <v>0</v>
      </c>
      <c r="L83" s="9">
        <v>0</v>
      </c>
    </row>
    <row r="84" spans="2:12">
      <c r="B84" s="19">
        <v>1236601</v>
      </c>
      <c r="C84" s="9">
        <v>0</v>
      </c>
      <c r="D84" s="9">
        <v>123</v>
      </c>
      <c r="E84" s="9">
        <v>0</v>
      </c>
      <c r="F84" s="9">
        <v>0</v>
      </c>
      <c r="G84" s="9">
        <v>0</v>
      </c>
      <c r="H84" s="9">
        <v>112</v>
      </c>
      <c r="I84" s="9">
        <v>0</v>
      </c>
      <c r="J84" s="9">
        <v>0</v>
      </c>
      <c r="K84" s="9">
        <v>0</v>
      </c>
      <c r="L84" s="9">
        <v>0</v>
      </c>
    </row>
    <row r="85" spans="2:12">
      <c r="B85" s="19">
        <v>1236619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180</v>
      </c>
      <c r="I85" s="9">
        <v>0</v>
      </c>
      <c r="J85" s="9">
        <v>0</v>
      </c>
      <c r="K85" s="9">
        <v>0</v>
      </c>
      <c r="L85" s="9">
        <v>0</v>
      </c>
    </row>
    <row r="86" spans="2:12">
      <c r="B86" s="19">
        <v>1236930</v>
      </c>
      <c r="C86" s="9">
        <v>901</v>
      </c>
      <c r="D86" s="9">
        <v>0</v>
      </c>
      <c r="E86" s="9">
        <v>1074</v>
      </c>
      <c r="F86" s="9">
        <v>1012</v>
      </c>
      <c r="G86" s="9">
        <v>2073</v>
      </c>
      <c r="H86" s="9">
        <v>1100</v>
      </c>
      <c r="I86" s="9">
        <v>1860</v>
      </c>
      <c r="J86" s="9">
        <v>1104</v>
      </c>
      <c r="K86" s="9">
        <v>2200</v>
      </c>
      <c r="L86" s="9">
        <v>1350</v>
      </c>
    </row>
    <row r="87" spans="2:12">
      <c r="B87" s="19">
        <v>1237210</v>
      </c>
      <c r="C87" s="9">
        <v>0</v>
      </c>
      <c r="D87" s="9">
        <v>0</v>
      </c>
      <c r="E87" s="9">
        <v>200</v>
      </c>
      <c r="F87" s="9">
        <v>0</v>
      </c>
      <c r="G87" s="9">
        <v>0</v>
      </c>
      <c r="H87" s="9">
        <v>160</v>
      </c>
      <c r="I87" s="9">
        <v>0</v>
      </c>
      <c r="J87" s="9">
        <v>0</v>
      </c>
      <c r="K87" s="9">
        <v>0</v>
      </c>
      <c r="L87" s="9">
        <v>0</v>
      </c>
    </row>
    <row r="88" spans="2:12">
      <c r="B88" s="19">
        <v>1237386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255</v>
      </c>
      <c r="I88" s="9">
        <v>0</v>
      </c>
      <c r="J88" s="9">
        <v>0</v>
      </c>
      <c r="K88" s="9">
        <v>0</v>
      </c>
      <c r="L88" s="9">
        <v>0</v>
      </c>
    </row>
    <row r="89" spans="2:12">
      <c r="B89" s="19">
        <v>1237457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108</v>
      </c>
      <c r="I89" s="9">
        <v>0</v>
      </c>
      <c r="J89" s="9">
        <v>0</v>
      </c>
      <c r="K89" s="9">
        <v>0</v>
      </c>
      <c r="L89" s="9">
        <v>0</v>
      </c>
    </row>
    <row r="90" spans="2:12">
      <c r="B90" s="19">
        <v>1237468</v>
      </c>
      <c r="C90" s="9">
        <v>192</v>
      </c>
      <c r="D90" s="9">
        <v>64</v>
      </c>
      <c r="E90" s="9">
        <v>0</v>
      </c>
      <c r="F90" s="9">
        <v>0</v>
      </c>
      <c r="G90" s="9">
        <v>0</v>
      </c>
      <c r="H90" s="9">
        <v>278</v>
      </c>
      <c r="I90" s="9">
        <v>0</v>
      </c>
      <c r="J90" s="9">
        <v>0</v>
      </c>
      <c r="K90" s="9">
        <v>0</v>
      </c>
      <c r="L90" s="9">
        <v>0</v>
      </c>
    </row>
    <row r="91" spans="2:12">
      <c r="B91" s="19">
        <v>1238092</v>
      </c>
      <c r="C91" s="9">
        <v>0</v>
      </c>
      <c r="D91" s="9">
        <v>0</v>
      </c>
      <c r="E91" s="9">
        <v>144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</row>
    <row r="92" spans="2:12">
      <c r="B92" s="19">
        <v>1238453</v>
      </c>
      <c r="C92" s="9">
        <v>40</v>
      </c>
      <c r="D92" s="9">
        <v>262</v>
      </c>
      <c r="E92" s="9">
        <v>0</v>
      </c>
      <c r="F92" s="9">
        <v>0</v>
      </c>
      <c r="G92" s="9">
        <v>0</v>
      </c>
      <c r="H92" s="9">
        <v>248</v>
      </c>
      <c r="I92" s="9">
        <v>0</v>
      </c>
      <c r="J92" s="9">
        <v>0</v>
      </c>
      <c r="K92" s="9">
        <v>0</v>
      </c>
      <c r="L92" s="9">
        <v>0</v>
      </c>
    </row>
    <row r="93" spans="2:12">
      <c r="B93" s="19">
        <v>1238480</v>
      </c>
      <c r="C93" s="9">
        <v>6337</v>
      </c>
      <c r="D93" s="9">
        <v>3720</v>
      </c>
      <c r="E93" s="9">
        <v>4845</v>
      </c>
      <c r="F93" s="9">
        <v>4915</v>
      </c>
      <c r="G93" s="9">
        <v>6707</v>
      </c>
      <c r="H93" s="9">
        <v>830</v>
      </c>
      <c r="I93" s="9">
        <v>1320</v>
      </c>
      <c r="J93" s="9">
        <v>14130</v>
      </c>
      <c r="K93" s="9">
        <v>2030</v>
      </c>
      <c r="L93" s="9">
        <v>600</v>
      </c>
    </row>
    <row r="94" spans="2:12">
      <c r="B94" s="19">
        <v>1238605</v>
      </c>
      <c r="C94" s="9">
        <v>339</v>
      </c>
      <c r="D94" s="9">
        <v>350</v>
      </c>
      <c r="E94" s="9">
        <v>500</v>
      </c>
      <c r="F94" s="9">
        <v>0</v>
      </c>
      <c r="G94" s="9">
        <v>350</v>
      </c>
      <c r="H94" s="9">
        <v>955</v>
      </c>
      <c r="I94" s="9">
        <v>0</v>
      </c>
      <c r="J94" s="9">
        <v>0</v>
      </c>
      <c r="K94" s="9">
        <v>0</v>
      </c>
      <c r="L94" s="9">
        <v>500</v>
      </c>
    </row>
    <row r="95" spans="2:12">
      <c r="B95" s="19">
        <v>1240029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200</v>
      </c>
      <c r="I95" s="9">
        <v>0</v>
      </c>
      <c r="J95" s="9">
        <v>0</v>
      </c>
      <c r="K95" s="9">
        <v>0</v>
      </c>
      <c r="L95" s="9">
        <v>200</v>
      </c>
    </row>
    <row r="96" spans="2:12">
      <c r="B96" s="19">
        <v>1240032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200</v>
      </c>
      <c r="I96" s="9">
        <v>0</v>
      </c>
      <c r="J96" s="9">
        <v>0</v>
      </c>
      <c r="K96" s="9">
        <v>0</v>
      </c>
      <c r="L96" s="9">
        <v>200</v>
      </c>
    </row>
    <row r="97" spans="2:12">
      <c r="B97" s="19">
        <v>1240180</v>
      </c>
      <c r="C97" s="9">
        <v>200</v>
      </c>
      <c r="D97" s="9">
        <v>150</v>
      </c>
      <c r="E97" s="9">
        <v>120</v>
      </c>
      <c r="F97" s="9">
        <v>0</v>
      </c>
      <c r="G97" s="9">
        <v>200</v>
      </c>
      <c r="H97" s="9">
        <v>400</v>
      </c>
      <c r="I97" s="9">
        <v>200</v>
      </c>
      <c r="J97" s="9">
        <v>0</v>
      </c>
      <c r="K97" s="9">
        <v>0</v>
      </c>
      <c r="L97" s="9">
        <v>300</v>
      </c>
    </row>
    <row r="98" spans="2:12">
      <c r="B98" s="19">
        <v>1240184</v>
      </c>
      <c r="C98" s="9">
        <v>200</v>
      </c>
      <c r="D98" s="9">
        <v>150</v>
      </c>
      <c r="E98" s="9">
        <v>120</v>
      </c>
      <c r="F98" s="9">
        <v>0</v>
      </c>
      <c r="G98" s="9">
        <v>200</v>
      </c>
      <c r="H98" s="9">
        <v>400</v>
      </c>
      <c r="I98" s="9">
        <v>200</v>
      </c>
      <c r="J98" s="9">
        <v>0</v>
      </c>
      <c r="K98" s="9">
        <v>0</v>
      </c>
      <c r="L98" s="9">
        <v>300</v>
      </c>
    </row>
    <row r="99" spans="2:12">
      <c r="B99" s="19">
        <v>1241343</v>
      </c>
      <c r="C99" s="9">
        <v>0</v>
      </c>
      <c r="D99" s="9">
        <v>0</v>
      </c>
      <c r="E99" s="9">
        <v>20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</row>
    <row r="100" spans="2:12">
      <c r="B100" s="19">
        <v>1241347</v>
      </c>
      <c r="C100" s="9">
        <v>0</v>
      </c>
      <c r="D100" s="9">
        <v>0</v>
      </c>
      <c r="E100" s="9">
        <v>20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</row>
    <row r="101" spans="2:12">
      <c r="B101" s="19">
        <v>1241387</v>
      </c>
      <c r="C101" s="9">
        <v>0</v>
      </c>
      <c r="D101" s="9">
        <v>0</v>
      </c>
      <c r="E101" s="9">
        <v>151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</row>
    <row r="102" spans="2:12">
      <c r="B102" s="19">
        <v>1241474</v>
      </c>
      <c r="C102" s="9">
        <v>0</v>
      </c>
      <c r="D102" s="9">
        <v>0</v>
      </c>
      <c r="E102" s="9">
        <v>37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</row>
    <row r="103" spans="2:12">
      <c r="B103" s="19">
        <v>1241480</v>
      </c>
      <c r="C103" s="9">
        <v>0</v>
      </c>
      <c r="D103" s="9">
        <v>0</v>
      </c>
      <c r="E103" s="9">
        <v>26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</row>
  </sheetData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6791-44D6-46D5-984D-6060C0E076E9}">
  <sheetPr filterMode="1"/>
  <dimension ref="A1:S66"/>
  <sheetViews>
    <sheetView topLeftCell="A27" zoomScale="130" zoomScaleNormal="130" workbookViewId="0">
      <selection activeCell="M32" sqref="M32"/>
    </sheetView>
  </sheetViews>
  <sheetFormatPr defaultColWidth="9.1640625" defaultRowHeight="12"/>
  <cols>
    <col min="1" max="1" width="9.1640625" style="5"/>
    <col min="2" max="2" width="9.1640625" style="9"/>
    <col min="3" max="18" width="9.1640625" style="9" customWidth="1"/>
    <col min="19" max="19" width="9.1640625" style="9"/>
    <col min="20" max="16384" width="9.1640625" style="5"/>
  </cols>
  <sheetData>
    <row r="1" spans="1:19">
      <c r="A1" s="135" t="s">
        <v>0</v>
      </c>
      <c r="B1" s="69" t="s">
        <v>760</v>
      </c>
      <c r="C1" s="69" t="s">
        <v>761</v>
      </c>
      <c r="D1" s="69" t="s">
        <v>762</v>
      </c>
      <c r="E1" s="70" t="s">
        <v>763</v>
      </c>
      <c r="F1" s="69" t="s">
        <v>766</v>
      </c>
      <c r="G1" s="69" t="s">
        <v>798</v>
      </c>
      <c r="H1" s="69" t="s">
        <v>768</v>
      </c>
      <c r="I1" s="69" t="s">
        <v>769</v>
      </c>
      <c r="J1" s="69" t="s">
        <v>770</v>
      </c>
      <c r="K1" s="69" t="s">
        <v>771</v>
      </c>
      <c r="L1" s="70" t="s">
        <v>772</v>
      </c>
      <c r="M1" s="69" t="s">
        <v>789</v>
      </c>
      <c r="N1" s="69" t="s">
        <v>790</v>
      </c>
      <c r="O1" s="69" t="s">
        <v>791</v>
      </c>
      <c r="P1" s="69" t="s">
        <v>792</v>
      </c>
      <c r="Q1" s="69" t="s">
        <v>793</v>
      </c>
      <c r="R1" s="69" t="s">
        <v>794</v>
      </c>
      <c r="S1" s="70" t="s">
        <v>795</v>
      </c>
    </row>
    <row r="2" spans="1:19" hidden="1">
      <c r="A2" s="136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401</v>
      </c>
      <c r="O2" s="32">
        <v>400</v>
      </c>
      <c r="P2" s="32">
        <v>260</v>
      </c>
      <c r="Q2" s="32">
        <v>0</v>
      </c>
      <c r="R2" s="32">
        <v>0</v>
      </c>
      <c r="S2" s="32">
        <v>0</v>
      </c>
    </row>
    <row r="3" spans="1:19" hidden="1">
      <c r="A3" s="136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401</v>
      </c>
      <c r="O3" s="32">
        <v>400</v>
      </c>
      <c r="P3" s="32">
        <v>260</v>
      </c>
      <c r="Q3" s="32">
        <v>0</v>
      </c>
      <c r="R3" s="32">
        <v>0</v>
      </c>
      <c r="S3" s="32">
        <v>0</v>
      </c>
    </row>
    <row r="4" spans="1:19">
      <c r="A4" s="136">
        <v>1229673</v>
      </c>
      <c r="B4" s="32">
        <v>400</v>
      </c>
      <c r="C4" s="32">
        <v>400</v>
      </c>
      <c r="D4" s="32">
        <v>0</v>
      </c>
      <c r="E4" s="32">
        <v>0</v>
      </c>
      <c r="F4" s="32">
        <v>0</v>
      </c>
      <c r="G4" s="79">
        <v>200</v>
      </c>
      <c r="H4" s="32">
        <v>0</v>
      </c>
      <c r="I4" s="32">
        <v>300</v>
      </c>
      <c r="J4" s="32">
        <v>300</v>
      </c>
      <c r="K4" s="32">
        <v>0</v>
      </c>
      <c r="L4" s="32">
        <v>0</v>
      </c>
      <c r="M4" s="32">
        <v>250</v>
      </c>
      <c r="N4" s="32">
        <v>250</v>
      </c>
      <c r="O4" s="32">
        <v>250</v>
      </c>
      <c r="P4" s="32">
        <v>250</v>
      </c>
      <c r="Q4" s="32">
        <v>250</v>
      </c>
      <c r="R4" s="32">
        <v>0</v>
      </c>
      <c r="S4" s="32">
        <v>0</v>
      </c>
    </row>
    <row r="5" spans="1:19" hidden="1">
      <c r="A5" s="136">
        <v>1233632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64</v>
      </c>
      <c r="I5" s="32">
        <v>116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</row>
    <row r="6" spans="1:19" hidden="1">
      <c r="A6" s="136">
        <v>1235623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542</v>
      </c>
      <c r="N6" s="32">
        <v>394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</row>
    <row r="7" spans="1:19">
      <c r="A7" s="136">
        <v>1237088</v>
      </c>
      <c r="B7" s="32">
        <v>330</v>
      </c>
      <c r="C7" s="32">
        <v>1039</v>
      </c>
      <c r="D7" s="32">
        <v>0</v>
      </c>
      <c r="E7" s="32">
        <v>0</v>
      </c>
      <c r="F7" s="32">
        <v>332</v>
      </c>
      <c r="G7" s="109">
        <v>330</v>
      </c>
      <c r="H7" s="32">
        <v>788</v>
      </c>
      <c r="I7" s="32">
        <v>1168</v>
      </c>
      <c r="J7" s="32">
        <v>1638</v>
      </c>
      <c r="K7" s="32">
        <v>0</v>
      </c>
      <c r="L7" s="32">
        <v>0</v>
      </c>
      <c r="M7" s="32">
        <v>882</v>
      </c>
      <c r="N7" s="32">
        <v>1074</v>
      </c>
      <c r="O7" s="32">
        <v>380</v>
      </c>
      <c r="P7" s="32">
        <v>462</v>
      </c>
      <c r="Q7" s="32">
        <v>426</v>
      </c>
      <c r="R7" s="32">
        <v>0</v>
      </c>
      <c r="S7" s="32">
        <v>0</v>
      </c>
    </row>
    <row r="8" spans="1:19" hidden="1">
      <c r="A8" s="136">
        <v>1237765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150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</row>
    <row r="9" spans="1:19" hidden="1">
      <c r="A9" s="136">
        <v>1237748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458</v>
      </c>
      <c r="O9" s="32">
        <v>422</v>
      </c>
      <c r="P9" s="32">
        <v>0</v>
      </c>
      <c r="Q9" s="32">
        <v>0</v>
      </c>
      <c r="R9" s="32">
        <v>0</v>
      </c>
      <c r="S9" s="32">
        <v>0</v>
      </c>
    </row>
    <row r="10" spans="1:19" hidden="1">
      <c r="A10" s="136">
        <v>1236091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200</v>
      </c>
      <c r="R10" s="32">
        <v>0</v>
      </c>
      <c r="S10" s="32">
        <v>0</v>
      </c>
    </row>
    <row r="11" spans="1:19" hidden="1">
      <c r="A11" s="136">
        <v>1238128</v>
      </c>
      <c r="B11" s="32">
        <v>144</v>
      </c>
      <c r="C11" s="32">
        <v>480</v>
      </c>
      <c r="D11" s="32">
        <v>0</v>
      </c>
      <c r="E11" s="32">
        <v>0</v>
      </c>
      <c r="F11" s="32">
        <v>60</v>
      </c>
      <c r="G11" s="32">
        <v>0</v>
      </c>
      <c r="H11" s="32">
        <v>0</v>
      </c>
      <c r="I11" s="32">
        <v>76</v>
      </c>
      <c r="J11" s="32">
        <v>480</v>
      </c>
      <c r="K11" s="32">
        <v>0</v>
      </c>
      <c r="L11" s="32">
        <v>0</v>
      </c>
      <c r="M11" s="32">
        <v>396</v>
      </c>
      <c r="N11" s="32">
        <v>590</v>
      </c>
      <c r="O11" s="32">
        <v>424</v>
      </c>
      <c r="P11" s="32">
        <v>590</v>
      </c>
      <c r="Q11" s="32">
        <v>464</v>
      </c>
      <c r="R11" s="32">
        <v>0</v>
      </c>
      <c r="S11" s="32">
        <v>0</v>
      </c>
    </row>
    <row r="12" spans="1:19">
      <c r="A12" s="136">
        <v>1236962</v>
      </c>
      <c r="B12" s="32">
        <v>200</v>
      </c>
      <c r="C12" s="32">
        <v>300</v>
      </c>
      <c r="D12" s="32">
        <v>0</v>
      </c>
      <c r="E12" s="32">
        <v>0</v>
      </c>
      <c r="F12" s="32">
        <v>0</v>
      </c>
      <c r="G12" s="79">
        <v>500</v>
      </c>
      <c r="H12" s="32">
        <v>300</v>
      </c>
      <c r="I12" s="32">
        <v>300</v>
      </c>
      <c r="J12" s="32">
        <v>290</v>
      </c>
      <c r="K12" s="32">
        <v>0</v>
      </c>
      <c r="L12" s="32">
        <v>0</v>
      </c>
      <c r="M12" s="32">
        <v>300</v>
      </c>
      <c r="N12" s="32">
        <v>300</v>
      </c>
      <c r="O12" s="32">
        <v>300</v>
      </c>
      <c r="P12" s="32">
        <v>300</v>
      </c>
      <c r="Q12" s="32">
        <v>0</v>
      </c>
      <c r="R12" s="32">
        <v>0</v>
      </c>
      <c r="S12" s="32">
        <v>0</v>
      </c>
    </row>
    <row r="13" spans="1:19" hidden="1">
      <c r="A13" s="136">
        <v>1233761</v>
      </c>
      <c r="B13" s="32">
        <v>150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200</v>
      </c>
      <c r="N13" s="32">
        <v>0</v>
      </c>
      <c r="O13" s="32">
        <v>0</v>
      </c>
      <c r="P13" s="32">
        <v>200</v>
      </c>
      <c r="Q13" s="32">
        <v>200</v>
      </c>
      <c r="R13" s="32">
        <v>0</v>
      </c>
      <c r="S13" s="32">
        <v>0</v>
      </c>
    </row>
    <row r="14" spans="1:19" hidden="1">
      <c r="A14" s="136">
        <v>1239651</v>
      </c>
      <c r="B14" s="32">
        <v>300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400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</row>
    <row r="15" spans="1:19">
      <c r="A15" s="136">
        <v>1239988</v>
      </c>
      <c r="B15" s="32">
        <v>478</v>
      </c>
      <c r="C15" s="32">
        <v>454</v>
      </c>
      <c r="D15" s="32">
        <v>0</v>
      </c>
      <c r="E15" s="32">
        <v>0</v>
      </c>
      <c r="F15" s="32">
        <v>174</v>
      </c>
      <c r="G15" s="17">
        <v>120</v>
      </c>
      <c r="H15" s="32">
        <v>336</v>
      </c>
      <c r="I15" s="32">
        <v>454</v>
      </c>
      <c r="J15" s="32">
        <v>454</v>
      </c>
      <c r="K15" s="32">
        <v>0</v>
      </c>
      <c r="L15" s="32">
        <v>0</v>
      </c>
      <c r="M15" s="32">
        <v>454</v>
      </c>
      <c r="N15" s="32">
        <v>454</v>
      </c>
      <c r="O15" s="32">
        <v>148</v>
      </c>
      <c r="P15" s="32">
        <v>0</v>
      </c>
      <c r="Q15" s="32">
        <v>0</v>
      </c>
      <c r="R15" s="32">
        <v>0</v>
      </c>
      <c r="S15" s="32">
        <v>0</v>
      </c>
    </row>
    <row r="16" spans="1:19">
      <c r="A16" s="136">
        <v>1240180</v>
      </c>
      <c r="B16" s="32">
        <v>358</v>
      </c>
      <c r="C16" s="32">
        <v>358</v>
      </c>
      <c r="D16" s="32">
        <v>0</v>
      </c>
      <c r="E16" s="32">
        <v>0</v>
      </c>
      <c r="F16" s="32">
        <v>666</v>
      </c>
      <c r="G16" s="17">
        <v>282</v>
      </c>
      <c r="H16" s="32">
        <v>262</v>
      </c>
      <c r="I16" s="32">
        <v>248</v>
      </c>
      <c r="J16" s="32">
        <v>358</v>
      </c>
      <c r="K16" s="32">
        <v>0</v>
      </c>
      <c r="L16" s="32">
        <v>0</v>
      </c>
      <c r="M16" s="32">
        <v>358</v>
      </c>
      <c r="N16" s="32">
        <v>358</v>
      </c>
      <c r="O16" s="32">
        <v>200</v>
      </c>
      <c r="P16" s="32">
        <v>294</v>
      </c>
      <c r="Q16" s="32">
        <v>280</v>
      </c>
      <c r="R16" s="32">
        <v>0</v>
      </c>
      <c r="S16" s="32">
        <v>0</v>
      </c>
    </row>
    <row r="17" spans="1:19">
      <c r="A17" s="136">
        <v>1240184</v>
      </c>
      <c r="B17" s="32">
        <v>358</v>
      </c>
      <c r="C17" s="32">
        <v>308</v>
      </c>
      <c r="D17" s="32">
        <v>0</v>
      </c>
      <c r="E17" s="32">
        <v>0</v>
      </c>
      <c r="F17" s="32">
        <v>616</v>
      </c>
      <c r="G17" s="17">
        <v>282</v>
      </c>
      <c r="H17" s="32">
        <v>262</v>
      </c>
      <c r="I17" s="32">
        <v>248</v>
      </c>
      <c r="J17" s="32">
        <v>358</v>
      </c>
      <c r="K17" s="32">
        <v>0</v>
      </c>
      <c r="L17" s="32">
        <v>0</v>
      </c>
      <c r="M17" s="32">
        <v>358</v>
      </c>
      <c r="N17" s="32">
        <v>358</v>
      </c>
      <c r="O17" s="32">
        <v>200</v>
      </c>
      <c r="P17" s="32">
        <v>294</v>
      </c>
      <c r="Q17" s="32">
        <v>280</v>
      </c>
      <c r="R17" s="32">
        <v>0</v>
      </c>
      <c r="S17" s="32">
        <v>0</v>
      </c>
    </row>
    <row r="18" spans="1:19">
      <c r="A18" s="136">
        <v>1240308</v>
      </c>
      <c r="B18" s="32">
        <v>0</v>
      </c>
      <c r="C18" s="32">
        <v>0</v>
      </c>
      <c r="D18" s="32">
        <v>0</v>
      </c>
      <c r="E18" s="32">
        <v>0</v>
      </c>
      <c r="F18" s="79">
        <v>400</v>
      </c>
      <c r="G18" s="79">
        <v>350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350</v>
      </c>
      <c r="P18" s="32">
        <v>350</v>
      </c>
      <c r="Q18" s="32">
        <v>350</v>
      </c>
      <c r="R18" s="32">
        <v>0</v>
      </c>
      <c r="S18" s="32">
        <v>0</v>
      </c>
    </row>
    <row r="19" spans="1:19" hidden="1">
      <c r="A19" s="136">
        <v>1241601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120</v>
      </c>
      <c r="N19" s="32">
        <v>0</v>
      </c>
      <c r="O19" s="32">
        <v>500</v>
      </c>
      <c r="P19" s="32">
        <v>1376</v>
      </c>
      <c r="Q19" s="32">
        <v>770</v>
      </c>
      <c r="R19" s="32">
        <v>0</v>
      </c>
      <c r="S19" s="32">
        <v>0</v>
      </c>
    </row>
    <row r="22" spans="1:19">
      <c r="A22" s="5" t="s">
        <v>0</v>
      </c>
      <c r="B22" s="9" t="s">
        <v>760</v>
      </c>
      <c r="C22" s="9" t="s">
        <v>761</v>
      </c>
      <c r="D22" s="9" t="s">
        <v>762</v>
      </c>
      <c r="E22" s="9" t="s">
        <v>763</v>
      </c>
      <c r="F22" s="9" t="s">
        <v>766</v>
      </c>
      <c r="G22" s="9" t="s">
        <v>767</v>
      </c>
      <c r="H22" s="9" t="s">
        <v>768</v>
      </c>
      <c r="I22" s="9" t="s">
        <v>769</v>
      </c>
      <c r="J22" s="9" t="s">
        <v>770</v>
      </c>
      <c r="K22" s="9" t="s">
        <v>771</v>
      </c>
      <c r="L22" s="9" t="s">
        <v>772</v>
      </c>
      <c r="M22" s="9" t="s">
        <v>789</v>
      </c>
      <c r="N22" s="9" t="s">
        <v>790</v>
      </c>
      <c r="O22" s="9" t="s">
        <v>791</v>
      </c>
      <c r="P22" s="9" t="s">
        <v>792</v>
      </c>
      <c r="Q22" s="9" t="s">
        <v>793</v>
      </c>
      <c r="R22" s="9" t="s">
        <v>794</v>
      </c>
      <c r="S22" s="9" t="s">
        <v>795</v>
      </c>
    </row>
    <row r="23" spans="1:19">
      <c r="A23" s="5">
        <v>1232846</v>
      </c>
      <c r="B23" s="9">
        <v>449</v>
      </c>
      <c r="C23" s="9">
        <v>2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304</v>
      </c>
      <c r="R23" s="9">
        <v>0</v>
      </c>
      <c r="S23" s="9">
        <v>0</v>
      </c>
    </row>
    <row r="24" spans="1:19">
      <c r="A24" s="5">
        <v>1232895</v>
      </c>
      <c r="B24" s="9">
        <v>449</v>
      </c>
      <c r="C24" s="9">
        <v>2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304</v>
      </c>
      <c r="R24" s="9">
        <v>0</v>
      </c>
      <c r="S24" s="9">
        <v>0</v>
      </c>
    </row>
    <row r="25" spans="1:19">
      <c r="A25" s="5">
        <v>1233384</v>
      </c>
      <c r="B25" s="9">
        <v>449</v>
      </c>
      <c r="C25" s="9">
        <v>2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304</v>
      </c>
      <c r="R25" s="9">
        <v>0</v>
      </c>
      <c r="S25" s="9">
        <v>0</v>
      </c>
    </row>
    <row r="26" spans="1:19">
      <c r="A26" s="5">
        <v>1233165</v>
      </c>
      <c r="B26" s="9">
        <v>0</v>
      </c>
      <c r="C26" s="9">
        <v>250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</row>
    <row r="27" spans="1:19">
      <c r="A27" s="5">
        <v>1236387</v>
      </c>
      <c r="B27" s="9">
        <v>0</v>
      </c>
      <c r="C27" s="9">
        <v>0</v>
      </c>
      <c r="D27" s="9">
        <v>0</v>
      </c>
      <c r="E27" s="9">
        <v>0</v>
      </c>
      <c r="F27" s="9">
        <v>426</v>
      </c>
      <c r="G27" s="9">
        <v>71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150</v>
      </c>
      <c r="O27" s="9">
        <v>357</v>
      </c>
      <c r="P27" s="9">
        <v>71</v>
      </c>
      <c r="Q27" s="9">
        <v>0</v>
      </c>
      <c r="R27" s="9">
        <v>0</v>
      </c>
      <c r="S27" s="9">
        <v>0</v>
      </c>
    </row>
    <row r="28" spans="1:19">
      <c r="A28" s="5">
        <v>1232775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251</v>
      </c>
      <c r="H28" s="9">
        <v>109</v>
      </c>
      <c r="I28" s="9">
        <v>311</v>
      </c>
      <c r="J28" s="9">
        <v>278</v>
      </c>
      <c r="K28" s="9">
        <v>0</v>
      </c>
      <c r="L28" s="9">
        <v>0</v>
      </c>
      <c r="M28" s="9">
        <v>620</v>
      </c>
      <c r="N28" s="9">
        <v>282</v>
      </c>
      <c r="O28" s="9">
        <v>0</v>
      </c>
      <c r="P28" s="9">
        <v>248</v>
      </c>
      <c r="Q28" s="9">
        <v>245</v>
      </c>
      <c r="R28" s="9">
        <v>0</v>
      </c>
      <c r="S28" s="9">
        <v>0</v>
      </c>
    </row>
    <row r="29" spans="1:19">
      <c r="A29" s="5">
        <v>1238605</v>
      </c>
      <c r="B29" s="9">
        <v>182</v>
      </c>
      <c r="C29" s="9">
        <v>2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</row>
    <row r="30" spans="1:19">
      <c r="A30" s="5">
        <v>1230685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28</v>
      </c>
      <c r="I30" s="9">
        <v>122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3" spans="1:19">
      <c r="A33" s="5" t="s">
        <v>0</v>
      </c>
      <c r="B33" s="9" t="s">
        <v>760</v>
      </c>
      <c r="C33" s="9" t="s">
        <v>761</v>
      </c>
      <c r="D33" s="9" t="s">
        <v>762</v>
      </c>
      <c r="E33" s="9" t="s">
        <v>763</v>
      </c>
      <c r="F33" s="9" t="s">
        <v>766</v>
      </c>
      <c r="G33" s="9" t="s">
        <v>767</v>
      </c>
      <c r="H33" s="9" t="s">
        <v>768</v>
      </c>
      <c r="I33" s="9" t="s">
        <v>769</v>
      </c>
      <c r="J33" s="9" t="s">
        <v>770</v>
      </c>
      <c r="K33" s="9" t="s">
        <v>771</v>
      </c>
      <c r="L33" s="9" t="s">
        <v>772</v>
      </c>
      <c r="M33" s="9" t="s">
        <v>789</v>
      </c>
      <c r="N33" s="9" t="s">
        <v>790</v>
      </c>
      <c r="O33" s="9" t="s">
        <v>791</v>
      </c>
      <c r="P33" s="9" t="s">
        <v>792</v>
      </c>
      <c r="Q33" s="9" t="s">
        <v>793</v>
      </c>
      <c r="R33" s="9" t="s">
        <v>794</v>
      </c>
      <c r="S33" s="9" t="s">
        <v>795</v>
      </c>
    </row>
    <row r="34" spans="1:19">
      <c r="A34" s="5">
        <v>1221967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501</v>
      </c>
      <c r="O34" s="9">
        <v>523</v>
      </c>
      <c r="P34" s="9">
        <v>0</v>
      </c>
      <c r="Q34" s="9">
        <v>0</v>
      </c>
      <c r="R34" s="9">
        <v>0</v>
      </c>
      <c r="S34" s="9">
        <v>0</v>
      </c>
    </row>
    <row r="35" spans="1:19">
      <c r="A35" s="5">
        <v>1227306</v>
      </c>
      <c r="B35" s="9">
        <v>177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spans="1:19">
      <c r="A36" s="5">
        <v>1229088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304</v>
      </c>
      <c r="Q36" s="9">
        <v>350</v>
      </c>
      <c r="R36" s="9">
        <v>0</v>
      </c>
      <c r="S36" s="9">
        <v>0</v>
      </c>
    </row>
    <row r="37" spans="1:19">
      <c r="A37" s="5">
        <v>1231090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240</v>
      </c>
      <c r="Q37" s="9">
        <v>0</v>
      </c>
      <c r="R37" s="9">
        <v>0</v>
      </c>
      <c r="S37" s="9">
        <v>0</v>
      </c>
    </row>
    <row r="38" spans="1:19">
      <c r="A38" s="5">
        <v>1225464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18">
        <v>28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400</v>
      </c>
      <c r="O38" s="9">
        <v>356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5">
        <v>1232066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54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5">
        <v>1234222</v>
      </c>
      <c r="B40" s="9">
        <v>276</v>
      </c>
      <c r="C40" s="9">
        <v>202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5">
        <v>1232528</v>
      </c>
      <c r="B41" s="9">
        <v>0</v>
      </c>
      <c r="C41" s="9">
        <v>365</v>
      </c>
      <c r="D41" s="9">
        <v>0</v>
      </c>
      <c r="E41" s="9">
        <v>0</v>
      </c>
      <c r="F41" s="9">
        <v>1371</v>
      </c>
      <c r="G41" s="18">
        <v>850</v>
      </c>
      <c r="H41" s="9">
        <v>305</v>
      </c>
      <c r="I41" s="9">
        <v>0</v>
      </c>
      <c r="J41" s="9">
        <v>0</v>
      </c>
      <c r="K41" s="9">
        <v>0</v>
      </c>
      <c r="L41" s="9">
        <v>0</v>
      </c>
      <c r="M41" s="9">
        <v>658</v>
      </c>
      <c r="N41" s="9">
        <v>266</v>
      </c>
      <c r="O41" s="9">
        <v>539</v>
      </c>
      <c r="P41" s="9">
        <v>686</v>
      </c>
      <c r="Q41" s="9">
        <v>184</v>
      </c>
      <c r="R41" s="9">
        <v>0</v>
      </c>
      <c r="S41" s="9">
        <v>0</v>
      </c>
    </row>
    <row r="42" spans="1:19">
      <c r="A42" s="5">
        <v>1232846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300</v>
      </c>
      <c r="I42" s="9">
        <v>40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5">
        <v>1229050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18">
        <v>133</v>
      </c>
      <c r="H43" s="9">
        <v>47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>
      <c r="A44" s="5">
        <v>1233383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9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1:19">
      <c r="A45" s="5">
        <v>1233735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90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5">
        <v>1234034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40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58">
        <v>1235097</v>
      </c>
      <c r="B47" s="9">
        <v>206</v>
      </c>
      <c r="C47" s="9">
        <v>343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89</v>
      </c>
      <c r="K47" s="9">
        <v>0</v>
      </c>
      <c r="L47" s="9">
        <v>0</v>
      </c>
      <c r="M47" s="9">
        <v>343</v>
      </c>
      <c r="N47" s="9">
        <v>343</v>
      </c>
      <c r="O47" s="9">
        <v>400</v>
      </c>
      <c r="P47" s="9">
        <v>0</v>
      </c>
      <c r="Q47" s="9">
        <v>0</v>
      </c>
      <c r="R47" s="9">
        <v>0</v>
      </c>
      <c r="S47" s="9">
        <v>0</v>
      </c>
    </row>
    <row r="48" spans="1:19">
      <c r="A48" s="5">
        <v>1235845</v>
      </c>
      <c r="B48" s="9">
        <v>416</v>
      </c>
      <c r="C48" s="9">
        <v>622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462</v>
      </c>
      <c r="J48" s="9">
        <v>547</v>
      </c>
      <c r="K48" s="9">
        <v>0</v>
      </c>
      <c r="L48" s="9">
        <v>0</v>
      </c>
      <c r="M48" s="9">
        <v>622</v>
      </c>
      <c r="N48" s="9">
        <v>366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</row>
    <row r="49" spans="1:19">
      <c r="A49" s="5">
        <v>1236619</v>
      </c>
      <c r="B49" s="9">
        <v>10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19">
      <c r="A50" s="5">
        <v>1236930</v>
      </c>
      <c r="B50" s="9">
        <v>254</v>
      </c>
      <c r="C50" s="9">
        <v>16</v>
      </c>
      <c r="D50" s="9">
        <v>0</v>
      </c>
      <c r="E50" s="9">
        <v>0</v>
      </c>
      <c r="F50" s="9">
        <v>339</v>
      </c>
      <c r="G50" s="9">
        <v>337</v>
      </c>
      <c r="H50" s="18">
        <v>136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340</v>
      </c>
      <c r="O50" s="9">
        <v>470</v>
      </c>
      <c r="P50" s="9">
        <v>615</v>
      </c>
      <c r="Q50" s="9">
        <v>508</v>
      </c>
      <c r="R50" s="9">
        <v>0</v>
      </c>
      <c r="S50" s="9">
        <v>0</v>
      </c>
    </row>
    <row r="51" spans="1:19">
      <c r="A51" s="58">
        <v>1232982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187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5">
        <v>1237457</v>
      </c>
      <c r="B52" s="9">
        <v>10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19">
      <c r="A53" s="5">
        <v>1234905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261</v>
      </c>
      <c r="K53" s="9">
        <v>0</v>
      </c>
      <c r="L53" s="9">
        <v>0</v>
      </c>
      <c r="M53" s="9">
        <v>395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5">
        <v>1238480</v>
      </c>
      <c r="B54" s="9">
        <v>1110</v>
      </c>
      <c r="C54" s="9">
        <v>1039</v>
      </c>
      <c r="D54" s="9">
        <v>0</v>
      </c>
      <c r="E54" s="9">
        <v>0</v>
      </c>
      <c r="F54" s="9">
        <v>867</v>
      </c>
      <c r="G54" s="18">
        <v>1180</v>
      </c>
      <c r="H54" s="9">
        <v>835</v>
      </c>
      <c r="I54" s="9">
        <v>1096</v>
      </c>
      <c r="J54" s="9">
        <v>985</v>
      </c>
      <c r="K54" s="9">
        <v>0</v>
      </c>
      <c r="L54" s="9">
        <v>0</v>
      </c>
      <c r="M54" s="9">
        <v>1016</v>
      </c>
      <c r="N54" s="9">
        <v>1127</v>
      </c>
      <c r="O54" s="9">
        <v>984</v>
      </c>
      <c r="P54" s="9">
        <v>1030</v>
      </c>
      <c r="Q54" s="9">
        <v>1043</v>
      </c>
      <c r="R54" s="9">
        <v>0</v>
      </c>
      <c r="S54" s="9">
        <v>0</v>
      </c>
    </row>
    <row r="55" spans="1:19">
      <c r="A55" s="5">
        <v>1238453</v>
      </c>
      <c r="B55" s="9">
        <v>76</v>
      </c>
      <c r="C55" s="9">
        <v>311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</row>
    <row r="56" spans="1:19">
      <c r="A56" s="5">
        <v>1232775</v>
      </c>
      <c r="B56" s="9">
        <v>0</v>
      </c>
      <c r="C56" s="9">
        <v>431</v>
      </c>
      <c r="D56" s="9">
        <v>0</v>
      </c>
      <c r="E56" s="9">
        <v>0</v>
      </c>
      <c r="F56" s="98">
        <v>418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286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19">
      <c r="A57" s="5">
        <v>1240029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22</v>
      </c>
      <c r="J57" s="9">
        <v>128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</row>
    <row r="58" spans="1:19">
      <c r="A58" s="5">
        <v>1240032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22</v>
      </c>
      <c r="J58" s="9">
        <v>128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</row>
    <row r="59" spans="1:19">
      <c r="A59" s="5">
        <v>1240180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18">
        <v>111</v>
      </c>
      <c r="I59" s="9">
        <v>320</v>
      </c>
      <c r="J59" s="9">
        <v>100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</row>
    <row r="60" spans="1:19">
      <c r="A60" s="5">
        <v>1240184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18">
        <v>111</v>
      </c>
      <c r="I60" s="9">
        <v>320</v>
      </c>
      <c r="J60" s="9">
        <v>100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</row>
    <row r="61" spans="1:19">
      <c r="A61" s="5">
        <v>1241138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8">
        <v>80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5">
        <v>1216452</v>
      </c>
      <c r="B62" s="9">
        <v>0</v>
      </c>
      <c r="C62" s="9">
        <v>0</v>
      </c>
      <c r="D62" s="9">
        <v>0</v>
      </c>
      <c r="E62" s="9">
        <v>0</v>
      </c>
      <c r="F62" s="18">
        <v>293</v>
      </c>
      <c r="G62" s="9">
        <v>225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 spans="1:19">
      <c r="A63" s="5">
        <v>1232894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264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>
      <c r="A64" s="5">
        <v>1233385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264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5">
        <v>1232895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36</v>
      </c>
      <c r="I65" s="9">
        <v>40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1:19">
      <c r="A66" s="5">
        <v>1233387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36</v>
      </c>
      <c r="I66" s="9">
        <v>40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</sheetData>
  <autoFilter ref="A1:S19" xr:uid="{E6DA6791-44D6-46D5-984D-6060C0E076E9}">
    <filterColumn colId="6">
      <filters>
        <filter val="120"/>
        <filter val="200"/>
        <filter val="282"/>
        <filter val="330"/>
        <filter val="350"/>
        <filter val="500"/>
      </filters>
    </filterColumn>
  </autoFilter>
  <phoneticPr fontId="1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DB44-9CF8-4FDB-B9F6-C6E30631F0DC}">
  <dimension ref="A1:R66"/>
  <sheetViews>
    <sheetView zoomScale="145" zoomScaleNormal="145" workbookViewId="0">
      <selection activeCell="A18" sqref="A18:XFD18"/>
    </sheetView>
  </sheetViews>
  <sheetFormatPr defaultRowHeight="11.25"/>
  <cols>
    <col min="2" max="2" width="9.1640625" style="14"/>
    <col min="3" max="17" width="9.1640625" style="14" customWidth="1"/>
    <col min="18" max="18" width="9.1640625" style="14"/>
  </cols>
  <sheetData>
    <row r="1" spans="1:18">
      <c r="A1" s="139" t="s">
        <v>0</v>
      </c>
      <c r="B1" s="137" t="s">
        <v>761</v>
      </c>
      <c r="C1" s="137" t="s">
        <v>762</v>
      </c>
      <c r="D1" s="140" t="s">
        <v>763</v>
      </c>
      <c r="E1" s="137" t="s">
        <v>766</v>
      </c>
      <c r="F1" s="137" t="s">
        <v>767</v>
      </c>
      <c r="G1" s="137" t="s">
        <v>768</v>
      </c>
      <c r="H1" s="137" t="s">
        <v>769</v>
      </c>
      <c r="I1" s="137" t="s">
        <v>770</v>
      </c>
      <c r="J1" s="137" t="s">
        <v>771</v>
      </c>
      <c r="K1" s="140" t="s">
        <v>772</v>
      </c>
      <c r="L1" s="137" t="s">
        <v>789</v>
      </c>
      <c r="M1" s="137" t="s">
        <v>790</v>
      </c>
      <c r="N1" s="137" t="s">
        <v>791</v>
      </c>
      <c r="O1" s="137" t="s">
        <v>792</v>
      </c>
      <c r="P1" s="137" t="s">
        <v>793</v>
      </c>
      <c r="Q1" s="137" t="s">
        <v>794</v>
      </c>
      <c r="R1" s="140" t="s">
        <v>795</v>
      </c>
    </row>
    <row r="2" spans="1:18">
      <c r="A2" s="138">
        <v>1226384</v>
      </c>
      <c r="B2" s="141">
        <v>0</v>
      </c>
      <c r="C2" s="141">
        <v>0</v>
      </c>
      <c r="D2" s="141">
        <v>0</v>
      </c>
      <c r="E2" s="141">
        <v>0</v>
      </c>
      <c r="F2" s="141">
        <v>0</v>
      </c>
      <c r="G2" s="141">
        <v>0</v>
      </c>
      <c r="H2" s="141">
        <v>0</v>
      </c>
      <c r="I2" s="141">
        <v>0</v>
      </c>
      <c r="J2" s="141">
        <v>0</v>
      </c>
      <c r="K2" s="141">
        <v>0</v>
      </c>
      <c r="L2" s="141">
        <v>0</v>
      </c>
      <c r="M2" s="141">
        <v>401</v>
      </c>
      <c r="N2" s="141">
        <v>400</v>
      </c>
      <c r="O2" s="141">
        <v>260</v>
      </c>
      <c r="P2" s="141">
        <v>0</v>
      </c>
      <c r="Q2" s="141">
        <v>0</v>
      </c>
      <c r="R2" s="141">
        <v>0</v>
      </c>
    </row>
    <row r="3" spans="1:18">
      <c r="A3" s="138">
        <v>1226388</v>
      </c>
      <c r="B3" s="141">
        <v>0</v>
      </c>
      <c r="C3" s="141">
        <v>0</v>
      </c>
      <c r="D3" s="141">
        <v>0</v>
      </c>
      <c r="E3" s="141">
        <v>0</v>
      </c>
      <c r="F3" s="141">
        <v>0</v>
      </c>
      <c r="G3" s="141">
        <v>0</v>
      </c>
      <c r="H3" s="141">
        <v>0</v>
      </c>
      <c r="I3" s="141">
        <v>0</v>
      </c>
      <c r="J3" s="141">
        <v>0</v>
      </c>
      <c r="K3" s="141">
        <v>0</v>
      </c>
      <c r="L3" s="141">
        <v>0</v>
      </c>
      <c r="M3" s="141">
        <v>401</v>
      </c>
      <c r="N3" s="141">
        <v>400</v>
      </c>
      <c r="O3" s="141">
        <v>260</v>
      </c>
      <c r="P3" s="141">
        <v>0</v>
      </c>
      <c r="Q3" s="141">
        <v>0</v>
      </c>
      <c r="R3" s="141">
        <v>0</v>
      </c>
    </row>
    <row r="4" spans="1:18">
      <c r="A4" s="138">
        <v>1229673</v>
      </c>
      <c r="B4" s="141">
        <v>400</v>
      </c>
      <c r="C4" s="141">
        <v>0</v>
      </c>
      <c r="D4" s="141">
        <v>0</v>
      </c>
      <c r="E4" s="141">
        <v>0</v>
      </c>
      <c r="F4" s="141">
        <v>200</v>
      </c>
      <c r="G4" s="141">
        <v>0</v>
      </c>
      <c r="H4" s="141">
        <v>300</v>
      </c>
      <c r="I4" s="141">
        <v>300</v>
      </c>
      <c r="J4" s="141">
        <v>0</v>
      </c>
      <c r="K4" s="141">
        <v>0</v>
      </c>
      <c r="L4" s="141">
        <v>250</v>
      </c>
      <c r="M4" s="141">
        <v>250</v>
      </c>
      <c r="N4" s="141">
        <v>250</v>
      </c>
      <c r="O4" s="141">
        <v>250</v>
      </c>
      <c r="P4" s="141">
        <v>250</v>
      </c>
      <c r="Q4" s="141">
        <v>0</v>
      </c>
      <c r="R4" s="141">
        <v>0</v>
      </c>
    </row>
    <row r="5" spans="1:18">
      <c r="A5" s="138">
        <v>1233632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2">
        <v>64</v>
      </c>
      <c r="H5" s="141">
        <v>116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</row>
    <row r="6" spans="1:18">
      <c r="A6" s="138">
        <v>1235623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542</v>
      </c>
      <c r="M6" s="141">
        <v>394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</row>
    <row r="7" spans="1:18">
      <c r="A7" s="138">
        <v>1237088</v>
      </c>
      <c r="B7" s="141">
        <v>1039</v>
      </c>
      <c r="C7" s="141">
        <v>0</v>
      </c>
      <c r="D7" s="141">
        <v>0</v>
      </c>
      <c r="E7" s="141">
        <v>332</v>
      </c>
      <c r="F7" s="141">
        <v>330</v>
      </c>
      <c r="G7" s="143">
        <v>601</v>
      </c>
      <c r="H7" s="141">
        <v>1168</v>
      </c>
      <c r="I7" s="141">
        <v>1638</v>
      </c>
      <c r="J7" s="141">
        <v>0</v>
      </c>
      <c r="K7" s="141">
        <v>0</v>
      </c>
      <c r="L7" s="141">
        <v>882</v>
      </c>
      <c r="M7" s="141">
        <v>1074</v>
      </c>
      <c r="N7" s="141">
        <v>380</v>
      </c>
      <c r="O7" s="141">
        <v>462</v>
      </c>
      <c r="P7" s="141">
        <v>426</v>
      </c>
      <c r="Q7" s="141">
        <v>0</v>
      </c>
      <c r="R7" s="141">
        <v>0</v>
      </c>
    </row>
    <row r="8" spans="1:18">
      <c r="A8" s="138">
        <v>1237765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150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</row>
    <row r="9" spans="1:18">
      <c r="A9" s="138">
        <v>1237748</v>
      </c>
      <c r="B9" s="141">
        <v>0</v>
      </c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458</v>
      </c>
      <c r="N9" s="141">
        <v>422</v>
      </c>
      <c r="O9" s="141">
        <v>0</v>
      </c>
      <c r="P9" s="141">
        <v>0</v>
      </c>
      <c r="Q9" s="141">
        <v>0</v>
      </c>
      <c r="R9" s="141">
        <v>0</v>
      </c>
    </row>
    <row r="10" spans="1:18">
      <c r="A10" s="138">
        <v>1236091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200</v>
      </c>
      <c r="Q10" s="141">
        <v>0</v>
      </c>
      <c r="R10" s="141">
        <v>0</v>
      </c>
    </row>
    <row r="11" spans="1:18">
      <c r="A11" s="138">
        <v>1238128</v>
      </c>
      <c r="B11" s="141">
        <v>480</v>
      </c>
      <c r="C11" s="141">
        <v>0</v>
      </c>
      <c r="D11" s="141">
        <v>0</v>
      </c>
      <c r="E11" s="141">
        <v>60</v>
      </c>
      <c r="F11" s="141">
        <v>0</v>
      </c>
      <c r="G11" s="141">
        <v>0</v>
      </c>
      <c r="H11" s="141">
        <v>76</v>
      </c>
      <c r="I11" s="141">
        <v>480</v>
      </c>
      <c r="J11" s="141">
        <v>0</v>
      </c>
      <c r="K11" s="141">
        <v>0</v>
      </c>
      <c r="L11" s="141">
        <v>396</v>
      </c>
      <c r="M11" s="141">
        <v>590</v>
      </c>
      <c r="N11" s="141">
        <v>424</v>
      </c>
      <c r="O11" s="141">
        <v>590</v>
      </c>
      <c r="P11" s="141">
        <v>464</v>
      </c>
      <c r="Q11" s="141">
        <v>0</v>
      </c>
      <c r="R11" s="141">
        <v>0</v>
      </c>
    </row>
    <row r="12" spans="1:18">
      <c r="A12" s="138">
        <v>1236962</v>
      </c>
      <c r="B12" s="141">
        <v>300</v>
      </c>
      <c r="C12" s="141">
        <v>0</v>
      </c>
      <c r="D12" s="141">
        <v>0</v>
      </c>
      <c r="E12" s="141">
        <v>0</v>
      </c>
      <c r="F12" s="141">
        <v>500</v>
      </c>
      <c r="G12" s="142">
        <v>300</v>
      </c>
      <c r="H12" s="141">
        <v>300</v>
      </c>
      <c r="I12" s="141">
        <v>290</v>
      </c>
      <c r="J12" s="141">
        <v>0</v>
      </c>
      <c r="K12" s="141">
        <v>0</v>
      </c>
      <c r="L12" s="141">
        <v>300</v>
      </c>
      <c r="M12" s="141">
        <v>300</v>
      </c>
      <c r="N12" s="141">
        <v>300</v>
      </c>
      <c r="O12" s="141">
        <v>300</v>
      </c>
      <c r="P12" s="141">
        <v>0</v>
      </c>
      <c r="Q12" s="141">
        <v>0</v>
      </c>
      <c r="R12" s="141">
        <v>0</v>
      </c>
    </row>
    <row r="13" spans="1:18">
      <c r="A13" s="138">
        <v>1233761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200</v>
      </c>
      <c r="M13" s="141">
        <v>0</v>
      </c>
      <c r="N13" s="141">
        <v>0</v>
      </c>
      <c r="O13" s="141">
        <v>200</v>
      </c>
      <c r="P13" s="141">
        <v>200</v>
      </c>
      <c r="Q13" s="141">
        <v>0</v>
      </c>
      <c r="R13" s="141">
        <v>0</v>
      </c>
    </row>
    <row r="14" spans="1:18">
      <c r="A14" s="138">
        <v>1239651</v>
      </c>
      <c r="B14" s="141">
        <v>0</v>
      </c>
      <c r="C14" s="141">
        <v>0</v>
      </c>
      <c r="D14" s="141">
        <v>0</v>
      </c>
      <c r="E14" s="141">
        <v>0</v>
      </c>
      <c r="F14" s="141">
        <v>0</v>
      </c>
      <c r="G14" s="141">
        <v>0</v>
      </c>
      <c r="H14" s="141">
        <v>400</v>
      </c>
      <c r="I14" s="141">
        <v>0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</row>
    <row r="15" spans="1:18">
      <c r="A15" s="138">
        <v>1239988</v>
      </c>
      <c r="B15" s="141">
        <v>454</v>
      </c>
      <c r="C15" s="141">
        <v>0</v>
      </c>
      <c r="D15" s="141">
        <v>0</v>
      </c>
      <c r="E15" s="141">
        <v>174</v>
      </c>
      <c r="F15" s="141">
        <v>120</v>
      </c>
      <c r="G15" s="142">
        <v>336</v>
      </c>
      <c r="H15" s="141">
        <v>454</v>
      </c>
      <c r="I15" s="141">
        <v>454</v>
      </c>
      <c r="J15" s="141">
        <v>0</v>
      </c>
      <c r="K15" s="141">
        <v>0</v>
      </c>
      <c r="L15" s="141">
        <v>454</v>
      </c>
      <c r="M15" s="141">
        <v>454</v>
      </c>
      <c r="N15" s="141">
        <v>148</v>
      </c>
      <c r="O15" s="141">
        <v>0</v>
      </c>
      <c r="P15" s="141">
        <v>0</v>
      </c>
      <c r="Q15" s="141">
        <v>0</v>
      </c>
      <c r="R15" s="141">
        <v>0</v>
      </c>
    </row>
    <row r="16" spans="1:18">
      <c r="A16" s="138">
        <v>1240180</v>
      </c>
      <c r="B16" s="141">
        <v>358</v>
      </c>
      <c r="C16" s="141">
        <v>0</v>
      </c>
      <c r="D16" s="141">
        <v>0</v>
      </c>
      <c r="E16" s="141">
        <v>666</v>
      </c>
      <c r="F16" s="141">
        <v>282</v>
      </c>
      <c r="G16" s="142">
        <v>262</v>
      </c>
      <c r="H16" s="141">
        <v>248</v>
      </c>
      <c r="I16" s="141">
        <v>358</v>
      </c>
      <c r="J16" s="141">
        <v>0</v>
      </c>
      <c r="K16" s="141">
        <v>0</v>
      </c>
      <c r="L16" s="141">
        <v>358</v>
      </c>
      <c r="M16" s="141">
        <v>358</v>
      </c>
      <c r="N16" s="141">
        <v>200</v>
      </c>
      <c r="O16" s="141">
        <v>294</v>
      </c>
      <c r="P16" s="141">
        <v>280</v>
      </c>
      <c r="Q16" s="141">
        <v>0</v>
      </c>
      <c r="R16" s="141">
        <v>0</v>
      </c>
    </row>
    <row r="17" spans="1:18">
      <c r="A17" s="138">
        <v>1240184</v>
      </c>
      <c r="B17" s="141">
        <v>308</v>
      </c>
      <c r="C17" s="141">
        <v>0</v>
      </c>
      <c r="D17" s="141">
        <v>0</v>
      </c>
      <c r="E17" s="141">
        <v>616</v>
      </c>
      <c r="F17" s="141">
        <v>282</v>
      </c>
      <c r="G17" s="142">
        <v>262</v>
      </c>
      <c r="H17" s="141">
        <v>248</v>
      </c>
      <c r="I17" s="141">
        <v>358</v>
      </c>
      <c r="J17" s="141">
        <v>0</v>
      </c>
      <c r="K17" s="141">
        <v>0</v>
      </c>
      <c r="L17" s="141">
        <v>358</v>
      </c>
      <c r="M17" s="141">
        <v>358</v>
      </c>
      <c r="N17" s="141">
        <v>200</v>
      </c>
      <c r="O17" s="141">
        <v>294</v>
      </c>
      <c r="P17" s="141">
        <v>280</v>
      </c>
      <c r="Q17" s="141">
        <v>0</v>
      </c>
      <c r="R17" s="141">
        <v>0</v>
      </c>
    </row>
    <row r="18" spans="1:18">
      <c r="A18" s="138">
        <v>1240308</v>
      </c>
      <c r="B18" s="141">
        <v>0</v>
      </c>
      <c r="C18" s="141">
        <v>0</v>
      </c>
      <c r="D18" s="141">
        <v>0</v>
      </c>
      <c r="E18" s="141">
        <v>400</v>
      </c>
      <c r="F18" s="141">
        <v>350</v>
      </c>
      <c r="G18" s="141">
        <v>0</v>
      </c>
      <c r="H18" s="141">
        <v>0</v>
      </c>
      <c r="I18" s="141">
        <v>0</v>
      </c>
      <c r="J18" s="141">
        <v>0</v>
      </c>
      <c r="K18" s="141">
        <v>0</v>
      </c>
      <c r="L18" s="141">
        <v>0</v>
      </c>
      <c r="M18" s="141">
        <v>0</v>
      </c>
      <c r="N18" s="141">
        <v>350</v>
      </c>
      <c r="O18" s="141">
        <v>350</v>
      </c>
      <c r="P18" s="141">
        <v>350</v>
      </c>
      <c r="Q18" s="141">
        <v>0</v>
      </c>
      <c r="R18" s="141">
        <v>0</v>
      </c>
    </row>
    <row r="19" spans="1:18">
      <c r="A19" s="138">
        <v>1241601</v>
      </c>
      <c r="B19" s="141">
        <v>0</v>
      </c>
      <c r="C19" s="141">
        <v>0</v>
      </c>
      <c r="D19" s="141">
        <v>0</v>
      </c>
      <c r="E19" s="141">
        <v>0</v>
      </c>
      <c r="F19" s="141">
        <v>0</v>
      </c>
      <c r="G19" s="141">
        <v>0</v>
      </c>
      <c r="H19" s="141">
        <v>0</v>
      </c>
      <c r="I19" s="141">
        <v>0</v>
      </c>
      <c r="J19" s="141">
        <v>0</v>
      </c>
      <c r="K19" s="141">
        <v>0</v>
      </c>
      <c r="L19" s="141">
        <v>120</v>
      </c>
      <c r="M19" s="141">
        <v>0</v>
      </c>
      <c r="N19" s="141">
        <v>500</v>
      </c>
      <c r="O19" s="141">
        <v>1376</v>
      </c>
      <c r="P19" s="141">
        <v>770</v>
      </c>
      <c r="Q19" s="141">
        <v>0</v>
      </c>
      <c r="R19" s="141">
        <v>0</v>
      </c>
    </row>
    <row r="23" spans="1:18">
      <c r="A23" s="2" t="s">
        <v>0</v>
      </c>
      <c r="B23" s="14" t="s">
        <v>799</v>
      </c>
      <c r="C23" s="14" t="s">
        <v>800</v>
      </c>
      <c r="D23" s="14" t="s">
        <v>801</v>
      </c>
      <c r="E23" s="14" t="s">
        <v>802</v>
      </c>
      <c r="F23" s="14" t="s">
        <v>803</v>
      </c>
      <c r="G23" s="14" t="s">
        <v>804</v>
      </c>
      <c r="H23" s="14" t="s">
        <v>805</v>
      </c>
      <c r="I23" s="14" t="s">
        <v>806</v>
      </c>
      <c r="J23" s="14" t="s">
        <v>807</v>
      </c>
      <c r="K23" s="14" t="s">
        <v>808</v>
      </c>
      <c r="L23" s="14" t="s">
        <v>809</v>
      </c>
      <c r="M23" s="14" t="s">
        <v>810</v>
      </c>
      <c r="N23" s="14" t="s">
        <v>811</v>
      </c>
      <c r="O23" s="14" t="s">
        <v>812</v>
      </c>
      <c r="P23" s="14" t="s">
        <v>813</v>
      </c>
      <c r="Q23" s="14" t="s">
        <v>814</v>
      </c>
      <c r="R23" s="14" t="s">
        <v>815</v>
      </c>
    </row>
    <row r="24" spans="1:18">
      <c r="A24">
        <v>1232846</v>
      </c>
      <c r="B24" s="14">
        <v>2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304</v>
      </c>
      <c r="Q24" s="14">
        <v>0</v>
      </c>
      <c r="R24" s="14">
        <v>0</v>
      </c>
    </row>
    <row r="25" spans="1:18">
      <c r="A25">
        <v>1232895</v>
      </c>
      <c r="B25" s="14">
        <v>2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304</v>
      </c>
      <c r="Q25" s="14">
        <v>0</v>
      </c>
      <c r="R25" s="14">
        <v>0</v>
      </c>
    </row>
    <row r="26" spans="1:18">
      <c r="A26">
        <v>1233384</v>
      </c>
      <c r="B26" s="14">
        <v>2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304</v>
      </c>
      <c r="Q26" s="14">
        <v>0</v>
      </c>
      <c r="R26" s="14">
        <v>0</v>
      </c>
    </row>
    <row r="27" spans="1:18">
      <c r="A27">
        <v>1233165</v>
      </c>
      <c r="B27" s="14">
        <v>250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</row>
    <row r="28" spans="1:18">
      <c r="A28">
        <v>1236387</v>
      </c>
      <c r="B28" s="14">
        <v>0</v>
      </c>
      <c r="C28" s="14">
        <v>0</v>
      </c>
      <c r="D28" s="14">
        <v>0</v>
      </c>
      <c r="E28" s="16">
        <v>426</v>
      </c>
      <c r="F28" s="16">
        <v>71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150</v>
      </c>
      <c r="N28" s="14">
        <v>357</v>
      </c>
      <c r="O28" s="14">
        <v>71</v>
      </c>
      <c r="P28" s="14">
        <v>0</v>
      </c>
      <c r="Q28" s="14">
        <v>0</v>
      </c>
      <c r="R28" s="14">
        <v>0</v>
      </c>
    </row>
    <row r="29" spans="1:18">
      <c r="A29">
        <v>1232775</v>
      </c>
      <c r="B29" s="14">
        <v>0</v>
      </c>
      <c r="C29" s="14">
        <v>0</v>
      </c>
      <c r="D29" s="14">
        <v>0</v>
      </c>
      <c r="E29" s="14">
        <v>0</v>
      </c>
      <c r="F29" s="16">
        <v>251</v>
      </c>
      <c r="G29" s="16">
        <v>109</v>
      </c>
      <c r="H29" s="16">
        <v>311</v>
      </c>
      <c r="I29" s="16">
        <v>278</v>
      </c>
      <c r="J29" s="14">
        <v>0</v>
      </c>
      <c r="K29" s="14">
        <v>0</v>
      </c>
      <c r="L29" s="14">
        <v>620</v>
      </c>
      <c r="M29" s="14">
        <v>282</v>
      </c>
      <c r="N29" s="14">
        <v>0</v>
      </c>
      <c r="O29" s="14">
        <v>248</v>
      </c>
      <c r="P29" s="14">
        <v>245</v>
      </c>
      <c r="Q29" s="14">
        <v>0</v>
      </c>
      <c r="R29" s="14">
        <v>0</v>
      </c>
    </row>
    <row r="30" spans="1:18">
      <c r="A30">
        <v>1238605</v>
      </c>
      <c r="B30" s="14">
        <v>2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</row>
    <row r="31" spans="1:18">
      <c r="A31">
        <v>1230685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6">
        <v>28</v>
      </c>
      <c r="H31" s="16">
        <v>122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</row>
    <row r="36" spans="1:18">
      <c r="A36" s="139" t="s">
        <v>0</v>
      </c>
      <c r="B36" s="137" t="s">
        <v>761</v>
      </c>
      <c r="C36" s="137" t="s">
        <v>762</v>
      </c>
      <c r="D36" s="140" t="s">
        <v>763</v>
      </c>
      <c r="E36" s="137" t="s">
        <v>766</v>
      </c>
      <c r="F36" s="137" t="s">
        <v>767</v>
      </c>
      <c r="G36" s="137" t="s">
        <v>768</v>
      </c>
      <c r="H36" s="137" t="s">
        <v>769</v>
      </c>
      <c r="I36" s="137" t="s">
        <v>770</v>
      </c>
      <c r="J36" s="137" t="s">
        <v>771</v>
      </c>
      <c r="K36" s="140" t="s">
        <v>772</v>
      </c>
      <c r="L36" s="137" t="s">
        <v>789</v>
      </c>
      <c r="M36" s="137" t="s">
        <v>790</v>
      </c>
      <c r="N36" s="137" t="s">
        <v>791</v>
      </c>
      <c r="O36" s="137" t="s">
        <v>792</v>
      </c>
      <c r="P36" s="137" t="s">
        <v>793</v>
      </c>
      <c r="Q36" s="137" t="s">
        <v>794</v>
      </c>
      <c r="R36" s="140" t="s">
        <v>795</v>
      </c>
    </row>
    <row r="37" spans="1:18">
      <c r="A37" s="138">
        <v>1221967</v>
      </c>
      <c r="B37" s="141">
        <v>0</v>
      </c>
      <c r="C37" s="141">
        <v>0</v>
      </c>
      <c r="D37" s="141">
        <v>0</v>
      </c>
      <c r="E37" s="141">
        <v>0</v>
      </c>
      <c r="F37" s="141">
        <v>0</v>
      </c>
      <c r="G37" s="141">
        <v>0</v>
      </c>
      <c r="H37" s="141">
        <v>0</v>
      </c>
      <c r="I37" s="141">
        <v>0</v>
      </c>
      <c r="J37" s="141">
        <v>0</v>
      </c>
      <c r="K37" s="141">
        <v>0</v>
      </c>
      <c r="L37" s="141">
        <v>0</v>
      </c>
      <c r="M37" s="141">
        <v>501</v>
      </c>
      <c r="N37" s="141">
        <v>523</v>
      </c>
      <c r="O37" s="141">
        <v>0</v>
      </c>
      <c r="P37" s="141">
        <v>0</v>
      </c>
      <c r="Q37" s="141">
        <v>0</v>
      </c>
      <c r="R37" s="141">
        <v>0</v>
      </c>
    </row>
    <row r="38" spans="1:18">
      <c r="A38" s="138">
        <v>1229088</v>
      </c>
      <c r="B38" s="141">
        <v>0</v>
      </c>
      <c r="C38" s="141">
        <v>0</v>
      </c>
      <c r="D38" s="141">
        <v>0</v>
      </c>
      <c r="E38" s="141">
        <v>0</v>
      </c>
      <c r="F38" s="141">
        <v>0</v>
      </c>
      <c r="G38" s="141">
        <v>0</v>
      </c>
      <c r="H38" s="141">
        <v>0</v>
      </c>
      <c r="I38" s="141">
        <v>0</v>
      </c>
      <c r="J38" s="141">
        <v>0</v>
      </c>
      <c r="K38" s="141">
        <v>0</v>
      </c>
      <c r="L38" s="141">
        <v>0</v>
      </c>
      <c r="M38" s="141">
        <v>0</v>
      </c>
      <c r="N38" s="141">
        <v>0</v>
      </c>
      <c r="O38" s="141">
        <v>304</v>
      </c>
      <c r="P38" s="141">
        <v>350</v>
      </c>
      <c r="Q38" s="141">
        <v>0</v>
      </c>
      <c r="R38" s="141">
        <v>0</v>
      </c>
    </row>
    <row r="39" spans="1:18">
      <c r="A39" s="138">
        <v>1231090</v>
      </c>
      <c r="B39" s="141">
        <v>0</v>
      </c>
      <c r="C39" s="141">
        <v>0</v>
      </c>
      <c r="D39" s="141">
        <v>0</v>
      </c>
      <c r="E39" s="141">
        <v>0</v>
      </c>
      <c r="F39" s="141">
        <v>0</v>
      </c>
      <c r="G39" s="141">
        <v>0</v>
      </c>
      <c r="H39" s="141">
        <v>0</v>
      </c>
      <c r="I39" s="141">
        <v>0</v>
      </c>
      <c r="J39" s="141">
        <v>0</v>
      </c>
      <c r="K39" s="141">
        <v>0</v>
      </c>
      <c r="L39" s="141">
        <v>0</v>
      </c>
      <c r="M39" s="141">
        <v>0</v>
      </c>
      <c r="N39" s="141">
        <v>0</v>
      </c>
      <c r="O39" s="141">
        <v>240</v>
      </c>
      <c r="P39" s="141">
        <v>0</v>
      </c>
      <c r="Q39" s="141">
        <v>0</v>
      </c>
      <c r="R39" s="141">
        <v>0</v>
      </c>
    </row>
    <row r="40" spans="1:18">
      <c r="A40" s="138">
        <v>1225464</v>
      </c>
      <c r="B40" s="141">
        <v>0</v>
      </c>
      <c r="C40" s="141">
        <v>0</v>
      </c>
      <c r="D40" s="141">
        <v>0</v>
      </c>
      <c r="E40" s="141">
        <v>0</v>
      </c>
      <c r="F40" s="141">
        <v>28</v>
      </c>
      <c r="G40" s="141">
        <v>0</v>
      </c>
      <c r="H40" s="141">
        <v>0</v>
      </c>
      <c r="I40" s="141">
        <v>0</v>
      </c>
      <c r="J40" s="141">
        <v>0</v>
      </c>
      <c r="K40" s="141">
        <v>0</v>
      </c>
      <c r="L40" s="141">
        <v>0</v>
      </c>
      <c r="M40" s="141">
        <v>400</v>
      </c>
      <c r="N40" s="141">
        <v>356</v>
      </c>
      <c r="O40" s="141">
        <v>0</v>
      </c>
      <c r="P40" s="141">
        <v>0</v>
      </c>
      <c r="Q40" s="141">
        <v>0</v>
      </c>
      <c r="R40" s="141">
        <v>0</v>
      </c>
    </row>
    <row r="41" spans="1:18">
      <c r="A41" s="138">
        <v>1232066</v>
      </c>
      <c r="B41" s="141">
        <v>0</v>
      </c>
      <c r="C41" s="141">
        <v>0</v>
      </c>
      <c r="D41" s="141">
        <v>0</v>
      </c>
      <c r="E41" s="141">
        <v>0</v>
      </c>
      <c r="F41" s="141">
        <v>0</v>
      </c>
      <c r="G41" s="141">
        <v>0</v>
      </c>
      <c r="H41" s="141">
        <v>0</v>
      </c>
      <c r="I41" s="141">
        <v>54</v>
      </c>
      <c r="J41" s="141">
        <v>0</v>
      </c>
      <c r="K41" s="141">
        <v>0</v>
      </c>
      <c r="L41" s="141">
        <v>0</v>
      </c>
      <c r="M41" s="141">
        <v>0</v>
      </c>
      <c r="N41" s="141">
        <v>0</v>
      </c>
      <c r="O41" s="141">
        <v>0</v>
      </c>
      <c r="P41" s="141">
        <v>0</v>
      </c>
      <c r="Q41" s="141">
        <v>0</v>
      </c>
      <c r="R41" s="141">
        <v>0</v>
      </c>
    </row>
    <row r="42" spans="1:18">
      <c r="A42" s="138">
        <v>1234222</v>
      </c>
      <c r="B42" s="141">
        <v>202</v>
      </c>
      <c r="C42" s="141">
        <v>0</v>
      </c>
      <c r="D42" s="141">
        <v>0</v>
      </c>
      <c r="E42" s="141">
        <v>0</v>
      </c>
      <c r="F42" s="141">
        <v>0</v>
      </c>
      <c r="G42" s="141">
        <v>0</v>
      </c>
      <c r="H42" s="141">
        <v>0</v>
      </c>
      <c r="I42" s="141">
        <v>0</v>
      </c>
      <c r="J42" s="141">
        <v>0</v>
      </c>
      <c r="K42" s="141">
        <v>0</v>
      </c>
      <c r="L42" s="141">
        <v>0</v>
      </c>
      <c r="M42" s="141">
        <v>0</v>
      </c>
      <c r="N42" s="141">
        <v>0</v>
      </c>
      <c r="O42" s="141">
        <v>0</v>
      </c>
      <c r="P42" s="141">
        <v>0</v>
      </c>
      <c r="Q42" s="141">
        <v>0</v>
      </c>
      <c r="R42" s="141">
        <v>0</v>
      </c>
    </row>
    <row r="43" spans="1:18">
      <c r="A43" s="138">
        <v>1232528</v>
      </c>
      <c r="B43" s="141">
        <v>365</v>
      </c>
      <c r="C43" s="141">
        <v>0</v>
      </c>
      <c r="D43" s="141">
        <v>0</v>
      </c>
      <c r="E43" s="141">
        <v>1371</v>
      </c>
      <c r="F43" s="141">
        <v>850</v>
      </c>
      <c r="G43" s="141">
        <v>305</v>
      </c>
      <c r="H43" s="141">
        <v>0</v>
      </c>
      <c r="I43" s="141">
        <v>0</v>
      </c>
      <c r="J43" s="141">
        <v>0</v>
      </c>
      <c r="K43" s="141">
        <v>0</v>
      </c>
      <c r="L43" s="141">
        <v>658</v>
      </c>
      <c r="M43" s="141">
        <v>266</v>
      </c>
      <c r="N43" s="141">
        <v>539</v>
      </c>
      <c r="O43" s="141">
        <v>686</v>
      </c>
      <c r="P43" s="141">
        <v>184</v>
      </c>
      <c r="Q43" s="141">
        <v>0</v>
      </c>
      <c r="R43" s="141">
        <v>0</v>
      </c>
    </row>
    <row r="44" spans="1:18">
      <c r="A44" s="138">
        <v>1232846</v>
      </c>
      <c r="B44" s="141">
        <v>0</v>
      </c>
      <c r="C44" s="141">
        <v>0</v>
      </c>
      <c r="D44" s="141">
        <v>0</v>
      </c>
      <c r="E44" s="141">
        <v>0</v>
      </c>
      <c r="F44" s="141">
        <v>0</v>
      </c>
      <c r="G44" s="141">
        <v>300</v>
      </c>
      <c r="H44" s="141">
        <v>40</v>
      </c>
      <c r="I44" s="141">
        <v>0</v>
      </c>
      <c r="J44" s="141">
        <v>0</v>
      </c>
      <c r="K44" s="141">
        <v>0</v>
      </c>
      <c r="L44" s="141">
        <v>0</v>
      </c>
      <c r="M44" s="141">
        <v>0</v>
      </c>
      <c r="N44" s="141">
        <v>0</v>
      </c>
      <c r="O44" s="141">
        <v>0</v>
      </c>
      <c r="P44" s="141">
        <v>0</v>
      </c>
      <c r="Q44" s="141">
        <v>0</v>
      </c>
      <c r="R44" s="141">
        <v>0</v>
      </c>
    </row>
    <row r="45" spans="1:18">
      <c r="A45" s="138">
        <v>1229050</v>
      </c>
      <c r="B45" s="141">
        <v>0</v>
      </c>
      <c r="C45" s="141">
        <v>0</v>
      </c>
      <c r="D45" s="141">
        <v>0</v>
      </c>
      <c r="E45" s="141">
        <v>0</v>
      </c>
      <c r="F45" s="141">
        <v>133</v>
      </c>
      <c r="G45" s="141">
        <v>47</v>
      </c>
      <c r="H45" s="141">
        <v>0</v>
      </c>
      <c r="I45" s="141">
        <v>0</v>
      </c>
      <c r="J45" s="141">
        <v>0</v>
      </c>
      <c r="K45" s="141">
        <v>0</v>
      </c>
      <c r="L45" s="141">
        <v>0</v>
      </c>
      <c r="M45" s="141">
        <v>0</v>
      </c>
      <c r="N45" s="141">
        <v>0</v>
      </c>
      <c r="O45" s="141">
        <v>0</v>
      </c>
      <c r="P45" s="141">
        <v>0</v>
      </c>
      <c r="Q45" s="141">
        <v>0</v>
      </c>
      <c r="R45" s="141">
        <v>0</v>
      </c>
    </row>
    <row r="46" spans="1:18">
      <c r="A46" s="138">
        <v>1233383</v>
      </c>
      <c r="B46" s="141">
        <v>0</v>
      </c>
      <c r="C46" s="141">
        <v>0</v>
      </c>
      <c r="D46" s="141">
        <v>0</v>
      </c>
      <c r="E46" s="141">
        <v>0</v>
      </c>
      <c r="F46" s="141">
        <v>0</v>
      </c>
      <c r="G46" s="141">
        <v>0</v>
      </c>
      <c r="H46" s="141">
        <v>0</v>
      </c>
      <c r="I46" s="141">
        <v>0</v>
      </c>
      <c r="J46" s="141">
        <v>0</v>
      </c>
      <c r="K46" s="141">
        <v>0</v>
      </c>
      <c r="L46" s="141">
        <v>0</v>
      </c>
      <c r="M46" s="141">
        <v>9</v>
      </c>
      <c r="N46" s="141">
        <v>0</v>
      </c>
      <c r="O46" s="141">
        <v>0</v>
      </c>
      <c r="P46" s="141">
        <v>0</v>
      </c>
      <c r="Q46" s="141">
        <v>0</v>
      </c>
      <c r="R46" s="141">
        <v>0</v>
      </c>
    </row>
    <row r="47" spans="1:18">
      <c r="A47" s="138">
        <v>1233735</v>
      </c>
      <c r="B47" s="141">
        <v>0</v>
      </c>
      <c r="C47" s="141">
        <v>0</v>
      </c>
      <c r="D47" s="141">
        <v>0</v>
      </c>
      <c r="E47" s="141">
        <v>0</v>
      </c>
      <c r="F47" s="141">
        <v>0</v>
      </c>
      <c r="G47" s="141">
        <v>90</v>
      </c>
      <c r="H47" s="141">
        <v>0</v>
      </c>
      <c r="I47" s="141">
        <v>0</v>
      </c>
      <c r="J47" s="141">
        <v>0</v>
      </c>
      <c r="K47" s="141">
        <v>0</v>
      </c>
      <c r="L47" s="141">
        <v>0</v>
      </c>
      <c r="M47" s="141">
        <v>0</v>
      </c>
      <c r="N47" s="141">
        <v>0</v>
      </c>
      <c r="O47" s="141">
        <v>0</v>
      </c>
      <c r="P47" s="141">
        <v>0</v>
      </c>
      <c r="Q47" s="141">
        <v>0</v>
      </c>
      <c r="R47" s="141">
        <v>0</v>
      </c>
    </row>
    <row r="48" spans="1:18">
      <c r="A48" s="138">
        <v>1234034</v>
      </c>
      <c r="B48" s="141">
        <v>0</v>
      </c>
      <c r="C48" s="141">
        <v>0</v>
      </c>
      <c r="D48" s="141">
        <v>0</v>
      </c>
      <c r="E48" s="141">
        <v>0</v>
      </c>
      <c r="F48" s="141">
        <v>0</v>
      </c>
      <c r="G48" s="141">
        <v>40</v>
      </c>
      <c r="H48" s="141">
        <v>0</v>
      </c>
      <c r="I48" s="141">
        <v>0</v>
      </c>
      <c r="J48" s="141">
        <v>0</v>
      </c>
      <c r="K48" s="141">
        <v>0</v>
      </c>
      <c r="L48" s="141">
        <v>0</v>
      </c>
      <c r="M48" s="141">
        <v>0</v>
      </c>
      <c r="N48" s="141">
        <v>0</v>
      </c>
      <c r="O48" s="141">
        <v>0</v>
      </c>
      <c r="P48" s="141">
        <v>0</v>
      </c>
      <c r="Q48" s="141">
        <v>0</v>
      </c>
      <c r="R48" s="141">
        <v>0</v>
      </c>
    </row>
    <row r="49" spans="1:18">
      <c r="A49" s="138">
        <v>1235097</v>
      </c>
      <c r="B49" s="141">
        <v>343</v>
      </c>
      <c r="C49" s="141">
        <v>0</v>
      </c>
      <c r="D49" s="141">
        <v>0</v>
      </c>
      <c r="E49" s="141">
        <v>0</v>
      </c>
      <c r="F49" s="141">
        <v>0</v>
      </c>
      <c r="G49" s="141">
        <v>0</v>
      </c>
      <c r="H49" s="141">
        <v>0</v>
      </c>
      <c r="I49" s="141">
        <v>0</v>
      </c>
      <c r="J49" s="141">
        <v>0</v>
      </c>
      <c r="K49" s="141">
        <v>0</v>
      </c>
      <c r="L49" s="141">
        <v>343</v>
      </c>
      <c r="M49" s="141">
        <v>327</v>
      </c>
      <c r="N49" s="141">
        <v>0</v>
      </c>
      <c r="O49" s="141">
        <v>0</v>
      </c>
      <c r="P49" s="141">
        <v>0</v>
      </c>
      <c r="Q49" s="141">
        <v>0</v>
      </c>
      <c r="R49" s="141">
        <v>0</v>
      </c>
    </row>
    <row r="50" spans="1:18">
      <c r="A50" s="138">
        <v>1235845</v>
      </c>
      <c r="B50" s="141">
        <v>622</v>
      </c>
      <c r="C50" s="141">
        <v>0</v>
      </c>
      <c r="D50" s="141">
        <v>0</v>
      </c>
      <c r="E50" s="141">
        <v>0</v>
      </c>
      <c r="F50" s="141">
        <v>0</v>
      </c>
      <c r="G50" s="141">
        <v>0</v>
      </c>
      <c r="H50" s="141">
        <v>462</v>
      </c>
      <c r="I50" s="141">
        <v>547</v>
      </c>
      <c r="J50" s="141">
        <v>0</v>
      </c>
      <c r="K50" s="141">
        <v>0</v>
      </c>
      <c r="L50" s="141">
        <v>622</v>
      </c>
      <c r="M50" s="141">
        <v>366</v>
      </c>
      <c r="N50" s="141">
        <v>0</v>
      </c>
      <c r="O50" s="141">
        <v>0</v>
      </c>
      <c r="P50" s="141">
        <v>0</v>
      </c>
      <c r="Q50" s="141">
        <v>0</v>
      </c>
      <c r="R50" s="141">
        <v>0</v>
      </c>
    </row>
    <row r="51" spans="1:18">
      <c r="A51" s="138">
        <v>1236930</v>
      </c>
      <c r="B51" s="141">
        <v>16</v>
      </c>
      <c r="C51" s="141">
        <v>0</v>
      </c>
      <c r="D51" s="141">
        <v>0</v>
      </c>
      <c r="E51" s="141">
        <v>339</v>
      </c>
      <c r="F51" s="141">
        <v>337</v>
      </c>
      <c r="G51" s="141">
        <v>136</v>
      </c>
      <c r="H51" s="141">
        <v>0</v>
      </c>
      <c r="I51" s="141">
        <v>0</v>
      </c>
      <c r="J51" s="141">
        <v>0</v>
      </c>
      <c r="K51" s="141">
        <v>0</v>
      </c>
      <c r="L51" s="141">
        <v>0</v>
      </c>
      <c r="M51" s="141">
        <v>340</v>
      </c>
      <c r="N51" s="141">
        <v>470</v>
      </c>
      <c r="O51" s="141">
        <v>615</v>
      </c>
      <c r="P51" s="141">
        <v>564</v>
      </c>
      <c r="Q51" s="141">
        <v>0</v>
      </c>
      <c r="R51" s="141">
        <v>0</v>
      </c>
    </row>
    <row r="52" spans="1:18">
      <c r="A52" s="138">
        <v>1232982</v>
      </c>
      <c r="B52" s="141">
        <v>0</v>
      </c>
      <c r="C52" s="141">
        <v>0</v>
      </c>
      <c r="D52" s="141">
        <v>0</v>
      </c>
      <c r="E52" s="141">
        <v>0</v>
      </c>
      <c r="F52" s="141">
        <v>0</v>
      </c>
      <c r="G52" s="141">
        <v>0</v>
      </c>
      <c r="H52" s="141">
        <v>187</v>
      </c>
      <c r="I52" s="141">
        <v>0</v>
      </c>
      <c r="J52" s="141">
        <v>0</v>
      </c>
      <c r="K52" s="141">
        <v>0</v>
      </c>
      <c r="L52" s="141">
        <v>0</v>
      </c>
      <c r="M52" s="141">
        <v>0</v>
      </c>
      <c r="N52" s="141">
        <v>0</v>
      </c>
      <c r="O52" s="141">
        <v>0</v>
      </c>
      <c r="P52" s="141">
        <v>0</v>
      </c>
      <c r="Q52" s="141">
        <v>0</v>
      </c>
      <c r="R52" s="141">
        <v>0</v>
      </c>
    </row>
    <row r="53" spans="1:18">
      <c r="A53" s="138">
        <v>1234905</v>
      </c>
      <c r="B53" s="141">
        <v>0</v>
      </c>
      <c r="C53" s="141">
        <v>0</v>
      </c>
      <c r="D53" s="141">
        <v>0</v>
      </c>
      <c r="E53" s="141">
        <v>0</v>
      </c>
      <c r="F53" s="141">
        <v>0</v>
      </c>
      <c r="G53" s="141">
        <v>0</v>
      </c>
      <c r="H53" s="141">
        <v>0</v>
      </c>
      <c r="I53" s="141">
        <v>261</v>
      </c>
      <c r="J53" s="141">
        <v>0</v>
      </c>
      <c r="K53" s="141">
        <v>0</v>
      </c>
      <c r="L53" s="141">
        <v>395</v>
      </c>
      <c r="M53" s="141">
        <v>0</v>
      </c>
      <c r="N53" s="141">
        <v>0</v>
      </c>
      <c r="O53" s="141">
        <v>0</v>
      </c>
      <c r="P53" s="141">
        <v>0</v>
      </c>
      <c r="Q53" s="141">
        <v>0</v>
      </c>
      <c r="R53" s="141">
        <v>0</v>
      </c>
    </row>
    <row r="54" spans="1:18">
      <c r="A54" s="138">
        <v>1238480</v>
      </c>
      <c r="B54" s="141">
        <v>1039</v>
      </c>
      <c r="C54" s="141">
        <v>0</v>
      </c>
      <c r="D54" s="141">
        <v>0</v>
      </c>
      <c r="E54" s="141">
        <v>867</v>
      </c>
      <c r="F54" s="141">
        <v>1180</v>
      </c>
      <c r="G54" s="141">
        <v>835</v>
      </c>
      <c r="H54" s="141">
        <v>1096</v>
      </c>
      <c r="I54" s="141">
        <v>1121</v>
      </c>
      <c r="J54" s="141">
        <v>0</v>
      </c>
      <c r="K54" s="141">
        <v>0</v>
      </c>
      <c r="L54" s="141">
        <v>1016</v>
      </c>
      <c r="M54" s="141">
        <v>1149</v>
      </c>
      <c r="N54" s="141">
        <v>898</v>
      </c>
      <c r="O54" s="141">
        <v>1030</v>
      </c>
      <c r="P54" s="141">
        <v>1043</v>
      </c>
      <c r="Q54" s="141">
        <v>0</v>
      </c>
      <c r="R54" s="141">
        <v>0</v>
      </c>
    </row>
    <row r="55" spans="1:18">
      <c r="A55" s="138">
        <v>1238453</v>
      </c>
      <c r="B55" s="141">
        <v>311</v>
      </c>
      <c r="C55" s="141">
        <v>0</v>
      </c>
      <c r="D55" s="141">
        <v>0</v>
      </c>
      <c r="E55" s="141">
        <v>0</v>
      </c>
      <c r="F55" s="141">
        <v>0</v>
      </c>
      <c r="G55" s="141">
        <v>0</v>
      </c>
      <c r="H55" s="141">
        <v>0</v>
      </c>
      <c r="I55" s="141">
        <v>0</v>
      </c>
      <c r="J55" s="141">
        <v>0</v>
      </c>
      <c r="K55" s="141">
        <v>0</v>
      </c>
      <c r="L55" s="141">
        <v>0</v>
      </c>
      <c r="M55" s="141">
        <v>0</v>
      </c>
      <c r="N55" s="141">
        <v>0</v>
      </c>
      <c r="O55" s="141">
        <v>0</v>
      </c>
      <c r="P55" s="141">
        <v>0</v>
      </c>
      <c r="Q55" s="141">
        <v>0</v>
      </c>
      <c r="R55" s="141">
        <v>0</v>
      </c>
    </row>
    <row r="56" spans="1:18">
      <c r="A56" s="138">
        <v>1232775</v>
      </c>
      <c r="B56" s="141">
        <v>431</v>
      </c>
      <c r="C56" s="141">
        <v>0</v>
      </c>
      <c r="D56" s="141">
        <v>0</v>
      </c>
      <c r="E56" s="141">
        <v>418</v>
      </c>
      <c r="F56" s="141">
        <v>0</v>
      </c>
      <c r="G56" s="141">
        <v>0</v>
      </c>
      <c r="H56" s="141">
        <v>0</v>
      </c>
      <c r="I56" s="141">
        <v>0</v>
      </c>
      <c r="J56" s="141">
        <v>0</v>
      </c>
      <c r="K56" s="141">
        <v>0</v>
      </c>
      <c r="L56" s="141">
        <v>286</v>
      </c>
      <c r="M56" s="141">
        <v>0</v>
      </c>
      <c r="N56" s="141">
        <v>0</v>
      </c>
      <c r="O56" s="141">
        <v>0</v>
      </c>
      <c r="P56" s="141">
        <v>0</v>
      </c>
      <c r="Q56" s="141">
        <v>0</v>
      </c>
      <c r="R56" s="141">
        <v>0</v>
      </c>
    </row>
    <row r="57" spans="1:18">
      <c r="A57" s="138">
        <v>1240029</v>
      </c>
      <c r="B57" s="141">
        <v>0</v>
      </c>
      <c r="C57" s="141">
        <v>0</v>
      </c>
      <c r="D57" s="141">
        <v>0</v>
      </c>
      <c r="E57" s="141">
        <v>0</v>
      </c>
      <c r="F57" s="141">
        <v>0</v>
      </c>
      <c r="G57" s="141">
        <v>0</v>
      </c>
      <c r="H57" s="141">
        <v>0</v>
      </c>
      <c r="I57" s="141">
        <v>150</v>
      </c>
      <c r="J57" s="141">
        <v>0</v>
      </c>
      <c r="K57" s="141">
        <v>0</v>
      </c>
      <c r="L57" s="141">
        <v>0</v>
      </c>
      <c r="M57" s="141">
        <v>0</v>
      </c>
      <c r="N57" s="141">
        <v>0</v>
      </c>
      <c r="O57" s="141">
        <v>0</v>
      </c>
      <c r="P57" s="141">
        <v>0</v>
      </c>
      <c r="Q57" s="141">
        <v>0</v>
      </c>
      <c r="R57" s="141">
        <v>0</v>
      </c>
    </row>
    <row r="58" spans="1:18">
      <c r="A58" s="138">
        <v>1240032</v>
      </c>
      <c r="B58" s="141">
        <v>0</v>
      </c>
      <c r="C58" s="141">
        <v>0</v>
      </c>
      <c r="D58" s="141">
        <v>0</v>
      </c>
      <c r="E58" s="141">
        <v>0</v>
      </c>
      <c r="F58" s="141">
        <v>0</v>
      </c>
      <c r="G58" s="141">
        <v>0</v>
      </c>
      <c r="H58" s="141">
        <v>0</v>
      </c>
      <c r="I58" s="141">
        <v>150</v>
      </c>
      <c r="J58" s="141">
        <v>0</v>
      </c>
      <c r="K58" s="141">
        <v>0</v>
      </c>
      <c r="L58" s="141">
        <v>0</v>
      </c>
      <c r="M58" s="141">
        <v>0</v>
      </c>
      <c r="N58" s="141">
        <v>0</v>
      </c>
      <c r="O58" s="141">
        <v>0</v>
      </c>
      <c r="P58" s="141">
        <v>0</v>
      </c>
      <c r="Q58" s="141">
        <v>0</v>
      </c>
      <c r="R58" s="141">
        <v>0</v>
      </c>
    </row>
    <row r="59" spans="1:18">
      <c r="A59" s="138">
        <v>1240180</v>
      </c>
      <c r="B59" s="141">
        <v>0</v>
      </c>
      <c r="C59" s="141">
        <v>0</v>
      </c>
      <c r="D59" s="141">
        <v>0</v>
      </c>
      <c r="E59" s="141">
        <v>0</v>
      </c>
      <c r="F59" s="141">
        <v>0</v>
      </c>
      <c r="G59" s="141">
        <v>111</v>
      </c>
      <c r="H59" s="141">
        <v>320</v>
      </c>
      <c r="I59" s="141">
        <v>100</v>
      </c>
      <c r="J59" s="141">
        <v>0</v>
      </c>
      <c r="K59" s="141">
        <v>0</v>
      </c>
      <c r="L59" s="141">
        <v>0</v>
      </c>
      <c r="M59" s="141">
        <v>0</v>
      </c>
      <c r="N59" s="141">
        <v>0</v>
      </c>
      <c r="O59" s="141">
        <v>0</v>
      </c>
      <c r="P59" s="141">
        <v>0</v>
      </c>
      <c r="Q59" s="141">
        <v>0</v>
      </c>
      <c r="R59" s="141">
        <v>0</v>
      </c>
    </row>
    <row r="60" spans="1:18">
      <c r="A60" s="138">
        <v>1240184</v>
      </c>
      <c r="B60" s="141">
        <v>0</v>
      </c>
      <c r="C60" s="141">
        <v>0</v>
      </c>
      <c r="D60" s="141">
        <v>0</v>
      </c>
      <c r="E60" s="141">
        <v>0</v>
      </c>
      <c r="F60" s="141">
        <v>0</v>
      </c>
      <c r="G60" s="141">
        <v>111</v>
      </c>
      <c r="H60" s="141">
        <v>320</v>
      </c>
      <c r="I60" s="141">
        <v>100</v>
      </c>
      <c r="J60" s="141">
        <v>0</v>
      </c>
      <c r="K60" s="141">
        <v>0</v>
      </c>
      <c r="L60" s="141">
        <v>0</v>
      </c>
      <c r="M60" s="141">
        <v>0</v>
      </c>
      <c r="N60" s="141">
        <v>0</v>
      </c>
      <c r="O60" s="141">
        <v>0</v>
      </c>
      <c r="P60" s="141">
        <v>0</v>
      </c>
      <c r="Q60" s="141">
        <v>0</v>
      </c>
      <c r="R60" s="141">
        <v>0</v>
      </c>
    </row>
    <row r="61" spans="1:18">
      <c r="A61" s="138">
        <v>1241138</v>
      </c>
      <c r="B61" s="141">
        <v>0</v>
      </c>
      <c r="C61" s="141">
        <v>0</v>
      </c>
      <c r="D61" s="141">
        <v>0</v>
      </c>
      <c r="E61" s="141">
        <v>0</v>
      </c>
      <c r="F61" s="141">
        <v>0</v>
      </c>
      <c r="G61" s="141">
        <v>0</v>
      </c>
      <c r="H61" s="141">
        <v>80</v>
      </c>
      <c r="I61" s="141">
        <v>0</v>
      </c>
      <c r="J61" s="141">
        <v>0</v>
      </c>
      <c r="K61" s="141">
        <v>0</v>
      </c>
      <c r="L61" s="141">
        <v>0</v>
      </c>
      <c r="M61" s="141">
        <v>0</v>
      </c>
      <c r="N61" s="141">
        <v>0</v>
      </c>
      <c r="O61" s="141">
        <v>0</v>
      </c>
      <c r="P61" s="141">
        <v>0</v>
      </c>
      <c r="Q61" s="141">
        <v>0</v>
      </c>
      <c r="R61" s="141">
        <v>0</v>
      </c>
    </row>
    <row r="62" spans="1:18">
      <c r="A62" s="138">
        <v>1216452</v>
      </c>
      <c r="B62" s="141">
        <v>0</v>
      </c>
      <c r="C62" s="141">
        <v>0</v>
      </c>
      <c r="D62" s="141">
        <v>0</v>
      </c>
      <c r="E62" s="141">
        <v>244</v>
      </c>
      <c r="F62" s="141">
        <v>274</v>
      </c>
      <c r="G62" s="141">
        <v>0</v>
      </c>
      <c r="H62" s="141">
        <v>0</v>
      </c>
      <c r="I62" s="141">
        <v>0</v>
      </c>
      <c r="J62" s="141">
        <v>0</v>
      </c>
      <c r="K62" s="141">
        <v>0</v>
      </c>
      <c r="L62" s="141">
        <v>0</v>
      </c>
      <c r="M62" s="141">
        <v>0</v>
      </c>
      <c r="N62" s="141">
        <v>0</v>
      </c>
      <c r="O62" s="141">
        <v>0</v>
      </c>
      <c r="P62" s="141">
        <v>0</v>
      </c>
      <c r="Q62" s="141">
        <v>0</v>
      </c>
      <c r="R62" s="141">
        <v>0</v>
      </c>
    </row>
    <row r="63" spans="1:18">
      <c r="A63" s="138">
        <v>1232894</v>
      </c>
      <c r="B63" s="141">
        <v>0</v>
      </c>
      <c r="C63" s="141">
        <v>0</v>
      </c>
      <c r="D63" s="141">
        <v>0</v>
      </c>
      <c r="E63" s="141">
        <v>0</v>
      </c>
      <c r="F63" s="141">
        <v>0</v>
      </c>
      <c r="G63" s="141">
        <v>264</v>
      </c>
      <c r="H63" s="141">
        <v>0</v>
      </c>
      <c r="I63" s="141">
        <v>0</v>
      </c>
      <c r="J63" s="141">
        <v>0</v>
      </c>
      <c r="K63" s="141">
        <v>0</v>
      </c>
      <c r="L63" s="141">
        <v>0</v>
      </c>
      <c r="M63" s="141">
        <v>0</v>
      </c>
      <c r="N63" s="141">
        <v>0</v>
      </c>
      <c r="O63" s="141">
        <v>0</v>
      </c>
      <c r="P63" s="141">
        <v>0</v>
      </c>
      <c r="Q63" s="141">
        <v>0</v>
      </c>
      <c r="R63" s="141">
        <v>0</v>
      </c>
    </row>
    <row r="64" spans="1:18">
      <c r="A64" s="138">
        <v>1233385</v>
      </c>
      <c r="B64" s="141">
        <v>0</v>
      </c>
      <c r="C64" s="141">
        <v>0</v>
      </c>
      <c r="D64" s="141">
        <v>0</v>
      </c>
      <c r="E64" s="141">
        <v>0</v>
      </c>
      <c r="F64" s="141">
        <v>0</v>
      </c>
      <c r="G64" s="141">
        <v>264</v>
      </c>
      <c r="H64" s="141">
        <v>0</v>
      </c>
      <c r="I64" s="141">
        <v>0</v>
      </c>
      <c r="J64" s="141">
        <v>0</v>
      </c>
      <c r="K64" s="141">
        <v>0</v>
      </c>
      <c r="L64" s="141">
        <v>0</v>
      </c>
      <c r="M64" s="141">
        <v>0</v>
      </c>
      <c r="N64" s="141">
        <v>0</v>
      </c>
      <c r="O64" s="141">
        <v>0</v>
      </c>
      <c r="P64" s="141">
        <v>0</v>
      </c>
      <c r="Q64" s="141">
        <v>0</v>
      </c>
      <c r="R64" s="141">
        <v>0</v>
      </c>
    </row>
    <row r="65" spans="1:18">
      <c r="A65" s="138">
        <v>1232895</v>
      </c>
      <c r="B65" s="141">
        <v>0</v>
      </c>
      <c r="C65" s="141">
        <v>0</v>
      </c>
      <c r="D65" s="141">
        <v>0</v>
      </c>
      <c r="E65" s="141">
        <v>0</v>
      </c>
      <c r="F65" s="141">
        <v>0</v>
      </c>
      <c r="G65" s="141">
        <v>36</v>
      </c>
      <c r="H65" s="141">
        <v>40</v>
      </c>
      <c r="I65" s="141">
        <v>0</v>
      </c>
      <c r="J65" s="141">
        <v>0</v>
      </c>
      <c r="K65" s="141">
        <v>0</v>
      </c>
      <c r="L65" s="141">
        <v>0</v>
      </c>
      <c r="M65" s="141">
        <v>0</v>
      </c>
      <c r="N65" s="141">
        <v>0</v>
      </c>
      <c r="O65" s="141">
        <v>0</v>
      </c>
      <c r="P65" s="141">
        <v>0</v>
      </c>
      <c r="Q65" s="141">
        <v>0</v>
      </c>
      <c r="R65" s="141">
        <v>0</v>
      </c>
    </row>
    <row r="66" spans="1:18">
      <c r="A66" s="138">
        <v>1233387</v>
      </c>
      <c r="B66" s="141">
        <v>0</v>
      </c>
      <c r="C66" s="141">
        <v>0</v>
      </c>
      <c r="D66" s="141">
        <v>0</v>
      </c>
      <c r="E66" s="141">
        <v>0</v>
      </c>
      <c r="F66" s="141">
        <v>0</v>
      </c>
      <c r="G66" s="141">
        <v>36</v>
      </c>
      <c r="H66" s="141">
        <v>40</v>
      </c>
      <c r="I66" s="141">
        <v>0</v>
      </c>
      <c r="J66" s="141">
        <v>0</v>
      </c>
      <c r="K66" s="141">
        <v>0</v>
      </c>
      <c r="L66" s="141">
        <v>0</v>
      </c>
      <c r="M66" s="141">
        <v>0</v>
      </c>
      <c r="N66" s="141">
        <v>0</v>
      </c>
      <c r="O66" s="141">
        <v>0</v>
      </c>
      <c r="P66" s="141">
        <v>0</v>
      </c>
      <c r="Q66" s="141">
        <v>0</v>
      </c>
      <c r="R66" s="141">
        <v>0</v>
      </c>
    </row>
  </sheetData>
  <autoFilter ref="A1:R19" xr:uid="{B3BFDB44-9CF8-4FDB-B9F6-C6E30631F0DC}"/>
  <phoneticPr fontId="1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7DE1-E7DD-4D14-AA9E-15BAC02BB3B9}">
  <dimension ref="A1:R60"/>
  <sheetViews>
    <sheetView zoomScale="145" zoomScaleNormal="145" workbookViewId="0">
      <selection activeCell="A18" sqref="A18"/>
    </sheetView>
  </sheetViews>
  <sheetFormatPr defaultColWidth="9.33203125" defaultRowHeight="12"/>
  <cols>
    <col min="1" max="1" width="10.1640625" style="5" bestFit="1" customWidth="1"/>
    <col min="2" max="2" width="9.33203125" style="9" bestFit="1"/>
    <col min="3" max="14" width="9.1640625" style="9" customWidth="1"/>
    <col min="15" max="15" width="9.33203125" style="9" bestFit="1"/>
    <col min="16" max="16384" width="9.33203125" style="5"/>
  </cols>
  <sheetData>
    <row r="1" spans="1:15">
      <c r="A1" s="146" t="s">
        <v>0</v>
      </c>
      <c r="B1" s="69" t="s">
        <v>766</v>
      </c>
      <c r="C1" s="69" t="s">
        <v>767</v>
      </c>
      <c r="D1" s="69" t="s">
        <v>768</v>
      </c>
      <c r="E1" s="69" t="s">
        <v>769</v>
      </c>
      <c r="F1" s="69" t="s">
        <v>770</v>
      </c>
      <c r="G1" s="69" t="s">
        <v>771</v>
      </c>
      <c r="H1" s="70" t="s">
        <v>772</v>
      </c>
      <c r="I1" s="69" t="s">
        <v>789</v>
      </c>
      <c r="J1" s="69" t="s">
        <v>790</v>
      </c>
      <c r="K1" s="69" t="s">
        <v>791</v>
      </c>
      <c r="L1" s="69" t="s">
        <v>792</v>
      </c>
      <c r="M1" s="69" t="s">
        <v>793</v>
      </c>
      <c r="N1" s="69" t="s">
        <v>794</v>
      </c>
      <c r="O1" s="70" t="s">
        <v>795</v>
      </c>
    </row>
    <row r="2" spans="1:15" customFormat="1" ht="11.25">
      <c r="A2" s="144">
        <v>1226384</v>
      </c>
      <c r="B2" s="145">
        <v>0</v>
      </c>
      <c r="C2" s="145">
        <v>0</v>
      </c>
      <c r="D2" s="145">
        <v>0</v>
      </c>
      <c r="E2" s="145">
        <v>0</v>
      </c>
      <c r="F2" s="145">
        <v>0</v>
      </c>
      <c r="G2" s="145">
        <v>0</v>
      </c>
      <c r="H2" s="145">
        <v>0</v>
      </c>
      <c r="I2" s="145">
        <v>0</v>
      </c>
      <c r="J2" s="145">
        <v>401</v>
      </c>
      <c r="K2" s="145">
        <v>400</v>
      </c>
      <c r="L2" s="145">
        <v>260</v>
      </c>
      <c r="M2" s="145">
        <v>0</v>
      </c>
      <c r="N2" s="145">
        <v>0</v>
      </c>
      <c r="O2" s="145">
        <v>0</v>
      </c>
    </row>
    <row r="3" spans="1:15" customFormat="1" ht="11.25">
      <c r="A3" s="144">
        <v>1226388</v>
      </c>
      <c r="B3" s="145">
        <v>0</v>
      </c>
      <c r="C3" s="145">
        <v>0</v>
      </c>
      <c r="D3" s="145">
        <v>0</v>
      </c>
      <c r="E3" s="145">
        <v>0</v>
      </c>
      <c r="F3" s="145">
        <v>0</v>
      </c>
      <c r="G3" s="145">
        <v>0</v>
      </c>
      <c r="H3" s="145">
        <v>0</v>
      </c>
      <c r="I3" s="145">
        <v>0</v>
      </c>
      <c r="J3" s="145">
        <v>401</v>
      </c>
      <c r="K3" s="145">
        <v>400</v>
      </c>
      <c r="L3" s="145">
        <v>260</v>
      </c>
      <c r="M3" s="145">
        <v>0</v>
      </c>
      <c r="N3" s="145">
        <v>0</v>
      </c>
      <c r="O3" s="145">
        <v>0</v>
      </c>
    </row>
    <row r="4" spans="1:15">
      <c r="A4" s="147">
        <v>1229673</v>
      </c>
      <c r="B4" s="32">
        <v>0</v>
      </c>
      <c r="C4" s="32">
        <v>200</v>
      </c>
      <c r="D4" s="32">
        <v>0</v>
      </c>
      <c r="E4" s="17">
        <v>300</v>
      </c>
      <c r="F4" s="32">
        <v>300</v>
      </c>
      <c r="G4" s="32">
        <v>0</v>
      </c>
      <c r="H4" s="32">
        <v>0</v>
      </c>
      <c r="I4" s="32">
        <v>250</v>
      </c>
      <c r="J4" s="32">
        <v>250</v>
      </c>
      <c r="K4" s="32">
        <v>250</v>
      </c>
      <c r="L4" s="32">
        <v>250</v>
      </c>
      <c r="M4" s="32">
        <v>250</v>
      </c>
      <c r="N4" s="32">
        <v>0</v>
      </c>
      <c r="O4" s="32">
        <v>0</v>
      </c>
    </row>
    <row r="5" spans="1:15">
      <c r="A5" s="147">
        <v>1233632</v>
      </c>
      <c r="B5" s="32">
        <v>0</v>
      </c>
      <c r="C5" s="32">
        <v>0</v>
      </c>
      <c r="D5" s="32">
        <v>64</v>
      </c>
      <c r="E5" s="17">
        <v>116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</row>
    <row r="6" spans="1:15" customFormat="1" ht="11.25">
      <c r="A6" s="144">
        <v>1235623</v>
      </c>
      <c r="B6" s="145">
        <v>0</v>
      </c>
      <c r="C6" s="145">
        <v>0</v>
      </c>
      <c r="D6" s="145">
        <v>0</v>
      </c>
      <c r="E6" s="145">
        <v>0</v>
      </c>
      <c r="F6" s="145">
        <v>0</v>
      </c>
      <c r="G6" s="145">
        <v>0</v>
      </c>
      <c r="H6" s="145">
        <v>0</v>
      </c>
      <c r="I6" s="145">
        <v>542</v>
      </c>
      <c r="J6" s="145">
        <v>394</v>
      </c>
      <c r="K6" s="145">
        <v>0</v>
      </c>
      <c r="L6" s="145">
        <v>0</v>
      </c>
      <c r="M6" s="145">
        <v>0</v>
      </c>
      <c r="N6" s="145">
        <v>0</v>
      </c>
      <c r="O6" s="145">
        <v>0</v>
      </c>
    </row>
    <row r="7" spans="1:15" s="104" customFormat="1">
      <c r="A7" s="148">
        <v>1237088</v>
      </c>
      <c r="B7" s="75">
        <v>332</v>
      </c>
      <c r="C7" s="75">
        <v>330</v>
      </c>
      <c r="D7" s="75">
        <v>788</v>
      </c>
      <c r="E7" s="109">
        <v>1168</v>
      </c>
      <c r="F7" s="75">
        <v>1638</v>
      </c>
      <c r="G7" s="75">
        <v>0</v>
      </c>
      <c r="H7" s="75">
        <v>0</v>
      </c>
      <c r="I7" s="75">
        <v>882</v>
      </c>
      <c r="J7" s="75">
        <v>1074</v>
      </c>
      <c r="K7" s="75">
        <v>380</v>
      </c>
      <c r="L7" s="75">
        <v>462</v>
      </c>
      <c r="M7" s="75">
        <v>426</v>
      </c>
      <c r="N7" s="75">
        <v>0</v>
      </c>
      <c r="O7" s="75">
        <v>0</v>
      </c>
    </row>
    <row r="8" spans="1:15" customFormat="1" ht="11.25">
      <c r="A8" s="144">
        <v>1237765</v>
      </c>
      <c r="B8" s="145">
        <v>0</v>
      </c>
      <c r="C8" s="145">
        <v>0</v>
      </c>
      <c r="D8" s="145">
        <v>0</v>
      </c>
      <c r="E8" s="145">
        <v>0</v>
      </c>
      <c r="F8" s="145">
        <v>0</v>
      </c>
      <c r="G8" s="145">
        <v>0</v>
      </c>
      <c r="H8" s="145">
        <v>0</v>
      </c>
      <c r="I8" s="145">
        <v>150</v>
      </c>
      <c r="J8" s="145">
        <v>0</v>
      </c>
      <c r="K8" s="145">
        <v>0</v>
      </c>
      <c r="L8" s="145">
        <v>0</v>
      </c>
      <c r="M8" s="145">
        <v>0</v>
      </c>
      <c r="N8" s="145">
        <v>0</v>
      </c>
      <c r="O8" s="145">
        <v>0</v>
      </c>
    </row>
    <row r="9" spans="1:15" customFormat="1" ht="11.25">
      <c r="A9" s="144">
        <v>1237748</v>
      </c>
      <c r="B9" s="145">
        <v>0</v>
      </c>
      <c r="C9" s="145">
        <v>0</v>
      </c>
      <c r="D9" s="145">
        <v>0</v>
      </c>
      <c r="E9" s="145">
        <v>0</v>
      </c>
      <c r="F9" s="145">
        <v>0</v>
      </c>
      <c r="G9" s="145">
        <v>0</v>
      </c>
      <c r="H9" s="145">
        <v>0</v>
      </c>
      <c r="I9" s="145">
        <v>0</v>
      </c>
      <c r="J9" s="145">
        <v>458</v>
      </c>
      <c r="K9" s="145">
        <v>422</v>
      </c>
      <c r="L9" s="145">
        <v>0</v>
      </c>
      <c r="M9" s="145">
        <v>0</v>
      </c>
      <c r="N9" s="145">
        <v>0</v>
      </c>
      <c r="O9" s="145">
        <v>0</v>
      </c>
    </row>
    <row r="10" spans="1:15" customFormat="1" ht="11.25">
      <c r="A10" s="144">
        <v>1236091</v>
      </c>
      <c r="B10" s="145">
        <v>0</v>
      </c>
      <c r="C10" s="145">
        <v>0</v>
      </c>
      <c r="D10" s="145">
        <v>0</v>
      </c>
      <c r="E10" s="145">
        <v>0</v>
      </c>
      <c r="F10" s="145">
        <v>0</v>
      </c>
      <c r="G10" s="145">
        <v>0</v>
      </c>
      <c r="H10" s="145">
        <v>0</v>
      </c>
      <c r="I10" s="145">
        <v>0</v>
      </c>
      <c r="J10" s="145">
        <v>0</v>
      </c>
      <c r="K10" s="145">
        <v>0</v>
      </c>
      <c r="L10" s="145">
        <v>0</v>
      </c>
      <c r="M10" s="145">
        <v>200</v>
      </c>
      <c r="N10" s="145">
        <v>0</v>
      </c>
      <c r="O10" s="145">
        <v>0</v>
      </c>
    </row>
    <row r="11" spans="1:15" s="104" customFormat="1">
      <c r="A11" s="148">
        <v>1238128</v>
      </c>
      <c r="B11" s="75">
        <v>60</v>
      </c>
      <c r="C11" s="75">
        <v>0</v>
      </c>
      <c r="D11" s="75">
        <v>0</v>
      </c>
      <c r="E11" s="109">
        <v>76</v>
      </c>
      <c r="F11" s="75">
        <v>480</v>
      </c>
      <c r="G11" s="75">
        <v>0</v>
      </c>
      <c r="H11" s="75">
        <v>0</v>
      </c>
      <c r="I11" s="75">
        <v>396</v>
      </c>
      <c r="J11" s="75">
        <v>590</v>
      </c>
      <c r="K11" s="75">
        <v>424</v>
      </c>
      <c r="L11" s="75">
        <v>590</v>
      </c>
      <c r="M11" s="75">
        <v>464</v>
      </c>
      <c r="N11" s="75">
        <v>0</v>
      </c>
      <c r="O11" s="75">
        <v>0</v>
      </c>
    </row>
    <row r="12" spans="1:15">
      <c r="A12" s="147">
        <v>1236962</v>
      </c>
      <c r="B12" s="32">
        <v>0</v>
      </c>
      <c r="C12" s="32">
        <v>500</v>
      </c>
      <c r="D12" s="32">
        <v>300</v>
      </c>
      <c r="E12" s="17">
        <v>300</v>
      </c>
      <c r="F12" s="32">
        <v>290</v>
      </c>
      <c r="G12" s="32">
        <v>0</v>
      </c>
      <c r="H12" s="32">
        <v>0</v>
      </c>
      <c r="I12" s="32">
        <v>300</v>
      </c>
      <c r="J12" s="32">
        <v>300</v>
      </c>
      <c r="K12" s="32">
        <v>300</v>
      </c>
      <c r="L12" s="32">
        <v>300</v>
      </c>
      <c r="M12" s="32">
        <v>0</v>
      </c>
      <c r="N12" s="32">
        <v>0</v>
      </c>
      <c r="O12" s="32">
        <v>0</v>
      </c>
    </row>
    <row r="13" spans="1:15" customFormat="1" ht="11.25">
      <c r="A13" s="144">
        <v>1233761</v>
      </c>
      <c r="B13" s="145">
        <v>0</v>
      </c>
      <c r="C13" s="145">
        <v>0</v>
      </c>
      <c r="D13" s="145">
        <v>0</v>
      </c>
      <c r="E13" s="145">
        <v>0</v>
      </c>
      <c r="F13" s="145">
        <v>0</v>
      </c>
      <c r="G13" s="145">
        <v>0</v>
      </c>
      <c r="H13" s="145">
        <v>0</v>
      </c>
      <c r="I13" s="145">
        <v>200</v>
      </c>
      <c r="J13" s="145">
        <v>0</v>
      </c>
      <c r="K13" s="145">
        <v>0</v>
      </c>
      <c r="L13" s="145">
        <v>200</v>
      </c>
      <c r="M13" s="145">
        <v>200</v>
      </c>
      <c r="N13" s="145">
        <v>0</v>
      </c>
      <c r="O13" s="145">
        <v>0</v>
      </c>
    </row>
    <row r="14" spans="1:15">
      <c r="A14" s="147">
        <v>1239651</v>
      </c>
      <c r="B14" s="32">
        <v>0</v>
      </c>
      <c r="C14" s="32">
        <v>0</v>
      </c>
      <c r="D14" s="32">
        <v>0</v>
      </c>
      <c r="E14" s="17">
        <v>400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</row>
    <row r="15" spans="1:15">
      <c r="A15" s="147">
        <v>1239988</v>
      </c>
      <c r="B15" s="32">
        <v>174</v>
      </c>
      <c r="C15" s="32">
        <v>120</v>
      </c>
      <c r="D15" s="32">
        <v>336</v>
      </c>
      <c r="E15" s="17">
        <v>454</v>
      </c>
      <c r="F15" s="32">
        <v>454</v>
      </c>
      <c r="G15" s="32">
        <v>0</v>
      </c>
      <c r="H15" s="32">
        <v>0</v>
      </c>
      <c r="I15" s="32">
        <v>0</v>
      </c>
      <c r="J15" s="32">
        <v>454</v>
      </c>
      <c r="K15" s="32">
        <v>148</v>
      </c>
      <c r="L15" s="32">
        <v>0</v>
      </c>
      <c r="M15" s="32">
        <v>0</v>
      </c>
      <c r="N15" s="32">
        <v>0</v>
      </c>
      <c r="O15" s="32">
        <v>0</v>
      </c>
    </row>
    <row r="16" spans="1:15">
      <c r="A16" s="147">
        <v>1240180</v>
      </c>
      <c r="B16" s="32">
        <v>666</v>
      </c>
      <c r="C16" s="32">
        <v>282</v>
      </c>
      <c r="D16" s="32">
        <v>262</v>
      </c>
      <c r="E16" s="17">
        <v>248</v>
      </c>
      <c r="F16" s="32">
        <v>358</v>
      </c>
      <c r="G16" s="32">
        <v>0</v>
      </c>
      <c r="H16" s="32">
        <v>0</v>
      </c>
      <c r="I16" s="32">
        <v>358</v>
      </c>
      <c r="J16" s="32">
        <v>358</v>
      </c>
      <c r="K16" s="32">
        <v>200</v>
      </c>
      <c r="L16" s="32">
        <v>294</v>
      </c>
      <c r="M16" s="32">
        <v>280</v>
      </c>
      <c r="N16" s="32">
        <v>0</v>
      </c>
      <c r="O16" s="32">
        <v>0</v>
      </c>
    </row>
    <row r="17" spans="1:18">
      <c r="A17" s="147">
        <v>1240184</v>
      </c>
      <c r="B17" s="32">
        <v>616</v>
      </c>
      <c r="C17" s="32">
        <v>282</v>
      </c>
      <c r="D17" s="32">
        <v>262</v>
      </c>
      <c r="E17" s="17">
        <v>248</v>
      </c>
      <c r="F17" s="32">
        <v>358</v>
      </c>
      <c r="G17" s="32">
        <v>0</v>
      </c>
      <c r="H17" s="32">
        <v>0</v>
      </c>
      <c r="I17" s="32">
        <v>358</v>
      </c>
      <c r="J17" s="32">
        <v>358</v>
      </c>
      <c r="K17" s="32">
        <v>200</v>
      </c>
      <c r="L17" s="32">
        <v>294</v>
      </c>
      <c r="M17" s="32">
        <v>280</v>
      </c>
      <c r="N17" s="32">
        <v>0</v>
      </c>
      <c r="O17" s="32">
        <v>0</v>
      </c>
    </row>
    <row r="18" spans="1:18" customFormat="1" ht="11.25">
      <c r="A18" s="144">
        <v>1240308</v>
      </c>
      <c r="B18" s="145">
        <v>400</v>
      </c>
      <c r="C18" s="145">
        <v>350</v>
      </c>
      <c r="D18" s="145">
        <v>0</v>
      </c>
      <c r="E18" s="145">
        <v>0</v>
      </c>
      <c r="F18" s="145">
        <v>0</v>
      </c>
      <c r="G18" s="145">
        <v>0</v>
      </c>
      <c r="H18" s="145">
        <v>0</v>
      </c>
      <c r="I18" s="145">
        <v>0</v>
      </c>
      <c r="J18" s="145">
        <v>0</v>
      </c>
      <c r="K18" s="145">
        <v>350</v>
      </c>
      <c r="L18" s="145">
        <v>350</v>
      </c>
      <c r="M18" s="145">
        <v>350</v>
      </c>
      <c r="N18" s="145">
        <v>0</v>
      </c>
      <c r="O18" s="145">
        <v>0</v>
      </c>
    </row>
    <row r="19" spans="1:18" customFormat="1" ht="11.25">
      <c r="A19" s="144">
        <v>1241601</v>
      </c>
      <c r="B19" s="145">
        <v>0</v>
      </c>
      <c r="C19" s="145">
        <v>0</v>
      </c>
      <c r="D19" s="145">
        <v>0</v>
      </c>
      <c r="E19" s="145">
        <v>0</v>
      </c>
      <c r="F19" s="145">
        <v>0</v>
      </c>
      <c r="G19" s="145">
        <v>0</v>
      </c>
      <c r="H19" s="145">
        <v>0</v>
      </c>
      <c r="I19" s="145">
        <v>120</v>
      </c>
      <c r="J19" s="145">
        <v>0</v>
      </c>
      <c r="K19" s="145">
        <v>500</v>
      </c>
      <c r="L19" s="145">
        <v>1376</v>
      </c>
      <c r="M19" s="145">
        <v>770</v>
      </c>
      <c r="N19" s="145">
        <v>0</v>
      </c>
      <c r="O19" s="145">
        <v>0</v>
      </c>
    </row>
    <row r="22" spans="1:18">
      <c r="A22" s="146" t="s">
        <v>0</v>
      </c>
      <c r="B22" s="69" t="s">
        <v>766</v>
      </c>
      <c r="C22" s="69" t="s">
        <v>767</v>
      </c>
      <c r="D22" s="69" t="s">
        <v>768</v>
      </c>
      <c r="E22" s="69" t="s">
        <v>769</v>
      </c>
      <c r="F22" s="69" t="s">
        <v>770</v>
      </c>
      <c r="G22" s="69" t="s">
        <v>771</v>
      </c>
      <c r="H22" s="70" t="s">
        <v>772</v>
      </c>
      <c r="I22" s="69" t="s">
        <v>789</v>
      </c>
      <c r="J22" s="69" t="s">
        <v>790</v>
      </c>
      <c r="K22" s="69" t="s">
        <v>791</v>
      </c>
      <c r="L22" s="69" t="s">
        <v>792</v>
      </c>
      <c r="M22" s="69" t="s">
        <v>793</v>
      </c>
      <c r="N22" s="69" t="s">
        <v>794</v>
      </c>
      <c r="O22" s="70" t="s">
        <v>795</v>
      </c>
      <c r="R22" s="5">
        <f>18+62</f>
        <v>80</v>
      </c>
    </row>
    <row r="23" spans="1:18">
      <c r="A23" s="147">
        <v>1232846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304</v>
      </c>
      <c r="N23" s="32">
        <v>0</v>
      </c>
      <c r="O23" s="32">
        <v>0</v>
      </c>
    </row>
    <row r="24" spans="1:18">
      <c r="A24" s="147">
        <v>1232895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304</v>
      </c>
      <c r="N24" s="32">
        <v>0</v>
      </c>
      <c r="O24" s="32">
        <v>0</v>
      </c>
    </row>
    <row r="25" spans="1:18">
      <c r="A25" s="147">
        <v>1233384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304</v>
      </c>
      <c r="N25" s="32">
        <v>0</v>
      </c>
      <c r="O25" s="32">
        <v>0</v>
      </c>
    </row>
    <row r="26" spans="1:18">
      <c r="A26" s="147">
        <v>1236387</v>
      </c>
      <c r="B26" s="75">
        <v>426</v>
      </c>
      <c r="C26" s="75">
        <v>71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150</v>
      </c>
      <c r="K26" s="32">
        <v>357</v>
      </c>
      <c r="L26" s="32">
        <v>71</v>
      </c>
      <c r="M26" s="32">
        <v>0</v>
      </c>
      <c r="N26" s="32">
        <v>0</v>
      </c>
      <c r="O26" s="32">
        <v>0</v>
      </c>
    </row>
    <row r="27" spans="1:18">
      <c r="A27" s="147">
        <v>1232775</v>
      </c>
      <c r="B27" s="32">
        <v>0</v>
      </c>
      <c r="C27" s="75">
        <v>251</v>
      </c>
      <c r="D27" s="75">
        <v>109</v>
      </c>
      <c r="E27" s="75">
        <v>311</v>
      </c>
      <c r="F27" s="149">
        <v>278</v>
      </c>
      <c r="G27" s="32">
        <v>0</v>
      </c>
      <c r="H27" s="32">
        <v>0</v>
      </c>
      <c r="I27" s="32">
        <v>620</v>
      </c>
      <c r="J27" s="32">
        <v>282</v>
      </c>
      <c r="K27" s="32">
        <v>0</v>
      </c>
      <c r="L27" s="32">
        <v>248</v>
      </c>
      <c r="M27" s="32">
        <v>245</v>
      </c>
      <c r="N27" s="32">
        <v>0</v>
      </c>
      <c r="O27" s="32">
        <v>0</v>
      </c>
    </row>
    <row r="28" spans="1:18">
      <c r="A28" s="147">
        <v>1230685</v>
      </c>
      <c r="B28" s="32">
        <v>0</v>
      </c>
      <c r="C28" s="150">
        <v>0</v>
      </c>
      <c r="D28" s="150">
        <v>28</v>
      </c>
      <c r="E28" s="150">
        <v>122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</row>
    <row r="32" spans="1:18">
      <c r="A32" s="5" t="s">
        <v>0</v>
      </c>
      <c r="B32" s="9" t="s">
        <v>766</v>
      </c>
      <c r="C32" s="9" t="s">
        <v>767</v>
      </c>
      <c r="D32" s="9" t="s">
        <v>768</v>
      </c>
      <c r="E32" s="9" t="s">
        <v>769</v>
      </c>
      <c r="F32" s="9" t="s">
        <v>770</v>
      </c>
      <c r="G32" s="9" t="s">
        <v>771</v>
      </c>
      <c r="H32" s="9" t="s">
        <v>772</v>
      </c>
      <c r="I32" s="9" t="s">
        <v>789</v>
      </c>
      <c r="J32" s="9" t="s">
        <v>790</v>
      </c>
      <c r="K32" s="9" t="s">
        <v>791</v>
      </c>
      <c r="L32" s="9" t="s">
        <v>792</v>
      </c>
      <c r="M32" s="9" t="s">
        <v>793</v>
      </c>
      <c r="N32" s="9" t="s">
        <v>794</v>
      </c>
      <c r="O32" s="9" t="s">
        <v>795</v>
      </c>
    </row>
    <row r="33" spans="1:15">
      <c r="A33" s="5">
        <v>1221967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466</v>
      </c>
      <c r="K33" s="9">
        <v>447</v>
      </c>
      <c r="L33" s="9">
        <v>111</v>
      </c>
      <c r="M33" s="9">
        <v>0</v>
      </c>
      <c r="N33" s="9">
        <v>0</v>
      </c>
      <c r="O33" s="9">
        <v>0</v>
      </c>
    </row>
    <row r="34" spans="1:15">
      <c r="A34" s="5">
        <v>1229088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304</v>
      </c>
      <c r="M34" s="9">
        <v>350</v>
      </c>
      <c r="N34" s="9">
        <v>0</v>
      </c>
      <c r="O34" s="9">
        <v>0</v>
      </c>
    </row>
    <row r="35" spans="1:15">
      <c r="A35" s="5">
        <v>1225464</v>
      </c>
      <c r="B35" s="9">
        <v>0</v>
      </c>
      <c r="C35" s="9">
        <v>28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400</v>
      </c>
      <c r="K35" s="9">
        <v>356</v>
      </c>
      <c r="L35" s="9">
        <v>0</v>
      </c>
      <c r="M35" s="9">
        <v>0</v>
      </c>
      <c r="N35" s="9">
        <v>0</v>
      </c>
      <c r="O35" s="9">
        <v>0</v>
      </c>
    </row>
    <row r="36" spans="1:15">
      <c r="A36" s="5">
        <v>1232066</v>
      </c>
      <c r="B36" s="9">
        <v>0</v>
      </c>
      <c r="C36" s="9">
        <v>0</v>
      </c>
      <c r="D36" s="9">
        <v>0</v>
      </c>
      <c r="E36" s="9">
        <v>0</v>
      </c>
      <c r="F36" s="9">
        <v>54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>
      <c r="A37" s="5">
        <v>1232528</v>
      </c>
      <c r="B37" s="9">
        <v>1371</v>
      </c>
      <c r="C37" s="9">
        <v>850</v>
      </c>
      <c r="D37" s="9">
        <v>305</v>
      </c>
      <c r="E37" s="9">
        <v>0</v>
      </c>
      <c r="F37" s="9">
        <v>0</v>
      </c>
      <c r="G37" s="9">
        <v>0</v>
      </c>
      <c r="H37" s="9">
        <v>0</v>
      </c>
      <c r="I37" s="9">
        <v>418</v>
      </c>
      <c r="J37" s="9">
        <v>673</v>
      </c>
      <c r="K37" s="9">
        <v>539</v>
      </c>
      <c r="L37" s="9">
        <v>686</v>
      </c>
      <c r="M37" s="9">
        <v>1078</v>
      </c>
      <c r="N37" s="9">
        <v>0</v>
      </c>
      <c r="O37" s="9">
        <v>0</v>
      </c>
    </row>
    <row r="38" spans="1:15">
      <c r="A38" s="5">
        <v>1232846</v>
      </c>
      <c r="B38" s="9">
        <v>0</v>
      </c>
      <c r="C38" s="9">
        <v>0</v>
      </c>
      <c r="D38" s="9">
        <v>300</v>
      </c>
      <c r="E38" s="98">
        <v>40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>
      <c r="A39" s="5">
        <v>1229050</v>
      </c>
      <c r="B39" s="9">
        <v>0</v>
      </c>
      <c r="C39" s="9">
        <v>133</v>
      </c>
      <c r="D39" s="9">
        <v>47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>
      <c r="A40" s="5">
        <v>1231090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240</v>
      </c>
      <c r="M40" s="9">
        <v>0</v>
      </c>
      <c r="N40" s="9">
        <v>0</v>
      </c>
      <c r="O40" s="9">
        <v>0</v>
      </c>
    </row>
    <row r="41" spans="1:15">
      <c r="A41" s="5">
        <v>1233383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9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>
      <c r="A42" s="5">
        <v>1233735</v>
      </c>
      <c r="B42" s="9">
        <v>0</v>
      </c>
      <c r="C42" s="9">
        <v>0</v>
      </c>
      <c r="D42" s="9">
        <v>90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>
      <c r="A43" s="5">
        <v>1234034</v>
      </c>
      <c r="B43" s="9">
        <v>0</v>
      </c>
      <c r="C43" s="9">
        <v>0</v>
      </c>
      <c r="D43" s="9">
        <v>40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>
      <c r="A44" s="5">
        <v>1235097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343</v>
      </c>
      <c r="J44" s="9">
        <v>327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>
      <c r="A45" s="5">
        <v>1235845</v>
      </c>
      <c r="B45" s="9">
        <v>0</v>
      </c>
      <c r="C45" s="9">
        <v>0</v>
      </c>
      <c r="D45" s="9">
        <v>0</v>
      </c>
      <c r="E45" s="18">
        <v>462</v>
      </c>
      <c r="F45" s="9">
        <v>547</v>
      </c>
      <c r="G45" s="9">
        <v>0</v>
      </c>
      <c r="H45" s="9">
        <v>0</v>
      </c>
      <c r="I45" s="9">
        <v>622</v>
      </c>
      <c r="J45" s="9">
        <v>366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>
      <c r="A46" s="5">
        <v>1236930</v>
      </c>
      <c r="B46" s="9">
        <v>339</v>
      </c>
      <c r="C46" s="9">
        <v>337</v>
      </c>
      <c r="D46" s="9">
        <v>136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340</v>
      </c>
      <c r="K46" s="9">
        <v>270</v>
      </c>
      <c r="L46" s="9">
        <v>715</v>
      </c>
      <c r="M46" s="9">
        <v>664</v>
      </c>
      <c r="N46" s="9">
        <v>0</v>
      </c>
      <c r="O46" s="9">
        <v>0</v>
      </c>
    </row>
    <row r="47" spans="1:15">
      <c r="A47" s="5">
        <v>1232982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187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>
      <c r="A48" s="5">
        <v>1234905</v>
      </c>
      <c r="B48" s="9">
        <v>0</v>
      </c>
      <c r="C48" s="9">
        <v>0</v>
      </c>
      <c r="D48" s="9">
        <v>0</v>
      </c>
      <c r="E48" s="9">
        <v>0</v>
      </c>
      <c r="F48" s="9">
        <v>261</v>
      </c>
      <c r="G48" s="9">
        <v>0</v>
      </c>
      <c r="H48" s="9">
        <v>0</v>
      </c>
      <c r="I48" s="9">
        <v>395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>
      <c r="A49" s="5">
        <v>1238480</v>
      </c>
      <c r="B49" s="9">
        <v>867</v>
      </c>
      <c r="C49" s="9">
        <v>1180</v>
      </c>
      <c r="D49" s="9">
        <v>835</v>
      </c>
      <c r="E49" s="9">
        <v>1217</v>
      </c>
      <c r="F49" s="9">
        <v>1121</v>
      </c>
      <c r="G49" s="9">
        <v>0</v>
      </c>
      <c r="H49" s="9">
        <v>0</v>
      </c>
      <c r="I49" s="9">
        <v>911</v>
      </c>
      <c r="J49" s="9">
        <v>1127</v>
      </c>
      <c r="K49" s="9">
        <v>1067</v>
      </c>
      <c r="L49" s="9">
        <v>1210</v>
      </c>
      <c r="M49" s="9">
        <v>700</v>
      </c>
      <c r="N49" s="9">
        <v>0</v>
      </c>
      <c r="O49" s="9">
        <v>0</v>
      </c>
    </row>
    <row r="50" spans="1:15">
      <c r="A50" s="5">
        <v>1232775</v>
      </c>
      <c r="B50" s="9">
        <v>418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286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>
      <c r="A51" s="5">
        <v>1240029</v>
      </c>
      <c r="B51" s="9">
        <v>0</v>
      </c>
      <c r="C51" s="9">
        <v>0</v>
      </c>
      <c r="D51" s="9">
        <v>0</v>
      </c>
      <c r="E51" s="9">
        <v>0</v>
      </c>
      <c r="F51" s="9">
        <v>150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>
      <c r="A52" s="5">
        <v>1240032</v>
      </c>
      <c r="B52" s="9">
        <v>0</v>
      </c>
      <c r="C52" s="9">
        <v>0</v>
      </c>
      <c r="D52" s="9">
        <v>0</v>
      </c>
      <c r="E52" s="9">
        <v>0</v>
      </c>
      <c r="F52" s="9">
        <v>150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</row>
    <row r="53" spans="1:15">
      <c r="A53" s="5">
        <v>1240180</v>
      </c>
      <c r="B53" s="9">
        <v>0</v>
      </c>
      <c r="C53" s="9">
        <v>0</v>
      </c>
      <c r="D53" s="9">
        <v>111</v>
      </c>
      <c r="E53" s="9">
        <v>320</v>
      </c>
      <c r="F53" s="18">
        <v>100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1:15">
      <c r="A54" s="5">
        <v>1240184</v>
      </c>
      <c r="B54" s="9">
        <v>0</v>
      </c>
      <c r="C54" s="9">
        <v>0</v>
      </c>
      <c r="D54" s="9">
        <v>111</v>
      </c>
      <c r="E54" s="9">
        <v>320</v>
      </c>
      <c r="F54" s="18">
        <v>100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</row>
    <row r="55" spans="1:15" s="20" customFormat="1">
      <c r="A55" s="20">
        <v>1241138</v>
      </c>
      <c r="B55" s="10">
        <v>0</v>
      </c>
      <c r="C55" s="10">
        <v>0</v>
      </c>
      <c r="D55" s="10">
        <v>0</v>
      </c>
      <c r="E55" s="63">
        <v>80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 spans="1:15">
      <c r="A56" s="5">
        <v>1216452</v>
      </c>
      <c r="B56" s="9">
        <v>244</v>
      </c>
      <c r="C56" s="9">
        <v>274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1:15">
      <c r="A57" s="5">
        <v>1232894</v>
      </c>
      <c r="B57" s="9">
        <v>0</v>
      </c>
      <c r="C57" s="9">
        <v>0</v>
      </c>
      <c r="D57" s="18">
        <v>264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>
      <c r="A58" s="5">
        <v>1233385</v>
      </c>
      <c r="B58" s="9">
        <v>0</v>
      </c>
      <c r="C58" s="9">
        <v>0</v>
      </c>
      <c r="D58" s="9">
        <v>264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  <row r="59" spans="1:15">
      <c r="A59" s="5">
        <v>1232895</v>
      </c>
      <c r="B59" s="9">
        <v>0</v>
      </c>
      <c r="C59" s="9">
        <v>0</v>
      </c>
      <c r="D59" s="9">
        <v>36</v>
      </c>
      <c r="E59" s="18">
        <v>40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>
      <c r="A60" s="5">
        <v>1233387</v>
      </c>
      <c r="B60" s="9">
        <v>0</v>
      </c>
      <c r="C60" s="9">
        <v>0</v>
      </c>
      <c r="D60" s="18">
        <v>36</v>
      </c>
      <c r="E60" s="9">
        <v>40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</row>
  </sheetData>
  <autoFilter ref="A1:O19" xr:uid="{04637DE1-E7DD-4D14-AA9E-15BAC02BB3B9}"/>
  <phoneticPr fontId="1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77E2-0AF8-4902-B56A-AC863F15CBB4}">
  <dimension ref="A1:V66"/>
  <sheetViews>
    <sheetView zoomScale="130" zoomScaleNormal="130" workbookViewId="0">
      <selection activeCell="H25" sqref="H25:H26"/>
    </sheetView>
  </sheetViews>
  <sheetFormatPr defaultColWidth="9.33203125" defaultRowHeight="12"/>
  <cols>
    <col min="1" max="1" width="10.1640625" style="5" bestFit="1" customWidth="1"/>
    <col min="2" max="2" width="9.33203125" style="9" bestFit="1"/>
    <col min="3" max="20" width="9.1640625" style="9" customWidth="1"/>
    <col min="21" max="21" width="9.33203125" style="9" bestFit="1"/>
    <col min="22" max="16384" width="9.33203125" style="5"/>
  </cols>
  <sheetData>
    <row r="1" spans="1:22">
      <c r="A1" s="151" t="s">
        <v>0</v>
      </c>
      <c r="B1" s="69" t="s">
        <v>767</v>
      </c>
      <c r="C1" s="69" t="s">
        <v>768</v>
      </c>
      <c r="D1" s="69" t="s">
        <v>769</v>
      </c>
      <c r="E1" s="69" t="s">
        <v>770</v>
      </c>
      <c r="F1" s="69" t="s">
        <v>771</v>
      </c>
      <c r="G1" s="70" t="s">
        <v>772</v>
      </c>
      <c r="H1" s="69" t="s">
        <v>789</v>
      </c>
      <c r="I1" s="69" t="s">
        <v>790</v>
      </c>
      <c r="J1" s="69" t="s">
        <v>791</v>
      </c>
      <c r="K1" s="69" t="s">
        <v>792</v>
      </c>
      <c r="L1" s="69" t="s">
        <v>793</v>
      </c>
      <c r="M1" s="69" t="s">
        <v>794</v>
      </c>
      <c r="N1" s="70" t="s">
        <v>795</v>
      </c>
      <c r="O1" s="69" t="s">
        <v>816</v>
      </c>
      <c r="P1" s="69" t="s">
        <v>817</v>
      </c>
      <c r="Q1" s="69" t="s">
        <v>818</v>
      </c>
      <c r="R1" s="69" t="s">
        <v>819</v>
      </c>
      <c r="S1" s="69" t="s">
        <v>820</v>
      </c>
      <c r="T1" s="69" t="s">
        <v>821</v>
      </c>
      <c r="U1" s="70" t="s">
        <v>822</v>
      </c>
    </row>
    <row r="2" spans="1:22">
      <c r="A2" s="152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401</v>
      </c>
      <c r="J2" s="32">
        <v>400</v>
      </c>
      <c r="K2" s="32">
        <v>260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  <c r="T2" s="32">
        <v>0</v>
      </c>
      <c r="U2" s="32">
        <v>0</v>
      </c>
      <c r="V2" s="78">
        <f>SUM(B2:U2)</f>
        <v>1061</v>
      </c>
    </row>
    <row r="3" spans="1:22">
      <c r="A3" s="152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401</v>
      </c>
      <c r="J3" s="32">
        <v>400</v>
      </c>
      <c r="K3" s="32">
        <v>260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  <c r="V3" s="78">
        <f t="shared" ref="V3:V19" si="0">SUM(B3:U3)</f>
        <v>1061</v>
      </c>
    </row>
    <row r="4" spans="1:22">
      <c r="A4" s="152">
        <v>1229673</v>
      </c>
      <c r="B4" s="32">
        <v>200</v>
      </c>
      <c r="C4" s="32">
        <v>0</v>
      </c>
      <c r="D4" s="32">
        <v>300</v>
      </c>
      <c r="E4" s="17">
        <v>300</v>
      </c>
      <c r="F4" s="32">
        <v>0</v>
      </c>
      <c r="G4" s="32">
        <v>0</v>
      </c>
      <c r="H4" s="32">
        <v>250</v>
      </c>
      <c r="I4" s="32">
        <v>250</v>
      </c>
      <c r="J4" s="32">
        <v>250</v>
      </c>
      <c r="K4" s="32">
        <v>250</v>
      </c>
      <c r="L4" s="32">
        <v>0</v>
      </c>
      <c r="M4" s="32">
        <v>0</v>
      </c>
      <c r="N4" s="32">
        <v>0</v>
      </c>
      <c r="O4" s="32">
        <v>300</v>
      </c>
      <c r="P4" s="32">
        <v>300</v>
      </c>
      <c r="Q4" s="32">
        <v>300</v>
      </c>
      <c r="R4" s="32">
        <v>300</v>
      </c>
      <c r="S4" s="32">
        <v>300</v>
      </c>
      <c r="T4" s="32">
        <v>0</v>
      </c>
      <c r="U4" s="32">
        <v>0</v>
      </c>
      <c r="V4" s="78">
        <f t="shared" si="0"/>
        <v>3300</v>
      </c>
    </row>
    <row r="5" spans="1:22">
      <c r="A5" s="152">
        <v>1233632</v>
      </c>
      <c r="B5" s="32">
        <v>0</v>
      </c>
      <c r="C5" s="32">
        <v>64</v>
      </c>
      <c r="D5" s="32">
        <v>116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78">
        <f t="shared" si="0"/>
        <v>180</v>
      </c>
    </row>
    <row r="6" spans="1:22">
      <c r="A6" s="152">
        <v>1235623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542</v>
      </c>
      <c r="I6" s="32">
        <v>394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78">
        <f t="shared" si="0"/>
        <v>936</v>
      </c>
    </row>
    <row r="7" spans="1:22">
      <c r="A7" s="152">
        <v>1237088</v>
      </c>
      <c r="B7" s="32">
        <v>330</v>
      </c>
      <c r="C7" s="32">
        <v>1096</v>
      </c>
      <c r="D7" s="32">
        <v>1168</v>
      </c>
      <c r="E7" s="17">
        <v>1638</v>
      </c>
      <c r="F7" s="32">
        <v>0</v>
      </c>
      <c r="G7" s="32">
        <v>0</v>
      </c>
      <c r="H7" s="32">
        <v>1170</v>
      </c>
      <c r="I7" s="32">
        <v>1074</v>
      </c>
      <c r="J7" s="32">
        <v>380</v>
      </c>
      <c r="K7" s="32">
        <v>174</v>
      </c>
      <c r="L7" s="32">
        <v>0</v>
      </c>
      <c r="M7" s="32">
        <v>0</v>
      </c>
      <c r="N7" s="32">
        <v>0</v>
      </c>
      <c r="O7" s="32">
        <v>488</v>
      </c>
      <c r="P7" s="32">
        <v>658</v>
      </c>
      <c r="Q7" s="32">
        <v>854</v>
      </c>
      <c r="R7" s="32">
        <v>1066</v>
      </c>
      <c r="S7" s="32">
        <v>292</v>
      </c>
      <c r="T7" s="32">
        <v>0</v>
      </c>
      <c r="U7" s="32">
        <v>0</v>
      </c>
      <c r="V7" s="78">
        <v>0</v>
      </c>
    </row>
    <row r="8" spans="1:22">
      <c r="A8" s="152">
        <v>1237765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150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78">
        <f t="shared" si="0"/>
        <v>150</v>
      </c>
    </row>
    <row r="9" spans="1:22">
      <c r="A9" s="152">
        <v>1237748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458</v>
      </c>
      <c r="J9" s="32">
        <v>422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78">
        <f t="shared" si="0"/>
        <v>880</v>
      </c>
    </row>
    <row r="10" spans="1:22">
      <c r="A10" s="152">
        <v>1236091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200</v>
      </c>
      <c r="M10" s="32">
        <v>0</v>
      </c>
      <c r="N10" s="32">
        <v>0</v>
      </c>
      <c r="O10" s="32">
        <v>0</v>
      </c>
      <c r="P10" s="32">
        <v>0</v>
      </c>
      <c r="Q10" s="32">
        <v>150</v>
      </c>
      <c r="R10" s="32">
        <v>0</v>
      </c>
      <c r="S10" s="32">
        <v>0</v>
      </c>
      <c r="T10" s="32">
        <v>0</v>
      </c>
      <c r="U10" s="32">
        <v>0</v>
      </c>
      <c r="V10" s="78">
        <f t="shared" si="0"/>
        <v>350</v>
      </c>
    </row>
    <row r="11" spans="1:22">
      <c r="A11" s="152">
        <v>1238128</v>
      </c>
      <c r="B11" s="32">
        <v>0</v>
      </c>
      <c r="C11" s="32">
        <v>0</v>
      </c>
      <c r="D11" s="32">
        <v>76</v>
      </c>
      <c r="E11" s="109">
        <v>480</v>
      </c>
      <c r="F11" s="32">
        <v>0</v>
      </c>
      <c r="G11" s="32">
        <v>0</v>
      </c>
      <c r="H11" s="32">
        <v>396</v>
      </c>
      <c r="I11" s="32">
        <v>590</v>
      </c>
      <c r="J11" s="32">
        <v>342</v>
      </c>
      <c r="K11" s="32">
        <v>590</v>
      </c>
      <c r="L11" s="32">
        <v>464</v>
      </c>
      <c r="M11" s="32">
        <v>0</v>
      </c>
      <c r="N11" s="32">
        <v>0</v>
      </c>
      <c r="O11" s="32">
        <v>480</v>
      </c>
      <c r="P11" s="32">
        <v>480</v>
      </c>
      <c r="Q11" s="32">
        <v>56</v>
      </c>
      <c r="R11" s="32">
        <v>172</v>
      </c>
      <c r="S11" s="32">
        <v>378</v>
      </c>
      <c r="T11" s="32">
        <v>0</v>
      </c>
      <c r="U11" s="32">
        <v>0</v>
      </c>
      <c r="V11" s="78">
        <f t="shared" si="0"/>
        <v>4504</v>
      </c>
    </row>
    <row r="12" spans="1:22">
      <c r="A12" s="152">
        <v>1236962</v>
      </c>
      <c r="B12" s="32">
        <v>500</v>
      </c>
      <c r="C12" s="32">
        <v>300</v>
      </c>
      <c r="D12" s="32">
        <v>300</v>
      </c>
      <c r="E12" s="17">
        <v>290</v>
      </c>
      <c r="F12" s="32">
        <v>0</v>
      </c>
      <c r="G12" s="32">
        <v>0</v>
      </c>
      <c r="H12" s="32">
        <v>300</v>
      </c>
      <c r="I12" s="32">
        <v>300</v>
      </c>
      <c r="J12" s="32">
        <v>300</v>
      </c>
      <c r="K12" s="32">
        <v>132</v>
      </c>
      <c r="L12" s="32">
        <v>0</v>
      </c>
      <c r="M12" s="32">
        <v>0</v>
      </c>
      <c r="N12" s="32">
        <v>0</v>
      </c>
      <c r="O12" s="32">
        <v>300</v>
      </c>
      <c r="P12" s="32">
        <v>0</v>
      </c>
      <c r="Q12" s="32">
        <v>300</v>
      </c>
      <c r="R12" s="32">
        <v>500</v>
      </c>
      <c r="S12" s="32">
        <v>0</v>
      </c>
      <c r="T12" s="32">
        <v>0</v>
      </c>
      <c r="U12" s="32">
        <v>0</v>
      </c>
      <c r="V12" s="78">
        <f t="shared" si="0"/>
        <v>3522</v>
      </c>
    </row>
    <row r="13" spans="1:22">
      <c r="A13" s="152">
        <v>1233761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200</v>
      </c>
      <c r="I13" s="32">
        <v>0</v>
      </c>
      <c r="J13" s="32">
        <v>0</v>
      </c>
      <c r="K13" s="32">
        <v>200</v>
      </c>
      <c r="L13" s="32">
        <v>110</v>
      </c>
      <c r="M13" s="32">
        <v>0</v>
      </c>
      <c r="N13" s="32">
        <v>0</v>
      </c>
      <c r="O13" s="32">
        <v>0</v>
      </c>
      <c r="P13" s="32">
        <v>0</v>
      </c>
      <c r="Q13" s="32">
        <v>350</v>
      </c>
      <c r="R13" s="32">
        <v>0</v>
      </c>
      <c r="S13" s="32">
        <v>0</v>
      </c>
      <c r="T13" s="32">
        <v>0</v>
      </c>
      <c r="U13" s="32">
        <v>0</v>
      </c>
      <c r="V13" s="78">
        <f t="shared" si="0"/>
        <v>860</v>
      </c>
    </row>
    <row r="14" spans="1:22">
      <c r="A14" s="152">
        <v>1239651</v>
      </c>
      <c r="B14" s="32">
        <v>0</v>
      </c>
      <c r="C14" s="32">
        <v>0</v>
      </c>
      <c r="D14" s="32">
        <v>400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600</v>
      </c>
      <c r="T14" s="32">
        <v>0</v>
      </c>
      <c r="U14" s="32">
        <v>0</v>
      </c>
      <c r="V14" s="78">
        <f t="shared" si="0"/>
        <v>1000</v>
      </c>
    </row>
    <row r="15" spans="1:22">
      <c r="A15" s="152">
        <v>1239988</v>
      </c>
      <c r="B15" s="32">
        <v>120</v>
      </c>
      <c r="C15" s="32">
        <v>336</v>
      </c>
      <c r="D15" s="32">
        <v>454</v>
      </c>
      <c r="E15" s="17">
        <v>454</v>
      </c>
      <c r="F15" s="32">
        <v>0</v>
      </c>
      <c r="G15" s="32">
        <v>0</v>
      </c>
      <c r="H15" s="32">
        <v>454</v>
      </c>
      <c r="I15" s="32">
        <v>454</v>
      </c>
      <c r="J15" s="32">
        <v>148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168</v>
      </c>
      <c r="R15" s="32">
        <v>454</v>
      </c>
      <c r="S15" s="32">
        <v>356</v>
      </c>
      <c r="T15" s="32">
        <v>0</v>
      </c>
      <c r="U15" s="32">
        <v>0</v>
      </c>
      <c r="V15" s="78">
        <f t="shared" si="0"/>
        <v>3398</v>
      </c>
    </row>
    <row r="16" spans="1:22">
      <c r="A16" s="152">
        <v>1240180</v>
      </c>
      <c r="B16" s="32">
        <v>282</v>
      </c>
      <c r="C16" s="32">
        <v>262</v>
      </c>
      <c r="D16" s="32">
        <v>248</v>
      </c>
      <c r="E16" s="17">
        <v>358</v>
      </c>
      <c r="F16" s="32">
        <v>0</v>
      </c>
      <c r="G16" s="32">
        <v>0</v>
      </c>
      <c r="H16" s="32">
        <v>358</v>
      </c>
      <c r="I16" s="32">
        <v>358</v>
      </c>
      <c r="J16" s="32">
        <v>456</v>
      </c>
      <c r="K16" s="32">
        <v>344</v>
      </c>
      <c r="L16" s="32">
        <v>280</v>
      </c>
      <c r="M16" s="32">
        <v>0</v>
      </c>
      <c r="N16" s="32">
        <v>0</v>
      </c>
      <c r="O16" s="32">
        <v>358</v>
      </c>
      <c r="P16" s="32">
        <v>358</v>
      </c>
      <c r="Q16" s="32">
        <v>142</v>
      </c>
      <c r="R16" s="32">
        <v>0</v>
      </c>
      <c r="S16" s="32">
        <v>0</v>
      </c>
      <c r="T16" s="32">
        <v>0</v>
      </c>
      <c r="U16" s="32">
        <v>0</v>
      </c>
      <c r="V16" s="78">
        <f t="shared" si="0"/>
        <v>3804</v>
      </c>
    </row>
    <row r="17" spans="1:22">
      <c r="A17" s="152">
        <v>1240184</v>
      </c>
      <c r="B17" s="32">
        <v>282</v>
      </c>
      <c r="C17" s="32">
        <v>262</v>
      </c>
      <c r="D17" s="32">
        <v>248</v>
      </c>
      <c r="E17" s="17">
        <v>358</v>
      </c>
      <c r="F17" s="32">
        <v>0</v>
      </c>
      <c r="G17" s="32">
        <v>0</v>
      </c>
      <c r="H17" s="32">
        <v>358</v>
      </c>
      <c r="I17" s="32">
        <v>358</v>
      </c>
      <c r="J17" s="32">
        <v>456</v>
      </c>
      <c r="K17" s="32">
        <v>344</v>
      </c>
      <c r="L17" s="32">
        <v>280</v>
      </c>
      <c r="M17" s="32">
        <v>0</v>
      </c>
      <c r="N17" s="32">
        <v>0</v>
      </c>
      <c r="O17" s="32">
        <v>358</v>
      </c>
      <c r="P17" s="32">
        <v>358</v>
      </c>
      <c r="Q17" s="32">
        <v>142</v>
      </c>
      <c r="R17" s="32">
        <v>0</v>
      </c>
      <c r="S17" s="32">
        <v>0</v>
      </c>
      <c r="T17" s="32">
        <v>0</v>
      </c>
      <c r="U17" s="32">
        <v>0</v>
      </c>
      <c r="V17" s="78">
        <f t="shared" si="0"/>
        <v>3804</v>
      </c>
    </row>
    <row r="18" spans="1:22">
      <c r="A18" s="152">
        <v>1240308</v>
      </c>
      <c r="B18" s="32">
        <v>350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350</v>
      </c>
      <c r="K18" s="32">
        <v>350</v>
      </c>
      <c r="L18" s="32">
        <v>350</v>
      </c>
      <c r="M18" s="32">
        <v>0</v>
      </c>
      <c r="N18" s="32">
        <v>0</v>
      </c>
      <c r="O18" s="32">
        <v>300</v>
      </c>
      <c r="P18" s="32">
        <v>0</v>
      </c>
      <c r="Q18" s="32">
        <v>0</v>
      </c>
      <c r="R18" s="32">
        <v>0</v>
      </c>
      <c r="S18" s="32">
        <v>730</v>
      </c>
      <c r="T18" s="32">
        <v>0</v>
      </c>
      <c r="U18" s="32">
        <v>0</v>
      </c>
      <c r="V18" s="78">
        <f t="shared" si="0"/>
        <v>2430</v>
      </c>
    </row>
    <row r="19" spans="1:22">
      <c r="A19" s="152">
        <v>1241601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120</v>
      </c>
      <c r="I19" s="32">
        <v>0</v>
      </c>
      <c r="J19" s="32">
        <v>200</v>
      </c>
      <c r="K19" s="32">
        <v>1020</v>
      </c>
      <c r="L19" s="32">
        <v>768</v>
      </c>
      <c r="M19" s="32">
        <v>0</v>
      </c>
      <c r="N19" s="32">
        <v>0</v>
      </c>
      <c r="O19" s="32">
        <v>700</v>
      </c>
      <c r="P19" s="32">
        <v>1460</v>
      </c>
      <c r="Q19" s="32">
        <v>1148</v>
      </c>
      <c r="R19" s="32">
        <v>1460</v>
      </c>
      <c r="S19" s="32">
        <v>624</v>
      </c>
      <c r="T19" s="32">
        <v>0</v>
      </c>
      <c r="U19" s="32">
        <v>0</v>
      </c>
      <c r="V19" s="78">
        <f t="shared" si="0"/>
        <v>7500</v>
      </c>
    </row>
    <row r="23" spans="1:22">
      <c r="A23" s="5" t="s">
        <v>0</v>
      </c>
      <c r="B23" s="9" t="s">
        <v>767</v>
      </c>
      <c r="C23" s="9" t="s">
        <v>768</v>
      </c>
      <c r="D23" s="9" t="s">
        <v>769</v>
      </c>
      <c r="E23" s="9" t="s">
        <v>770</v>
      </c>
      <c r="F23" s="9" t="s">
        <v>771</v>
      </c>
      <c r="G23" s="9" t="s">
        <v>772</v>
      </c>
      <c r="H23" s="9" t="s">
        <v>789</v>
      </c>
      <c r="I23" s="9" t="s">
        <v>790</v>
      </c>
      <c r="J23" s="9" t="s">
        <v>791</v>
      </c>
      <c r="K23" s="9" t="s">
        <v>792</v>
      </c>
      <c r="L23" s="9" t="s">
        <v>793</v>
      </c>
      <c r="M23" s="9" t="s">
        <v>794</v>
      </c>
      <c r="N23" s="9" t="s">
        <v>795</v>
      </c>
      <c r="O23" s="9" t="s">
        <v>816</v>
      </c>
      <c r="P23" s="9" t="s">
        <v>817</v>
      </c>
      <c r="Q23" s="9" t="s">
        <v>818</v>
      </c>
      <c r="R23" s="9" t="s">
        <v>819</v>
      </c>
      <c r="S23" s="9" t="s">
        <v>820</v>
      </c>
      <c r="T23" s="9" t="s">
        <v>821</v>
      </c>
      <c r="U23" s="9" t="s">
        <v>822</v>
      </c>
    </row>
    <row r="24" spans="1:22">
      <c r="A24" s="5">
        <v>1232846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304</v>
      </c>
      <c r="M24" s="9">
        <v>0</v>
      </c>
      <c r="N24" s="9">
        <v>0</v>
      </c>
      <c r="O24" s="9">
        <v>448</v>
      </c>
      <c r="P24" s="9">
        <v>448</v>
      </c>
      <c r="Q24" s="9">
        <v>94</v>
      </c>
      <c r="R24" s="9">
        <v>0</v>
      </c>
      <c r="S24" s="9">
        <v>0</v>
      </c>
      <c r="T24" s="9">
        <v>0</v>
      </c>
      <c r="U24" s="9">
        <v>0</v>
      </c>
    </row>
    <row r="25" spans="1:22">
      <c r="A25" s="5">
        <v>1232895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304</v>
      </c>
      <c r="M25" s="9">
        <v>0</v>
      </c>
      <c r="N25" s="9">
        <v>0</v>
      </c>
      <c r="O25" s="9">
        <v>448</v>
      </c>
      <c r="P25" s="9">
        <v>448</v>
      </c>
      <c r="Q25" s="9">
        <v>94</v>
      </c>
      <c r="R25" s="9">
        <v>0</v>
      </c>
      <c r="S25" s="9">
        <v>0</v>
      </c>
      <c r="T25" s="9">
        <v>0</v>
      </c>
      <c r="U25" s="9">
        <v>0</v>
      </c>
    </row>
    <row r="26" spans="1:22">
      <c r="A26" s="5">
        <v>1233384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304</v>
      </c>
      <c r="M26" s="9">
        <v>0</v>
      </c>
      <c r="N26" s="9">
        <v>0</v>
      </c>
      <c r="O26" s="9">
        <v>448</v>
      </c>
      <c r="P26" s="9">
        <v>448</v>
      </c>
      <c r="Q26" s="9">
        <v>94</v>
      </c>
      <c r="R26" s="9">
        <v>0</v>
      </c>
      <c r="S26" s="9">
        <v>0</v>
      </c>
      <c r="T26" s="9">
        <v>0</v>
      </c>
      <c r="U26" s="9">
        <v>0</v>
      </c>
    </row>
    <row r="27" spans="1:22">
      <c r="A27" s="5">
        <v>1236387</v>
      </c>
      <c r="B27" s="9">
        <v>71</v>
      </c>
      <c r="C27" s="9">
        <v>0</v>
      </c>
      <c r="D27" s="9">
        <v>0</v>
      </c>
      <c r="E27" s="108">
        <v>0</v>
      </c>
      <c r="F27" s="9">
        <v>0</v>
      </c>
      <c r="G27" s="9">
        <v>0</v>
      </c>
      <c r="H27" s="9">
        <v>0</v>
      </c>
      <c r="I27" s="9">
        <v>150</v>
      </c>
      <c r="J27" s="9">
        <v>357</v>
      </c>
      <c r="K27" s="9">
        <v>71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</row>
    <row r="28" spans="1:22">
      <c r="A28" s="5">
        <v>1232775</v>
      </c>
      <c r="B28" s="9">
        <v>251</v>
      </c>
      <c r="C28" s="9">
        <v>109</v>
      </c>
      <c r="D28" s="9">
        <v>311</v>
      </c>
      <c r="E28" s="108">
        <v>278</v>
      </c>
      <c r="F28" s="9">
        <v>0</v>
      </c>
      <c r="G28" s="9">
        <v>0</v>
      </c>
      <c r="H28" s="9">
        <v>620</v>
      </c>
      <c r="I28" s="9">
        <v>282</v>
      </c>
      <c r="J28" s="9">
        <v>0</v>
      </c>
      <c r="K28" s="9">
        <v>248</v>
      </c>
      <c r="L28" s="9">
        <v>245</v>
      </c>
      <c r="M28" s="9">
        <v>0</v>
      </c>
      <c r="N28" s="9">
        <v>0</v>
      </c>
      <c r="O28" s="9">
        <v>7</v>
      </c>
      <c r="P28" s="9">
        <v>0</v>
      </c>
      <c r="Q28" s="9">
        <v>165</v>
      </c>
      <c r="R28" s="9">
        <v>381</v>
      </c>
      <c r="S28" s="9">
        <v>430</v>
      </c>
      <c r="T28" s="9">
        <v>0</v>
      </c>
      <c r="U28" s="9">
        <v>0</v>
      </c>
    </row>
    <row r="29" spans="1:22">
      <c r="A29" s="58">
        <v>1238605</v>
      </c>
      <c r="B29" s="9">
        <v>0</v>
      </c>
      <c r="C29" s="9">
        <v>0</v>
      </c>
      <c r="D29" s="9">
        <v>0</v>
      </c>
      <c r="E29" s="108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175</v>
      </c>
      <c r="Q29" s="9">
        <v>187</v>
      </c>
      <c r="R29" s="9">
        <v>337</v>
      </c>
      <c r="S29" s="9">
        <v>187</v>
      </c>
      <c r="T29" s="9">
        <v>0</v>
      </c>
      <c r="U29" s="9">
        <v>0</v>
      </c>
    </row>
    <row r="30" spans="1:22">
      <c r="A30" s="5">
        <v>1230685</v>
      </c>
      <c r="B30" s="9">
        <v>0</v>
      </c>
      <c r="C30" s="98">
        <v>28</v>
      </c>
      <c r="D30" s="98">
        <v>122</v>
      </c>
      <c r="E30" s="108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379</v>
      </c>
      <c r="P30" s="9">
        <v>71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3" spans="1:21">
      <c r="A33" s="5" t="s">
        <v>0</v>
      </c>
      <c r="B33" s="9" t="s">
        <v>767</v>
      </c>
      <c r="C33" s="9" t="s">
        <v>768</v>
      </c>
      <c r="D33" s="9" t="s">
        <v>769</v>
      </c>
      <c r="E33" s="9" t="s">
        <v>770</v>
      </c>
      <c r="F33" s="9" t="s">
        <v>771</v>
      </c>
      <c r="G33" s="9" t="s">
        <v>772</v>
      </c>
      <c r="H33" s="9" t="s">
        <v>789</v>
      </c>
      <c r="I33" s="9" t="s">
        <v>790</v>
      </c>
      <c r="J33" s="9" t="s">
        <v>791</v>
      </c>
      <c r="K33" s="9" t="s">
        <v>792</v>
      </c>
      <c r="L33" s="9" t="s">
        <v>793</v>
      </c>
      <c r="M33" s="9" t="s">
        <v>794</v>
      </c>
      <c r="N33" s="9" t="s">
        <v>795</v>
      </c>
      <c r="O33" s="9" t="s">
        <v>816</v>
      </c>
      <c r="P33" s="9" t="s">
        <v>817</v>
      </c>
      <c r="Q33" s="9" t="s">
        <v>818</v>
      </c>
      <c r="R33" s="9" t="s">
        <v>819</v>
      </c>
      <c r="S33" s="9" t="s">
        <v>820</v>
      </c>
      <c r="T33" s="9" t="s">
        <v>821</v>
      </c>
      <c r="U33" s="9" t="s">
        <v>822</v>
      </c>
    </row>
    <row r="34" spans="1:21">
      <c r="A34" s="5">
        <v>1230692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150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</row>
    <row r="35" spans="1:21">
      <c r="A35" s="5">
        <v>1221967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466</v>
      </c>
      <c r="J35" s="9">
        <v>447</v>
      </c>
      <c r="K35" s="9">
        <v>111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>
      <c r="A36" s="5">
        <v>1229088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67</v>
      </c>
      <c r="L36" s="9">
        <v>587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5">
        <v>1225464</v>
      </c>
      <c r="B37" s="9">
        <v>28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756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38" spans="1:21">
      <c r="A38" s="5">
        <v>1231797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100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39" spans="1:21">
      <c r="A39" s="5">
        <v>1232066</v>
      </c>
      <c r="B39" s="9">
        <v>0</v>
      </c>
      <c r="C39" s="9">
        <v>0</v>
      </c>
      <c r="D39" s="9">
        <v>0</v>
      </c>
      <c r="E39" s="9">
        <v>54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</row>
    <row r="40" spans="1:21">
      <c r="A40" s="5">
        <v>1234222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500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>
      <c r="A41" s="5">
        <v>1232528</v>
      </c>
      <c r="B41" s="9">
        <v>850</v>
      </c>
      <c r="C41" s="9">
        <v>305</v>
      </c>
      <c r="D41" s="9">
        <v>0</v>
      </c>
      <c r="E41" s="9">
        <v>0</v>
      </c>
      <c r="F41" s="9">
        <v>0</v>
      </c>
      <c r="G41" s="9">
        <v>0</v>
      </c>
      <c r="H41" s="9">
        <v>418</v>
      </c>
      <c r="I41" s="9">
        <v>673</v>
      </c>
      <c r="J41" s="9">
        <v>539</v>
      </c>
      <c r="K41" s="9">
        <v>686</v>
      </c>
      <c r="L41" s="9">
        <v>1078</v>
      </c>
      <c r="M41" s="9">
        <v>0</v>
      </c>
      <c r="N41" s="9">
        <v>0</v>
      </c>
      <c r="O41" s="9">
        <v>1647</v>
      </c>
      <c r="P41" s="9">
        <v>686</v>
      </c>
      <c r="Q41" s="9">
        <v>539</v>
      </c>
      <c r="R41" s="9">
        <v>686</v>
      </c>
      <c r="S41" s="9">
        <v>2866</v>
      </c>
      <c r="T41" s="9">
        <v>0</v>
      </c>
      <c r="U41" s="9">
        <v>0</v>
      </c>
    </row>
    <row r="42" spans="1:21">
      <c r="A42" s="5">
        <v>1232846</v>
      </c>
      <c r="B42" s="9">
        <v>0</v>
      </c>
      <c r="C42" s="9">
        <v>300</v>
      </c>
      <c r="D42" s="9">
        <v>40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651</v>
      </c>
      <c r="T42" s="9">
        <v>0</v>
      </c>
      <c r="U42" s="9">
        <v>0</v>
      </c>
    </row>
    <row r="43" spans="1:21">
      <c r="A43" s="5">
        <v>1229050</v>
      </c>
      <c r="B43" s="9">
        <v>133</v>
      </c>
      <c r="C43" s="9">
        <v>47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5">
        <v>1231090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240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2305</v>
      </c>
      <c r="T44" s="9">
        <v>0</v>
      </c>
      <c r="U44" s="9">
        <v>0</v>
      </c>
    </row>
    <row r="45" spans="1:21">
      <c r="A45" s="5">
        <v>1233383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191</v>
      </c>
      <c r="S45" s="9">
        <v>0</v>
      </c>
      <c r="T45" s="9">
        <v>0</v>
      </c>
      <c r="U45" s="9">
        <v>0</v>
      </c>
    </row>
    <row r="46" spans="1:21">
      <c r="A46" s="5">
        <v>1220847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3150</v>
      </c>
      <c r="T46" s="9">
        <v>0</v>
      </c>
      <c r="U46" s="9">
        <v>0</v>
      </c>
    </row>
    <row r="47" spans="1:21">
      <c r="A47" s="5">
        <v>1233735</v>
      </c>
      <c r="B47" s="9">
        <v>0</v>
      </c>
      <c r="C47" s="9">
        <v>90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5">
        <v>1234034</v>
      </c>
      <c r="B48" s="9">
        <v>0</v>
      </c>
      <c r="C48" s="9">
        <v>40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>
      <c r="A49" s="58">
        <v>1235097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343</v>
      </c>
      <c r="I49" s="9">
        <v>327</v>
      </c>
      <c r="J49" s="9">
        <v>410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>
      <c r="A50" s="5">
        <v>1235845</v>
      </c>
      <c r="B50" s="9">
        <v>0</v>
      </c>
      <c r="C50" s="9">
        <v>0</v>
      </c>
      <c r="D50" s="9">
        <v>462</v>
      </c>
      <c r="E50" s="9">
        <v>547</v>
      </c>
      <c r="F50" s="9">
        <v>0</v>
      </c>
      <c r="G50" s="9">
        <v>0</v>
      </c>
      <c r="H50" s="9">
        <v>622</v>
      </c>
      <c r="I50" s="9">
        <v>366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5">
        <v>1236930</v>
      </c>
      <c r="B51" s="9">
        <v>337</v>
      </c>
      <c r="C51" s="9">
        <v>136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340</v>
      </c>
      <c r="J51" s="9">
        <v>270</v>
      </c>
      <c r="K51" s="9">
        <v>340</v>
      </c>
      <c r="L51" s="9">
        <v>364</v>
      </c>
      <c r="M51" s="9">
        <v>0</v>
      </c>
      <c r="N51" s="9">
        <v>0</v>
      </c>
      <c r="O51" s="9">
        <v>375</v>
      </c>
      <c r="P51" s="9">
        <v>300</v>
      </c>
      <c r="Q51" s="9">
        <v>0</v>
      </c>
      <c r="R51" s="9">
        <v>0</v>
      </c>
      <c r="S51" s="9">
        <v>570</v>
      </c>
      <c r="T51" s="9">
        <v>0</v>
      </c>
      <c r="U51" s="9">
        <v>0</v>
      </c>
    </row>
    <row r="52" spans="1:21">
      <c r="A52" s="5">
        <v>1232982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187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5">
        <v>1234905</v>
      </c>
      <c r="B53" s="9">
        <v>0</v>
      </c>
      <c r="C53" s="9">
        <v>0</v>
      </c>
      <c r="D53" s="9">
        <v>0</v>
      </c>
      <c r="E53" s="9">
        <v>261</v>
      </c>
      <c r="F53" s="9">
        <v>0</v>
      </c>
      <c r="G53" s="9">
        <v>0</v>
      </c>
      <c r="H53" s="9">
        <v>395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400</v>
      </c>
      <c r="P53" s="9">
        <v>400</v>
      </c>
      <c r="Q53" s="9">
        <v>300</v>
      </c>
      <c r="R53" s="9">
        <v>250</v>
      </c>
      <c r="S53" s="9">
        <v>0</v>
      </c>
      <c r="T53" s="9">
        <v>0</v>
      </c>
      <c r="U53" s="9">
        <v>0</v>
      </c>
    </row>
    <row r="54" spans="1:21">
      <c r="A54" s="5">
        <v>1238480</v>
      </c>
      <c r="B54" s="9">
        <v>1180</v>
      </c>
      <c r="C54" s="9">
        <v>835</v>
      </c>
      <c r="D54" s="9">
        <v>1217</v>
      </c>
      <c r="E54" s="9">
        <v>1121</v>
      </c>
      <c r="F54" s="9">
        <v>0</v>
      </c>
      <c r="G54" s="9">
        <v>0</v>
      </c>
      <c r="H54" s="9">
        <v>911</v>
      </c>
      <c r="I54" s="9">
        <v>1127</v>
      </c>
      <c r="J54" s="9">
        <v>1067</v>
      </c>
      <c r="K54" s="9">
        <v>1210</v>
      </c>
      <c r="L54" s="9">
        <v>700</v>
      </c>
      <c r="M54" s="9">
        <v>0</v>
      </c>
      <c r="N54" s="9">
        <v>0</v>
      </c>
      <c r="O54" s="9">
        <v>956</v>
      </c>
      <c r="P54" s="9">
        <v>2805</v>
      </c>
      <c r="Q54" s="9">
        <v>1693</v>
      </c>
      <c r="R54" s="9">
        <v>858</v>
      </c>
      <c r="S54" s="9">
        <v>1670</v>
      </c>
      <c r="T54" s="9">
        <v>0</v>
      </c>
      <c r="U54" s="9">
        <v>0</v>
      </c>
    </row>
    <row r="55" spans="1:21">
      <c r="A55" s="5">
        <v>1238453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40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</row>
    <row r="56" spans="1:21">
      <c r="A56" s="5">
        <v>1232775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286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118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</row>
    <row r="57" spans="1:21">
      <c r="A57" s="5">
        <v>1240029</v>
      </c>
      <c r="B57" s="9">
        <v>0</v>
      </c>
      <c r="C57" s="9">
        <v>0</v>
      </c>
      <c r="D57" s="9">
        <v>0</v>
      </c>
      <c r="E57" s="9">
        <v>150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5">
        <v>1240032</v>
      </c>
      <c r="B58" s="9">
        <v>0</v>
      </c>
      <c r="C58" s="9">
        <v>0</v>
      </c>
      <c r="D58" s="9">
        <v>0</v>
      </c>
      <c r="E58" s="9">
        <v>150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5">
        <v>1240180</v>
      </c>
      <c r="B59" s="9">
        <v>0</v>
      </c>
      <c r="C59" s="9">
        <v>111</v>
      </c>
      <c r="D59" s="9">
        <v>320</v>
      </c>
      <c r="E59" s="9">
        <v>100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200</v>
      </c>
      <c r="T59" s="9">
        <v>0</v>
      </c>
      <c r="U59" s="9">
        <v>0</v>
      </c>
    </row>
    <row r="60" spans="1:21">
      <c r="A60" s="5">
        <v>1240184</v>
      </c>
      <c r="B60" s="9">
        <v>0</v>
      </c>
      <c r="C60" s="9">
        <v>111</v>
      </c>
      <c r="D60" s="9">
        <v>320</v>
      </c>
      <c r="E60" s="9">
        <v>100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200</v>
      </c>
      <c r="T60" s="9">
        <v>0</v>
      </c>
      <c r="U60" s="9">
        <v>0</v>
      </c>
    </row>
    <row r="61" spans="1:21">
      <c r="A61" s="5">
        <v>1241138</v>
      </c>
      <c r="B61" s="9">
        <v>0</v>
      </c>
      <c r="C61" s="9">
        <v>0</v>
      </c>
      <c r="D61" s="9">
        <v>80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5">
        <v>1216452</v>
      </c>
      <c r="B62" s="9">
        <v>274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5">
        <v>1232894</v>
      </c>
      <c r="B63" s="9">
        <v>0</v>
      </c>
      <c r="C63" s="9">
        <v>264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576</v>
      </c>
      <c r="T63" s="9">
        <v>0</v>
      </c>
      <c r="U63" s="9">
        <v>0</v>
      </c>
    </row>
    <row r="64" spans="1:21">
      <c r="A64" s="5">
        <v>1233387</v>
      </c>
      <c r="B64" s="9">
        <v>0</v>
      </c>
      <c r="C64" s="9">
        <v>36</v>
      </c>
      <c r="D64" s="9">
        <v>40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651</v>
      </c>
      <c r="T64" s="9">
        <v>0</v>
      </c>
      <c r="U64" s="9">
        <v>0</v>
      </c>
    </row>
    <row r="65" spans="1:21">
      <c r="A65" s="5">
        <v>1233385</v>
      </c>
      <c r="B65" s="9">
        <v>0</v>
      </c>
      <c r="C65" s="9">
        <v>264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5">
        <v>1232895</v>
      </c>
      <c r="B66" s="9">
        <v>0</v>
      </c>
      <c r="C66" s="9">
        <v>36</v>
      </c>
      <c r="D66" s="9">
        <v>40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75</v>
      </c>
      <c r="T66" s="9">
        <v>0</v>
      </c>
      <c r="U66" s="9">
        <v>0</v>
      </c>
    </row>
  </sheetData>
  <autoFilter ref="A1:U19" xr:uid="{112C77E2-0AF8-4902-B56A-AC863F15CBB4}"/>
  <phoneticPr fontId="1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4DF4-BD5D-4769-BB35-6D1DB6C9418C}">
  <dimension ref="A1:S71"/>
  <sheetViews>
    <sheetView topLeftCell="A39" zoomScale="145" zoomScaleNormal="145" workbookViewId="0">
      <selection activeCell="G55" sqref="G55"/>
    </sheetView>
  </sheetViews>
  <sheetFormatPr defaultColWidth="9.1640625" defaultRowHeight="12"/>
  <cols>
    <col min="1" max="1" width="9.1640625" style="5"/>
    <col min="2" max="2" width="9.1640625" style="9"/>
    <col min="3" max="18" width="9.1640625" style="9" customWidth="1"/>
    <col min="19" max="19" width="9.1640625" style="9"/>
    <col min="20" max="16384" width="9.1640625" style="5"/>
  </cols>
  <sheetData>
    <row r="1" spans="1:19">
      <c r="A1" s="5" t="s">
        <v>0</v>
      </c>
      <c r="B1" s="9" t="s">
        <v>768</v>
      </c>
      <c r="C1" s="9" t="s">
        <v>769</v>
      </c>
      <c r="D1" s="9" t="s">
        <v>770</v>
      </c>
      <c r="E1" s="9" t="s">
        <v>771</v>
      </c>
      <c r="F1" s="9" t="s">
        <v>772</v>
      </c>
      <c r="G1" s="9" t="s">
        <v>789</v>
      </c>
      <c r="H1" s="9" t="s">
        <v>790</v>
      </c>
      <c r="I1" s="9" t="s">
        <v>791</v>
      </c>
      <c r="J1" s="9" t="s">
        <v>792</v>
      </c>
      <c r="K1" s="9" t="s">
        <v>793</v>
      </c>
      <c r="L1" s="9" t="s">
        <v>794</v>
      </c>
      <c r="M1" s="9" t="s">
        <v>795</v>
      </c>
      <c r="N1" s="9" t="s">
        <v>816</v>
      </c>
      <c r="O1" s="9" t="s">
        <v>817</v>
      </c>
      <c r="P1" s="9" t="s">
        <v>818</v>
      </c>
      <c r="Q1" s="9" t="s">
        <v>819</v>
      </c>
      <c r="R1" s="9" t="s">
        <v>820</v>
      </c>
      <c r="S1" s="9" t="s">
        <v>821</v>
      </c>
    </row>
    <row r="2" spans="1:19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401</v>
      </c>
      <c r="I2" s="9">
        <v>400</v>
      </c>
      <c r="J2" s="9">
        <v>260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</row>
    <row r="3" spans="1:19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401</v>
      </c>
      <c r="I3" s="9">
        <v>400</v>
      </c>
      <c r="J3" s="9">
        <v>260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19">
      <c r="A4" s="5">
        <v>1227431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96</v>
      </c>
      <c r="P4" s="9">
        <v>0</v>
      </c>
      <c r="Q4" s="9">
        <v>0</v>
      </c>
      <c r="R4" s="9">
        <v>0</v>
      </c>
      <c r="S4" s="9">
        <v>0</v>
      </c>
    </row>
    <row r="5" spans="1:19">
      <c r="A5" s="5">
        <v>1227433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96</v>
      </c>
      <c r="P5" s="9">
        <v>0</v>
      </c>
      <c r="Q5" s="9">
        <v>0</v>
      </c>
      <c r="R5" s="9">
        <v>0</v>
      </c>
      <c r="S5" s="9">
        <v>0</v>
      </c>
    </row>
    <row r="6" spans="1:19">
      <c r="A6" s="5">
        <v>1229673</v>
      </c>
      <c r="B6" s="9">
        <v>0</v>
      </c>
      <c r="C6" s="9">
        <v>300</v>
      </c>
      <c r="D6" s="9">
        <v>300</v>
      </c>
      <c r="E6" s="9">
        <v>0</v>
      </c>
      <c r="F6" s="9">
        <v>0</v>
      </c>
      <c r="G6" s="18">
        <v>250</v>
      </c>
      <c r="H6" s="9">
        <v>250</v>
      </c>
      <c r="I6" s="9">
        <v>250</v>
      </c>
      <c r="J6" s="9">
        <v>250</v>
      </c>
      <c r="K6" s="9">
        <v>0</v>
      </c>
      <c r="L6" s="9">
        <v>0</v>
      </c>
      <c r="M6" s="9">
        <v>0</v>
      </c>
      <c r="N6" s="9">
        <v>300</v>
      </c>
      <c r="O6" s="9">
        <v>300</v>
      </c>
      <c r="P6" s="9">
        <v>300</v>
      </c>
      <c r="Q6" s="9">
        <v>300</v>
      </c>
      <c r="R6" s="9">
        <v>300</v>
      </c>
      <c r="S6" s="9">
        <v>0</v>
      </c>
    </row>
    <row r="7" spans="1:19">
      <c r="A7" s="5">
        <v>1233632</v>
      </c>
      <c r="B7" s="9">
        <v>64</v>
      </c>
      <c r="C7" s="9">
        <v>116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</row>
    <row r="8" spans="1:19">
      <c r="A8" s="5">
        <v>1235623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18">
        <v>542</v>
      </c>
      <c r="H8" s="9">
        <v>394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</row>
    <row r="9" spans="1:19">
      <c r="A9" s="5">
        <v>1237088</v>
      </c>
      <c r="B9" s="9">
        <v>1096</v>
      </c>
      <c r="C9" s="9">
        <v>1168</v>
      </c>
      <c r="D9" s="9">
        <v>1638</v>
      </c>
      <c r="E9" s="9">
        <v>0</v>
      </c>
      <c r="F9" s="9">
        <v>0</v>
      </c>
      <c r="G9" s="18">
        <v>1170</v>
      </c>
      <c r="H9" s="9">
        <v>1074</v>
      </c>
      <c r="I9" s="9">
        <v>380</v>
      </c>
      <c r="J9" s="9">
        <v>174</v>
      </c>
      <c r="K9" s="9">
        <v>0</v>
      </c>
      <c r="L9" s="9">
        <v>0</v>
      </c>
      <c r="M9" s="9">
        <v>0</v>
      </c>
      <c r="N9" s="9">
        <v>488</v>
      </c>
      <c r="O9" s="9">
        <v>1194</v>
      </c>
      <c r="P9" s="9">
        <v>854</v>
      </c>
      <c r="Q9" s="9">
        <v>440</v>
      </c>
      <c r="R9" s="9">
        <v>292</v>
      </c>
      <c r="S9" s="9">
        <v>0</v>
      </c>
    </row>
    <row r="10" spans="1:19">
      <c r="A10" s="58">
        <v>1237765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18">
        <v>150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</row>
    <row r="11" spans="1:19">
      <c r="A11" s="5">
        <v>1237748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458</v>
      </c>
      <c r="I11" s="9">
        <v>422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spans="1:19">
      <c r="A12" s="5">
        <v>1236091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200</v>
      </c>
      <c r="L12" s="9">
        <v>0</v>
      </c>
      <c r="M12" s="9">
        <v>0</v>
      </c>
      <c r="N12" s="9">
        <v>0</v>
      </c>
      <c r="O12" s="9">
        <v>0</v>
      </c>
      <c r="P12" s="9">
        <v>150</v>
      </c>
      <c r="Q12" s="9">
        <v>0</v>
      </c>
      <c r="R12" s="9">
        <v>0</v>
      </c>
      <c r="S12" s="9">
        <v>0</v>
      </c>
    </row>
    <row r="13" spans="1:19">
      <c r="A13" s="5">
        <v>1238128</v>
      </c>
      <c r="B13" s="9">
        <v>0</v>
      </c>
      <c r="C13" s="9">
        <v>76</v>
      </c>
      <c r="D13" s="9">
        <v>480</v>
      </c>
      <c r="E13" s="9">
        <v>0</v>
      </c>
      <c r="F13" s="9">
        <v>0</v>
      </c>
      <c r="G13" s="110">
        <v>396</v>
      </c>
      <c r="H13" s="9">
        <v>590</v>
      </c>
      <c r="I13" s="9">
        <v>342</v>
      </c>
      <c r="J13" s="9">
        <v>590</v>
      </c>
      <c r="K13" s="9">
        <v>464</v>
      </c>
      <c r="L13" s="9">
        <v>0</v>
      </c>
      <c r="M13" s="9">
        <v>0</v>
      </c>
      <c r="N13" s="9">
        <v>480</v>
      </c>
      <c r="O13" s="9">
        <v>480</v>
      </c>
      <c r="P13" s="9">
        <v>56</v>
      </c>
      <c r="Q13" s="9">
        <v>172</v>
      </c>
      <c r="R13" s="9">
        <v>378</v>
      </c>
      <c r="S13" s="9">
        <v>0</v>
      </c>
    </row>
    <row r="14" spans="1:19">
      <c r="A14" s="5">
        <v>1236962</v>
      </c>
      <c r="B14" s="9">
        <v>300</v>
      </c>
      <c r="C14" s="9">
        <v>300</v>
      </c>
      <c r="D14" s="9">
        <v>290</v>
      </c>
      <c r="E14" s="9">
        <v>0</v>
      </c>
      <c r="F14" s="9">
        <v>0</v>
      </c>
      <c r="G14" s="18">
        <v>300</v>
      </c>
      <c r="H14" s="9">
        <v>300</v>
      </c>
      <c r="I14" s="9">
        <v>300</v>
      </c>
      <c r="J14" s="9">
        <v>132</v>
      </c>
      <c r="K14" s="9">
        <v>0</v>
      </c>
      <c r="L14" s="9">
        <v>0</v>
      </c>
      <c r="M14" s="9">
        <v>0</v>
      </c>
      <c r="N14" s="9">
        <v>300</v>
      </c>
      <c r="O14" s="9">
        <v>0</v>
      </c>
      <c r="P14" s="9">
        <v>300</v>
      </c>
      <c r="Q14" s="9">
        <v>500</v>
      </c>
      <c r="R14" s="9">
        <v>0</v>
      </c>
      <c r="S14" s="9">
        <v>0</v>
      </c>
    </row>
    <row r="15" spans="1:19">
      <c r="A15" s="68">
        <v>1233761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18">
        <v>200</v>
      </c>
      <c r="H15" s="9">
        <v>0</v>
      </c>
      <c r="I15" s="9">
        <v>0</v>
      </c>
      <c r="J15" s="9">
        <v>200</v>
      </c>
      <c r="K15" s="9">
        <v>110</v>
      </c>
      <c r="L15" s="9">
        <v>0</v>
      </c>
      <c r="M15" s="9">
        <v>0</v>
      </c>
      <c r="N15" s="9">
        <v>0</v>
      </c>
      <c r="O15" s="9">
        <v>350</v>
      </c>
      <c r="P15" s="9">
        <v>0</v>
      </c>
      <c r="Q15" s="9">
        <v>0</v>
      </c>
      <c r="R15" s="9">
        <v>0</v>
      </c>
      <c r="S15" s="9">
        <v>0</v>
      </c>
    </row>
    <row r="16" spans="1:19">
      <c r="A16" s="5">
        <v>1239651</v>
      </c>
      <c r="B16" s="9">
        <v>0</v>
      </c>
      <c r="C16" s="9">
        <v>400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600</v>
      </c>
      <c r="R16" s="9">
        <v>0</v>
      </c>
      <c r="S16" s="9">
        <v>0</v>
      </c>
    </row>
    <row r="17" spans="1:19">
      <c r="A17" s="5">
        <v>1239988</v>
      </c>
      <c r="B17" s="9">
        <v>336</v>
      </c>
      <c r="C17" s="9">
        <v>454</v>
      </c>
      <c r="D17" s="9">
        <v>454</v>
      </c>
      <c r="E17" s="9">
        <v>0</v>
      </c>
      <c r="F17" s="9">
        <v>0</v>
      </c>
      <c r="G17" s="18">
        <v>454</v>
      </c>
      <c r="H17" s="9">
        <v>454</v>
      </c>
      <c r="I17" s="9">
        <v>148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168</v>
      </c>
      <c r="Q17" s="9">
        <v>454</v>
      </c>
      <c r="R17" s="9">
        <v>356</v>
      </c>
      <c r="S17" s="9">
        <v>0</v>
      </c>
    </row>
    <row r="18" spans="1:19">
      <c r="A18" s="5">
        <v>1240180</v>
      </c>
      <c r="B18" s="9">
        <v>262</v>
      </c>
      <c r="C18" s="9">
        <v>248</v>
      </c>
      <c r="D18" s="9">
        <v>358</v>
      </c>
      <c r="E18" s="9">
        <v>0</v>
      </c>
      <c r="F18" s="9">
        <v>0</v>
      </c>
      <c r="G18" s="18">
        <v>358</v>
      </c>
      <c r="H18" s="9">
        <v>358</v>
      </c>
      <c r="I18" s="9">
        <v>456</v>
      </c>
      <c r="J18" s="9">
        <v>344</v>
      </c>
      <c r="K18" s="9">
        <v>280</v>
      </c>
      <c r="L18" s="9">
        <v>0</v>
      </c>
      <c r="M18" s="9">
        <v>0</v>
      </c>
      <c r="N18" s="9">
        <v>358</v>
      </c>
      <c r="O18" s="9">
        <v>358</v>
      </c>
      <c r="P18" s="9">
        <v>142</v>
      </c>
      <c r="Q18" s="9">
        <v>0</v>
      </c>
      <c r="R18" s="9">
        <v>0</v>
      </c>
      <c r="S18" s="9">
        <v>0</v>
      </c>
    </row>
    <row r="19" spans="1:19">
      <c r="A19" s="5">
        <v>1240184</v>
      </c>
      <c r="B19" s="9">
        <v>262</v>
      </c>
      <c r="C19" s="9">
        <v>248</v>
      </c>
      <c r="D19" s="9">
        <v>358</v>
      </c>
      <c r="E19" s="9">
        <v>0</v>
      </c>
      <c r="F19" s="9">
        <v>0</v>
      </c>
      <c r="G19" s="18">
        <v>358</v>
      </c>
      <c r="H19" s="9">
        <v>358</v>
      </c>
      <c r="I19" s="9">
        <v>456</v>
      </c>
      <c r="J19" s="9">
        <v>344</v>
      </c>
      <c r="K19" s="9">
        <v>280</v>
      </c>
      <c r="L19" s="9">
        <v>0</v>
      </c>
      <c r="M19" s="9">
        <v>0</v>
      </c>
      <c r="N19" s="9">
        <v>358</v>
      </c>
      <c r="O19" s="9">
        <v>358</v>
      </c>
      <c r="P19" s="9">
        <v>142</v>
      </c>
      <c r="Q19" s="9">
        <v>0</v>
      </c>
      <c r="R19" s="9">
        <v>0</v>
      </c>
      <c r="S19" s="9">
        <v>0</v>
      </c>
    </row>
    <row r="20" spans="1:19">
      <c r="A20" s="5">
        <v>1240308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350</v>
      </c>
      <c r="J20" s="9">
        <v>350</v>
      </c>
      <c r="K20" s="9">
        <v>350</v>
      </c>
      <c r="L20" s="9">
        <v>0</v>
      </c>
      <c r="M20" s="9">
        <v>0</v>
      </c>
      <c r="N20" s="9">
        <v>300</v>
      </c>
      <c r="O20" s="9">
        <v>0</v>
      </c>
      <c r="P20" s="9">
        <v>0</v>
      </c>
      <c r="Q20" s="9">
        <v>0</v>
      </c>
      <c r="R20" s="9">
        <v>730</v>
      </c>
      <c r="S20" s="9">
        <v>0</v>
      </c>
    </row>
    <row r="21" spans="1:19">
      <c r="A21" s="5">
        <v>1241601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18">
        <v>120</v>
      </c>
      <c r="H21" s="9">
        <v>0</v>
      </c>
      <c r="I21" s="9">
        <v>200</v>
      </c>
      <c r="J21" s="9">
        <v>1020</v>
      </c>
      <c r="K21" s="9">
        <v>768</v>
      </c>
      <c r="L21" s="9">
        <v>0</v>
      </c>
      <c r="M21" s="9">
        <v>0</v>
      </c>
      <c r="N21" s="9">
        <v>700</v>
      </c>
      <c r="O21" s="9">
        <v>1460</v>
      </c>
      <c r="P21" s="9">
        <v>1148</v>
      </c>
      <c r="Q21" s="9">
        <v>1460</v>
      </c>
      <c r="R21" s="9">
        <v>624</v>
      </c>
      <c r="S21" s="9">
        <v>0</v>
      </c>
    </row>
    <row r="26" spans="1:19">
      <c r="A26" s="5" t="s">
        <v>0</v>
      </c>
      <c r="B26" s="9" t="s">
        <v>768</v>
      </c>
      <c r="C26" s="9" t="s">
        <v>769</v>
      </c>
      <c r="D26" s="9" t="s">
        <v>770</v>
      </c>
      <c r="E26" s="9" t="s">
        <v>771</v>
      </c>
      <c r="F26" s="9" t="s">
        <v>772</v>
      </c>
      <c r="G26" s="9" t="s">
        <v>789</v>
      </c>
      <c r="H26" s="9" t="s">
        <v>790</v>
      </c>
      <c r="I26" s="9" t="s">
        <v>791</v>
      </c>
      <c r="J26" s="9" t="s">
        <v>792</v>
      </c>
      <c r="K26" s="9" t="s">
        <v>793</v>
      </c>
      <c r="L26" s="9" t="s">
        <v>794</v>
      </c>
      <c r="M26" s="9" t="s">
        <v>795</v>
      </c>
      <c r="N26" s="9" t="s">
        <v>816</v>
      </c>
      <c r="O26" s="9" t="s">
        <v>817</v>
      </c>
      <c r="P26" s="9" t="s">
        <v>818</v>
      </c>
      <c r="Q26" s="9" t="s">
        <v>819</v>
      </c>
      <c r="R26" s="9" t="s">
        <v>820</v>
      </c>
      <c r="S26" s="9" t="s">
        <v>821</v>
      </c>
    </row>
    <row r="27" spans="1:19">
      <c r="A27" s="5">
        <v>1232846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304</v>
      </c>
      <c r="L27" s="9">
        <v>0</v>
      </c>
      <c r="M27" s="9">
        <v>0</v>
      </c>
      <c r="N27" s="9">
        <v>448</v>
      </c>
      <c r="O27" s="9">
        <v>448</v>
      </c>
      <c r="P27" s="9">
        <v>94</v>
      </c>
      <c r="Q27" s="9">
        <v>0</v>
      </c>
      <c r="R27" s="9">
        <v>0</v>
      </c>
      <c r="S27" s="9">
        <v>0</v>
      </c>
    </row>
    <row r="28" spans="1:19">
      <c r="A28" s="5">
        <v>1232895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304</v>
      </c>
      <c r="L28" s="9">
        <v>0</v>
      </c>
      <c r="M28" s="9">
        <v>0</v>
      </c>
      <c r="N28" s="9">
        <v>448</v>
      </c>
      <c r="O28" s="9">
        <v>448</v>
      </c>
      <c r="P28" s="9">
        <v>94</v>
      </c>
      <c r="Q28" s="9">
        <v>0</v>
      </c>
      <c r="R28" s="9">
        <v>0</v>
      </c>
      <c r="S28" s="9">
        <v>0</v>
      </c>
    </row>
    <row r="29" spans="1:19">
      <c r="A29" s="5">
        <v>1233384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304</v>
      </c>
      <c r="L29" s="9">
        <v>0</v>
      </c>
      <c r="M29" s="9">
        <v>0</v>
      </c>
      <c r="N29" s="9">
        <v>448</v>
      </c>
      <c r="O29" s="9">
        <v>448</v>
      </c>
      <c r="P29" s="9">
        <v>94</v>
      </c>
      <c r="Q29" s="9">
        <v>0</v>
      </c>
      <c r="R29" s="9">
        <v>0</v>
      </c>
      <c r="S29" s="9">
        <v>0</v>
      </c>
    </row>
    <row r="30" spans="1:19">
      <c r="A30" s="5">
        <v>1236387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150</v>
      </c>
      <c r="I30" s="9">
        <v>357</v>
      </c>
      <c r="J30" s="9">
        <v>71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1" spans="1:19">
      <c r="A31" s="5">
        <v>1232775</v>
      </c>
      <c r="B31" s="9">
        <v>109</v>
      </c>
      <c r="C31" s="9">
        <v>311</v>
      </c>
      <c r="D31" s="18">
        <v>278</v>
      </c>
      <c r="E31" s="18">
        <v>0</v>
      </c>
      <c r="F31" s="18">
        <v>0</v>
      </c>
      <c r="G31" s="18">
        <v>620</v>
      </c>
      <c r="H31" s="18">
        <v>282</v>
      </c>
      <c r="I31" s="9">
        <v>0</v>
      </c>
      <c r="J31" s="9">
        <v>248</v>
      </c>
      <c r="K31" s="9">
        <v>245</v>
      </c>
      <c r="L31" s="9">
        <v>0</v>
      </c>
      <c r="M31" s="9">
        <v>0</v>
      </c>
      <c r="N31" s="9">
        <v>7</v>
      </c>
      <c r="O31" s="9">
        <v>0</v>
      </c>
      <c r="P31" s="9">
        <v>165</v>
      </c>
      <c r="Q31" s="9">
        <v>309</v>
      </c>
      <c r="R31" s="9">
        <v>243</v>
      </c>
      <c r="S31" s="9">
        <v>0</v>
      </c>
    </row>
    <row r="32" spans="1:19">
      <c r="A32" s="5">
        <v>1238605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175</v>
      </c>
      <c r="P32" s="9">
        <v>187</v>
      </c>
      <c r="Q32" s="9">
        <v>237</v>
      </c>
      <c r="R32" s="9">
        <v>187</v>
      </c>
      <c r="S32" s="9">
        <v>0</v>
      </c>
    </row>
    <row r="33" spans="1:19">
      <c r="A33" s="5">
        <v>1230685</v>
      </c>
      <c r="B33" s="9">
        <v>28</v>
      </c>
      <c r="C33" s="9">
        <v>122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379</v>
      </c>
      <c r="O33" s="9">
        <v>71</v>
      </c>
      <c r="P33" s="9">
        <v>0</v>
      </c>
      <c r="Q33" s="9">
        <v>0</v>
      </c>
      <c r="R33" s="9">
        <v>0</v>
      </c>
      <c r="S33" s="9">
        <v>0</v>
      </c>
    </row>
    <row r="37" spans="1:19">
      <c r="A37" s="5" t="s">
        <v>0</v>
      </c>
      <c r="B37" s="9" t="s">
        <v>768</v>
      </c>
      <c r="C37" s="9" t="s">
        <v>769</v>
      </c>
      <c r="D37" s="9" t="s">
        <v>770</v>
      </c>
      <c r="E37" s="9" t="s">
        <v>771</v>
      </c>
      <c r="F37" s="9" t="s">
        <v>772</v>
      </c>
      <c r="G37" s="9" t="s">
        <v>789</v>
      </c>
      <c r="H37" s="9" t="s">
        <v>790</v>
      </c>
      <c r="I37" s="9" t="s">
        <v>791</v>
      </c>
      <c r="J37" s="9" t="s">
        <v>792</v>
      </c>
      <c r="K37" s="9" t="s">
        <v>793</v>
      </c>
      <c r="L37" s="9" t="s">
        <v>794</v>
      </c>
      <c r="M37" s="9" t="s">
        <v>795</v>
      </c>
      <c r="N37" s="9" t="s">
        <v>816</v>
      </c>
      <c r="O37" s="9" t="s">
        <v>817</v>
      </c>
      <c r="P37" s="9" t="s">
        <v>818</v>
      </c>
      <c r="Q37" s="9" t="s">
        <v>819</v>
      </c>
      <c r="R37" s="9" t="s">
        <v>820</v>
      </c>
      <c r="S37" s="9" t="s">
        <v>821</v>
      </c>
    </row>
    <row r="38" spans="1:19">
      <c r="A38" s="5">
        <v>1230692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150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5">
        <v>1221967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451</v>
      </c>
      <c r="I39" s="9">
        <v>389</v>
      </c>
      <c r="J39" s="9">
        <v>184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5">
        <v>1229088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48</v>
      </c>
      <c r="K40" s="9">
        <v>587</v>
      </c>
      <c r="L40" s="9">
        <v>0</v>
      </c>
      <c r="M40" s="9">
        <v>0</v>
      </c>
      <c r="N40" s="9">
        <v>19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5">
        <v>1225464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415</v>
      </c>
      <c r="I41" s="9">
        <v>341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5">
        <v>1231797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100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5">
        <v>1232066</v>
      </c>
      <c r="B43" s="9">
        <v>0</v>
      </c>
      <c r="C43" s="9">
        <v>0</v>
      </c>
      <c r="D43" s="9">
        <v>54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>
      <c r="A44" s="5">
        <v>1232693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650</v>
      </c>
      <c r="P44" s="9">
        <v>85</v>
      </c>
      <c r="Q44" s="9">
        <v>0</v>
      </c>
      <c r="R44" s="9">
        <v>0</v>
      </c>
      <c r="S44" s="9">
        <v>0</v>
      </c>
    </row>
    <row r="45" spans="1:19">
      <c r="A45" s="5">
        <v>1233025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650</v>
      </c>
      <c r="P45" s="9">
        <v>85</v>
      </c>
      <c r="Q45" s="9">
        <v>0</v>
      </c>
      <c r="R45" s="9">
        <v>0</v>
      </c>
      <c r="S45" s="9">
        <v>0</v>
      </c>
    </row>
    <row r="46" spans="1:19">
      <c r="A46" s="5">
        <v>1234222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500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5">
        <v>1232528</v>
      </c>
      <c r="B47" s="9">
        <v>305</v>
      </c>
      <c r="C47" s="9">
        <v>0</v>
      </c>
      <c r="D47" s="9">
        <v>0</v>
      </c>
      <c r="E47" s="9">
        <v>0</v>
      </c>
      <c r="F47" s="9">
        <v>0</v>
      </c>
      <c r="G47" s="9">
        <v>429</v>
      </c>
      <c r="H47" s="9">
        <v>673</v>
      </c>
      <c r="I47" s="9">
        <v>508</v>
      </c>
      <c r="J47" s="9">
        <v>686</v>
      </c>
      <c r="K47" s="9">
        <v>539</v>
      </c>
      <c r="L47" s="9">
        <v>0</v>
      </c>
      <c r="M47" s="9">
        <v>0</v>
      </c>
      <c r="N47" s="9">
        <v>686</v>
      </c>
      <c r="O47" s="9">
        <v>686</v>
      </c>
      <c r="P47" s="9">
        <v>1078</v>
      </c>
      <c r="Q47" s="9">
        <v>981</v>
      </c>
      <c r="R47" s="9">
        <v>0</v>
      </c>
      <c r="S47" s="9">
        <v>0</v>
      </c>
    </row>
    <row r="48" spans="1:19">
      <c r="A48" s="5">
        <v>1232846</v>
      </c>
      <c r="B48" s="9">
        <v>300</v>
      </c>
      <c r="C48" s="9">
        <v>40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241</v>
      </c>
      <c r="R48" s="9">
        <v>0</v>
      </c>
      <c r="S48" s="9">
        <v>0</v>
      </c>
    </row>
    <row r="49" spans="1:19">
      <c r="A49" s="5">
        <v>1229050</v>
      </c>
      <c r="B49" s="9">
        <v>47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19">
      <c r="A50" s="5">
        <v>1231090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240</v>
      </c>
      <c r="P50" s="9">
        <v>0</v>
      </c>
      <c r="Q50" s="9">
        <v>0</v>
      </c>
      <c r="R50" s="9">
        <v>0</v>
      </c>
      <c r="S50" s="9">
        <v>0</v>
      </c>
    </row>
    <row r="51" spans="1:19">
      <c r="A51" s="5">
        <v>1233383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9</v>
      </c>
      <c r="S51" s="9">
        <v>0</v>
      </c>
    </row>
    <row r="52" spans="1:19">
      <c r="A52" s="5">
        <v>1233735</v>
      </c>
      <c r="B52" s="9">
        <v>90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19">
      <c r="A53" s="5">
        <v>1234034</v>
      </c>
      <c r="B53" s="9">
        <v>40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68">
        <v>1235097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308</v>
      </c>
      <c r="H54" s="9">
        <v>343</v>
      </c>
      <c r="I54" s="9">
        <v>19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410</v>
      </c>
      <c r="S54" s="9">
        <v>0</v>
      </c>
    </row>
    <row r="55" spans="1:19">
      <c r="A55" s="5">
        <v>1235845</v>
      </c>
      <c r="B55" s="9">
        <v>0</v>
      </c>
      <c r="C55" s="9">
        <v>462</v>
      </c>
      <c r="D55" s="9">
        <v>547</v>
      </c>
      <c r="E55" s="9">
        <v>0</v>
      </c>
      <c r="F55" s="9">
        <v>0</v>
      </c>
      <c r="G55" s="9">
        <v>622</v>
      </c>
      <c r="H55" s="9">
        <v>366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</row>
    <row r="56" spans="1:19">
      <c r="A56" s="5">
        <v>1236930</v>
      </c>
      <c r="B56" s="9">
        <v>136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321</v>
      </c>
      <c r="I56" s="9">
        <v>252</v>
      </c>
      <c r="J56" s="9">
        <v>340</v>
      </c>
      <c r="K56" s="9">
        <v>262</v>
      </c>
      <c r="L56" s="9">
        <v>0</v>
      </c>
      <c r="M56" s="9">
        <v>0</v>
      </c>
      <c r="N56" s="9">
        <v>414</v>
      </c>
      <c r="O56" s="9">
        <v>250</v>
      </c>
      <c r="P56" s="9">
        <v>150</v>
      </c>
      <c r="Q56" s="9">
        <v>0</v>
      </c>
      <c r="R56" s="9">
        <v>150</v>
      </c>
      <c r="S56" s="9">
        <v>0</v>
      </c>
    </row>
    <row r="57" spans="1:19">
      <c r="A57" s="5">
        <v>1232982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187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</row>
    <row r="58" spans="1:19">
      <c r="A58" s="5">
        <v>1234905</v>
      </c>
      <c r="B58" s="9">
        <v>0</v>
      </c>
      <c r="C58" s="9">
        <v>0</v>
      </c>
      <c r="D58" s="9">
        <v>261</v>
      </c>
      <c r="E58" s="9">
        <v>0</v>
      </c>
      <c r="F58" s="9">
        <v>0</v>
      </c>
      <c r="G58" s="9">
        <v>388</v>
      </c>
      <c r="H58" s="9">
        <v>7</v>
      </c>
      <c r="I58" s="9">
        <v>0</v>
      </c>
      <c r="J58" s="9">
        <v>456</v>
      </c>
      <c r="K58" s="9">
        <v>394</v>
      </c>
      <c r="L58" s="9">
        <v>0</v>
      </c>
      <c r="M58" s="9">
        <v>0</v>
      </c>
      <c r="N58" s="9">
        <v>270</v>
      </c>
      <c r="O58" s="9">
        <v>400</v>
      </c>
      <c r="P58" s="9">
        <v>300</v>
      </c>
      <c r="Q58" s="9">
        <v>250</v>
      </c>
      <c r="R58" s="9">
        <v>0</v>
      </c>
      <c r="S58" s="9">
        <v>0</v>
      </c>
    </row>
    <row r="59" spans="1:19">
      <c r="A59" s="5">
        <v>1238480</v>
      </c>
      <c r="B59" s="9">
        <v>835</v>
      </c>
      <c r="C59" s="9">
        <v>1217</v>
      </c>
      <c r="D59" s="9">
        <v>1121</v>
      </c>
      <c r="E59" s="9">
        <v>0</v>
      </c>
      <c r="F59" s="9">
        <v>0</v>
      </c>
      <c r="G59" s="9">
        <v>911</v>
      </c>
      <c r="H59" s="9">
        <v>1036</v>
      </c>
      <c r="I59" s="9">
        <v>969</v>
      </c>
      <c r="J59" s="9">
        <v>1308</v>
      </c>
      <c r="K59" s="9">
        <v>1029</v>
      </c>
      <c r="L59" s="9">
        <v>0</v>
      </c>
      <c r="M59" s="9">
        <v>0</v>
      </c>
      <c r="N59" s="9">
        <v>1603</v>
      </c>
      <c r="O59" s="9">
        <v>1376</v>
      </c>
      <c r="P59" s="9">
        <v>1532</v>
      </c>
      <c r="Q59" s="9">
        <v>728</v>
      </c>
      <c r="R59" s="9">
        <v>1119</v>
      </c>
      <c r="S59" s="9">
        <v>0</v>
      </c>
    </row>
    <row r="60" spans="1:19">
      <c r="A60" s="5">
        <v>1238453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40</v>
      </c>
      <c r="S60" s="9">
        <v>0</v>
      </c>
    </row>
    <row r="61" spans="1:19">
      <c r="A61" s="5">
        <v>1232775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213</v>
      </c>
      <c r="J61" s="9">
        <v>73</v>
      </c>
      <c r="K61" s="9">
        <v>0</v>
      </c>
      <c r="L61" s="9">
        <v>0</v>
      </c>
      <c r="M61" s="9">
        <v>0</v>
      </c>
      <c r="N61" s="9">
        <v>0</v>
      </c>
      <c r="O61" s="9">
        <v>118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5">
        <v>1240029</v>
      </c>
      <c r="B62" s="9">
        <v>0</v>
      </c>
      <c r="C62" s="9">
        <v>0</v>
      </c>
      <c r="D62" s="9">
        <v>150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 spans="1:19">
      <c r="A63" s="5">
        <v>1240032</v>
      </c>
      <c r="B63" s="9">
        <v>0</v>
      </c>
      <c r="C63" s="9">
        <v>0</v>
      </c>
      <c r="D63" s="9">
        <v>150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>
      <c r="A64" s="5">
        <v>1240180</v>
      </c>
      <c r="B64" s="9">
        <v>111</v>
      </c>
      <c r="C64" s="9">
        <v>320</v>
      </c>
      <c r="D64" s="9">
        <v>100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200</v>
      </c>
      <c r="S64" s="9">
        <v>0</v>
      </c>
    </row>
    <row r="65" spans="1:19">
      <c r="A65" s="5">
        <v>1240184</v>
      </c>
      <c r="B65" s="9">
        <v>111</v>
      </c>
      <c r="C65" s="9">
        <v>320</v>
      </c>
      <c r="D65" s="9">
        <v>100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200</v>
      </c>
      <c r="S65" s="9">
        <v>0</v>
      </c>
    </row>
    <row r="66" spans="1:19">
      <c r="A66" s="5">
        <v>1241138</v>
      </c>
      <c r="B66" s="9">
        <v>0</v>
      </c>
      <c r="C66" s="9">
        <v>80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>
      <c r="A67" s="5">
        <v>1232894</v>
      </c>
      <c r="B67" s="9">
        <v>264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>
      <c r="A68" s="5">
        <v>1233385</v>
      </c>
      <c r="B68" s="9">
        <v>264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>
      <c r="A69" s="5">
        <v>1232895</v>
      </c>
      <c r="B69" s="9">
        <v>36</v>
      </c>
      <c r="C69" s="9">
        <v>40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241</v>
      </c>
      <c r="R69" s="9">
        <v>0</v>
      </c>
      <c r="S69" s="9">
        <v>0</v>
      </c>
    </row>
    <row r="70" spans="1:19">
      <c r="A70" s="5">
        <v>1232922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166</v>
      </c>
      <c r="R70" s="9">
        <v>0</v>
      </c>
      <c r="S70" s="9">
        <v>0</v>
      </c>
    </row>
    <row r="71" spans="1:19">
      <c r="A71" s="5">
        <v>1233387</v>
      </c>
      <c r="B71" s="9">
        <v>36</v>
      </c>
      <c r="C71" s="9">
        <v>40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75</v>
      </c>
      <c r="R71" s="9">
        <v>0</v>
      </c>
      <c r="S71" s="9">
        <v>0</v>
      </c>
    </row>
  </sheetData>
  <autoFilter ref="A1:S21" xr:uid="{64D14DF4-BD5D-4769-BB35-6D1DB6C9418C}"/>
  <phoneticPr fontId="1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69EC-362A-46F2-BFCF-A41FC1BE210F}">
  <sheetPr>
    <tabColor rgb="FFFFFF00"/>
  </sheetPr>
  <dimension ref="A1:N104"/>
  <sheetViews>
    <sheetView zoomScale="130" zoomScaleNormal="130"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B43" sqref="A43:XFD43"/>
    </sheetView>
  </sheetViews>
  <sheetFormatPr defaultColWidth="9.1640625" defaultRowHeight="12"/>
  <cols>
    <col min="1" max="2" width="9.1640625" style="5"/>
    <col min="3" max="12" width="12" style="9" customWidth="1"/>
    <col min="13" max="16384" width="9.1640625" style="5"/>
  </cols>
  <sheetData>
    <row r="1" spans="1:14" s="33" customFormat="1">
      <c r="A1" s="298"/>
      <c r="B1" s="298" t="s">
        <v>0</v>
      </c>
      <c r="C1" s="114" t="s">
        <v>725</v>
      </c>
      <c r="D1" s="114" t="s">
        <v>727</v>
      </c>
      <c r="E1" s="114" t="s">
        <v>731</v>
      </c>
      <c r="F1" s="114" t="s">
        <v>736</v>
      </c>
      <c r="G1" s="114" t="s">
        <v>745</v>
      </c>
      <c r="H1" s="114" t="s">
        <v>754</v>
      </c>
      <c r="I1" s="114" t="s">
        <v>764</v>
      </c>
      <c r="J1" s="114" t="s">
        <v>773</v>
      </c>
      <c r="K1" s="114" t="s">
        <v>796</v>
      </c>
      <c r="L1" s="114" t="s">
        <v>823</v>
      </c>
    </row>
    <row r="2" spans="1:14" s="33" customFormat="1">
      <c r="A2" s="298"/>
      <c r="B2" s="299"/>
      <c r="C2" s="60" t="s">
        <v>726</v>
      </c>
      <c r="D2" s="60" t="s">
        <v>728</v>
      </c>
      <c r="E2" s="60" t="s">
        <v>732</v>
      </c>
      <c r="F2" s="60" t="s">
        <v>737</v>
      </c>
      <c r="G2" s="60" t="s">
        <v>746</v>
      </c>
      <c r="H2" s="60" t="s">
        <v>755</v>
      </c>
      <c r="I2" s="60" t="s">
        <v>765</v>
      </c>
      <c r="J2" s="60" t="s">
        <v>774</v>
      </c>
      <c r="K2" s="60" t="s">
        <v>797</v>
      </c>
      <c r="L2" s="60" t="s">
        <v>824</v>
      </c>
      <c r="N2" s="155">
        <v>46050</v>
      </c>
    </row>
    <row r="3" spans="1:14">
      <c r="A3" s="153"/>
      <c r="B3" s="154">
        <v>1226384</v>
      </c>
      <c r="C3" s="32">
        <v>0</v>
      </c>
      <c r="D3" s="32">
        <v>0</v>
      </c>
      <c r="E3" s="32">
        <v>1060</v>
      </c>
      <c r="F3" s="32">
        <v>300</v>
      </c>
      <c r="G3" s="32">
        <v>0</v>
      </c>
      <c r="H3" s="32">
        <v>0</v>
      </c>
      <c r="I3" s="32">
        <v>600</v>
      </c>
      <c r="J3" s="32">
        <v>0</v>
      </c>
      <c r="K3" s="32">
        <v>0</v>
      </c>
      <c r="L3" s="32">
        <v>0</v>
      </c>
      <c r="N3" s="78">
        <f>SUM(C3:L3)</f>
        <v>1960</v>
      </c>
    </row>
    <row r="4" spans="1:14">
      <c r="A4" s="153"/>
      <c r="B4" s="154">
        <v>1226388</v>
      </c>
      <c r="C4" s="32">
        <v>0</v>
      </c>
      <c r="D4" s="32">
        <v>0</v>
      </c>
      <c r="E4" s="32">
        <v>1060</v>
      </c>
      <c r="F4" s="32">
        <v>300</v>
      </c>
      <c r="G4" s="32">
        <v>0</v>
      </c>
      <c r="H4" s="32">
        <v>0</v>
      </c>
      <c r="I4" s="32">
        <v>600</v>
      </c>
      <c r="J4" s="32">
        <v>0</v>
      </c>
      <c r="K4" s="32">
        <v>0</v>
      </c>
      <c r="L4" s="32">
        <v>0</v>
      </c>
      <c r="N4" s="78">
        <f t="shared" ref="N4:N67" si="0">SUM(C4:L4)</f>
        <v>1960</v>
      </c>
    </row>
    <row r="5" spans="1:14">
      <c r="A5" s="153"/>
      <c r="B5" s="154">
        <v>1227431</v>
      </c>
      <c r="C5" s="32">
        <v>96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N5" s="78">
        <f t="shared" si="0"/>
        <v>96</v>
      </c>
    </row>
    <row r="6" spans="1:14">
      <c r="A6" s="153"/>
      <c r="B6" s="154">
        <v>1227433</v>
      </c>
      <c r="C6" s="32">
        <v>96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N6" s="78">
        <f t="shared" si="0"/>
        <v>96</v>
      </c>
    </row>
    <row r="7" spans="1:14">
      <c r="A7" s="153"/>
      <c r="B7" s="154">
        <v>1229673</v>
      </c>
      <c r="C7" s="32">
        <v>0</v>
      </c>
      <c r="D7" s="32">
        <v>600</v>
      </c>
      <c r="E7" s="32">
        <v>900</v>
      </c>
      <c r="F7" s="32">
        <v>1000</v>
      </c>
      <c r="G7" s="32">
        <v>1000</v>
      </c>
      <c r="H7" s="32">
        <v>900</v>
      </c>
      <c r="I7" s="32">
        <v>1400</v>
      </c>
      <c r="J7" s="32">
        <v>900</v>
      </c>
      <c r="K7" s="32">
        <v>800</v>
      </c>
      <c r="L7" s="32">
        <v>800</v>
      </c>
      <c r="N7" s="78">
        <f t="shared" si="0"/>
        <v>8300</v>
      </c>
    </row>
    <row r="8" spans="1:14">
      <c r="A8" s="153"/>
      <c r="B8" s="154">
        <v>1230692</v>
      </c>
      <c r="C8" s="32">
        <v>0</v>
      </c>
      <c r="D8" s="32">
        <v>1056</v>
      </c>
      <c r="E8" s="32">
        <v>700</v>
      </c>
      <c r="F8" s="32">
        <v>600</v>
      </c>
      <c r="G8" s="32">
        <v>700</v>
      </c>
      <c r="H8" s="32">
        <v>600</v>
      </c>
      <c r="I8" s="32">
        <v>1400</v>
      </c>
      <c r="J8" s="32">
        <v>800</v>
      </c>
      <c r="K8" s="32">
        <v>800</v>
      </c>
      <c r="L8" s="32">
        <v>700</v>
      </c>
      <c r="N8" s="78">
        <f t="shared" si="0"/>
        <v>7356</v>
      </c>
    </row>
    <row r="9" spans="1:14">
      <c r="A9" s="153"/>
      <c r="B9" s="154">
        <v>1230696</v>
      </c>
      <c r="C9" s="32">
        <v>108</v>
      </c>
      <c r="D9" s="32">
        <v>68</v>
      </c>
      <c r="E9" s="32">
        <v>0</v>
      </c>
      <c r="F9" s="32">
        <v>200</v>
      </c>
      <c r="G9" s="32">
        <v>100</v>
      </c>
      <c r="H9" s="32">
        <v>0</v>
      </c>
      <c r="I9" s="32">
        <v>0</v>
      </c>
      <c r="J9" s="32">
        <v>200</v>
      </c>
      <c r="K9" s="32">
        <v>200</v>
      </c>
      <c r="L9" s="32">
        <v>200</v>
      </c>
      <c r="N9" s="78">
        <f t="shared" si="0"/>
        <v>1076</v>
      </c>
    </row>
    <row r="10" spans="1:14">
      <c r="A10" s="153"/>
      <c r="B10" s="154">
        <v>1230854</v>
      </c>
      <c r="C10" s="32">
        <v>0</v>
      </c>
      <c r="D10" s="32">
        <v>100</v>
      </c>
      <c r="E10" s="32">
        <v>0</v>
      </c>
      <c r="F10" s="32">
        <v>0</v>
      </c>
      <c r="G10" s="32">
        <v>200</v>
      </c>
      <c r="H10" s="32">
        <v>0</v>
      </c>
      <c r="I10" s="32">
        <v>0</v>
      </c>
      <c r="J10" s="32">
        <v>0</v>
      </c>
      <c r="K10" s="32">
        <v>200</v>
      </c>
      <c r="L10" s="32">
        <v>0</v>
      </c>
      <c r="N10" s="78">
        <f t="shared" si="0"/>
        <v>500</v>
      </c>
    </row>
    <row r="11" spans="1:14">
      <c r="A11" s="153"/>
      <c r="B11" s="154">
        <v>1231202</v>
      </c>
      <c r="C11" s="32">
        <v>0</v>
      </c>
      <c r="D11" s="32">
        <v>0</v>
      </c>
      <c r="E11" s="32">
        <v>150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N11" s="78">
        <f t="shared" si="0"/>
        <v>150</v>
      </c>
    </row>
    <row r="12" spans="1:14">
      <c r="A12" s="153"/>
      <c r="B12" s="154">
        <v>1231898</v>
      </c>
      <c r="C12" s="32">
        <v>1344</v>
      </c>
      <c r="D12" s="32">
        <v>2688</v>
      </c>
      <c r="E12" s="32">
        <v>2240</v>
      </c>
      <c r="F12" s="32">
        <v>1792</v>
      </c>
      <c r="G12" s="32">
        <v>2240</v>
      </c>
      <c r="H12" s="32">
        <v>1792</v>
      </c>
      <c r="I12" s="32">
        <v>2240</v>
      </c>
      <c r="J12" s="32">
        <v>2240</v>
      </c>
      <c r="K12" s="32">
        <v>1344</v>
      </c>
      <c r="L12" s="32">
        <v>1344</v>
      </c>
      <c r="N12" s="78">
        <f t="shared" si="0"/>
        <v>19264</v>
      </c>
    </row>
    <row r="13" spans="1:14">
      <c r="A13" s="153"/>
      <c r="B13" s="154">
        <v>1232693</v>
      </c>
      <c r="C13" s="32">
        <v>126</v>
      </c>
      <c r="D13" s="32">
        <v>609</v>
      </c>
      <c r="E13" s="32">
        <v>0</v>
      </c>
      <c r="F13" s="32">
        <v>0</v>
      </c>
      <c r="G13" s="32">
        <v>0</v>
      </c>
      <c r="H13" s="32">
        <v>861</v>
      </c>
      <c r="I13" s="32">
        <v>0</v>
      </c>
      <c r="J13" s="32">
        <v>0</v>
      </c>
      <c r="K13" s="32">
        <v>0</v>
      </c>
      <c r="L13" s="32">
        <v>0</v>
      </c>
      <c r="N13" s="78">
        <f t="shared" si="0"/>
        <v>1596</v>
      </c>
    </row>
    <row r="14" spans="1:14">
      <c r="A14" s="153"/>
      <c r="B14" s="154">
        <v>1233025</v>
      </c>
      <c r="C14" s="32">
        <v>126</v>
      </c>
      <c r="D14" s="32">
        <v>609</v>
      </c>
      <c r="E14" s="32">
        <v>0</v>
      </c>
      <c r="F14" s="32">
        <v>0</v>
      </c>
      <c r="G14" s="32">
        <v>0</v>
      </c>
      <c r="H14" s="32">
        <v>861</v>
      </c>
      <c r="I14" s="32">
        <v>0</v>
      </c>
      <c r="J14" s="32">
        <v>0</v>
      </c>
      <c r="K14" s="32">
        <v>0</v>
      </c>
      <c r="L14" s="32">
        <v>0</v>
      </c>
      <c r="N14" s="78">
        <f t="shared" si="0"/>
        <v>1596</v>
      </c>
    </row>
    <row r="15" spans="1:14">
      <c r="A15" s="153"/>
      <c r="B15" s="154">
        <v>1233492</v>
      </c>
      <c r="C15" s="32">
        <v>0</v>
      </c>
      <c r="D15" s="32">
        <v>0</v>
      </c>
      <c r="E15" s="32">
        <v>0</v>
      </c>
      <c r="F15" s="32">
        <v>0</v>
      </c>
      <c r="G15" s="32">
        <v>500</v>
      </c>
      <c r="H15" s="32">
        <v>0</v>
      </c>
      <c r="I15" s="32">
        <v>300</v>
      </c>
      <c r="J15" s="32">
        <v>400</v>
      </c>
      <c r="K15" s="32">
        <v>400</v>
      </c>
      <c r="L15" s="32">
        <v>300</v>
      </c>
      <c r="N15" s="78">
        <f t="shared" si="0"/>
        <v>1900</v>
      </c>
    </row>
    <row r="16" spans="1:14">
      <c r="A16" s="153"/>
      <c r="B16" s="154">
        <v>1233498</v>
      </c>
      <c r="C16" s="32">
        <v>0</v>
      </c>
      <c r="D16" s="32">
        <v>0</v>
      </c>
      <c r="E16" s="32">
        <v>0</v>
      </c>
      <c r="F16" s="32">
        <v>0</v>
      </c>
      <c r="G16" s="32">
        <v>500</v>
      </c>
      <c r="H16" s="32">
        <v>0</v>
      </c>
      <c r="I16" s="32">
        <v>300</v>
      </c>
      <c r="J16" s="32">
        <v>400</v>
      </c>
      <c r="K16" s="32">
        <v>400</v>
      </c>
      <c r="L16" s="32">
        <v>300</v>
      </c>
      <c r="N16" s="78">
        <f t="shared" si="0"/>
        <v>1900</v>
      </c>
    </row>
    <row r="17" spans="1:14">
      <c r="A17" s="153"/>
      <c r="B17" s="154">
        <v>1233623</v>
      </c>
      <c r="C17" s="32">
        <v>0</v>
      </c>
      <c r="D17" s="32">
        <v>0</v>
      </c>
      <c r="E17" s="32">
        <v>0</v>
      </c>
      <c r="F17" s="32">
        <v>0</v>
      </c>
      <c r="G17" s="32">
        <v>500</v>
      </c>
      <c r="H17" s="32">
        <v>0</v>
      </c>
      <c r="I17" s="32">
        <v>300</v>
      </c>
      <c r="J17" s="32">
        <v>400</v>
      </c>
      <c r="K17" s="32">
        <v>400</v>
      </c>
      <c r="L17" s="32">
        <v>300</v>
      </c>
      <c r="N17" s="78">
        <f t="shared" si="0"/>
        <v>1900</v>
      </c>
    </row>
    <row r="18" spans="1:14">
      <c r="A18" s="153"/>
      <c r="B18" s="154">
        <v>1233632</v>
      </c>
      <c r="C18" s="32">
        <v>100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N18" s="78">
        <f t="shared" si="0"/>
        <v>100</v>
      </c>
    </row>
    <row r="19" spans="1:14">
      <c r="A19" s="153"/>
      <c r="B19" s="154">
        <v>1233761</v>
      </c>
      <c r="C19" s="32">
        <v>0</v>
      </c>
      <c r="D19" s="32">
        <v>0</v>
      </c>
      <c r="E19" s="32">
        <v>0</v>
      </c>
      <c r="F19" s="32">
        <v>300</v>
      </c>
      <c r="G19" s="32">
        <v>140</v>
      </c>
      <c r="H19" s="32">
        <v>0</v>
      </c>
      <c r="I19" s="32">
        <v>100</v>
      </c>
      <c r="J19" s="32">
        <v>200</v>
      </c>
      <c r="K19" s="32">
        <v>200</v>
      </c>
      <c r="L19" s="32">
        <v>200</v>
      </c>
      <c r="N19" s="78">
        <f t="shared" si="0"/>
        <v>1140</v>
      </c>
    </row>
    <row r="20" spans="1:14">
      <c r="A20" s="153"/>
      <c r="B20" s="154">
        <v>1233877</v>
      </c>
      <c r="C20" s="32">
        <v>0</v>
      </c>
      <c r="D20" s="32">
        <v>0</v>
      </c>
      <c r="E20" s="32">
        <v>120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N20" s="78">
        <f t="shared" si="0"/>
        <v>120</v>
      </c>
    </row>
    <row r="21" spans="1:14">
      <c r="A21" s="153"/>
      <c r="B21" s="154">
        <v>1234614</v>
      </c>
      <c r="C21" s="32">
        <v>0</v>
      </c>
      <c r="D21" s="32">
        <v>0</v>
      </c>
      <c r="E21" s="32">
        <v>0</v>
      </c>
      <c r="F21" s="32">
        <v>400</v>
      </c>
      <c r="G21" s="32">
        <v>400</v>
      </c>
      <c r="H21" s="32">
        <v>0</v>
      </c>
      <c r="I21" s="32">
        <v>300</v>
      </c>
      <c r="J21" s="32">
        <v>300</v>
      </c>
      <c r="K21" s="32">
        <v>300</v>
      </c>
      <c r="L21" s="32">
        <v>0</v>
      </c>
      <c r="N21" s="78">
        <f t="shared" si="0"/>
        <v>1700</v>
      </c>
    </row>
    <row r="22" spans="1:14">
      <c r="A22" s="153"/>
      <c r="B22" s="154">
        <v>1235003</v>
      </c>
      <c r="C22" s="32">
        <v>0</v>
      </c>
      <c r="D22" s="32">
        <v>0</v>
      </c>
      <c r="E22" s="32">
        <v>3225</v>
      </c>
      <c r="F22" s="32">
        <v>3450</v>
      </c>
      <c r="G22" s="32">
        <v>1350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N22" s="78">
        <f t="shared" si="0"/>
        <v>8025</v>
      </c>
    </row>
    <row r="23" spans="1:14">
      <c r="A23" s="153"/>
      <c r="B23" s="154">
        <v>1235058</v>
      </c>
      <c r="C23" s="32">
        <v>0</v>
      </c>
      <c r="D23" s="32">
        <v>0</v>
      </c>
      <c r="E23" s="32">
        <v>675</v>
      </c>
      <c r="F23" s="32">
        <v>625</v>
      </c>
      <c r="G23" s="32">
        <v>100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N23" s="78">
        <f t="shared" si="0"/>
        <v>1400</v>
      </c>
    </row>
    <row r="24" spans="1:14">
      <c r="A24" s="153"/>
      <c r="B24" s="154">
        <v>1235623</v>
      </c>
      <c r="C24" s="32">
        <v>0</v>
      </c>
      <c r="D24" s="32">
        <v>0</v>
      </c>
      <c r="E24" s="32">
        <v>1872</v>
      </c>
      <c r="F24" s="32">
        <v>416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1872</v>
      </c>
      <c r="N24" s="78">
        <f t="shared" si="0"/>
        <v>4160</v>
      </c>
    </row>
    <row r="25" spans="1:14">
      <c r="A25" s="153"/>
      <c r="B25" s="154">
        <v>1236091</v>
      </c>
      <c r="C25" s="32">
        <v>0</v>
      </c>
      <c r="D25" s="32">
        <v>100</v>
      </c>
      <c r="E25" s="32">
        <v>0</v>
      </c>
      <c r="F25" s="32">
        <v>350</v>
      </c>
      <c r="G25" s="32">
        <v>300</v>
      </c>
      <c r="H25" s="32">
        <v>0</v>
      </c>
      <c r="I25" s="32">
        <v>0</v>
      </c>
      <c r="J25" s="32">
        <v>300</v>
      </c>
      <c r="K25" s="32">
        <v>400</v>
      </c>
      <c r="L25" s="32">
        <v>0</v>
      </c>
      <c r="N25" s="78">
        <f t="shared" si="0"/>
        <v>1450</v>
      </c>
    </row>
    <row r="26" spans="1:14">
      <c r="A26" s="153"/>
      <c r="B26" s="154">
        <v>1236488</v>
      </c>
      <c r="C26" s="32">
        <v>576</v>
      </c>
      <c r="D26" s="32">
        <v>588</v>
      </c>
      <c r="E26" s="32">
        <v>600</v>
      </c>
      <c r="F26" s="32">
        <v>600</v>
      </c>
      <c r="G26" s="32">
        <v>600</v>
      </c>
      <c r="H26" s="32">
        <v>600</v>
      </c>
      <c r="I26" s="32">
        <v>700</v>
      </c>
      <c r="J26" s="32">
        <v>800</v>
      </c>
      <c r="K26" s="32">
        <v>800</v>
      </c>
      <c r="L26" s="32">
        <v>700</v>
      </c>
      <c r="N26" s="78">
        <f t="shared" si="0"/>
        <v>6564</v>
      </c>
    </row>
    <row r="27" spans="1:14">
      <c r="A27" s="153"/>
      <c r="B27" s="154">
        <v>1236534</v>
      </c>
      <c r="C27" s="32">
        <v>0</v>
      </c>
      <c r="D27" s="32">
        <v>24</v>
      </c>
      <c r="E27" s="32">
        <v>0</v>
      </c>
      <c r="F27" s="32">
        <v>200</v>
      </c>
      <c r="G27" s="32">
        <v>0</v>
      </c>
      <c r="H27" s="32">
        <v>0</v>
      </c>
      <c r="I27" s="32">
        <v>0</v>
      </c>
      <c r="J27" s="32">
        <v>300</v>
      </c>
      <c r="K27" s="32">
        <v>300</v>
      </c>
      <c r="L27" s="32">
        <v>0</v>
      </c>
      <c r="N27" s="78">
        <f t="shared" si="0"/>
        <v>824</v>
      </c>
    </row>
    <row r="28" spans="1:14">
      <c r="A28" s="153"/>
      <c r="B28" s="154">
        <v>1236962</v>
      </c>
      <c r="C28" s="32">
        <v>0</v>
      </c>
      <c r="D28" s="32">
        <v>568</v>
      </c>
      <c r="E28" s="32">
        <v>700</v>
      </c>
      <c r="F28" s="32">
        <v>900</v>
      </c>
      <c r="G28" s="32">
        <v>900</v>
      </c>
      <c r="H28" s="32">
        <v>900</v>
      </c>
      <c r="I28" s="32">
        <v>1700</v>
      </c>
      <c r="J28" s="32">
        <v>900</v>
      </c>
      <c r="K28" s="32">
        <v>800</v>
      </c>
      <c r="L28" s="32">
        <v>800</v>
      </c>
      <c r="N28" s="78">
        <f t="shared" si="0"/>
        <v>8168</v>
      </c>
    </row>
    <row r="29" spans="1:14">
      <c r="A29" s="153"/>
      <c r="B29" s="154">
        <v>1237088</v>
      </c>
      <c r="C29" s="32">
        <v>3608</v>
      </c>
      <c r="D29" s="32">
        <v>4016</v>
      </c>
      <c r="E29" s="32">
        <v>3550</v>
      </c>
      <c r="F29" s="32">
        <v>4124</v>
      </c>
      <c r="G29" s="32">
        <v>4100</v>
      </c>
      <c r="H29" s="32">
        <v>3900</v>
      </c>
      <c r="I29" s="32">
        <v>6050</v>
      </c>
      <c r="J29" s="32">
        <v>3676</v>
      </c>
      <c r="K29" s="32">
        <v>3856</v>
      </c>
      <c r="L29" s="32">
        <v>3750</v>
      </c>
      <c r="N29" s="78">
        <f t="shared" si="0"/>
        <v>40630</v>
      </c>
    </row>
    <row r="30" spans="1:14">
      <c r="A30" s="153"/>
      <c r="B30" s="154">
        <v>1237586</v>
      </c>
      <c r="C30" s="32">
        <v>1344</v>
      </c>
      <c r="D30" s="32">
        <v>2688</v>
      </c>
      <c r="E30" s="32">
        <v>2240</v>
      </c>
      <c r="F30" s="32">
        <v>1792</v>
      </c>
      <c r="G30" s="32">
        <v>2240</v>
      </c>
      <c r="H30" s="32">
        <v>1792</v>
      </c>
      <c r="I30" s="32">
        <v>2240</v>
      </c>
      <c r="J30" s="32">
        <v>2240</v>
      </c>
      <c r="K30" s="32">
        <v>1344</v>
      </c>
      <c r="L30" s="32">
        <v>1344</v>
      </c>
      <c r="N30" s="78">
        <f t="shared" si="0"/>
        <v>19264</v>
      </c>
    </row>
    <row r="31" spans="1:14">
      <c r="A31" s="153"/>
      <c r="B31" s="154">
        <v>1237748</v>
      </c>
      <c r="C31" s="32">
        <v>0</v>
      </c>
      <c r="D31" s="32">
        <v>676</v>
      </c>
      <c r="E31" s="32">
        <v>0</v>
      </c>
      <c r="F31" s="32">
        <v>0</v>
      </c>
      <c r="G31" s="32">
        <v>0</v>
      </c>
      <c r="H31" s="32">
        <v>520</v>
      </c>
      <c r="I31" s="32">
        <v>0</v>
      </c>
      <c r="J31" s="32">
        <v>0</v>
      </c>
      <c r="K31" s="32">
        <v>0</v>
      </c>
      <c r="L31" s="32">
        <v>0</v>
      </c>
      <c r="N31" s="78">
        <f t="shared" si="0"/>
        <v>1196</v>
      </c>
    </row>
    <row r="32" spans="1:14">
      <c r="A32" s="153"/>
      <c r="B32" s="154">
        <v>1238128</v>
      </c>
      <c r="C32" s="32">
        <v>67</v>
      </c>
      <c r="D32" s="32">
        <v>4460</v>
      </c>
      <c r="E32" s="32">
        <v>0</v>
      </c>
      <c r="F32" s="32">
        <v>500</v>
      </c>
      <c r="G32" s="32">
        <v>0</v>
      </c>
      <c r="H32" s="32">
        <v>7136</v>
      </c>
      <c r="I32" s="32">
        <v>0</v>
      </c>
      <c r="J32" s="32">
        <v>0</v>
      </c>
      <c r="K32" s="32">
        <v>0</v>
      </c>
      <c r="L32" s="32">
        <v>0</v>
      </c>
      <c r="N32" s="78">
        <f t="shared" si="0"/>
        <v>12163</v>
      </c>
    </row>
    <row r="33" spans="1:14">
      <c r="A33" s="153"/>
      <c r="B33" s="154">
        <v>1239651</v>
      </c>
      <c r="C33" s="32">
        <v>0</v>
      </c>
      <c r="D33" s="32">
        <v>500</v>
      </c>
      <c r="E33" s="32">
        <v>200</v>
      </c>
      <c r="F33" s="32">
        <v>400</v>
      </c>
      <c r="G33" s="32">
        <v>600</v>
      </c>
      <c r="H33" s="32">
        <v>300</v>
      </c>
      <c r="I33" s="32">
        <v>500</v>
      </c>
      <c r="J33" s="32">
        <v>400</v>
      </c>
      <c r="K33" s="32">
        <v>300</v>
      </c>
      <c r="L33" s="32">
        <v>600</v>
      </c>
      <c r="N33" s="78">
        <f t="shared" si="0"/>
        <v>3800</v>
      </c>
    </row>
    <row r="34" spans="1:14">
      <c r="A34" s="153"/>
      <c r="B34" s="154">
        <v>1239988</v>
      </c>
      <c r="C34" s="32">
        <v>650</v>
      </c>
      <c r="D34" s="32">
        <v>900</v>
      </c>
      <c r="E34" s="32">
        <v>800</v>
      </c>
      <c r="F34" s="32">
        <v>800</v>
      </c>
      <c r="G34" s="32">
        <v>1300</v>
      </c>
      <c r="H34" s="32">
        <v>1000</v>
      </c>
      <c r="I34" s="32">
        <v>1300</v>
      </c>
      <c r="J34" s="32">
        <v>1200</v>
      </c>
      <c r="K34" s="32">
        <v>1450</v>
      </c>
      <c r="L34" s="32">
        <v>1350</v>
      </c>
      <c r="N34" s="78">
        <f t="shared" si="0"/>
        <v>10750</v>
      </c>
    </row>
    <row r="35" spans="1:14">
      <c r="A35" s="153"/>
      <c r="B35" s="154">
        <v>1240180</v>
      </c>
      <c r="C35" s="32">
        <v>1550</v>
      </c>
      <c r="D35" s="32">
        <v>1600</v>
      </c>
      <c r="E35" s="32">
        <v>1200</v>
      </c>
      <c r="F35" s="32">
        <v>1484</v>
      </c>
      <c r="G35" s="32">
        <v>1850</v>
      </c>
      <c r="H35" s="32">
        <v>1396</v>
      </c>
      <c r="I35" s="32">
        <v>1300</v>
      </c>
      <c r="J35" s="32">
        <v>1850</v>
      </c>
      <c r="K35" s="32">
        <v>1750</v>
      </c>
      <c r="L35" s="32">
        <v>1034</v>
      </c>
      <c r="N35" s="78">
        <f t="shared" si="0"/>
        <v>15014</v>
      </c>
    </row>
    <row r="36" spans="1:14">
      <c r="A36" s="153"/>
      <c r="B36" s="154">
        <v>1240184</v>
      </c>
      <c r="C36" s="32">
        <v>1350</v>
      </c>
      <c r="D36" s="32">
        <v>1500</v>
      </c>
      <c r="E36" s="32">
        <v>1200</v>
      </c>
      <c r="F36" s="32">
        <v>1334</v>
      </c>
      <c r="G36" s="32">
        <v>1450</v>
      </c>
      <c r="H36" s="32">
        <v>1396</v>
      </c>
      <c r="I36" s="32">
        <v>1300</v>
      </c>
      <c r="J36" s="32">
        <v>1850</v>
      </c>
      <c r="K36" s="32">
        <v>1650</v>
      </c>
      <c r="L36" s="32">
        <v>734</v>
      </c>
      <c r="N36" s="78">
        <f t="shared" si="0"/>
        <v>13764</v>
      </c>
    </row>
    <row r="37" spans="1:14">
      <c r="A37" s="153"/>
      <c r="B37" s="154">
        <v>1240308</v>
      </c>
      <c r="C37" s="32">
        <v>300</v>
      </c>
      <c r="D37" s="32">
        <v>450</v>
      </c>
      <c r="E37" s="32">
        <v>450</v>
      </c>
      <c r="F37" s="32">
        <v>870</v>
      </c>
      <c r="G37" s="32">
        <v>950</v>
      </c>
      <c r="H37" s="32">
        <v>900</v>
      </c>
      <c r="I37" s="32">
        <v>850</v>
      </c>
      <c r="J37" s="32">
        <v>900</v>
      </c>
      <c r="K37" s="32">
        <v>950</v>
      </c>
      <c r="L37" s="32">
        <v>850</v>
      </c>
      <c r="N37" s="78">
        <f t="shared" si="0"/>
        <v>7470</v>
      </c>
    </row>
    <row r="38" spans="1:14">
      <c r="A38" s="153"/>
      <c r="B38" s="154">
        <v>1241134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1900</v>
      </c>
      <c r="J38" s="32">
        <v>1100</v>
      </c>
      <c r="K38" s="32">
        <v>600</v>
      </c>
      <c r="L38" s="32">
        <v>0</v>
      </c>
      <c r="N38" s="78">
        <f t="shared" si="0"/>
        <v>3600</v>
      </c>
    </row>
    <row r="39" spans="1:14">
      <c r="A39" s="153"/>
      <c r="B39" s="154">
        <v>1241601</v>
      </c>
      <c r="C39" s="32">
        <v>4122</v>
      </c>
      <c r="D39" s="32">
        <v>5078</v>
      </c>
      <c r="E39" s="32">
        <v>3800</v>
      </c>
      <c r="F39" s="32">
        <v>4100</v>
      </c>
      <c r="G39" s="32">
        <v>3100</v>
      </c>
      <c r="H39" s="32">
        <v>4000</v>
      </c>
      <c r="I39" s="32">
        <v>4700</v>
      </c>
      <c r="J39" s="32">
        <v>4100</v>
      </c>
      <c r="K39" s="32">
        <v>3800</v>
      </c>
      <c r="L39" s="32">
        <v>4000</v>
      </c>
      <c r="N39" s="78">
        <f t="shared" si="0"/>
        <v>40800</v>
      </c>
    </row>
    <row r="40" spans="1:14">
      <c r="N40" s="78"/>
    </row>
    <row r="41" spans="1:14" s="33" customFormat="1">
      <c r="A41" s="298"/>
      <c r="B41" s="298" t="s">
        <v>0</v>
      </c>
      <c r="C41" s="114" t="s">
        <v>725</v>
      </c>
      <c r="D41" s="114" t="s">
        <v>727</v>
      </c>
      <c r="E41" s="114" t="s">
        <v>731</v>
      </c>
      <c r="F41" s="114" t="s">
        <v>736</v>
      </c>
      <c r="G41" s="114" t="s">
        <v>745</v>
      </c>
      <c r="H41" s="114" t="s">
        <v>754</v>
      </c>
      <c r="I41" s="114" t="s">
        <v>764</v>
      </c>
      <c r="J41" s="114" t="s">
        <v>773</v>
      </c>
      <c r="K41" s="114" t="s">
        <v>796</v>
      </c>
      <c r="L41" s="114" t="s">
        <v>823</v>
      </c>
      <c r="N41" s="78"/>
    </row>
    <row r="42" spans="1:14" s="33" customFormat="1">
      <c r="A42" s="298"/>
      <c r="B42" s="299"/>
      <c r="C42" s="60" t="s">
        <v>726</v>
      </c>
      <c r="D42" s="60" t="s">
        <v>728</v>
      </c>
      <c r="E42" s="60" t="s">
        <v>732</v>
      </c>
      <c r="F42" s="60" t="s">
        <v>737</v>
      </c>
      <c r="G42" s="60" t="s">
        <v>746</v>
      </c>
      <c r="H42" s="60" t="s">
        <v>755</v>
      </c>
      <c r="I42" s="60" t="s">
        <v>765</v>
      </c>
      <c r="J42" s="60" t="s">
        <v>774</v>
      </c>
      <c r="K42" s="60" t="s">
        <v>797</v>
      </c>
      <c r="L42" s="60" t="s">
        <v>824</v>
      </c>
      <c r="N42" s="78"/>
    </row>
    <row r="43" spans="1:14">
      <c r="A43" s="153"/>
      <c r="B43" s="154">
        <v>1216452</v>
      </c>
      <c r="C43" s="32">
        <v>0</v>
      </c>
      <c r="D43" s="32">
        <v>288</v>
      </c>
      <c r="E43" s="32">
        <v>288</v>
      </c>
      <c r="F43" s="32">
        <v>0</v>
      </c>
      <c r="G43" s="32">
        <v>0</v>
      </c>
      <c r="H43" s="32">
        <v>288</v>
      </c>
      <c r="I43" s="32">
        <v>0</v>
      </c>
      <c r="J43" s="32">
        <v>0</v>
      </c>
      <c r="K43" s="32">
        <v>0</v>
      </c>
      <c r="L43" s="32">
        <v>532</v>
      </c>
      <c r="N43" s="78">
        <f t="shared" si="0"/>
        <v>1396</v>
      </c>
    </row>
    <row r="44" spans="1:14">
      <c r="A44" s="153"/>
      <c r="B44" s="154">
        <v>1220847</v>
      </c>
      <c r="C44" s="32">
        <v>130</v>
      </c>
      <c r="D44" s="32">
        <v>0</v>
      </c>
      <c r="E44" s="32">
        <v>0</v>
      </c>
      <c r="F44" s="32">
        <v>2164</v>
      </c>
      <c r="G44" s="32">
        <v>0</v>
      </c>
      <c r="H44" s="32">
        <v>0</v>
      </c>
      <c r="I44" s="32">
        <v>33</v>
      </c>
      <c r="J44" s="32">
        <v>1050</v>
      </c>
      <c r="K44" s="32">
        <v>0</v>
      </c>
      <c r="L44" s="32">
        <v>0</v>
      </c>
      <c r="N44" s="78">
        <f t="shared" si="0"/>
        <v>3377</v>
      </c>
    </row>
    <row r="45" spans="1:14">
      <c r="A45" s="153"/>
      <c r="B45" s="154">
        <v>1221967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329</v>
      </c>
      <c r="I45" s="32">
        <v>0</v>
      </c>
      <c r="J45" s="32">
        <v>0</v>
      </c>
      <c r="K45" s="32">
        <v>0</v>
      </c>
      <c r="L45" s="32">
        <v>205</v>
      </c>
      <c r="N45" s="78">
        <f t="shared" si="0"/>
        <v>534</v>
      </c>
    </row>
    <row r="46" spans="1:14">
      <c r="A46" s="153"/>
      <c r="B46" s="154">
        <v>1225464</v>
      </c>
      <c r="C46" s="32">
        <v>0</v>
      </c>
      <c r="D46" s="32">
        <v>0</v>
      </c>
      <c r="E46" s="32">
        <v>0</v>
      </c>
      <c r="F46" s="32">
        <v>756</v>
      </c>
      <c r="G46" s="32">
        <v>0</v>
      </c>
      <c r="H46" s="32">
        <v>0</v>
      </c>
      <c r="I46" s="32">
        <v>0</v>
      </c>
      <c r="J46" s="32">
        <v>756</v>
      </c>
      <c r="K46" s="32">
        <v>0</v>
      </c>
      <c r="L46" s="32">
        <v>0</v>
      </c>
      <c r="N46" s="78">
        <f t="shared" si="0"/>
        <v>1512</v>
      </c>
    </row>
    <row r="47" spans="1:14">
      <c r="A47" s="153"/>
      <c r="B47" s="154">
        <v>1227306</v>
      </c>
      <c r="C47" s="32">
        <v>0</v>
      </c>
      <c r="D47" s="32">
        <v>0</v>
      </c>
      <c r="E47" s="32">
        <v>0</v>
      </c>
      <c r="F47" s="32">
        <v>300</v>
      </c>
      <c r="G47" s="32">
        <v>300</v>
      </c>
      <c r="H47" s="32">
        <v>0</v>
      </c>
      <c r="I47" s="32">
        <v>200</v>
      </c>
      <c r="J47" s="32">
        <v>550</v>
      </c>
      <c r="K47" s="32">
        <v>500</v>
      </c>
      <c r="L47" s="32">
        <v>200</v>
      </c>
      <c r="N47" s="78">
        <f t="shared" si="0"/>
        <v>2050</v>
      </c>
    </row>
    <row r="48" spans="1:14">
      <c r="A48" s="153"/>
      <c r="B48" s="154">
        <v>1227359</v>
      </c>
      <c r="C48" s="32">
        <v>304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N48" s="78">
        <f t="shared" si="0"/>
        <v>304</v>
      </c>
    </row>
    <row r="49" spans="1:14">
      <c r="A49" s="153"/>
      <c r="B49" s="154">
        <v>1229050</v>
      </c>
      <c r="C49" s="32">
        <v>0</v>
      </c>
      <c r="D49" s="32">
        <v>180</v>
      </c>
      <c r="E49" s="32">
        <v>0</v>
      </c>
      <c r="F49" s="32">
        <v>0</v>
      </c>
      <c r="G49" s="32">
        <v>0</v>
      </c>
      <c r="H49" s="32">
        <v>205</v>
      </c>
      <c r="I49" s="32">
        <v>0</v>
      </c>
      <c r="J49" s="32">
        <v>0</v>
      </c>
      <c r="K49" s="32">
        <v>0</v>
      </c>
      <c r="L49" s="32">
        <v>0</v>
      </c>
      <c r="N49" s="78">
        <f t="shared" si="0"/>
        <v>385</v>
      </c>
    </row>
    <row r="50" spans="1:14">
      <c r="A50" s="153"/>
      <c r="B50" s="154">
        <v>1229088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350</v>
      </c>
      <c r="K50" s="32">
        <v>300</v>
      </c>
      <c r="L50" s="32">
        <v>0</v>
      </c>
      <c r="N50" s="78">
        <f t="shared" si="0"/>
        <v>650</v>
      </c>
    </row>
    <row r="51" spans="1:14">
      <c r="A51" s="153"/>
      <c r="B51" s="154">
        <v>1229776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100</v>
      </c>
      <c r="I51" s="32">
        <v>0</v>
      </c>
      <c r="J51" s="32">
        <v>0</v>
      </c>
      <c r="K51" s="32">
        <v>100</v>
      </c>
      <c r="L51" s="32">
        <v>0</v>
      </c>
      <c r="N51" s="78">
        <f t="shared" si="0"/>
        <v>200</v>
      </c>
    </row>
    <row r="52" spans="1:14">
      <c r="A52" s="153"/>
      <c r="B52" s="154">
        <v>1230685</v>
      </c>
      <c r="C52" s="32">
        <v>0</v>
      </c>
      <c r="D52" s="32">
        <v>0</v>
      </c>
      <c r="E52" s="32">
        <v>0</v>
      </c>
      <c r="F52" s="32">
        <v>200</v>
      </c>
      <c r="G52" s="32">
        <v>250</v>
      </c>
      <c r="H52" s="32">
        <v>0</v>
      </c>
      <c r="I52" s="32">
        <v>0</v>
      </c>
      <c r="J52" s="32">
        <v>200</v>
      </c>
      <c r="K52" s="32">
        <v>200</v>
      </c>
      <c r="L52" s="32">
        <v>200</v>
      </c>
      <c r="N52" s="78">
        <f t="shared" si="0"/>
        <v>1050</v>
      </c>
    </row>
    <row r="53" spans="1:14">
      <c r="A53" s="153"/>
      <c r="B53" s="154">
        <v>1230692</v>
      </c>
      <c r="C53" s="32">
        <v>0</v>
      </c>
      <c r="D53" s="32">
        <v>150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100</v>
      </c>
      <c r="K53" s="32">
        <v>0</v>
      </c>
      <c r="L53" s="32">
        <v>0</v>
      </c>
      <c r="N53" s="78">
        <f t="shared" si="0"/>
        <v>250</v>
      </c>
    </row>
    <row r="54" spans="1:14">
      <c r="A54" s="153"/>
      <c r="B54" s="154">
        <v>1230791</v>
      </c>
      <c r="C54" s="32">
        <v>23</v>
      </c>
      <c r="D54" s="32">
        <v>0</v>
      </c>
      <c r="E54" s="32">
        <v>0</v>
      </c>
      <c r="F54" s="32">
        <v>0</v>
      </c>
      <c r="G54" s="32">
        <v>26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N54" s="78">
        <f t="shared" si="0"/>
        <v>49</v>
      </c>
    </row>
    <row r="55" spans="1:14">
      <c r="A55" s="153"/>
      <c r="B55" s="154">
        <v>1231011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90</v>
      </c>
      <c r="K55" s="32">
        <v>0</v>
      </c>
      <c r="L55" s="32">
        <v>0</v>
      </c>
      <c r="N55" s="78">
        <f t="shared" si="0"/>
        <v>90</v>
      </c>
    </row>
    <row r="56" spans="1:14">
      <c r="A56" s="153"/>
      <c r="B56" s="154">
        <v>1231090</v>
      </c>
      <c r="C56" s="32">
        <v>0</v>
      </c>
      <c r="D56" s="32">
        <v>0</v>
      </c>
      <c r="E56" s="32">
        <v>0</v>
      </c>
      <c r="F56" s="32">
        <v>270</v>
      </c>
      <c r="G56" s="32">
        <v>0</v>
      </c>
      <c r="H56" s="32">
        <v>1125</v>
      </c>
      <c r="I56" s="32">
        <v>0</v>
      </c>
      <c r="J56" s="32">
        <v>540</v>
      </c>
      <c r="K56" s="32">
        <v>100</v>
      </c>
      <c r="L56" s="32">
        <v>0</v>
      </c>
      <c r="N56" s="78">
        <f t="shared" si="0"/>
        <v>2035</v>
      </c>
    </row>
    <row r="57" spans="1:14">
      <c r="A57" s="153"/>
      <c r="B57" s="154">
        <v>1231578</v>
      </c>
      <c r="C57" s="32">
        <v>268</v>
      </c>
      <c r="D57" s="32">
        <v>0</v>
      </c>
      <c r="E57" s="32">
        <v>0</v>
      </c>
      <c r="F57" s="32">
        <v>300</v>
      </c>
      <c r="G57" s="32">
        <v>200</v>
      </c>
      <c r="H57" s="32">
        <v>400</v>
      </c>
      <c r="I57" s="32">
        <v>0</v>
      </c>
      <c r="J57" s="32">
        <v>200</v>
      </c>
      <c r="K57" s="32">
        <v>200</v>
      </c>
      <c r="L57" s="32">
        <v>200</v>
      </c>
      <c r="N57" s="78">
        <f t="shared" si="0"/>
        <v>1768</v>
      </c>
    </row>
    <row r="58" spans="1:14">
      <c r="A58" s="153"/>
      <c r="B58" s="154">
        <v>1231797</v>
      </c>
      <c r="C58" s="32">
        <v>0</v>
      </c>
      <c r="D58" s="32">
        <v>0</v>
      </c>
      <c r="E58" s="32">
        <v>0</v>
      </c>
      <c r="F58" s="32">
        <v>0</v>
      </c>
      <c r="G58" s="32">
        <v>139</v>
      </c>
      <c r="H58" s="32">
        <v>0</v>
      </c>
      <c r="I58" s="32">
        <v>0</v>
      </c>
      <c r="J58" s="32">
        <v>0</v>
      </c>
      <c r="K58" s="32">
        <v>0</v>
      </c>
      <c r="L58" s="32">
        <v>154</v>
      </c>
      <c r="N58" s="78">
        <f t="shared" si="0"/>
        <v>293</v>
      </c>
    </row>
    <row r="59" spans="1:14">
      <c r="A59" s="153"/>
      <c r="B59" s="154">
        <v>1232066</v>
      </c>
      <c r="C59" s="32">
        <v>0</v>
      </c>
      <c r="D59" s="32">
        <v>180</v>
      </c>
      <c r="E59" s="32">
        <v>0</v>
      </c>
      <c r="F59" s="32">
        <v>0</v>
      </c>
      <c r="G59" s="32">
        <v>0</v>
      </c>
      <c r="H59" s="32">
        <v>288</v>
      </c>
      <c r="I59" s="32">
        <v>0</v>
      </c>
      <c r="J59" s="32">
        <v>0</v>
      </c>
      <c r="K59" s="32">
        <v>0</v>
      </c>
      <c r="L59" s="32">
        <v>0</v>
      </c>
      <c r="N59" s="78">
        <f t="shared" si="0"/>
        <v>468</v>
      </c>
    </row>
    <row r="60" spans="1:14">
      <c r="A60" s="153"/>
      <c r="B60" s="154">
        <v>1232528</v>
      </c>
      <c r="C60" s="32">
        <v>0</v>
      </c>
      <c r="D60" s="32">
        <v>1260</v>
      </c>
      <c r="E60" s="32">
        <v>0</v>
      </c>
      <c r="F60" s="32">
        <v>5601</v>
      </c>
      <c r="G60" s="32">
        <v>0</v>
      </c>
      <c r="H60" s="32">
        <v>1386</v>
      </c>
      <c r="I60" s="32">
        <v>42</v>
      </c>
      <c r="J60" s="32">
        <v>5580</v>
      </c>
      <c r="K60" s="32">
        <v>0</v>
      </c>
      <c r="L60" s="32">
        <v>0</v>
      </c>
      <c r="N60" s="78">
        <f t="shared" si="0"/>
        <v>13869</v>
      </c>
    </row>
    <row r="61" spans="1:14">
      <c r="A61" s="153"/>
      <c r="B61" s="154">
        <v>1232775</v>
      </c>
      <c r="C61" s="32">
        <v>1004</v>
      </c>
      <c r="D61" s="32">
        <v>2112</v>
      </c>
      <c r="E61" s="32">
        <v>348</v>
      </c>
      <c r="F61" s="32">
        <v>1392</v>
      </c>
      <c r="G61" s="32">
        <v>1970</v>
      </c>
      <c r="H61" s="32">
        <v>1730</v>
      </c>
      <c r="I61" s="32">
        <v>2055</v>
      </c>
      <c r="J61" s="32">
        <v>1986</v>
      </c>
      <c r="K61" s="32">
        <v>1300</v>
      </c>
      <c r="L61" s="32">
        <v>1870</v>
      </c>
      <c r="N61" s="78">
        <f t="shared" si="0"/>
        <v>15767</v>
      </c>
    </row>
    <row r="62" spans="1:14">
      <c r="A62" s="153"/>
      <c r="B62" s="154">
        <v>1232846</v>
      </c>
      <c r="C62" s="32">
        <v>466</v>
      </c>
      <c r="D62" s="32">
        <v>640</v>
      </c>
      <c r="E62" s="32">
        <v>0</v>
      </c>
      <c r="F62" s="32">
        <v>350</v>
      </c>
      <c r="G62" s="32">
        <v>476</v>
      </c>
      <c r="H62" s="32">
        <v>168</v>
      </c>
      <c r="I62" s="32">
        <v>200</v>
      </c>
      <c r="J62" s="32">
        <v>650</v>
      </c>
      <c r="K62" s="32">
        <v>300</v>
      </c>
      <c r="L62" s="32">
        <v>763</v>
      </c>
      <c r="N62" s="78">
        <f t="shared" si="0"/>
        <v>4013</v>
      </c>
    </row>
    <row r="63" spans="1:14">
      <c r="A63" s="153"/>
      <c r="B63" s="154">
        <v>1232894</v>
      </c>
      <c r="C63" s="32">
        <v>0</v>
      </c>
      <c r="D63" s="32">
        <v>240</v>
      </c>
      <c r="E63" s="32">
        <v>0</v>
      </c>
      <c r="F63" s="32">
        <v>350</v>
      </c>
      <c r="G63" s="32">
        <v>0</v>
      </c>
      <c r="H63" s="32">
        <v>168</v>
      </c>
      <c r="I63" s="32">
        <v>0</v>
      </c>
      <c r="J63" s="32">
        <v>350</v>
      </c>
      <c r="K63" s="32">
        <v>0</v>
      </c>
      <c r="L63" s="32">
        <v>0</v>
      </c>
      <c r="N63" s="78">
        <f t="shared" si="0"/>
        <v>1108</v>
      </c>
    </row>
    <row r="64" spans="1:14">
      <c r="A64" s="153"/>
      <c r="B64" s="154">
        <v>1232895</v>
      </c>
      <c r="C64" s="32">
        <v>466</v>
      </c>
      <c r="D64" s="32">
        <v>400</v>
      </c>
      <c r="E64" s="32">
        <v>0</v>
      </c>
      <c r="F64" s="32">
        <v>0</v>
      </c>
      <c r="G64" s="32">
        <v>476</v>
      </c>
      <c r="H64" s="32">
        <v>0</v>
      </c>
      <c r="I64" s="32">
        <v>200</v>
      </c>
      <c r="J64" s="32">
        <v>300</v>
      </c>
      <c r="K64" s="32">
        <v>300</v>
      </c>
      <c r="L64" s="32">
        <v>763</v>
      </c>
      <c r="N64" s="78">
        <f t="shared" si="0"/>
        <v>2905</v>
      </c>
    </row>
    <row r="65" spans="1:14">
      <c r="A65" s="153"/>
      <c r="B65" s="154">
        <v>1232922</v>
      </c>
      <c r="C65" s="32">
        <v>166</v>
      </c>
      <c r="D65" s="32">
        <v>0</v>
      </c>
      <c r="E65" s="32">
        <v>0</v>
      </c>
      <c r="F65" s="32">
        <v>0</v>
      </c>
      <c r="G65" s="32">
        <v>276</v>
      </c>
      <c r="H65" s="32">
        <v>0</v>
      </c>
      <c r="I65" s="32">
        <v>0</v>
      </c>
      <c r="J65" s="32">
        <v>0</v>
      </c>
      <c r="K65" s="32">
        <v>0</v>
      </c>
      <c r="L65" s="32">
        <v>276</v>
      </c>
      <c r="N65" s="78">
        <f t="shared" si="0"/>
        <v>718</v>
      </c>
    </row>
    <row r="66" spans="1:14">
      <c r="A66" s="153"/>
      <c r="B66" s="154">
        <v>1232982</v>
      </c>
      <c r="C66" s="32">
        <v>0</v>
      </c>
      <c r="D66" s="32">
        <v>0</v>
      </c>
      <c r="E66" s="32">
        <v>400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50</v>
      </c>
      <c r="N66" s="78">
        <f t="shared" si="0"/>
        <v>450</v>
      </c>
    </row>
    <row r="67" spans="1:14">
      <c r="A67" s="153"/>
      <c r="B67" s="154">
        <v>1233165</v>
      </c>
      <c r="C67" s="32">
        <v>0</v>
      </c>
      <c r="D67" s="32">
        <v>0</v>
      </c>
      <c r="E67" s="32">
        <v>0</v>
      </c>
      <c r="F67" s="32">
        <v>0</v>
      </c>
      <c r="G67" s="32">
        <v>650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N67" s="78">
        <f t="shared" si="0"/>
        <v>650</v>
      </c>
    </row>
    <row r="68" spans="1:14">
      <c r="A68" s="153"/>
      <c r="B68" s="154">
        <v>1233383</v>
      </c>
      <c r="C68" s="32">
        <v>0</v>
      </c>
      <c r="D68" s="32">
        <v>0</v>
      </c>
      <c r="E68" s="32">
        <v>0</v>
      </c>
      <c r="F68" s="32">
        <v>0</v>
      </c>
      <c r="G68" s="32">
        <v>154</v>
      </c>
      <c r="H68" s="32">
        <v>0</v>
      </c>
      <c r="I68" s="32">
        <v>0</v>
      </c>
      <c r="J68" s="32">
        <v>0</v>
      </c>
      <c r="K68" s="32">
        <v>0</v>
      </c>
      <c r="L68" s="32">
        <v>159</v>
      </c>
      <c r="N68" s="78">
        <f t="shared" ref="N68:N104" si="1">SUM(C68:L68)</f>
        <v>313</v>
      </c>
    </row>
    <row r="69" spans="1:14">
      <c r="A69" s="153"/>
      <c r="B69" s="154">
        <v>1233384</v>
      </c>
      <c r="C69" s="32">
        <v>300</v>
      </c>
      <c r="D69" s="32">
        <v>400</v>
      </c>
      <c r="E69" s="32">
        <v>0</v>
      </c>
      <c r="F69" s="32">
        <v>0</v>
      </c>
      <c r="G69" s="32">
        <v>200</v>
      </c>
      <c r="H69" s="32">
        <v>0</v>
      </c>
      <c r="I69" s="32">
        <v>200</v>
      </c>
      <c r="J69" s="32">
        <v>300</v>
      </c>
      <c r="K69" s="32">
        <v>300</v>
      </c>
      <c r="L69" s="32">
        <v>300</v>
      </c>
      <c r="N69" s="78">
        <f t="shared" si="1"/>
        <v>2000</v>
      </c>
    </row>
    <row r="70" spans="1:14">
      <c r="A70" s="153"/>
      <c r="B70" s="154">
        <v>1233385</v>
      </c>
      <c r="C70" s="32">
        <v>0</v>
      </c>
      <c r="D70" s="32">
        <v>240</v>
      </c>
      <c r="E70" s="32">
        <v>0</v>
      </c>
      <c r="F70" s="32">
        <v>0</v>
      </c>
      <c r="G70" s="32">
        <v>0</v>
      </c>
      <c r="H70" s="32">
        <v>168</v>
      </c>
      <c r="I70" s="32">
        <v>0</v>
      </c>
      <c r="J70" s="32">
        <v>0</v>
      </c>
      <c r="K70" s="32">
        <v>0</v>
      </c>
      <c r="L70" s="32">
        <v>0</v>
      </c>
      <c r="N70" s="78">
        <f t="shared" si="1"/>
        <v>408</v>
      </c>
    </row>
    <row r="71" spans="1:14">
      <c r="A71" s="153"/>
      <c r="B71" s="154">
        <v>1233386</v>
      </c>
      <c r="C71" s="32">
        <v>0</v>
      </c>
      <c r="D71" s="32">
        <v>0</v>
      </c>
      <c r="E71" s="32">
        <v>0</v>
      </c>
      <c r="F71" s="32">
        <v>350</v>
      </c>
      <c r="G71" s="32">
        <v>0</v>
      </c>
      <c r="H71" s="32">
        <v>0</v>
      </c>
      <c r="I71" s="32">
        <v>0</v>
      </c>
      <c r="J71" s="32">
        <v>350</v>
      </c>
      <c r="K71" s="32">
        <v>0</v>
      </c>
      <c r="L71" s="32">
        <v>0</v>
      </c>
      <c r="N71" s="78">
        <f t="shared" si="1"/>
        <v>700</v>
      </c>
    </row>
    <row r="72" spans="1:14">
      <c r="A72" s="153"/>
      <c r="B72" s="154">
        <v>1233387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187</v>
      </c>
      <c r="N72" s="78">
        <f t="shared" si="1"/>
        <v>187</v>
      </c>
    </row>
    <row r="73" spans="1:14">
      <c r="A73" s="153"/>
      <c r="B73" s="154">
        <v>1233580</v>
      </c>
      <c r="C73" s="32">
        <v>0</v>
      </c>
      <c r="D73" s="32">
        <v>0</v>
      </c>
      <c r="E73" s="32">
        <v>0</v>
      </c>
      <c r="F73" s="32">
        <v>200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N73" s="78">
        <f t="shared" si="1"/>
        <v>200</v>
      </c>
    </row>
    <row r="74" spans="1:14">
      <c r="A74" s="153"/>
      <c r="B74" s="154">
        <v>1233587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10</v>
      </c>
      <c r="N74" s="78">
        <f t="shared" si="1"/>
        <v>10</v>
      </c>
    </row>
    <row r="75" spans="1:14">
      <c r="A75" s="153"/>
      <c r="B75" s="154">
        <v>1234110</v>
      </c>
      <c r="C75" s="32">
        <v>0</v>
      </c>
      <c r="D75" s="32">
        <v>0</v>
      </c>
      <c r="E75" s="32">
        <v>0</v>
      </c>
      <c r="F75" s="32">
        <v>0</v>
      </c>
      <c r="G75" s="32">
        <v>50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N75" s="78">
        <f t="shared" si="1"/>
        <v>50</v>
      </c>
    </row>
    <row r="76" spans="1:14">
      <c r="A76" s="153"/>
      <c r="B76" s="154">
        <v>1234111</v>
      </c>
      <c r="C76" s="32">
        <v>0</v>
      </c>
      <c r="D76" s="32">
        <v>0</v>
      </c>
      <c r="E76" s="32">
        <v>0</v>
      </c>
      <c r="F76" s="32">
        <v>0</v>
      </c>
      <c r="G76" s="32">
        <v>50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N76" s="78">
        <f t="shared" si="1"/>
        <v>50</v>
      </c>
    </row>
    <row r="77" spans="1:14">
      <c r="A77" s="153"/>
      <c r="B77" s="154">
        <v>1234217</v>
      </c>
      <c r="C77" s="32">
        <v>0</v>
      </c>
      <c r="D77" s="32">
        <v>0</v>
      </c>
      <c r="E77" s="32">
        <v>0</v>
      </c>
      <c r="F77" s="32">
        <v>0</v>
      </c>
      <c r="G77" s="32">
        <v>50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N77" s="78">
        <f t="shared" si="1"/>
        <v>50</v>
      </c>
    </row>
    <row r="78" spans="1:14">
      <c r="A78" s="153"/>
      <c r="B78" s="154">
        <v>1234222</v>
      </c>
      <c r="C78" s="32">
        <v>22</v>
      </c>
      <c r="D78" s="32">
        <v>704</v>
      </c>
      <c r="E78" s="32">
        <v>0</v>
      </c>
      <c r="F78" s="32">
        <v>0</v>
      </c>
      <c r="G78" s="32">
        <v>0</v>
      </c>
      <c r="H78" s="32">
        <v>777</v>
      </c>
      <c r="I78" s="32">
        <v>0</v>
      </c>
      <c r="J78" s="32">
        <v>0</v>
      </c>
      <c r="K78" s="32">
        <v>0</v>
      </c>
      <c r="L78" s="32">
        <v>868</v>
      </c>
      <c r="N78" s="78">
        <f t="shared" si="1"/>
        <v>2371</v>
      </c>
    </row>
    <row r="79" spans="1:14">
      <c r="A79" s="153"/>
      <c r="B79" s="154">
        <v>1234614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324</v>
      </c>
      <c r="N79" s="78">
        <f t="shared" si="1"/>
        <v>324</v>
      </c>
    </row>
    <row r="80" spans="1:14">
      <c r="A80" s="153"/>
      <c r="B80" s="154">
        <v>1234905</v>
      </c>
      <c r="C80" s="32">
        <v>0</v>
      </c>
      <c r="D80" s="32">
        <v>472</v>
      </c>
      <c r="E80" s="32">
        <v>650</v>
      </c>
      <c r="F80" s="32">
        <v>600</v>
      </c>
      <c r="G80" s="32">
        <v>1041</v>
      </c>
      <c r="H80" s="32">
        <v>650</v>
      </c>
      <c r="I80" s="32">
        <v>1100</v>
      </c>
      <c r="J80" s="32">
        <v>1250</v>
      </c>
      <c r="K80" s="32">
        <v>1100</v>
      </c>
      <c r="L80" s="32">
        <v>900</v>
      </c>
      <c r="N80" s="78">
        <f t="shared" si="1"/>
        <v>7763</v>
      </c>
    </row>
    <row r="81" spans="1:14">
      <c r="A81" s="153"/>
      <c r="B81" s="154">
        <v>1235097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200</v>
      </c>
      <c r="K81" s="32">
        <v>190</v>
      </c>
      <c r="L81" s="32">
        <v>231</v>
      </c>
      <c r="N81" s="78">
        <f t="shared" si="1"/>
        <v>621</v>
      </c>
    </row>
    <row r="82" spans="1:14">
      <c r="A82" s="153"/>
      <c r="B82" s="154">
        <v>1235845</v>
      </c>
      <c r="C82" s="32">
        <v>0</v>
      </c>
      <c r="D82" s="32">
        <v>0</v>
      </c>
      <c r="E82" s="32">
        <v>900</v>
      </c>
      <c r="F82" s="32">
        <v>0</v>
      </c>
      <c r="G82" s="32">
        <v>0</v>
      </c>
      <c r="H82" s="32">
        <v>337</v>
      </c>
      <c r="I82" s="32">
        <v>0</v>
      </c>
      <c r="J82" s="32">
        <v>0</v>
      </c>
      <c r="K82" s="32">
        <v>0</v>
      </c>
      <c r="L82" s="32">
        <v>514</v>
      </c>
      <c r="N82" s="78">
        <f t="shared" si="1"/>
        <v>1751</v>
      </c>
    </row>
    <row r="83" spans="1:14">
      <c r="A83" s="153"/>
      <c r="B83" s="154">
        <v>1236387</v>
      </c>
      <c r="C83" s="32">
        <v>0</v>
      </c>
      <c r="D83" s="32">
        <v>0</v>
      </c>
      <c r="E83" s="32">
        <v>692</v>
      </c>
      <c r="F83" s="32">
        <v>700</v>
      </c>
      <c r="G83" s="32">
        <v>500</v>
      </c>
      <c r="H83" s="32">
        <v>300</v>
      </c>
      <c r="I83" s="32">
        <v>600</v>
      </c>
      <c r="J83" s="32">
        <v>450</v>
      </c>
      <c r="K83" s="32">
        <v>600</v>
      </c>
      <c r="L83" s="32">
        <v>600</v>
      </c>
      <c r="N83" s="78">
        <f t="shared" si="1"/>
        <v>4442</v>
      </c>
    </row>
    <row r="84" spans="1:14">
      <c r="A84" s="153"/>
      <c r="B84" s="154">
        <v>1236600</v>
      </c>
      <c r="C84" s="32">
        <v>765</v>
      </c>
      <c r="D84" s="32">
        <v>65</v>
      </c>
      <c r="E84" s="32">
        <v>0</v>
      </c>
      <c r="F84" s="32">
        <v>0</v>
      </c>
      <c r="G84" s="32">
        <v>878</v>
      </c>
      <c r="H84" s="32">
        <v>0</v>
      </c>
      <c r="I84" s="32">
        <v>0</v>
      </c>
      <c r="J84" s="32">
        <v>0</v>
      </c>
      <c r="K84" s="32">
        <v>0</v>
      </c>
      <c r="L84" s="32">
        <v>935</v>
      </c>
      <c r="N84" s="78">
        <f t="shared" si="1"/>
        <v>2643</v>
      </c>
    </row>
    <row r="85" spans="1:14">
      <c r="A85" s="153"/>
      <c r="B85" s="154">
        <v>1236601</v>
      </c>
      <c r="C85" s="32">
        <v>123</v>
      </c>
      <c r="D85" s="32">
        <v>0</v>
      </c>
      <c r="E85" s="32">
        <v>0</v>
      </c>
      <c r="F85" s="32">
        <v>0</v>
      </c>
      <c r="G85" s="32">
        <v>112</v>
      </c>
      <c r="H85" s="32">
        <v>0</v>
      </c>
      <c r="I85" s="32">
        <v>0</v>
      </c>
      <c r="J85" s="32">
        <v>0</v>
      </c>
      <c r="K85" s="32">
        <v>0</v>
      </c>
      <c r="L85" s="32">
        <v>107</v>
      </c>
      <c r="N85" s="78">
        <f t="shared" si="1"/>
        <v>342</v>
      </c>
    </row>
    <row r="86" spans="1:14">
      <c r="A86" s="153"/>
      <c r="B86" s="154">
        <v>1236619</v>
      </c>
      <c r="C86" s="32">
        <v>0</v>
      </c>
      <c r="D86" s="32">
        <v>0</v>
      </c>
      <c r="E86" s="32">
        <v>0</v>
      </c>
      <c r="F86" s="32">
        <v>0</v>
      </c>
      <c r="G86" s="32">
        <v>180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N86" s="78">
        <f t="shared" si="1"/>
        <v>180</v>
      </c>
    </row>
    <row r="87" spans="1:14">
      <c r="A87" s="153"/>
      <c r="B87" s="154">
        <v>1236930</v>
      </c>
      <c r="C87" s="32">
        <v>0</v>
      </c>
      <c r="D87" s="32">
        <v>1074</v>
      </c>
      <c r="E87" s="32">
        <v>812</v>
      </c>
      <c r="F87" s="32">
        <v>1873</v>
      </c>
      <c r="G87" s="32">
        <v>1000</v>
      </c>
      <c r="H87" s="32">
        <v>1660</v>
      </c>
      <c r="I87" s="32">
        <v>1104</v>
      </c>
      <c r="J87" s="32">
        <v>2100</v>
      </c>
      <c r="K87" s="32">
        <v>1150</v>
      </c>
      <c r="L87" s="32">
        <v>700</v>
      </c>
      <c r="N87" s="78">
        <f t="shared" si="1"/>
        <v>11473</v>
      </c>
    </row>
    <row r="88" spans="1:14">
      <c r="A88" s="153"/>
      <c r="B88" s="154">
        <v>1237210</v>
      </c>
      <c r="C88" s="32">
        <v>0</v>
      </c>
      <c r="D88" s="32">
        <v>375</v>
      </c>
      <c r="E88" s="32">
        <v>0</v>
      </c>
      <c r="F88" s="32">
        <v>0</v>
      </c>
      <c r="G88" s="32">
        <v>160</v>
      </c>
      <c r="H88" s="32">
        <v>375</v>
      </c>
      <c r="I88" s="32">
        <v>0</v>
      </c>
      <c r="J88" s="32">
        <v>0</v>
      </c>
      <c r="K88" s="32">
        <v>0</v>
      </c>
      <c r="L88" s="32">
        <v>0</v>
      </c>
      <c r="N88" s="78">
        <f t="shared" si="1"/>
        <v>910</v>
      </c>
    </row>
    <row r="89" spans="1:14">
      <c r="A89" s="153"/>
      <c r="B89" s="154">
        <v>1237386</v>
      </c>
      <c r="C89" s="32">
        <v>0</v>
      </c>
      <c r="D89" s="32">
        <v>0</v>
      </c>
      <c r="E89" s="32">
        <v>0</v>
      </c>
      <c r="F89" s="32">
        <v>0</v>
      </c>
      <c r="G89" s="32">
        <v>255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N89" s="78">
        <f t="shared" si="1"/>
        <v>255</v>
      </c>
    </row>
    <row r="90" spans="1:14">
      <c r="A90" s="153"/>
      <c r="B90" s="154">
        <v>1237457</v>
      </c>
      <c r="C90" s="32">
        <v>0</v>
      </c>
      <c r="D90" s="32">
        <v>0</v>
      </c>
      <c r="E90" s="32">
        <v>0</v>
      </c>
      <c r="F90" s="32">
        <v>0</v>
      </c>
      <c r="G90" s="32">
        <v>108</v>
      </c>
      <c r="H90" s="32">
        <v>0</v>
      </c>
      <c r="I90" s="32">
        <v>0</v>
      </c>
      <c r="J90" s="32">
        <v>0</v>
      </c>
      <c r="K90" s="32">
        <v>0</v>
      </c>
      <c r="L90" s="32">
        <v>0</v>
      </c>
      <c r="N90" s="78">
        <f t="shared" si="1"/>
        <v>108</v>
      </c>
    </row>
    <row r="91" spans="1:14">
      <c r="A91" s="153"/>
      <c r="B91" s="154">
        <v>1237468</v>
      </c>
      <c r="C91" s="32">
        <v>256</v>
      </c>
      <c r="D91" s="32">
        <v>0</v>
      </c>
      <c r="E91" s="32">
        <v>0</v>
      </c>
      <c r="F91" s="32">
        <v>192</v>
      </c>
      <c r="G91" s="32">
        <v>86</v>
      </c>
      <c r="H91" s="32">
        <v>0</v>
      </c>
      <c r="I91" s="32">
        <v>0</v>
      </c>
      <c r="J91" s="32">
        <v>0</v>
      </c>
      <c r="K91" s="32">
        <v>0</v>
      </c>
      <c r="L91" s="32">
        <v>183</v>
      </c>
      <c r="N91" s="78">
        <f t="shared" si="1"/>
        <v>717</v>
      </c>
    </row>
    <row r="92" spans="1:14">
      <c r="A92" s="153"/>
      <c r="B92" s="154">
        <v>1238092</v>
      </c>
      <c r="C92" s="32">
        <v>0</v>
      </c>
      <c r="D92" s="32">
        <v>144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144</v>
      </c>
      <c r="N92" s="78">
        <f t="shared" si="1"/>
        <v>288</v>
      </c>
    </row>
    <row r="93" spans="1:14">
      <c r="A93" s="153"/>
      <c r="B93" s="154">
        <v>1238453</v>
      </c>
      <c r="C93" s="32">
        <v>262</v>
      </c>
      <c r="D93" s="32">
        <v>0</v>
      </c>
      <c r="E93" s="32">
        <v>0</v>
      </c>
      <c r="F93" s="32">
        <v>0</v>
      </c>
      <c r="G93" s="32">
        <v>248</v>
      </c>
      <c r="H93" s="32">
        <v>0</v>
      </c>
      <c r="I93" s="32">
        <v>0</v>
      </c>
      <c r="J93" s="32">
        <v>0</v>
      </c>
      <c r="K93" s="32">
        <v>0</v>
      </c>
      <c r="L93" s="32">
        <v>191</v>
      </c>
      <c r="N93" s="78">
        <f t="shared" si="1"/>
        <v>701</v>
      </c>
    </row>
    <row r="94" spans="1:14">
      <c r="A94" s="153"/>
      <c r="B94" s="154">
        <v>1238480</v>
      </c>
      <c r="C94" s="32">
        <v>2952</v>
      </c>
      <c r="D94" s="32">
        <v>4963</v>
      </c>
      <c r="E94" s="32">
        <v>4945</v>
      </c>
      <c r="F94" s="32">
        <v>6687</v>
      </c>
      <c r="G94" s="32">
        <v>830</v>
      </c>
      <c r="H94" s="32">
        <v>1320</v>
      </c>
      <c r="I94" s="32">
        <v>14130</v>
      </c>
      <c r="J94" s="32">
        <v>2030</v>
      </c>
      <c r="K94" s="32">
        <v>600</v>
      </c>
      <c r="L94" s="32">
        <v>500</v>
      </c>
      <c r="N94" s="78">
        <f t="shared" si="1"/>
        <v>38957</v>
      </c>
    </row>
    <row r="95" spans="1:14">
      <c r="A95" s="153"/>
      <c r="B95" s="154">
        <v>1238605</v>
      </c>
      <c r="C95" s="32">
        <v>0</v>
      </c>
      <c r="D95" s="32">
        <v>0</v>
      </c>
      <c r="E95" s="32">
        <v>0</v>
      </c>
      <c r="F95" s="32">
        <v>450</v>
      </c>
      <c r="G95" s="32">
        <v>1458</v>
      </c>
      <c r="H95" s="32">
        <v>0</v>
      </c>
      <c r="I95" s="32">
        <v>0</v>
      </c>
      <c r="J95" s="32">
        <v>0</v>
      </c>
      <c r="K95" s="32">
        <v>850</v>
      </c>
      <c r="L95" s="32">
        <v>350</v>
      </c>
      <c r="N95" s="78">
        <f t="shared" si="1"/>
        <v>3108</v>
      </c>
    </row>
    <row r="96" spans="1:14">
      <c r="A96" s="153"/>
      <c r="B96" s="154">
        <v>1240029</v>
      </c>
      <c r="C96" s="32">
        <v>0</v>
      </c>
      <c r="D96" s="32">
        <v>0</v>
      </c>
      <c r="E96" s="32">
        <v>0</v>
      </c>
      <c r="F96" s="32">
        <v>0</v>
      </c>
      <c r="G96" s="32">
        <v>500</v>
      </c>
      <c r="H96" s="32">
        <v>0</v>
      </c>
      <c r="I96" s="32">
        <v>0</v>
      </c>
      <c r="J96" s="32">
        <v>0</v>
      </c>
      <c r="K96" s="32">
        <v>500</v>
      </c>
      <c r="L96" s="32">
        <v>0</v>
      </c>
      <c r="N96" s="78">
        <f t="shared" si="1"/>
        <v>1000</v>
      </c>
    </row>
    <row r="97" spans="1:14">
      <c r="A97" s="153"/>
      <c r="B97" s="154">
        <v>1240032</v>
      </c>
      <c r="C97" s="32">
        <v>0</v>
      </c>
      <c r="D97" s="32">
        <v>0</v>
      </c>
      <c r="E97" s="32">
        <v>0</v>
      </c>
      <c r="F97" s="32">
        <v>0</v>
      </c>
      <c r="G97" s="32">
        <v>500</v>
      </c>
      <c r="H97" s="32">
        <v>0</v>
      </c>
      <c r="I97" s="32">
        <v>0</v>
      </c>
      <c r="J97" s="32">
        <v>0</v>
      </c>
      <c r="K97" s="32">
        <v>500</v>
      </c>
      <c r="L97" s="32">
        <v>0</v>
      </c>
      <c r="N97" s="78">
        <f t="shared" si="1"/>
        <v>1000</v>
      </c>
    </row>
    <row r="98" spans="1:14">
      <c r="A98" s="153"/>
      <c r="B98" s="154">
        <v>1240180</v>
      </c>
      <c r="C98" s="32">
        <v>0</v>
      </c>
      <c r="D98" s="32">
        <v>139</v>
      </c>
      <c r="E98" s="32">
        <v>0</v>
      </c>
      <c r="F98" s="32">
        <v>200</v>
      </c>
      <c r="G98" s="32">
        <v>400</v>
      </c>
      <c r="H98" s="32">
        <v>200</v>
      </c>
      <c r="I98" s="32">
        <v>0</v>
      </c>
      <c r="J98" s="32">
        <v>0</v>
      </c>
      <c r="K98" s="32">
        <v>300</v>
      </c>
      <c r="L98" s="32">
        <v>400</v>
      </c>
      <c r="N98" s="78">
        <f t="shared" si="1"/>
        <v>1639</v>
      </c>
    </row>
    <row r="99" spans="1:14">
      <c r="A99" s="153"/>
      <c r="B99" s="154">
        <v>1240184</v>
      </c>
      <c r="C99" s="32">
        <v>0</v>
      </c>
      <c r="D99" s="32">
        <v>139</v>
      </c>
      <c r="E99" s="32">
        <v>0</v>
      </c>
      <c r="F99" s="32">
        <v>200</v>
      </c>
      <c r="G99" s="32">
        <v>400</v>
      </c>
      <c r="H99" s="32">
        <v>200</v>
      </c>
      <c r="I99" s="32">
        <v>0</v>
      </c>
      <c r="J99" s="32">
        <v>0</v>
      </c>
      <c r="K99" s="32">
        <v>300</v>
      </c>
      <c r="L99" s="32">
        <v>400</v>
      </c>
      <c r="N99" s="78">
        <f t="shared" si="1"/>
        <v>1639</v>
      </c>
    </row>
    <row r="100" spans="1:14">
      <c r="A100" s="153"/>
      <c r="B100" s="154">
        <v>1241343</v>
      </c>
      <c r="C100" s="32">
        <v>0</v>
      </c>
      <c r="D100" s="32">
        <v>20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N100" s="78">
        <f t="shared" si="1"/>
        <v>20</v>
      </c>
    </row>
    <row r="101" spans="1:14">
      <c r="A101" s="153"/>
      <c r="B101" s="154">
        <v>1241347</v>
      </c>
      <c r="C101" s="32">
        <v>0</v>
      </c>
      <c r="D101" s="32">
        <v>20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N101" s="78">
        <f t="shared" si="1"/>
        <v>20</v>
      </c>
    </row>
    <row r="102" spans="1:14">
      <c r="A102" s="153"/>
      <c r="B102" s="154">
        <v>1241387</v>
      </c>
      <c r="C102" s="32">
        <v>0</v>
      </c>
      <c r="D102" s="32">
        <v>151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N102" s="78">
        <f t="shared" si="1"/>
        <v>151</v>
      </c>
    </row>
    <row r="103" spans="1:14">
      <c r="A103" s="153"/>
      <c r="B103" s="154">
        <v>1241474</v>
      </c>
      <c r="C103" s="32">
        <v>0</v>
      </c>
      <c r="D103" s="32">
        <v>37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N103" s="78">
        <f t="shared" si="1"/>
        <v>37</v>
      </c>
    </row>
    <row r="104" spans="1:14">
      <c r="A104" s="153"/>
      <c r="B104" s="154">
        <v>1241480</v>
      </c>
      <c r="C104" s="32">
        <v>0</v>
      </c>
      <c r="D104" s="32">
        <v>26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N104" s="78">
        <f t="shared" si="1"/>
        <v>26</v>
      </c>
    </row>
  </sheetData>
  <mergeCells count="4">
    <mergeCell ref="A1:A2"/>
    <mergeCell ref="B1:B2"/>
    <mergeCell ref="A41:A42"/>
    <mergeCell ref="B41:B42"/>
  </mergeCells>
  <phoneticPr fontId="1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D01A-EA2F-4A45-8BBF-4B4838AB6B87}">
  <dimension ref="A1:S62"/>
  <sheetViews>
    <sheetView topLeftCell="A4" zoomScale="130" zoomScaleNormal="130" workbookViewId="0">
      <selection activeCell="Q20" sqref="Q20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16384" width="9.33203125" style="5"/>
  </cols>
  <sheetData>
    <row r="1" spans="1:19">
      <c r="A1" s="74" t="s">
        <v>0</v>
      </c>
      <c r="B1" s="69" t="s">
        <v>769</v>
      </c>
      <c r="C1" s="69" t="s">
        <v>770</v>
      </c>
      <c r="D1" s="69" t="s">
        <v>771</v>
      </c>
      <c r="E1" s="70" t="s">
        <v>772</v>
      </c>
      <c r="F1" s="69" t="s">
        <v>789</v>
      </c>
      <c r="G1" s="69" t="s">
        <v>790</v>
      </c>
      <c r="H1" s="69" t="s">
        <v>791</v>
      </c>
      <c r="I1" s="69" t="s">
        <v>792</v>
      </c>
      <c r="J1" s="69" t="s">
        <v>793</v>
      </c>
      <c r="K1" s="69" t="s">
        <v>794</v>
      </c>
      <c r="L1" s="70" t="s">
        <v>795</v>
      </c>
      <c r="M1" s="69" t="s">
        <v>816</v>
      </c>
      <c r="N1" s="69" t="s">
        <v>817</v>
      </c>
      <c r="O1" s="69" t="s">
        <v>818</v>
      </c>
      <c r="P1" s="69" t="s">
        <v>819</v>
      </c>
      <c r="Q1" s="69" t="s">
        <v>820</v>
      </c>
      <c r="R1" s="69" t="s">
        <v>821</v>
      </c>
      <c r="S1" s="70" t="s">
        <v>822</v>
      </c>
    </row>
    <row r="2" spans="1:19">
      <c r="A2" s="30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17">
        <v>401</v>
      </c>
      <c r="H2" s="32">
        <v>400</v>
      </c>
      <c r="I2" s="32">
        <v>260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</row>
    <row r="3" spans="1:19">
      <c r="A3" s="30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17">
        <v>401</v>
      </c>
      <c r="H3" s="32">
        <v>400</v>
      </c>
      <c r="I3" s="32">
        <v>260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</row>
    <row r="4" spans="1:19">
      <c r="A4" s="30">
        <v>1227431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96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</row>
    <row r="5" spans="1:19">
      <c r="A5" s="30">
        <v>1227433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96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</row>
    <row r="6" spans="1:19">
      <c r="A6" s="30">
        <v>1229673</v>
      </c>
      <c r="B6" s="32">
        <v>300</v>
      </c>
      <c r="C6" s="32">
        <v>300</v>
      </c>
      <c r="D6" s="32">
        <v>0</v>
      </c>
      <c r="E6" s="32">
        <v>0</v>
      </c>
      <c r="F6" s="32">
        <v>250</v>
      </c>
      <c r="G6" s="17">
        <v>250</v>
      </c>
      <c r="H6" s="32">
        <v>250</v>
      </c>
      <c r="I6" s="32">
        <v>250</v>
      </c>
      <c r="J6" s="32">
        <v>0</v>
      </c>
      <c r="K6" s="32">
        <v>0</v>
      </c>
      <c r="L6" s="32">
        <v>0</v>
      </c>
      <c r="M6" s="32">
        <v>300</v>
      </c>
      <c r="N6" s="32">
        <v>300</v>
      </c>
      <c r="O6" s="32">
        <v>300</v>
      </c>
      <c r="P6" s="32">
        <v>300</v>
      </c>
      <c r="Q6" s="32">
        <v>300</v>
      </c>
      <c r="R6" s="32">
        <v>0</v>
      </c>
      <c r="S6" s="32">
        <v>0</v>
      </c>
    </row>
    <row r="7" spans="1:19">
      <c r="A7" s="30">
        <v>1233632</v>
      </c>
      <c r="B7" s="32">
        <v>116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</row>
    <row r="8" spans="1:19">
      <c r="A8" s="30">
        <v>1235623</v>
      </c>
      <c r="B8" s="32">
        <v>0</v>
      </c>
      <c r="C8" s="32">
        <v>0</v>
      </c>
      <c r="D8" s="32">
        <v>0</v>
      </c>
      <c r="E8" s="32">
        <v>0</v>
      </c>
      <c r="F8" s="32">
        <v>542</v>
      </c>
      <c r="G8" s="17">
        <v>394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</row>
    <row r="9" spans="1:19">
      <c r="A9" s="30">
        <v>1237088</v>
      </c>
      <c r="B9" s="32">
        <v>1168</v>
      </c>
      <c r="C9" s="32">
        <v>1638</v>
      </c>
      <c r="D9" s="32">
        <v>0</v>
      </c>
      <c r="E9" s="32">
        <v>0</v>
      </c>
      <c r="F9" s="32">
        <v>1170</v>
      </c>
      <c r="G9" s="17">
        <v>1074</v>
      </c>
      <c r="H9" s="32">
        <v>380</v>
      </c>
      <c r="I9" s="32">
        <v>174</v>
      </c>
      <c r="J9" s="32">
        <v>0</v>
      </c>
      <c r="K9" s="32">
        <v>0</v>
      </c>
      <c r="L9" s="32">
        <v>0</v>
      </c>
      <c r="M9" s="32">
        <v>488</v>
      </c>
      <c r="N9" s="32">
        <v>1194</v>
      </c>
      <c r="O9" s="32">
        <v>854</v>
      </c>
      <c r="P9" s="32">
        <v>440</v>
      </c>
      <c r="Q9" s="32">
        <v>292</v>
      </c>
      <c r="R9" s="32">
        <v>0</v>
      </c>
      <c r="S9" s="32">
        <v>0</v>
      </c>
    </row>
    <row r="10" spans="1:19">
      <c r="A10" s="30">
        <v>1237765</v>
      </c>
      <c r="B10" s="32">
        <v>0</v>
      </c>
      <c r="C10" s="32">
        <v>0</v>
      </c>
      <c r="D10" s="32">
        <v>0</v>
      </c>
      <c r="E10" s="32">
        <v>0</v>
      </c>
      <c r="F10" s="32">
        <v>150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</row>
    <row r="11" spans="1:19">
      <c r="A11" s="30">
        <v>1237748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17">
        <v>458</v>
      </c>
      <c r="H11" s="32">
        <v>422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</row>
    <row r="12" spans="1:19">
      <c r="A12" s="30">
        <v>1236091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200</v>
      </c>
      <c r="K12" s="32">
        <v>0</v>
      </c>
      <c r="L12" s="32">
        <v>0</v>
      </c>
      <c r="M12" s="32">
        <v>0</v>
      </c>
      <c r="N12" s="32">
        <v>0</v>
      </c>
      <c r="O12" s="32">
        <v>150</v>
      </c>
      <c r="P12" s="32">
        <v>0</v>
      </c>
      <c r="Q12" s="32">
        <v>0</v>
      </c>
      <c r="R12" s="32">
        <v>0</v>
      </c>
      <c r="S12" s="32">
        <v>0</v>
      </c>
    </row>
    <row r="13" spans="1:19" s="104" customFormat="1">
      <c r="A13" s="107">
        <v>1238128</v>
      </c>
      <c r="B13" s="75">
        <v>76</v>
      </c>
      <c r="C13" s="75">
        <v>480</v>
      </c>
      <c r="D13" s="75">
        <v>0</v>
      </c>
      <c r="E13" s="75">
        <v>0</v>
      </c>
      <c r="F13" s="75">
        <v>396</v>
      </c>
      <c r="G13" s="109">
        <v>590</v>
      </c>
      <c r="H13" s="75">
        <v>342</v>
      </c>
      <c r="I13" s="75">
        <v>590</v>
      </c>
      <c r="J13" s="75">
        <v>464</v>
      </c>
      <c r="K13" s="75">
        <v>0</v>
      </c>
      <c r="L13" s="75">
        <v>0</v>
      </c>
      <c r="M13" s="75">
        <v>480</v>
      </c>
      <c r="N13" s="75">
        <v>480</v>
      </c>
      <c r="O13" s="75">
        <v>56</v>
      </c>
      <c r="P13" s="75">
        <v>172</v>
      </c>
      <c r="Q13" s="75">
        <v>378</v>
      </c>
      <c r="R13" s="75">
        <v>0</v>
      </c>
      <c r="S13" s="75">
        <v>0</v>
      </c>
    </row>
    <row r="14" spans="1:19">
      <c r="A14" s="30">
        <v>1236962</v>
      </c>
      <c r="B14" s="32">
        <v>300</v>
      </c>
      <c r="C14" s="32">
        <v>290</v>
      </c>
      <c r="D14" s="32">
        <v>0</v>
      </c>
      <c r="E14" s="32">
        <v>0</v>
      </c>
      <c r="F14" s="32">
        <v>300</v>
      </c>
      <c r="G14" s="17">
        <v>300</v>
      </c>
      <c r="H14" s="32">
        <v>300</v>
      </c>
      <c r="I14" s="32">
        <v>132</v>
      </c>
      <c r="J14" s="32">
        <v>0</v>
      </c>
      <c r="K14" s="32">
        <v>0</v>
      </c>
      <c r="L14" s="32">
        <v>0</v>
      </c>
      <c r="M14" s="32">
        <v>300</v>
      </c>
      <c r="N14" s="32">
        <v>0</v>
      </c>
      <c r="O14" s="32">
        <v>300</v>
      </c>
      <c r="P14" s="32">
        <v>500</v>
      </c>
      <c r="Q14" s="32">
        <v>0</v>
      </c>
      <c r="R14" s="32">
        <v>0</v>
      </c>
      <c r="S14" s="32">
        <v>0</v>
      </c>
    </row>
    <row r="15" spans="1:19">
      <c r="A15" s="30">
        <v>1233761</v>
      </c>
      <c r="B15" s="32">
        <v>0</v>
      </c>
      <c r="C15" s="32">
        <v>0</v>
      </c>
      <c r="D15" s="32">
        <v>0</v>
      </c>
      <c r="E15" s="32">
        <v>0</v>
      </c>
      <c r="F15" s="32">
        <v>200</v>
      </c>
      <c r="G15" s="32">
        <v>0</v>
      </c>
      <c r="H15" s="32">
        <v>0</v>
      </c>
      <c r="I15" s="32">
        <v>200</v>
      </c>
      <c r="J15" s="32">
        <v>110</v>
      </c>
      <c r="K15" s="32">
        <v>0</v>
      </c>
      <c r="L15" s="32">
        <v>0</v>
      </c>
      <c r="M15" s="32">
        <v>0</v>
      </c>
      <c r="N15" s="32">
        <v>350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</row>
    <row r="16" spans="1:19">
      <c r="A16" s="30">
        <v>1239651</v>
      </c>
      <c r="B16" s="32">
        <v>400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600</v>
      </c>
      <c r="Q16" s="32">
        <v>0</v>
      </c>
      <c r="R16" s="32">
        <v>0</v>
      </c>
      <c r="S16" s="32">
        <v>0</v>
      </c>
    </row>
    <row r="17" spans="1:19">
      <c r="A17" s="30">
        <v>1239988</v>
      </c>
      <c r="B17" s="32">
        <v>454</v>
      </c>
      <c r="C17" s="32">
        <v>454</v>
      </c>
      <c r="D17" s="32">
        <v>0</v>
      </c>
      <c r="E17" s="32">
        <v>0</v>
      </c>
      <c r="F17" s="32">
        <v>454</v>
      </c>
      <c r="G17" s="17">
        <v>454</v>
      </c>
      <c r="H17" s="32">
        <v>148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168</v>
      </c>
      <c r="P17" s="32">
        <v>454</v>
      </c>
      <c r="Q17" s="32">
        <v>356</v>
      </c>
      <c r="R17" s="32">
        <v>0</v>
      </c>
      <c r="S17" s="32">
        <v>0</v>
      </c>
    </row>
    <row r="18" spans="1:19">
      <c r="A18" s="30">
        <v>1240180</v>
      </c>
      <c r="B18" s="32">
        <v>248</v>
      </c>
      <c r="C18" s="32">
        <v>358</v>
      </c>
      <c r="D18" s="32">
        <v>0</v>
      </c>
      <c r="E18" s="32">
        <v>0</v>
      </c>
      <c r="F18" s="32">
        <v>358</v>
      </c>
      <c r="G18" s="17">
        <v>358</v>
      </c>
      <c r="H18" s="32">
        <v>456</v>
      </c>
      <c r="I18" s="32">
        <v>344</v>
      </c>
      <c r="J18" s="32">
        <v>280</v>
      </c>
      <c r="K18" s="32">
        <v>0</v>
      </c>
      <c r="L18" s="32">
        <v>0</v>
      </c>
      <c r="M18" s="32">
        <v>358</v>
      </c>
      <c r="N18" s="32">
        <v>358</v>
      </c>
      <c r="O18" s="32">
        <v>142</v>
      </c>
      <c r="P18" s="32">
        <v>0</v>
      </c>
      <c r="Q18" s="32">
        <v>0</v>
      </c>
      <c r="R18" s="32">
        <v>0</v>
      </c>
      <c r="S18" s="32">
        <v>0</v>
      </c>
    </row>
    <row r="19" spans="1:19">
      <c r="A19" s="30">
        <v>1240184</v>
      </c>
      <c r="B19" s="32">
        <v>248</v>
      </c>
      <c r="C19" s="32">
        <v>358</v>
      </c>
      <c r="D19" s="32">
        <v>0</v>
      </c>
      <c r="E19" s="32">
        <v>0</v>
      </c>
      <c r="F19" s="32">
        <v>358</v>
      </c>
      <c r="G19" s="17">
        <v>358</v>
      </c>
      <c r="H19" s="32">
        <v>456</v>
      </c>
      <c r="I19" s="32">
        <v>344</v>
      </c>
      <c r="J19" s="32">
        <v>280</v>
      </c>
      <c r="K19" s="32">
        <v>0</v>
      </c>
      <c r="L19" s="32">
        <v>0</v>
      </c>
      <c r="M19" s="32">
        <v>358</v>
      </c>
      <c r="N19" s="32">
        <v>358</v>
      </c>
      <c r="O19" s="32">
        <v>142</v>
      </c>
      <c r="P19" s="32">
        <v>0</v>
      </c>
      <c r="Q19" s="32">
        <v>0</v>
      </c>
      <c r="R19" s="32">
        <v>0</v>
      </c>
      <c r="S19" s="32">
        <v>0</v>
      </c>
    </row>
    <row r="20" spans="1:19">
      <c r="A20" s="30">
        <v>1240308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350</v>
      </c>
      <c r="I20" s="32">
        <v>350</v>
      </c>
      <c r="J20" s="32">
        <v>350</v>
      </c>
      <c r="K20" s="32">
        <v>0</v>
      </c>
      <c r="L20" s="32">
        <v>0</v>
      </c>
      <c r="M20" s="32">
        <v>300</v>
      </c>
      <c r="N20" s="32">
        <v>0</v>
      </c>
      <c r="O20" s="32">
        <v>0</v>
      </c>
      <c r="P20" s="32">
        <v>0</v>
      </c>
      <c r="Q20" s="32">
        <v>730</v>
      </c>
      <c r="R20" s="32">
        <v>0</v>
      </c>
      <c r="S20" s="32">
        <v>0</v>
      </c>
    </row>
    <row r="21" spans="1:19">
      <c r="A21" s="30">
        <v>1241601</v>
      </c>
      <c r="B21" s="32">
        <v>0</v>
      </c>
      <c r="C21" s="32">
        <v>0</v>
      </c>
      <c r="D21" s="32">
        <v>0</v>
      </c>
      <c r="E21" s="32">
        <v>0</v>
      </c>
      <c r="F21" s="32">
        <v>120</v>
      </c>
      <c r="G21" s="32">
        <v>0</v>
      </c>
      <c r="H21" s="32">
        <v>200</v>
      </c>
      <c r="I21" s="32">
        <v>1020</v>
      </c>
      <c r="J21" s="32">
        <v>768</v>
      </c>
      <c r="K21" s="32">
        <v>0</v>
      </c>
      <c r="L21" s="32">
        <v>0</v>
      </c>
      <c r="M21" s="32">
        <v>700</v>
      </c>
      <c r="N21" s="32">
        <v>1460</v>
      </c>
      <c r="O21" s="32">
        <v>1148</v>
      </c>
      <c r="P21" s="32">
        <v>1460</v>
      </c>
      <c r="Q21" s="32">
        <v>624</v>
      </c>
      <c r="R21" s="32">
        <v>0</v>
      </c>
      <c r="S21" s="32">
        <v>0</v>
      </c>
    </row>
    <row r="25" spans="1:19">
      <c r="A25" s="74" t="s">
        <v>0</v>
      </c>
      <c r="B25" s="69" t="s">
        <v>769</v>
      </c>
      <c r="C25" s="69" t="s">
        <v>770</v>
      </c>
      <c r="D25" s="69" t="s">
        <v>771</v>
      </c>
      <c r="E25" s="70" t="s">
        <v>772</v>
      </c>
      <c r="F25" s="69" t="s">
        <v>789</v>
      </c>
      <c r="G25" s="69" t="s">
        <v>790</v>
      </c>
      <c r="H25" s="69" t="s">
        <v>791</v>
      </c>
      <c r="I25" s="69" t="s">
        <v>792</v>
      </c>
      <c r="J25" s="69" t="s">
        <v>793</v>
      </c>
      <c r="K25" s="69" t="s">
        <v>794</v>
      </c>
      <c r="L25" s="70" t="s">
        <v>795</v>
      </c>
      <c r="M25" s="69" t="s">
        <v>816</v>
      </c>
      <c r="N25" s="69" t="s">
        <v>817</v>
      </c>
      <c r="O25" s="69" t="s">
        <v>818</v>
      </c>
      <c r="P25" s="69" t="s">
        <v>819</v>
      </c>
      <c r="Q25" s="69" t="s">
        <v>820</v>
      </c>
      <c r="R25" s="69" t="s">
        <v>821</v>
      </c>
      <c r="S25" s="70" t="s">
        <v>822</v>
      </c>
    </row>
    <row r="26" spans="1:19">
      <c r="A26" s="30">
        <v>1232846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17">
        <v>304</v>
      </c>
      <c r="K26" s="32">
        <v>0</v>
      </c>
      <c r="L26" s="32">
        <v>0</v>
      </c>
      <c r="M26" s="32">
        <v>448</v>
      </c>
      <c r="N26" s="32">
        <v>448</v>
      </c>
      <c r="O26" s="32">
        <v>94</v>
      </c>
      <c r="P26" s="32">
        <v>0</v>
      </c>
      <c r="Q26" s="32">
        <v>0</v>
      </c>
      <c r="R26" s="32">
        <v>0</v>
      </c>
      <c r="S26" s="32">
        <v>0</v>
      </c>
    </row>
    <row r="27" spans="1:19">
      <c r="A27" s="30">
        <v>1232895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17">
        <v>304</v>
      </c>
      <c r="K27" s="32">
        <v>0</v>
      </c>
      <c r="L27" s="32">
        <v>0</v>
      </c>
      <c r="M27" s="32">
        <v>448</v>
      </c>
      <c r="N27" s="32">
        <v>448</v>
      </c>
      <c r="O27" s="32">
        <v>94</v>
      </c>
      <c r="P27" s="32">
        <v>0</v>
      </c>
      <c r="Q27" s="32">
        <v>0</v>
      </c>
      <c r="R27" s="32">
        <v>0</v>
      </c>
      <c r="S27" s="32">
        <v>0</v>
      </c>
    </row>
    <row r="28" spans="1:19">
      <c r="A28" s="30">
        <v>1233384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17">
        <v>304</v>
      </c>
      <c r="K28" s="32">
        <v>0</v>
      </c>
      <c r="L28" s="32">
        <v>0</v>
      </c>
      <c r="M28" s="32">
        <v>448</v>
      </c>
      <c r="N28" s="32">
        <v>448</v>
      </c>
      <c r="O28" s="32">
        <v>94</v>
      </c>
      <c r="P28" s="32">
        <v>0</v>
      </c>
      <c r="Q28" s="32">
        <v>0</v>
      </c>
      <c r="R28" s="32">
        <v>0</v>
      </c>
      <c r="S28" s="32">
        <v>0</v>
      </c>
    </row>
    <row r="29" spans="1:19">
      <c r="A29" s="30">
        <v>1236387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17">
        <v>150</v>
      </c>
      <c r="H29" s="17">
        <v>357</v>
      </c>
      <c r="I29" s="17">
        <v>71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</row>
    <row r="30" spans="1:19">
      <c r="A30" s="30">
        <v>1232775</v>
      </c>
      <c r="B30" s="32">
        <v>311</v>
      </c>
      <c r="C30" s="32">
        <v>278</v>
      </c>
      <c r="D30" s="32">
        <v>0</v>
      </c>
      <c r="E30" s="32">
        <v>0</v>
      </c>
      <c r="F30" s="75">
        <v>620</v>
      </c>
      <c r="G30" s="75">
        <v>282</v>
      </c>
      <c r="H30" s="32">
        <v>0</v>
      </c>
      <c r="I30" s="17">
        <v>248</v>
      </c>
      <c r="J30" s="17">
        <v>245</v>
      </c>
      <c r="K30" s="32">
        <v>0</v>
      </c>
      <c r="L30" s="32">
        <v>0</v>
      </c>
      <c r="M30" s="32">
        <v>7</v>
      </c>
      <c r="N30" s="32">
        <v>0</v>
      </c>
      <c r="O30" s="32">
        <v>165</v>
      </c>
      <c r="P30" s="32">
        <v>309</v>
      </c>
      <c r="Q30" s="32">
        <v>243</v>
      </c>
      <c r="R30" s="32">
        <v>0</v>
      </c>
      <c r="S30" s="32">
        <v>0</v>
      </c>
    </row>
    <row r="31" spans="1:19">
      <c r="A31" s="30">
        <v>1238605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175</v>
      </c>
      <c r="O31" s="32">
        <v>187</v>
      </c>
      <c r="P31" s="32">
        <v>237</v>
      </c>
      <c r="Q31" s="32">
        <v>187</v>
      </c>
      <c r="R31" s="32">
        <v>0</v>
      </c>
      <c r="S31" s="32">
        <v>0</v>
      </c>
    </row>
    <row r="32" spans="1:19">
      <c r="A32" s="30">
        <v>1230685</v>
      </c>
      <c r="B32" s="32">
        <v>122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379</v>
      </c>
      <c r="N32" s="32">
        <v>71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</row>
    <row r="34" spans="1:19">
      <c r="A34" s="74" t="s">
        <v>0</v>
      </c>
      <c r="B34" s="69" t="s">
        <v>769</v>
      </c>
      <c r="C34" s="69" t="s">
        <v>770</v>
      </c>
      <c r="D34" s="69" t="s">
        <v>771</v>
      </c>
      <c r="E34" s="70" t="s">
        <v>772</v>
      </c>
      <c r="F34" s="69" t="s">
        <v>789</v>
      </c>
      <c r="G34" s="69" t="s">
        <v>790</v>
      </c>
      <c r="H34" s="69" t="s">
        <v>791</v>
      </c>
      <c r="I34" s="69" t="s">
        <v>792</v>
      </c>
      <c r="J34" s="69" t="s">
        <v>793</v>
      </c>
      <c r="K34" s="69" t="s">
        <v>794</v>
      </c>
      <c r="L34" s="70" t="s">
        <v>795</v>
      </c>
      <c r="M34" s="69" t="s">
        <v>816</v>
      </c>
      <c r="N34" s="69" t="s">
        <v>817</v>
      </c>
      <c r="O34" s="69" t="s">
        <v>818</v>
      </c>
      <c r="P34" s="69" t="s">
        <v>819</v>
      </c>
      <c r="Q34" s="69" t="s">
        <v>820</v>
      </c>
      <c r="R34" s="69" t="s">
        <v>821</v>
      </c>
      <c r="S34" s="70" t="s">
        <v>822</v>
      </c>
    </row>
    <row r="35" spans="1:19">
      <c r="A35" s="30">
        <v>1230692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150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</row>
    <row r="36" spans="1:19">
      <c r="A36" s="30">
        <v>1221967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17">
        <v>425</v>
      </c>
      <c r="H36" s="32">
        <v>389</v>
      </c>
      <c r="I36" s="32">
        <v>210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</row>
    <row r="37" spans="1:19">
      <c r="A37" s="30">
        <v>1229088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41</v>
      </c>
      <c r="J37" s="32">
        <v>587</v>
      </c>
      <c r="K37" s="32">
        <v>0</v>
      </c>
      <c r="L37" s="32">
        <v>0</v>
      </c>
      <c r="M37" s="32">
        <v>26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</row>
    <row r="38" spans="1:19">
      <c r="A38" s="30">
        <v>1225464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17">
        <v>415</v>
      </c>
      <c r="H38" s="32">
        <v>341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</row>
    <row r="39" spans="1:19">
      <c r="A39" s="30">
        <v>1231797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100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</row>
    <row r="40" spans="1:19">
      <c r="A40" s="30">
        <v>1232066</v>
      </c>
      <c r="B40" s="32">
        <v>0</v>
      </c>
      <c r="C40" s="32">
        <v>54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</row>
    <row r="41" spans="1:19">
      <c r="A41" s="30">
        <v>1234222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500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</row>
    <row r="42" spans="1:19">
      <c r="A42" s="30">
        <v>1232528</v>
      </c>
      <c r="B42" s="32">
        <v>0</v>
      </c>
      <c r="C42" s="32">
        <v>0</v>
      </c>
      <c r="D42" s="32">
        <v>0</v>
      </c>
      <c r="E42" s="32">
        <v>0</v>
      </c>
      <c r="F42" s="32">
        <v>429</v>
      </c>
      <c r="G42" s="17">
        <v>673</v>
      </c>
      <c r="H42" s="32">
        <v>508</v>
      </c>
      <c r="I42" s="32">
        <v>686</v>
      </c>
      <c r="J42" s="32">
        <v>539</v>
      </c>
      <c r="K42" s="32">
        <v>0</v>
      </c>
      <c r="L42" s="32">
        <v>0</v>
      </c>
      <c r="M42" s="32">
        <v>686</v>
      </c>
      <c r="N42" s="32">
        <v>686</v>
      </c>
      <c r="O42" s="32">
        <v>839</v>
      </c>
      <c r="P42" s="32">
        <v>620</v>
      </c>
      <c r="Q42" s="32">
        <v>600</v>
      </c>
      <c r="R42" s="32">
        <v>0</v>
      </c>
      <c r="S42" s="32">
        <v>0</v>
      </c>
    </row>
    <row r="43" spans="1:19">
      <c r="A43" s="30">
        <v>1232846</v>
      </c>
      <c r="B43" s="32">
        <v>40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166</v>
      </c>
      <c r="Q43" s="32">
        <v>0</v>
      </c>
      <c r="R43" s="32">
        <v>0</v>
      </c>
      <c r="S43" s="32">
        <v>0</v>
      </c>
    </row>
    <row r="44" spans="1:19">
      <c r="A44" s="30">
        <v>1231090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240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</row>
    <row r="45" spans="1:19">
      <c r="A45" s="30">
        <v>1233383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191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</row>
    <row r="46" spans="1:19">
      <c r="A46" s="111">
        <v>1235097</v>
      </c>
      <c r="B46" s="32">
        <v>0</v>
      </c>
      <c r="C46" s="32">
        <v>0</v>
      </c>
      <c r="D46" s="32">
        <v>0</v>
      </c>
      <c r="E46" s="32">
        <v>0</v>
      </c>
      <c r="F46" s="32">
        <v>290</v>
      </c>
      <c r="G46" s="17">
        <v>343</v>
      </c>
      <c r="H46" s="32">
        <v>37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410</v>
      </c>
      <c r="R46" s="32">
        <v>0</v>
      </c>
      <c r="S46" s="32">
        <v>0</v>
      </c>
    </row>
    <row r="47" spans="1:19">
      <c r="A47" s="30">
        <v>1235845</v>
      </c>
      <c r="B47" s="32">
        <v>462</v>
      </c>
      <c r="C47" s="32">
        <v>547</v>
      </c>
      <c r="D47" s="32">
        <v>0</v>
      </c>
      <c r="E47" s="32">
        <v>0</v>
      </c>
      <c r="F47" s="32">
        <v>622</v>
      </c>
      <c r="G47" s="17">
        <v>366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</row>
    <row r="48" spans="1:19">
      <c r="A48" s="30">
        <v>1236930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339</v>
      </c>
      <c r="H48" s="17">
        <v>251</v>
      </c>
      <c r="I48" s="32">
        <v>339</v>
      </c>
      <c r="J48" s="32">
        <v>263</v>
      </c>
      <c r="K48" s="32">
        <v>0</v>
      </c>
      <c r="L48" s="32">
        <v>0</v>
      </c>
      <c r="M48" s="32">
        <v>397</v>
      </c>
      <c r="N48" s="32">
        <v>250</v>
      </c>
      <c r="O48" s="32">
        <v>150</v>
      </c>
      <c r="P48" s="32">
        <v>0</v>
      </c>
      <c r="Q48" s="32">
        <v>150</v>
      </c>
      <c r="R48" s="32">
        <v>0</v>
      </c>
      <c r="S48" s="32">
        <v>0</v>
      </c>
    </row>
    <row r="49" spans="1:19">
      <c r="A49" s="30">
        <v>1232982</v>
      </c>
      <c r="B49" s="32">
        <v>0</v>
      </c>
      <c r="C49" s="32">
        <v>0</v>
      </c>
      <c r="D49" s="32">
        <v>0</v>
      </c>
      <c r="E49" s="32">
        <v>0</v>
      </c>
      <c r="F49" s="32">
        <v>187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</row>
    <row r="50" spans="1:19">
      <c r="A50" s="30">
        <v>1237468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64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</row>
    <row r="51" spans="1:19">
      <c r="A51" s="30">
        <v>1234905</v>
      </c>
      <c r="B51" s="32">
        <v>0</v>
      </c>
      <c r="C51" s="32">
        <v>261</v>
      </c>
      <c r="D51" s="32">
        <v>0</v>
      </c>
      <c r="E51" s="32">
        <v>0</v>
      </c>
      <c r="F51" s="32">
        <v>374</v>
      </c>
      <c r="G51" s="32">
        <v>0</v>
      </c>
      <c r="H51" s="32">
        <v>0</v>
      </c>
      <c r="I51" s="32">
        <v>404</v>
      </c>
      <c r="J51" s="32">
        <v>377</v>
      </c>
      <c r="K51" s="32">
        <v>0</v>
      </c>
      <c r="L51" s="32">
        <v>0</v>
      </c>
      <c r="M51" s="32">
        <v>570</v>
      </c>
      <c r="N51" s="32">
        <v>192</v>
      </c>
      <c r="O51" s="32">
        <v>300</v>
      </c>
      <c r="P51" s="32">
        <v>250</v>
      </c>
      <c r="Q51" s="32">
        <v>0</v>
      </c>
      <c r="R51" s="32">
        <v>0</v>
      </c>
      <c r="S51" s="32">
        <v>0</v>
      </c>
    </row>
    <row r="52" spans="1:19">
      <c r="A52" s="30">
        <v>1238480</v>
      </c>
      <c r="B52" s="32">
        <v>1217</v>
      </c>
      <c r="C52" s="32">
        <v>1121</v>
      </c>
      <c r="D52" s="32">
        <v>0</v>
      </c>
      <c r="E52" s="32">
        <v>0</v>
      </c>
      <c r="F52" s="32">
        <v>911</v>
      </c>
      <c r="G52" s="17">
        <v>1036</v>
      </c>
      <c r="H52" s="32">
        <v>969</v>
      </c>
      <c r="I52" s="32">
        <v>1308</v>
      </c>
      <c r="J52" s="32">
        <v>1129</v>
      </c>
      <c r="K52" s="32">
        <v>0</v>
      </c>
      <c r="L52" s="32">
        <v>0</v>
      </c>
      <c r="M52" s="32">
        <v>1310</v>
      </c>
      <c r="N52" s="32">
        <v>1362</v>
      </c>
      <c r="O52" s="32">
        <v>1584</v>
      </c>
      <c r="P52" s="32">
        <v>1294</v>
      </c>
      <c r="Q52" s="32">
        <v>1328</v>
      </c>
      <c r="R52" s="32">
        <v>0</v>
      </c>
      <c r="S52" s="32">
        <v>0</v>
      </c>
    </row>
    <row r="53" spans="1:19">
      <c r="A53" s="30">
        <v>1238453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40</v>
      </c>
      <c r="R53" s="32">
        <v>0</v>
      </c>
      <c r="S53" s="32">
        <v>0</v>
      </c>
    </row>
    <row r="54" spans="1:19">
      <c r="A54" s="30">
        <v>1232775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208</v>
      </c>
      <c r="I54" s="32">
        <v>78</v>
      </c>
      <c r="J54" s="32">
        <v>0</v>
      </c>
      <c r="K54" s="32">
        <v>0</v>
      </c>
      <c r="L54" s="32">
        <v>0</v>
      </c>
      <c r="M54" s="32">
        <v>0</v>
      </c>
      <c r="N54" s="32">
        <v>118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</row>
    <row r="55" spans="1:19">
      <c r="A55" s="30">
        <v>1240029</v>
      </c>
      <c r="B55" s="32">
        <v>0</v>
      </c>
      <c r="C55" s="32">
        <v>150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</row>
    <row r="56" spans="1:19">
      <c r="A56" s="30">
        <v>1240032</v>
      </c>
      <c r="B56" s="32">
        <v>0</v>
      </c>
      <c r="C56" s="32">
        <v>150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</row>
    <row r="57" spans="1:19">
      <c r="A57" s="30">
        <v>1240180</v>
      </c>
      <c r="B57" s="32">
        <v>320</v>
      </c>
      <c r="C57" s="32">
        <v>100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200</v>
      </c>
      <c r="R57" s="32">
        <v>0</v>
      </c>
      <c r="S57" s="32">
        <v>0</v>
      </c>
    </row>
    <row r="58" spans="1:19">
      <c r="A58" s="30">
        <v>1240184</v>
      </c>
      <c r="B58" s="32">
        <v>320</v>
      </c>
      <c r="C58" s="32">
        <v>100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200</v>
      </c>
      <c r="R58" s="32">
        <v>0</v>
      </c>
      <c r="S58" s="32">
        <v>0</v>
      </c>
    </row>
    <row r="59" spans="1:19">
      <c r="A59" s="30">
        <v>1241138</v>
      </c>
      <c r="B59" s="32">
        <v>80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</row>
    <row r="60" spans="1:19">
      <c r="A60" s="30">
        <v>1232895</v>
      </c>
      <c r="B60" s="32">
        <v>40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166</v>
      </c>
      <c r="Q60" s="32">
        <v>0</v>
      </c>
      <c r="R60" s="32">
        <v>0</v>
      </c>
      <c r="S60" s="32">
        <v>0</v>
      </c>
    </row>
    <row r="61" spans="1:19">
      <c r="A61" s="30">
        <v>1232922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166</v>
      </c>
      <c r="Q61" s="32">
        <v>0</v>
      </c>
      <c r="R61" s="32">
        <v>0</v>
      </c>
      <c r="S61" s="32">
        <v>0</v>
      </c>
    </row>
    <row r="62" spans="1:19">
      <c r="A62" s="30">
        <v>1233387</v>
      </c>
      <c r="B62" s="32">
        <v>40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</row>
  </sheetData>
  <autoFilter ref="A1:S21" xr:uid="{65ADD01A-EA2F-4A45-8BBF-4B4838AB6B87}"/>
  <phoneticPr fontId="1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C0AB-F68E-43B5-8B34-1C1C29AA62B4}">
  <dimension ref="A1:R62"/>
  <sheetViews>
    <sheetView topLeftCell="A44" zoomScale="145" zoomScaleNormal="145" workbookViewId="0">
      <selection activeCell="G55" sqref="G55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16384" width="9.33203125" style="5"/>
  </cols>
  <sheetData>
    <row r="1" spans="1:18">
      <c r="A1" s="65" t="s">
        <v>0</v>
      </c>
      <c r="B1" s="69" t="s">
        <v>770</v>
      </c>
      <c r="C1" s="69" t="s">
        <v>771</v>
      </c>
      <c r="D1" s="70" t="s">
        <v>772</v>
      </c>
      <c r="E1" s="69" t="s">
        <v>789</v>
      </c>
      <c r="F1" s="69" t="s">
        <v>790</v>
      </c>
      <c r="G1" s="69" t="s">
        <v>791</v>
      </c>
      <c r="H1" s="69" t="s">
        <v>792</v>
      </c>
      <c r="I1" s="69" t="s">
        <v>793</v>
      </c>
      <c r="J1" s="69" t="s">
        <v>794</v>
      </c>
      <c r="K1" s="70" t="s">
        <v>795</v>
      </c>
      <c r="L1" s="69" t="s">
        <v>816</v>
      </c>
      <c r="M1" s="69" t="s">
        <v>817</v>
      </c>
      <c r="N1" s="69" t="s">
        <v>818</v>
      </c>
      <c r="O1" s="69" t="s">
        <v>819</v>
      </c>
      <c r="P1" s="69" t="s">
        <v>820</v>
      </c>
      <c r="Q1" s="69" t="s">
        <v>821</v>
      </c>
      <c r="R1" s="70" t="s">
        <v>822</v>
      </c>
    </row>
    <row r="2" spans="1:18">
      <c r="A2" s="59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401</v>
      </c>
      <c r="G2" s="17">
        <v>400</v>
      </c>
      <c r="H2" s="32">
        <v>260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</row>
    <row r="3" spans="1:18">
      <c r="A3" s="59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401</v>
      </c>
      <c r="G3" s="17">
        <v>400</v>
      </c>
      <c r="H3" s="32">
        <v>260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</row>
    <row r="4" spans="1:18">
      <c r="A4" s="59">
        <v>1227431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96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</row>
    <row r="5" spans="1:18">
      <c r="A5" s="59">
        <v>1227433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96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</row>
    <row r="6" spans="1:18">
      <c r="A6" s="59">
        <v>1229673</v>
      </c>
      <c r="B6" s="32">
        <v>300</v>
      </c>
      <c r="C6" s="32">
        <v>0</v>
      </c>
      <c r="D6" s="32">
        <v>0</v>
      </c>
      <c r="E6" s="32">
        <v>250</v>
      </c>
      <c r="F6" s="32">
        <v>250</v>
      </c>
      <c r="G6" s="17">
        <v>250</v>
      </c>
      <c r="H6" s="32">
        <v>250</v>
      </c>
      <c r="I6" s="32">
        <v>0</v>
      </c>
      <c r="J6" s="32">
        <v>0</v>
      </c>
      <c r="K6" s="32">
        <v>0</v>
      </c>
      <c r="L6" s="32">
        <v>300</v>
      </c>
      <c r="M6" s="32">
        <v>300</v>
      </c>
      <c r="N6" s="32">
        <v>300</v>
      </c>
      <c r="O6" s="32">
        <v>300</v>
      </c>
      <c r="P6" s="32">
        <v>300</v>
      </c>
      <c r="Q6" s="32">
        <v>0</v>
      </c>
      <c r="R6" s="32">
        <v>0</v>
      </c>
    </row>
    <row r="7" spans="1:18">
      <c r="A7" s="59">
        <v>1235623</v>
      </c>
      <c r="B7" s="32">
        <v>0</v>
      </c>
      <c r="C7" s="32">
        <v>0</v>
      </c>
      <c r="D7" s="32">
        <v>0</v>
      </c>
      <c r="E7" s="32">
        <v>542</v>
      </c>
      <c r="F7" s="32">
        <v>394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</row>
    <row r="8" spans="1:18">
      <c r="A8" s="59">
        <v>1237088</v>
      </c>
      <c r="B8" s="32">
        <v>1638</v>
      </c>
      <c r="C8" s="32">
        <v>0</v>
      </c>
      <c r="D8" s="32">
        <v>0</v>
      </c>
      <c r="E8" s="32">
        <v>1170</v>
      </c>
      <c r="F8" s="32">
        <v>1074</v>
      </c>
      <c r="G8" s="17">
        <v>380</v>
      </c>
      <c r="H8" s="32">
        <v>174</v>
      </c>
      <c r="I8" s="32">
        <v>0</v>
      </c>
      <c r="J8" s="32">
        <v>0</v>
      </c>
      <c r="K8" s="32">
        <v>0</v>
      </c>
      <c r="L8" s="32">
        <v>488</v>
      </c>
      <c r="M8" s="32">
        <v>1194</v>
      </c>
      <c r="N8" s="32">
        <v>854</v>
      </c>
      <c r="O8" s="32">
        <v>440</v>
      </c>
      <c r="P8" s="32">
        <v>292</v>
      </c>
      <c r="Q8" s="32">
        <v>0</v>
      </c>
      <c r="R8" s="32">
        <v>0</v>
      </c>
    </row>
    <row r="9" spans="1:18">
      <c r="A9" s="59">
        <v>1237765</v>
      </c>
      <c r="B9" s="32">
        <v>0</v>
      </c>
      <c r="C9" s="32">
        <v>0</v>
      </c>
      <c r="D9" s="32">
        <v>0</v>
      </c>
      <c r="E9" s="32">
        <v>150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</row>
    <row r="10" spans="1:18">
      <c r="A10" s="59">
        <v>1237748</v>
      </c>
      <c r="B10" s="32">
        <v>0</v>
      </c>
      <c r="C10" s="32">
        <v>0</v>
      </c>
      <c r="D10" s="32">
        <v>0</v>
      </c>
      <c r="E10" s="32">
        <v>0</v>
      </c>
      <c r="F10" s="32">
        <v>458</v>
      </c>
      <c r="G10" s="17">
        <v>422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</row>
    <row r="11" spans="1:18">
      <c r="A11" s="59">
        <v>1236091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200</v>
      </c>
      <c r="J11" s="32">
        <v>0</v>
      </c>
      <c r="K11" s="32">
        <v>0</v>
      </c>
      <c r="L11" s="32">
        <v>0</v>
      </c>
      <c r="M11" s="32">
        <v>0</v>
      </c>
      <c r="N11" s="32">
        <v>150</v>
      </c>
      <c r="O11" s="32">
        <v>0</v>
      </c>
      <c r="P11" s="32">
        <v>0</v>
      </c>
      <c r="Q11" s="32">
        <v>0</v>
      </c>
      <c r="R11" s="32">
        <v>0</v>
      </c>
    </row>
    <row r="12" spans="1:18" s="104" customFormat="1">
      <c r="A12" s="156">
        <v>1238128</v>
      </c>
      <c r="B12" s="75">
        <v>480</v>
      </c>
      <c r="C12" s="75">
        <v>0</v>
      </c>
      <c r="D12" s="75">
        <v>0</v>
      </c>
      <c r="E12" s="75">
        <v>396</v>
      </c>
      <c r="F12" s="75">
        <v>590</v>
      </c>
      <c r="G12" s="109">
        <v>342</v>
      </c>
      <c r="H12" s="75">
        <v>590</v>
      </c>
      <c r="I12" s="75">
        <v>464</v>
      </c>
      <c r="J12" s="75">
        <v>0</v>
      </c>
      <c r="K12" s="75">
        <v>0</v>
      </c>
      <c r="L12" s="75">
        <v>480</v>
      </c>
      <c r="M12" s="75">
        <v>480</v>
      </c>
      <c r="N12" s="75">
        <v>56</v>
      </c>
      <c r="O12" s="75">
        <v>172</v>
      </c>
      <c r="P12" s="75">
        <v>378</v>
      </c>
      <c r="Q12" s="75">
        <v>0</v>
      </c>
      <c r="R12" s="75">
        <v>0</v>
      </c>
    </row>
    <row r="13" spans="1:18">
      <c r="A13" s="59">
        <v>1236962</v>
      </c>
      <c r="B13" s="32">
        <v>290</v>
      </c>
      <c r="C13" s="32">
        <v>0</v>
      </c>
      <c r="D13" s="32">
        <v>0</v>
      </c>
      <c r="E13" s="32">
        <v>300</v>
      </c>
      <c r="F13" s="32">
        <v>300</v>
      </c>
      <c r="G13" s="17">
        <v>300</v>
      </c>
      <c r="H13" s="32">
        <v>132</v>
      </c>
      <c r="I13" s="32">
        <v>0</v>
      </c>
      <c r="J13" s="32">
        <v>0</v>
      </c>
      <c r="K13" s="32">
        <v>0</v>
      </c>
      <c r="L13" s="32">
        <v>300</v>
      </c>
      <c r="M13" s="32">
        <v>0</v>
      </c>
      <c r="N13" s="32">
        <v>300</v>
      </c>
      <c r="O13" s="32">
        <v>500</v>
      </c>
      <c r="P13" s="32">
        <v>0</v>
      </c>
      <c r="Q13" s="32">
        <v>0</v>
      </c>
      <c r="R13" s="32">
        <v>0</v>
      </c>
    </row>
    <row r="14" spans="1:18">
      <c r="A14" s="59">
        <v>1233761</v>
      </c>
      <c r="B14" s="32">
        <v>0</v>
      </c>
      <c r="C14" s="32">
        <v>0</v>
      </c>
      <c r="D14" s="32">
        <v>0</v>
      </c>
      <c r="E14" s="32">
        <v>200</v>
      </c>
      <c r="F14" s="32">
        <v>0</v>
      </c>
      <c r="G14" s="32">
        <v>0</v>
      </c>
      <c r="H14" s="32">
        <v>200</v>
      </c>
      <c r="I14" s="32">
        <v>110</v>
      </c>
      <c r="J14" s="32">
        <v>0</v>
      </c>
      <c r="K14" s="32">
        <v>0</v>
      </c>
      <c r="L14" s="32">
        <v>0</v>
      </c>
      <c r="M14" s="32">
        <v>350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</row>
    <row r="15" spans="1:18">
      <c r="A15" s="59">
        <v>1239651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600</v>
      </c>
      <c r="P15" s="32">
        <v>0</v>
      </c>
      <c r="Q15" s="32">
        <v>0</v>
      </c>
      <c r="R15" s="32">
        <v>0</v>
      </c>
    </row>
    <row r="16" spans="1:18">
      <c r="A16" s="59">
        <v>1239988</v>
      </c>
      <c r="B16" s="32">
        <v>454</v>
      </c>
      <c r="C16" s="32">
        <v>0</v>
      </c>
      <c r="D16" s="32">
        <v>0</v>
      </c>
      <c r="E16" s="32">
        <v>454</v>
      </c>
      <c r="F16" s="32">
        <v>454</v>
      </c>
      <c r="G16" s="17">
        <v>148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168</v>
      </c>
      <c r="O16" s="32">
        <v>454</v>
      </c>
      <c r="P16" s="32">
        <v>356</v>
      </c>
      <c r="Q16" s="32">
        <v>0</v>
      </c>
      <c r="R16" s="32">
        <v>0</v>
      </c>
    </row>
    <row r="17" spans="1:18">
      <c r="A17" s="59">
        <v>1240180</v>
      </c>
      <c r="B17" s="32">
        <v>358</v>
      </c>
      <c r="C17" s="32">
        <v>0</v>
      </c>
      <c r="D17" s="32">
        <v>0</v>
      </c>
      <c r="E17" s="32">
        <v>358</v>
      </c>
      <c r="F17" s="32">
        <v>358</v>
      </c>
      <c r="G17" s="17">
        <v>456</v>
      </c>
      <c r="H17" s="32">
        <v>344</v>
      </c>
      <c r="I17" s="32">
        <v>280</v>
      </c>
      <c r="J17" s="32">
        <v>0</v>
      </c>
      <c r="K17" s="32">
        <v>0</v>
      </c>
      <c r="L17" s="32">
        <v>358</v>
      </c>
      <c r="M17" s="32">
        <v>358</v>
      </c>
      <c r="N17" s="32">
        <v>142</v>
      </c>
      <c r="O17" s="32">
        <v>0</v>
      </c>
      <c r="P17" s="32">
        <v>0</v>
      </c>
      <c r="Q17" s="32">
        <v>0</v>
      </c>
      <c r="R17" s="32">
        <v>0</v>
      </c>
    </row>
    <row r="18" spans="1:18">
      <c r="A18" s="59">
        <v>1240184</v>
      </c>
      <c r="B18" s="32">
        <v>358</v>
      </c>
      <c r="C18" s="32">
        <v>0</v>
      </c>
      <c r="D18" s="32">
        <v>0</v>
      </c>
      <c r="E18" s="32">
        <v>358</v>
      </c>
      <c r="F18" s="32">
        <v>358</v>
      </c>
      <c r="G18" s="17">
        <v>456</v>
      </c>
      <c r="H18" s="32">
        <v>344</v>
      </c>
      <c r="I18" s="32">
        <v>280</v>
      </c>
      <c r="J18" s="32">
        <v>0</v>
      </c>
      <c r="K18" s="32">
        <v>0</v>
      </c>
      <c r="L18" s="32">
        <v>358</v>
      </c>
      <c r="M18" s="32">
        <v>358</v>
      </c>
      <c r="N18" s="32">
        <v>142</v>
      </c>
      <c r="O18" s="32">
        <v>0</v>
      </c>
      <c r="P18" s="32">
        <v>0</v>
      </c>
      <c r="Q18" s="32">
        <v>0</v>
      </c>
      <c r="R18" s="32">
        <v>0</v>
      </c>
    </row>
    <row r="19" spans="1:18">
      <c r="A19" s="59">
        <v>1240308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17">
        <v>350</v>
      </c>
      <c r="H19" s="32">
        <v>350</v>
      </c>
      <c r="I19" s="32">
        <v>350</v>
      </c>
      <c r="J19" s="32">
        <v>0</v>
      </c>
      <c r="K19" s="32">
        <v>0</v>
      </c>
      <c r="L19" s="32">
        <v>300</v>
      </c>
      <c r="M19" s="32">
        <v>0</v>
      </c>
      <c r="N19" s="32">
        <v>0</v>
      </c>
      <c r="O19" s="32">
        <v>0</v>
      </c>
      <c r="P19" s="32">
        <v>730</v>
      </c>
      <c r="Q19" s="32">
        <v>0</v>
      </c>
      <c r="R19" s="32">
        <v>0</v>
      </c>
    </row>
    <row r="20" spans="1:18">
      <c r="A20" s="59">
        <v>1241601</v>
      </c>
      <c r="B20" s="32">
        <v>0</v>
      </c>
      <c r="C20" s="32">
        <v>0</v>
      </c>
      <c r="D20" s="32">
        <v>0</v>
      </c>
      <c r="E20" s="32">
        <v>120</v>
      </c>
      <c r="F20" s="32">
        <v>0</v>
      </c>
      <c r="G20" s="17">
        <v>200</v>
      </c>
      <c r="H20" s="32">
        <v>1020</v>
      </c>
      <c r="I20" s="32">
        <v>768</v>
      </c>
      <c r="J20" s="32">
        <v>0</v>
      </c>
      <c r="K20" s="32">
        <v>0</v>
      </c>
      <c r="L20" s="32">
        <v>700</v>
      </c>
      <c r="M20" s="32">
        <v>1460</v>
      </c>
      <c r="N20" s="32">
        <v>1148</v>
      </c>
      <c r="O20" s="32">
        <v>1460</v>
      </c>
      <c r="P20" s="32">
        <v>624</v>
      </c>
      <c r="Q20" s="32">
        <v>0</v>
      </c>
      <c r="R20" s="32">
        <v>0</v>
      </c>
    </row>
    <row r="24" spans="1:18">
      <c r="A24" s="5" t="s">
        <v>0</v>
      </c>
      <c r="B24" s="9" t="s">
        <v>770</v>
      </c>
      <c r="C24" s="9" t="s">
        <v>771</v>
      </c>
      <c r="D24" s="9" t="s">
        <v>772</v>
      </c>
      <c r="E24" s="9" t="s">
        <v>789</v>
      </c>
      <c r="F24" s="9" t="s">
        <v>790</v>
      </c>
      <c r="G24" s="9" t="s">
        <v>791</v>
      </c>
      <c r="H24" s="9" t="s">
        <v>792</v>
      </c>
      <c r="I24" s="9" t="s">
        <v>793</v>
      </c>
      <c r="J24" s="9" t="s">
        <v>794</v>
      </c>
      <c r="K24" s="9" t="s">
        <v>795</v>
      </c>
      <c r="L24" s="9" t="s">
        <v>816</v>
      </c>
      <c r="M24" s="9" t="s">
        <v>817</v>
      </c>
      <c r="N24" s="9" t="s">
        <v>818</v>
      </c>
      <c r="O24" s="9" t="s">
        <v>819</v>
      </c>
      <c r="P24" s="9" t="s">
        <v>820</v>
      </c>
      <c r="Q24" s="9" t="s">
        <v>821</v>
      </c>
      <c r="R24" s="9" t="s">
        <v>822</v>
      </c>
    </row>
    <row r="25" spans="1:18">
      <c r="A25" s="5">
        <v>1232846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304</v>
      </c>
      <c r="J25" s="9">
        <v>0</v>
      </c>
      <c r="K25" s="9">
        <v>0</v>
      </c>
      <c r="L25" s="9">
        <v>448</v>
      </c>
      <c r="M25" s="9">
        <v>448</v>
      </c>
      <c r="N25" s="9">
        <v>94</v>
      </c>
      <c r="O25" s="9">
        <v>0</v>
      </c>
      <c r="P25" s="9">
        <v>0</v>
      </c>
      <c r="Q25" s="9">
        <v>0</v>
      </c>
      <c r="R25" s="9">
        <v>0</v>
      </c>
    </row>
    <row r="26" spans="1:18">
      <c r="A26" s="5">
        <v>1232895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304</v>
      </c>
      <c r="J26" s="9">
        <v>0</v>
      </c>
      <c r="K26" s="9">
        <v>0</v>
      </c>
      <c r="L26" s="9">
        <v>448</v>
      </c>
      <c r="M26" s="9">
        <v>448</v>
      </c>
      <c r="N26" s="9">
        <v>94</v>
      </c>
      <c r="O26" s="9">
        <v>0</v>
      </c>
      <c r="P26" s="9">
        <v>0</v>
      </c>
      <c r="Q26" s="9">
        <v>0</v>
      </c>
      <c r="R26" s="9">
        <v>0</v>
      </c>
    </row>
    <row r="27" spans="1:18">
      <c r="A27" s="5">
        <v>1233384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304</v>
      </c>
      <c r="J27" s="9">
        <v>0</v>
      </c>
      <c r="K27" s="9">
        <v>0</v>
      </c>
      <c r="L27" s="9">
        <v>448</v>
      </c>
      <c r="M27" s="9">
        <v>448</v>
      </c>
      <c r="N27" s="9">
        <v>94</v>
      </c>
      <c r="O27" s="9">
        <v>0</v>
      </c>
      <c r="P27" s="9">
        <v>0</v>
      </c>
      <c r="Q27" s="9">
        <v>0</v>
      </c>
      <c r="R27" s="9">
        <v>0</v>
      </c>
    </row>
    <row r="28" spans="1:18">
      <c r="A28" s="5">
        <v>1236387</v>
      </c>
      <c r="B28" s="9">
        <v>0</v>
      </c>
      <c r="C28" s="9">
        <v>0</v>
      </c>
      <c r="D28" s="9">
        <v>0</v>
      </c>
      <c r="E28" s="9">
        <v>0</v>
      </c>
      <c r="F28" s="9">
        <v>150</v>
      </c>
      <c r="G28" s="9">
        <v>357</v>
      </c>
      <c r="H28" s="9">
        <v>71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>
      <c r="A29" s="5">
        <v>1232775</v>
      </c>
      <c r="B29" s="9">
        <v>278</v>
      </c>
      <c r="C29" s="9">
        <v>0</v>
      </c>
      <c r="D29" s="9">
        <v>0</v>
      </c>
      <c r="E29" s="9">
        <v>620</v>
      </c>
      <c r="F29" s="9">
        <v>282</v>
      </c>
      <c r="G29" s="9">
        <v>0</v>
      </c>
      <c r="H29" s="9">
        <v>248</v>
      </c>
      <c r="I29" s="9">
        <v>245</v>
      </c>
      <c r="J29" s="9">
        <v>0</v>
      </c>
      <c r="K29" s="9">
        <v>0</v>
      </c>
      <c r="L29" s="9">
        <v>7</v>
      </c>
      <c r="M29" s="9">
        <v>0</v>
      </c>
      <c r="N29" s="9">
        <v>165</v>
      </c>
      <c r="O29" s="9">
        <v>309</v>
      </c>
      <c r="P29" s="9">
        <v>243</v>
      </c>
      <c r="Q29" s="9">
        <v>0</v>
      </c>
      <c r="R29" s="9">
        <v>0</v>
      </c>
    </row>
    <row r="30" spans="1:18">
      <c r="A30" s="5">
        <v>1238605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175</v>
      </c>
      <c r="N30" s="9">
        <v>187</v>
      </c>
      <c r="O30" s="9">
        <v>237</v>
      </c>
      <c r="P30" s="9">
        <v>187</v>
      </c>
      <c r="Q30" s="9">
        <v>0</v>
      </c>
      <c r="R30" s="9">
        <v>0</v>
      </c>
    </row>
    <row r="31" spans="1:18">
      <c r="A31" s="5">
        <v>1230685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379</v>
      </c>
      <c r="M31" s="9">
        <v>71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</row>
    <row r="34" spans="1:18">
      <c r="A34" s="5" t="s">
        <v>0</v>
      </c>
      <c r="B34" s="9" t="s">
        <v>770</v>
      </c>
      <c r="C34" s="9" t="s">
        <v>771</v>
      </c>
      <c r="D34" s="9" t="s">
        <v>772</v>
      </c>
      <c r="E34" s="9" t="s">
        <v>789</v>
      </c>
      <c r="F34" s="9" t="s">
        <v>790</v>
      </c>
      <c r="G34" s="9" t="s">
        <v>791</v>
      </c>
      <c r="H34" s="9" t="s">
        <v>792</v>
      </c>
      <c r="I34" s="9" t="s">
        <v>793</v>
      </c>
      <c r="J34" s="9" t="s">
        <v>794</v>
      </c>
      <c r="K34" s="9" t="s">
        <v>795</v>
      </c>
      <c r="L34" s="9" t="s">
        <v>816</v>
      </c>
      <c r="M34" s="9" t="s">
        <v>817</v>
      </c>
      <c r="N34" s="9" t="s">
        <v>818</v>
      </c>
      <c r="O34" s="9" t="s">
        <v>819</v>
      </c>
      <c r="P34" s="9" t="s">
        <v>820</v>
      </c>
      <c r="Q34" s="9" t="s">
        <v>821</v>
      </c>
      <c r="R34" s="9" t="s">
        <v>822</v>
      </c>
    </row>
    <row r="35" spans="1:18">
      <c r="A35" s="5">
        <v>1230692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150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</row>
    <row r="36" spans="1:18">
      <c r="A36" s="5">
        <v>1221967</v>
      </c>
      <c r="B36" s="9">
        <v>0</v>
      </c>
      <c r="C36" s="9">
        <v>0</v>
      </c>
      <c r="D36" s="9">
        <v>0</v>
      </c>
      <c r="E36" s="9">
        <v>0</v>
      </c>
      <c r="F36" s="9">
        <v>425</v>
      </c>
      <c r="G36" s="18">
        <v>389</v>
      </c>
      <c r="H36" s="9">
        <v>210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>
      <c r="A37" s="5">
        <v>1229088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41</v>
      </c>
      <c r="I37" s="9">
        <v>587</v>
      </c>
      <c r="J37" s="9">
        <v>0</v>
      </c>
      <c r="K37" s="9">
        <v>0</v>
      </c>
      <c r="L37" s="9">
        <v>26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</row>
    <row r="38" spans="1:18">
      <c r="A38" s="5">
        <v>1225464</v>
      </c>
      <c r="B38" s="9">
        <v>0</v>
      </c>
      <c r="C38" s="9">
        <v>0</v>
      </c>
      <c r="D38" s="9">
        <v>0</v>
      </c>
      <c r="E38" s="9">
        <v>0</v>
      </c>
      <c r="F38" s="9">
        <v>415</v>
      </c>
      <c r="G38" s="18">
        <v>341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>
      <c r="A39" s="5">
        <v>1231797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100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</row>
    <row r="40" spans="1:18">
      <c r="A40" s="5">
        <v>1232066</v>
      </c>
      <c r="B40" s="9">
        <v>54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>
      <c r="A41" s="5">
        <v>1232693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650</v>
      </c>
      <c r="N41" s="9">
        <v>85</v>
      </c>
      <c r="O41" s="9">
        <v>0</v>
      </c>
      <c r="P41" s="9">
        <v>0</v>
      </c>
      <c r="Q41" s="9">
        <v>0</v>
      </c>
      <c r="R41" s="9">
        <v>0</v>
      </c>
    </row>
    <row r="42" spans="1:18">
      <c r="A42" s="5">
        <v>1233025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650</v>
      </c>
      <c r="N42" s="9">
        <v>85</v>
      </c>
      <c r="O42" s="9">
        <v>0</v>
      </c>
      <c r="P42" s="9">
        <v>0</v>
      </c>
      <c r="Q42" s="9">
        <v>0</v>
      </c>
      <c r="R42" s="9">
        <v>0</v>
      </c>
    </row>
    <row r="43" spans="1:18">
      <c r="A43" s="5">
        <v>1234222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500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 s="104" customFormat="1">
      <c r="A44" s="104">
        <v>1232528</v>
      </c>
      <c r="B44" s="98">
        <v>0</v>
      </c>
      <c r="C44" s="98">
        <v>0</v>
      </c>
      <c r="D44" s="98">
        <v>0</v>
      </c>
      <c r="E44" s="98">
        <v>429</v>
      </c>
      <c r="F44" s="98">
        <v>673</v>
      </c>
      <c r="G44" s="98">
        <v>508</v>
      </c>
      <c r="H44" s="98">
        <v>686</v>
      </c>
      <c r="I44" s="98">
        <v>539</v>
      </c>
      <c r="J44" s="98">
        <v>0</v>
      </c>
      <c r="K44" s="98">
        <v>0</v>
      </c>
      <c r="L44" s="98">
        <v>686</v>
      </c>
      <c r="M44" s="98">
        <v>686</v>
      </c>
      <c r="N44" s="98">
        <v>839</v>
      </c>
      <c r="O44" s="98">
        <v>620</v>
      </c>
      <c r="P44" s="98">
        <v>600</v>
      </c>
      <c r="Q44" s="98">
        <v>0</v>
      </c>
      <c r="R44" s="98">
        <v>0</v>
      </c>
    </row>
    <row r="45" spans="1:18">
      <c r="A45" s="5">
        <v>1232846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166</v>
      </c>
      <c r="P45" s="9">
        <v>0</v>
      </c>
      <c r="Q45" s="9">
        <v>0</v>
      </c>
      <c r="R45" s="9">
        <v>0</v>
      </c>
    </row>
    <row r="46" spans="1:18">
      <c r="A46" s="5">
        <v>1231090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240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>
      <c r="A47" s="5">
        <v>1233383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191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</row>
    <row r="48" spans="1:18">
      <c r="A48" s="5">
        <v>1235097</v>
      </c>
      <c r="B48" s="9">
        <v>0</v>
      </c>
      <c r="C48" s="9">
        <v>0</v>
      </c>
      <c r="D48" s="9">
        <v>0</v>
      </c>
      <c r="E48" s="9">
        <v>290</v>
      </c>
      <c r="F48" s="9">
        <v>343</v>
      </c>
      <c r="G48" s="9">
        <v>37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410</v>
      </c>
      <c r="Q48" s="9">
        <v>0</v>
      </c>
      <c r="R48" s="9">
        <v>0</v>
      </c>
    </row>
    <row r="49" spans="1:18">
      <c r="A49" s="5">
        <v>1235845</v>
      </c>
      <c r="B49" s="9">
        <v>547</v>
      </c>
      <c r="C49" s="9">
        <v>0</v>
      </c>
      <c r="D49" s="9">
        <v>0</v>
      </c>
      <c r="E49" s="9">
        <v>622</v>
      </c>
      <c r="F49" s="9">
        <v>366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</row>
    <row r="50" spans="1:18">
      <c r="A50" s="5">
        <v>1236930</v>
      </c>
      <c r="B50" s="9">
        <v>0</v>
      </c>
      <c r="C50" s="9">
        <v>0</v>
      </c>
      <c r="D50" s="9">
        <v>0</v>
      </c>
      <c r="E50" s="9">
        <v>0</v>
      </c>
      <c r="F50" s="18">
        <v>339</v>
      </c>
      <c r="G50" s="9">
        <v>251</v>
      </c>
      <c r="H50" s="9">
        <v>339</v>
      </c>
      <c r="I50" s="9">
        <v>263</v>
      </c>
      <c r="J50" s="9">
        <v>0</v>
      </c>
      <c r="K50" s="9">
        <v>0</v>
      </c>
      <c r="L50" s="9">
        <v>397</v>
      </c>
      <c r="M50" s="9">
        <v>250</v>
      </c>
      <c r="N50" s="9">
        <v>150</v>
      </c>
      <c r="O50" s="9">
        <v>0</v>
      </c>
      <c r="P50" s="9">
        <v>150</v>
      </c>
      <c r="Q50" s="9">
        <v>0</v>
      </c>
      <c r="R50" s="9">
        <v>0</v>
      </c>
    </row>
    <row r="51" spans="1:18">
      <c r="A51" s="5">
        <v>1232982</v>
      </c>
      <c r="B51" s="9">
        <v>0</v>
      </c>
      <c r="C51" s="9">
        <v>0</v>
      </c>
      <c r="D51" s="9">
        <v>0</v>
      </c>
      <c r="E51" s="9">
        <v>187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</row>
    <row r="52" spans="1:18">
      <c r="A52" s="5">
        <v>1237468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64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</row>
    <row r="53" spans="1:18">
      <c r="A53" s="5">
        <v>1234905</v>
      </c>
      <c r="B53" s="9">
        <v>261</v>
      </c>
      <c r="C53" s="9">
        <v>0</v>
      </c>
      <c r="D53" s="9">
        <v>0</v>
      </c>
      <c r="E53" s="9">
        <v>374</v>
      </c>
      <c r="F53" s="9">
        <v>0</v>
      </c>
      <c r="G53" s="9">
        <v>0</v>
      </c>
      <c r="H53" s="9">
        <v>404</v>
      </c>
      <c r="I53" s="9">
        <v>377</v>
      </c>
      <c r="J53" s="9">
        <v>0</v>
      </c>
      <c r="K53" s="9">
        <v>0</v>
      </c>
      <c r="L53" s="9">
        <v>570</v>
      </c>
      <c r="M53" s="9">
        <v>192</v>
      </c>
      <c r="N53" s="9">
        <v>300</v>
      </c>
      <c r="O53" s="9">
        <v>250</v>
      </c>
      <c r="P53" s="9">
        <v>0</v>
      </c>
      <c r="Q53" s="9">
        <v>0</v>
      </c>
      <c r="R53" s="9">
        <v>0</v>
      </c>
    </row>
    <row r="54" spans="1:18">
      <c r="A54" s="5">
        <v>1238480</v>
      </c>
      <c r="B54" s="9">
        <v>1121</v>
      </c>
      <c r="C54" s="9">
        <v>0</v>
      </c>
      <c r="D54" s="9">
        <v>0</v>
      </c>
      <c r="E54" s="9">
        <v>911</v>
      </c>
      <c r="F54" s="9">
        <v>1036</v>
      </c>
      <c r="G54" s="9">
        <v>969</v>
      </c>
      <c r="H54" s="9">
        <v>1308</v>
      </c>
      <c r="I54" s="9">
        <v>1129</v>
      </c>
      <c r="J54" s="9">
        <v>0</v>
      </c>
      <c r="K54" s="9">
        <v>0</v>
      </c>
      <c r="L54" s="9">
        <v>1310</v>
      </c>
      <c r="M54" s="9">
        <v>1362</v>
      </c>
      <c r="N54" s="9">
        <v>1584</v>
      </c>
      <c r="O54" s="9">
        <v>1294</v>
      </c>
      <c r="P54" s="9">
        <v>1328</v>
      </c>
      <c r="Q54" s="9">
        <v>0</v>
      </c>
      <c r="R54" s="9">
        <v>0</v>
      </c>
    </row>
    <row r="55" spans="1:18">
      <c r="A55" s="5">
        <v>1238453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40</v>
      </c>
      <c r="Q55" s="9">
        <v>0</v>
      </c>
      <c r="R55" s="9">
        <v>0</v>
      </c>
    </row>
    <row r="56" spans="1:18">
      <c r="A56" s="5">
        <v>1232775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18">
        <v>208</v>
      </c>
      <c r="H56" s="9">
        <v>78</v>
      </c>
      <c r="I56" s="9">
        <v>0</v>
      </c>
      <c r="J56" s="9">
        <v>0</v>
      </c>
      <c r="K56" s="9">
        <v>0</v>
      </c>
      <c r="L56" s="9">
        <v>0</v>
      </c>
      <c r="M56" s="9">
        <v>118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</row>
    <row r="57" spans="1:18">
      <c r="A57" s="5">
        <v>1240029</v>
      </c>
      <c r="B57" s="9">
        <v>150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</row>
    <row r="58" spans="1:18">
      <c r="A58" s="5">
        <v>1240032</v>
      </c>
      <c r="B58" s="9">
        <v>150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</row>
    <row r="59" spans="1:18">
      <c r="A59" s="5">
        <v>1240180</v>
      </c>
      <c r="B59" s="9">
        <v>100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200</v>
      </c>
      <c r="Q59" s="9">
        <v>0</v>
      </c>
      <c r="R59" s="9">
        <v>0</v>
      </c>
    </row>
    <row r="60" spans="1:18">
      <c r="A60" s="5">
        <v>1240184</v>
      </c>
      <c r="B60" s="9">
        <v>100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200</v>
      </c>
      <c r="Q60" s="9">
        <v>0</v>
      </c>
      <c r="R60" s="9">
        <v>0</v>
      </c>
    </row>
    <row r="61" spans="1:18">
      <c r="A61" s="5">
        <v>1232895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166</v>
      </c>
      <c r="P61" s="9">
        <v>0</v>
      </c>
      <c r="Q61" s="9">
        <v>0</v>
      </c>
      <c r="R61" s="9">
        <v>0</v>
      </c>
    </row>
    <row r="62" spans="1:18">
      <c r="A62" s="5">
        <v>1232922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166</v>
      </c>
      <c r="P62" s="9">
        <v>0</v>
      </c>
      <c r="Q62" s="9">
        <v>0</v>
      </c>
      <c r="R62" s="9">
        <v>0</v>
      </c>
    </row>
  </sheetData>
  <autoFilter ref="A1:R20" xr:uid="{BE0AC0AB-F68E-43B5-8B34-1C1C29AA62B4}"/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DC41-ABCE-40E2-A639-FB6FEDB7541D}">
  <dimension ref="A1:O57"/>
  <sheetViews>
    <sheetView topLeftCell="A29" zoomScale="160" zoomScaleNormal="160" workbookViewId="0">
      <selection activeCell="H41" sqref="H41"/>
    </sheetView>
  </sheetViews>
  <sheetFormatPr defaultRowHeight="11.25"/>
  <cols>
    <col min="2" max="2" width="9.1640625" style="14"/>
    <col min="3" max="14" width="9.1640625" style="14" customWidth="1"/>
    <col min="15" max="15" width="9.1640625" style="14"/>
  </cols>
  <sheetData>
    <row r="1" spans="1:15">
      <c r="A1" s="2" t="s">
        <v>0</v>
      </c>
      <c r="B1" s="14" t="s">
        <v>825</v>
      </c>
      <c r="C1" s="14" t="s">
        <v>826</v>
      </c>
      <c r="D1" s="14" t="s">
        <v>827</v>
      </c>
      <c r="E1" s="14" t="s">
        <v>828</v>
      </c>
      <c r="F1" s="14" t="s">
        <v>829</v>
      </c>
      <c r="G1" s="14" t="s">
        <v>830</v>
      </c>
      <c r="H1" s="14" t="s">
        <v>831</v>
      </c>
      <c r="I1" s="14" t="s">
        <v>832</v>
      </c>
      <c r="J1" s="14" t="s">
        <v>833</v>
      </c>
      <c r="K1" s="14" t="s">
        <v>834</v>
      </c>
      <c r="L1" s="14" t="s">
        <v>835</v>
      </c>
      <c r="M1" s="14" t="s">
        <v>836</v>
      </c>
      <c r="N1" s="14" t="s">
        <v>837</v>
      </c>
      <c r="O1" s="14" t="s">
        <v>838</v>
      </c>
    </row>
    <row r="2" spans="1:15">
      <c r="A2">
        <v>1226384</v>
      </c>
      <c r="B2" s="14">
        <v>0</v>
      </c>
      <c r="C2" s="14">
        <v>401</v>
      </c>
      <c r="D2" s="14">
        <v>400</v>
      </c>
      <c r="E2" s="16">
        <f>260+70</f>
        <v>330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</row>
    <row r="3" spans="1:15">
      <c r="A3">
        <v>1226388</v>
      </c>
      <c r="B3" s="14">
        <v>0</v>
      </c>
      <c r="C3" s="14">
        <v>401</v>
      </c>
      <c r="D3" s="14">
        <v>400</v>
      </c>
      <c r="E3" s="16">
        <v>260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</row>
    <row r="4" spans="1:15">
      <c r="A4">
        <v>1227431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96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</row>
    <row r="5" spans="1:15">
      <c r="A5">
        <v>1227433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96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</row>
    <row r="6" spans="1:15">
      <c r="A6">
        <v>1229673</v>
      </c>
      <c r="B6" s="14">
        <v>250</v>
      </c>
      <c r="C6" s="14">
        <v>250</v>
      </c>
      <c r="D6" s="14">
        <v>250</v>
      </c>
      <c r="E6" s="16">
        <v>250</v>
      </c>
      <c r="F6" s="14">
        <v>0</v>
      </c>
      <c r="G6" s="14">
        <v>0</v>
      </c>
      <c r="H6" s="14">
        <v>0</v>
      </c>
      <c r="I6" s="14">
        <v>300</v>
      </c>
      <c r="J6" s="14">
        <v>300</v>
      </c>
      <c r="K6" s="14">
        <v>300</v>
      </c>
      <c r="L6" s="14">
        <v>300</v>
      </c>
      <c r="M6" s="14">
        <v>300</v>
      </c>
      <c r="N6" s="14">
        <v>0</v>
      </c>
      <c r="O6" s="14">
        <v>0</v>
      </c>
    </row>
    <row r="7" spans="1:15">
      <c r="A7">
        <v>1235623</v>
      </c>
      <c r="B7" s="14">
        <v>542</v>
      </c>
      <c r="C7" s="14">
        <v>394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</row>
    <row r="8" spans="1:15">
      <c r="A8">
        <v>1237088</v>
      </c>
      <c r="B8" s="14">
        <v>1170</v>
      </c>
      <c r="C8" s="14">
        <v>634</v>
      </c>
      <c r="D8" s="14">
        <v>380</v>
      </c>
      <c r="E8" s="16">
        <v>224</v>
      </c>
      <c r="F8" s="14">
        <v>440</v>
      </c>
      <c r="G8" s="14">
        <v>0</v>
      </c>
      <c r="H8" s="14">
        <v>0</v>
      </c>
      <c r="I8" s="14">
        <v>488</v>
      </c>
      <c r="J8" s="14">
        <v>1194</v>
      </c>
      <c r="K8" s="14">
        <v>854</v>
      </c>
      <c r="L8" s="14">
        <v>440</v>
      </c>
      <c r="M8" s="14">
        <v>292</v>
      </c>
      <c r="N8" s="14">
        <v>0</v>
      </c>
      <c r="O8" s="14">
        <v>0</v>
      </c>
    </row>
    <row r="9" spans="1:15">
      <c r="A9">
        <v>1237765</v>
      </c>
      <c r="B9" s="14">
        <v>150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</row>
    <row r="10" spans="1:15">
      <c r="A10">
        <v>1237748</v>
      </c>
      <c r="B10" s="14">
        <v>0</v>
      </c>
      <c r="C10" s="14">
        <v>458</v>
      </c>
      <c r="D10" s="14">
        <v>422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 spans="1:15">
      <c r="A11">
        <v>1236091</v>
      </c>
      <c r="B11" s="14">
        <v>0</v>
      </c>
      <c r="C11" s="14">
        <v>0</v>
      </c>
      <c r="D11" s="14">
        <v>0</v>
      </c>
      <c r="E11" s="14">
        <v>0</v>
      </c>
      <c r="F11" s="14">
        <v>200</v>
      </c>
      <c r="G11" s="14">
        <v>0</v>
      </c>
      <c r="H11" s="14">
        <v>0</v>
      </c>
      <c r="I11" s="14">
        <v>0</v>
      </c>
      <c r="J11" s="14">
        <v>0</v>
      </c>
      <c r="K11" s="14">
        <v>150</v>
      </c>
      <c r="L11" s="14">
        <v>0</v>
      </c>
      <c r="M11" s="14">
        <v>0</v>
      </c>
      <c r="N11" s="14">
        <v>0</v>
      </c>
      <c r="O11" s="14">
        <v>0</v>
      </c>
    </row>
    <row r="12" spans="1:15" s="94" customFormat="1">
      <c r="A12" s="94">
        <v>1238128</v>
      </c>
      <c r="B12" s="93">
        <v>396</v>
      </c>
      <c r="C12" s="93">
        <v>590</v>
      </c>
      <c r="D12" s="93">
        <v>342</v>
      </c>
      <c r="E12" s="157">
        <v>162</v>
      </c>
      <c r="F12" s="93">
        <v>464</v>
      </c>
      <c r="G12" s="93">
        <v>0</v>
      </c>
      <c r="H12" s="93">
        <v>0</v>
      </c>
      <c r="I12" s="93">
        <v>480</v>
      </c>
      <c r="J12" s="93">
        <v>480</v>
      </c>
      <c r="K12" s="93">
        <v>56</v>
      </c>
      <c r="L12" s="93">
        <v>172</v>
      </c>
      <c r="M12" s="93">
        <v>378</v>
      </c>
      <c r="N12" s="93">
        <v>0</v>
      </c>
      <c r="O12" s="93">
        <v>0</v>
      </c>
    </row>
    <row r="13" spans="1:15">
      <c r="A13">
        <v>1236962</v>
      </c>
      <c r="B13" s="14">
        <v>300</v>
      </c>
      <c r="C13" s="14">
        <v>300</v>
      </c>
      <c r="D13" s="14">
        <v>300</v>
      </c>
      <c r="E13" s="16">
        <v>132</v>
      </c>
      <c r="F13" s="14">
        <v>0</v>
      </c>
      <c r="G13" s="14">
        <v>0</v>
      </c>
      <c r="H13" s="14">
        <v>0</v>
      </c>
      <c r="I13" s="14">
        <v>300</v>
      </c>
      <c r="J13" s="14">
        <v>0</v>
      </c>
      <c r="K13" s="14">
        <v>300</v>
      </c>
      <c r="L13" s="14">
        <v>500</v>
      </c>
      <c r="M13" s="14">
        <v>0</v>
      </c>
      <c r="N13" s="14">
        <v>0</v>
      </c>
      <c r="O13" s="14">
        <v>0</v>
      </c>
    </row>
    <row r="14" spans="1:15" s="158" customFormat="1">
      <c r="A14" s="158">
        <v>1233761</v>
      </c>
      <c r="B14" s="159">
        <v>200</v>
      </c>
      <c r="C14" s="159">
        <v>0</v>
      </c>
      <c r="D14" s="159">
        <v>0</v>
      </c>
      <c r="E14" s="160">
        <v>200</v>
      </c>
      <c r="F14" s="159">
        <v>192</v>
      </c>
      <c r="G14" s="159">
        <v>0</v>
      </c>
      <c r="H14" s="159">
        <v>0</v>
      </c>
      <c r="I14" s="159">
        <v>0</v>
      </c>
      <c r="J14" s="159">
        <v>350</v>
      </c>
      <c r="K14" s="159">
        <v>0</v>
      </c>
      <c r="L14" s="159">
        <v>0</v>
      </c>
      <c r="M14" s="159">
        <v>0</v>
      </c>
      <c r="N14" s="159">
        <v>0</v>
      </c>
      <c r="O14" s="159">
        <v>0</v>
      </c>
    </row>
    <row r="15" spans="1:15">
      <c r="A15">
        <v>1239651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600</v>
      </c>
      <c r="M15" s="14">
        <v>0</v>
      </c>
      <c r="N15" s="14">
        <v>0</v>
      </c>
      <c r="O15" s="14">
        <v>0</v>
      </c>
    </row>
    <row r="16" spans="1:15">
      <c r="A16">
        <v>1239988</v>
      </c>
      <c r="B16" s="14">
        <v>454</v>
      </c>
      <c r="C16" s="14">
        <v>454</v>
      </c>
      <c r="D16" s="14">
        <v>148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168</v>
      </c>
      <c r="L16" s="14">
        <v>454</v>
      </c>
      <c r="M16" s="14">
        <v>356</v>
      </c>
      <c r="N16" s="14">
        <v>0</v>
      </c>
      <c r="O16" s="14">
        <v>0</v>
      </c>
    </row>
    <row r="17" spans="1:15">
      <c r="A17">
        <v>1240180</v>
      </c>
      <c r="B17" s="14">
        <v>358</v>
      </c>
      <c r="C17" s="14">
        <v>358</v>
      </c>
      <c r="D17" s="14">
        <v>456</v>
      </c>
      <c r="E17" s="16">
        <v>344</v>
      </c>
      <c r="F17" s="14">
        <v>280</v>
      </c>
      <c r="G17" s="14">
        <v>0</v>
      </c>
      <c r="H17" s="14">
        <v>0</v>
      </c>
      <c r="I17" s="14">
        <v>358</v>
      </c>
      <c r="J17" s="14">
        <v>358</v>
      </c>
      <c r="K17" s="14">
        <v>142</v>
      </c>
      <c r="L17" s="14">
        <v>0</v>
      </c>
      <c r="M17" s="14">
        <v>0</v>
      </c>
      <c r="N17" s="14">
        <v>0</v>
      </c>
      <c r="O17" s="14">
        <v>0</v>
      </c>
    </row>
    <row r="18" spans="1:15">
      <c r="A18">
        <v>1240184</v>
      </c>
      <c r="B18" s="14">
        <v>358</v>
      </c>
      <c r="C18" s="14">
        <v>358</v>
      </c>
      <c r="D18" s="14">
        <v>456</v>
      </c>
      <c r="E18" s="16">
        <v>344</v>
      </c>
      <c r="F18" s="14">
        <v>280</v>
      </c>
      <c r="G18" s="14">
        <v>0</v>
      </c>
      <c r="H18" s="14">
        <v>0</v>
      </c>
      <c r="I18" s="14">
        <v>358</v>
      </c>
      <c r="J18" s="14">
        <v>358</v>
      </c>
      <c r="K18" s="14">
        <v>142</v>
      </c>
      <c r="L18" s="14">
        <v>0</v>
      </c>
      <c r="M18" s="14">
        <v>0</v>
      </c>
      <c r="N18" s="14">
        <v>0</v>
      </c>
      <c r="O18" s="14">
        <v>0</v>
      </c>
    </row>
    <row r="19" spans="1:15">
      <c r="A19">
        <v>1240308</v>
      </c>
      <c r="B19" s="14">
        <v>0</v>
      </c>
      <c r="C19" s="14">
        <v>0</v>
      </c>
      <c r="D19" s="14">
        <v>350</v>
      </c>
      <c r="E19" s="16">
        <v>350</v>
      </c>
      <c r="F19" s="14">
        <v>350</v>
      </c>
      <c r="G19" s="14">
        <v>0</v>
      </c>
      <c r="H19" s="14">
        <v>0</v>
      </c>
      <c r="I19" s="14">
        <v>300</v>
      </c>
      <c r="J19" s="14">
        <v>0</v>
      </c>
      <c r="K19" s="14">
        <v>0</v>
      </c>
      <c r="L19" s="14">
        <v>0</v>
      </c>
      <c r="M19" s="14">
        <v>730</v>
      </c>
      <c r="N19" s="14">
        <v>0</v>
      </c>
      <c r="O19" s="14">
        <v>0</v>
      </c>
    </row>
    <row r="20" spans="1:15">
      <c r="A20">
        <v>1241601</v>
      </c>
      <c r="B20" s="14">
        <v>120</v>
      </c>
      <c r="C20" s="14">
        <v>0</v>
      </c>
      <c r="D20" s="14">
        <v>200</v>
      </c>
      <c r="E20" s="16">
        <v>1020</v>
      </c>
      <c r="F20" s="14">
        <v>768</v>
      </c>
      <c r="G20" s="14">
        <v>0</v>
      </c>
      <c r="H20" s="14">
        <v>0</v>
      </c>
      <c r="I20" s="14">
        <v>700</v>
      </c>
      <c r="J20" s="14">
        <v>1460</v>
      </c>
      <c r="K20" s="14">
        <v>1148</v>
      </c>
      <c r="L20" s="14">
        <v>1460</v>
      </c>
      <c r="M20" s="14">
        <v>624</v>
      </c>
      <c r="N20" s="14">
        <v>0</v>
      </c>
      <c r="O20" s="14">
        <v>0</v>
      </c>
    </row>
    <row r="22" spans="1:15">
      <c r="A22" s="2" t="s">
        <v>0</v>
      </c>
      <c r="B22" s="14" t="s">
        <v>825</v>
      </c>
      <c r="C22" s="14" t="s">
        <v>826</v>
      </c>
      <c r="D22" s="14" t="s">
        <v>827</v>
      </c>
      <c r="E22" s="14" t="s">
        <v>828</v>
      </c>
      <c r="F22" s="14" t="s">
        <v>829</v>
      </c>
      <c r="G22" s="14" t="s">
        <v>830</v>
      </c>
      <c r="H22" s="14" t="s">
        <v>831</v>
      </c>
      <c r="I22" s="14" t="s">
        <v>832</v>
      </c>
      <c r="J22" s="14" t="s">
        <v>833</v>
      </c>
      <c r="K22" s="14" t="s">
        <v>834</v>
      </c>
      <c r="L22" s="14" t="s">
        <v>835</v>
      </c>
      <c r="M22" s="14" t="s">
        <v>836</v>
      </c>
      <c r="N22" s="14" t="s">
        <v>837</v>
      </c>
      <c r="O22" s="14" t="s">
        <v>838</v>
      </c>
    </row>
    <row r="23" spans="1:15">
      <c r="A23">
        <v>1232846</v>
      </c>
      <c r="B23" s="92">
        <v>0</v>
      </c>
      <c r="C23" s="92">
        <v>0</v>
      </c>
      <c r="D23" s="92">
        <v>0</v>
      </c>
      <c r="E23" s="92">
        <v>0</v>
      </c>
      <c r="F23" s="92">
        <v>304</v>
      </c>
      <c r="G23" s="14">
        <v>0</v>
      </c>
      <c r="H23" s="14">
        <v>0</v>
      </c>
      <c r="I23" s="14">
        <v>448</v>
      </c>
      <c r="J23" s="14">
        <v>448</v>
      </c>
      <c r="K23" s="14">
        <v>94</v>
      </c>
      <c r="L23" s="14">
        <v>0</v>
      </c>
      <c r="M23" s="14">
        <v>0</v>
      </c>
      <c r="N23" s="14">
        <v>0</v>
      </c>
      <c r="O23" s="14">
        <v>0</v>
      </c>
    </row>
    <row r="24" spans="1:15">
      <c r="A24">
        <v>1232895</v>
      </c>
      <c r="B24" s="92">
        <v>0</v>
      </c>
      <c r="C24" s="92">
        <v>0</v>
      </c>
      <c r="D24" s="92">
        <v>0</v>
      </c>
      <c r="E24" s="92">
        <v>0</v>
      </c>
      <c r="F24" s="92">
        <v>304</v>
      </c>
      <c r="G24" s="14">
        <v>0</v>
      </c>
      <c r="H24" s="14">
        <v>0</v>
      </c>
      <c r="I24" s="14">
        <v>448</v>
      </c>
      <c r="J24" s="14">
        <v>448</v>
      </c>
      <c r="K24" s="14">
        <v>94</v>
      </c>
      <c r="L24" s="14">
        <v>0</v>
      </c>
      <c r="M24" s="14">
        <v>0</v>
      </c>
      <c r="N24" s="14">
        <v>0</v>
      </c>
      <c r="O24" s="14">
        <v>0</v>
      </c>
    </row>
    <row r="25" spans="1:15">
      <c r="A25">
        <v>1233384</v>
      </c>
      <c r="B25" s="92">
        <v>0</v>
      </c>
      <c r="C25" s="92">
        <v>0</v>
      </c>
      <c r="D25" s="92">
        <v>0</v>
      </c>
      <c r="E25" s="92">
        <v>0</v>
      </c>
      <c r="F25" s="92">
        <v>304</v>
      </c>
      <c r="G25" s="14">
        <v>0</v>
      </c>
      <c r="H25" s="14">
        <v>0</v>
      </c>
      <c r="I25" s="14">
        <v>448</v>
      </c>
      <c r="J25" s="14">
        <v>448</v>
      </c>
      <c r="K25" s="14">
        <v>94</v>
      </c>
      <c r="L25" s="14">
        <v>0</v>
      </c>
      <c r="M25" s="14">
        <v>0</v>
      </c>
      <c r="N25" s="14">
        <v>0</v>
      </c>
      <c r="O25" s="14">
        <v>0</v>
      </c>
    </row>
    <row r="26" spans="1:15">
      <c r="A26">
        <v>1236387</v>
      </c>
      <c r="B26" s="92">
        <v>0</v>
      </c>
      <c r="C26" s="92">
        <v>150</v>
      </c>
      <c r="D26" s="92">
        <v>357</v>
      </c>
      <c r="E26" s="92">
        <v>71</v>
      </c>
      <c r="F26" s="92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 spans="1:15">
      <c r="A27">
        <v>1232775</v>
      </c>
      <c r="B27" s="92">
        <v>620</v>
      </c>
      <c r="C27" s="92">
        <v>282</v>
      </c>
      <c r="D27" s="92">
        <v>0</v>
      </c>
      <c r="E27" s="92">
        <v>248</v>
      </c>
      <c r="F27" s="92">
        <v>245</v>
      </c>
      <c r="G27" s="14">
        <v>0</v>
      </c>
      <c r="H27" s="14">
        <v>0</v>
      </c>
      <c r="I27" s="14">
        <v>7</v>
      </c>
      <c r="J27" s="14">
        <v>0</v>
      </c>
      <c r="K27" s="14">
        <v>165</v>
      </c>
      <c r="L27" s="14">
        <v>309</v>
      </c>
      <c r="M27" s="14">
        <v>243</v>
      </c>
      <c r="N27" s="14">
        <v>0</v>
      </c>
      <c r="O27" s="14">
        <v>0</v>
      </c>
    </row>
    <row r="28" spans="1:15">
      <c r="A28">
        <v>1238605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175</v>
      </c>
      <c r="K28" s="14">
        <v>187</v>
      </c>
      <c r="L28" s="14">
        <v>237</v>
      </c>
      <c r="M28" s="14">
        <v>187</v>
      </c>
      <c r="N28" s="14">
        <v>0</v>
      </c>
      <c r="O28" s="14">
        <v>0</v>
      </c>
    </row>
    <row r="29" spans="1:15">
      <c r="A29">
        <v>1230685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379</v>
      </c>
      <c r="J29" s="14">
        <v>71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</row>
    <row r="32" spans="1:15">
      <c r="A32" s="2" t="s">
        <v>0</v>
      </c>
      <c r="B32" s="14" t="s">
        <v>825</v>
      </c>
      <c r="C32" s="14" t="s">
        <v>826</v>
      </c>
      <c r="D32" s="14" t="s">
        <v>827</v>
      </c>
      <c r="E32" s="14" t="s">
        <v>828</v>
      </c>
      <c r="F32" s="14" t="s">
        <v>829</v>
      </c>
      <c r="G32" s="14" t="s">
        <v>830</v>
      </c>
      <c r="H32" s="14" t="s">
        <v>831</v>
      </c>
      <c r="I32" s="14" t="s">
        <v>832</v>
      </c>
      <c r="J32" s="14" t="s">
        <v>833</v>
      </c>
      <c r="K32" s="14" t="s">
        <v>834</v>
      </c>
      <c r="L32" s="14" t="s">
        <v>835</v>
      </c>
      <c r="M32" s="14" t="s">
        <v>836</v>
      </c>
      <c r="N32" s="14" t="s">
        <v>837</v>
      </c>
      <c r="O32" s="14" t="s">
        <v>838</v>
      </c>
    </row>
    <row r="33" spans="1:15">
      <c r="A33">
        <v>1230692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150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</row>
    <row r="34" spans="1:15">
      <c r="A34">
        <v>1221967</v>
      </c>
      <c r="B34" s="14">
        <v>0</v>
      </c>
      <c r="C34" s="14">
        <v>425</v>
      </c>
      <c r="D34" s="14">
        <v>389</v>
      </c>
      <c r="E34" s="16">
        <v>210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 spans="1:15">
      <c r="A35">
        <v>1229088</v>
      </c>
      <c r="B35" s="14">
        <v>0</v>
      </c>
      <c r="C35" s="14">
        <v>0</v>
      </c>
      <c r="D35" s="14">
        <v>0</v>
      </c>
      <c r="E35" s="16">
        <v>41</v>
      </c>
      <c r="F35" s="14">
        <v>587</v>
      </c>
      <c r="G35" s="14">
        <v>0</v>
      </c>
      <c r="H35" s="14">
        <v>0</v>
      </c>
      <c r="I35" s="14">
        <v>26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</row>
    <row r="36" spans="1:15">
      <c r="A36">
        <v>1225464</v>
      </c>
      <c r="B36" s="14">
        <v>0</v>
      </c>
      <c r="C36" s="14">
        <v>415</v>
      </c>
      <c r="D36" s="14">
        <v>341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 spans="1:15">
      <c r="A37">
        <v>1231797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100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</row>
    <row r="38" spans="1:15">
      <c r="A38">
        <v>1232693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650</v>
      </c>
      <c r="K38" s="14">
        <v>85</v>
      </c>
      <c r="L38" s="14">
        <v>0</v>
      </c>
      <c r="M38" s="14">
        <v>0</v>
      </c>
      <c r="N38" s="14">
        <v>0</v>
      </c>
      <c r="O38" s="14">
        <v>0</v>
      </c>
    </row>
    <row r="39" spans="1:15">
      <c r="A39">
        <v>1233025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650</v>
      </c>
      <c r="K39" s="14">
        <v>85</v>
      </c>
      <c r="L39" s="14">
        <v>0</v>
      </c>
      <c r="M39" s="14">
        <v>0</v>
      </c>
      <c r="N39" s="14">
        <v>0</v>
      </c>
      <c r="O39" s="14">
        <v>0</v>
      </c>
    </row>
    <row r="40" spans="1:15">
      <c r="A40">
        <v>1234222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500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 spans="1:15">
      <c r="A41">
        <v>1232528</v>
      </c>
      <c r="B41" s="14">
        <v>429</v>
      </c>
      <c r="C41" s="14">
        <v>673</v>
      </c>
      <c r="D41" s="14">
        <v>508</v>
      </c>
      <c r="E41" s="14">
        <v>686</v>
      </c>
      <c r="F41" s="14">
        <v>539</v>
      </c>
      <c r="G41" s="14">
        <v>0</v>
      </c>
      <c r="H41" s="14">
        <v>0</v>
      </c>
      <c r="I41" s="14">
        <v>686</v>
      </c>
      <c r="J41" s="14">
        <v>686</v>
      </c>
      <c r="K41" s="14">
        <v>839</v>
      </c>
      <c r="L41" s="14">
        <v>620</v>
      </c>
      <c r="M41" s="14">
        <v>600</v>
      </c>
      <c r="N41" s="14">
        <v>0</v>
      </c>
      <c r="O41" s="14">
        <v>0</v>
      </c>
    </row>
    <row r="42" spans="1:15">
      <c r="A42">
        <v>1232846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166</v>
      </c>
      <c r="M42" s="14">
        <v>0</v>
      </c>
      <c r="N42" s="14">
        <v>0</v>
      </c>
      <c r="O42" s="14">
        <v>0</v>
      </c>
    </row>
    <row r="43" spans="1:15">
      <c r="A43">
        <v>1231090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240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</row>
    <row r="44" spans="1:15">
      <c r="A44">
        <v>1233383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191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 spans="1:15">
      <c r="A45">
        <v>1235097</v>
      </c>
      <c r="B45" s="14">
        <v>290</v>
      </c>
      <c r="C45" s="14">
        <v>343</v>
      </c>
      <c r="D45" s="14">
        <v>37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410</v>
      </c>
      <c r="N45" s="14">
        <v>0</v>
      </c>
      <c r="O45" s="14">
        <v>0</v>
      </c>
    </row>
    <row r="46" spans="1:15">
      <c r="A46">
        <v>1235845</v>
      </c>
      <c r="B46" s="14">
        <v>622</v>
      </c>
      <c r="C46" s="14">
        <v>366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 spans="1:15">
      <c r="A47">
        <v>1236930</v>
      </c>
      <c r="B47" s="14">
        <v>0</v>
      </c>
      <c r="C47" s="14">
        <v>339</v>
      </c>
      <c r="D47" s="14">
        <v>251</v>
      </c>
      <c r="E47" s="14">
        <v>339</v>
      </c>
      <c r="F47" s="16">
        <v>263</v>
      </c>
      <c r="G47" s="14">
        <v>0</v>
      </c>
      <c r="H47" s="14">
        <v>0</v>
      </c>
      <c r="I47" s="14">
        <v>397</v>
      </c>
      <c r="J47" s="14">
        <v>250</v>
      </c>
      <c r="K47" s="14">
        <v>150</v>
      </c>
      <c r="L47" s="14">
        <v>0</v>
      </c>
      <c r="M47" s="14">
        <v>150</v>
      </c>
      <c r="N47" s="14">
        <v>0</v>
      </c>
      <c r="O47" s="14">
        <v>0</v>
      </c>
    </row>
    <row r="48" spans="1:15">
      <c r="A48">
        <v>1232982</v>
      </c>
      <c r="B48" s="14">
        <v>187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 spans="1:15">
      <c r="A49">
        <v>1237468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64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</row>
    <row r="50" spans="1:15">
      <c r="A50">
        <v>1234905</v>
      </c>
      <c r="B50" s="14">
        <v>374</v>
      </c>
      <c r="C50" s="14">
        <v>0</v>
      </c>
      <c r="D50" s="14">
        <v>0</v>
      </c>
      <c r="E50" s="14">
        <v>404</v>
      </c>
      <c r="F50" s="14">
        <v>377</v>
      </c>
      <c r="G50" s="14">
        <v>0</v>
      </c>
      <c r="H50" s="14">
        <v>0</v>
      </c>
      <c r="I50" s="14">
        <v>570</v>
      </c>
      <c r="J50" s="14">
        <v>192</v>
      </c>
      <c r="K50" s="14">
        <v>300</v>
      </c>
      <c r="L50" s="14">
        <v>250</v>
      </c>
      <c r="M50" s="14">
        <v>0</v>
      </c>
      <c r="N50" s="14">
        <v>0</v>
      </c>
      <c r="O50" s="14">
        <v>0</v>
      </c>
    </row>
    <row r="51" spans="1:15">
      <c r="A51">
        <v>1238480</v>
      </c>
      <c r="B51" s="159">
        <v>911</v>
      </c>
      <c r="C51" s="159">
        <v>1036</v>
      </c>
      <c r="D51" s="159">
        <v>969</v>
      </c>
      <c r="E51" s="160">
        <v>1308</v>
      </c>
      <c r="F51" s="159">
        <v>1129</v>
      </c>
      <c r="G51" s="159">
        <v>0</v>
      </c>
      <c r="H51" s="159">
        <v>0</v>
      </c>
      <c r="I51" s="159">
        <v>1310</v>
      </c>
      <c r="J51" s="159">
        <v>1362</v>
      </c>
      <c r="K51" s="159">
        <v>1584</v>
      </c>
      <c r="L51" s="159">
        <v>1294</v>
      </c>
      <c r="M51" s="159">
        <v>1328</v>
      </c>
      <c r="N51" s="159">
        <v>0</v>
      </c>
      <c r="O51" s="159">
        <v>0</v>
      </c>
    </row>
    <row r="52" spans="1:15">
      <c r="A52">
        <v>1238453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40</v>
      </c>
      <c r="N52" s="14">
        <v>0</v>
      </c>
      <c r="O52" s="14">
        <v>0</v>
      </c>
    </row>
    <row r="53" spans="1:15">
      <c r="A53">
        <v>1232775</v>
      </c>
      <c r="B53" s="14">
        <v>0</v>
      </c>
      <c r="C53" s="14">
        <v>0</v>
      </c>
      <c r="D53" s="14">
        <v>208</v>
      </c>
      <c r="E53" s="16">
        <v>78</v>
      </c>
      <c r="F53" s="14">
        <v>0</v>
      </c>
      <c r="G53" s="14">
        <v>0</v>
      </c>
      <c r="H53" s="14">
        <v>0</v>
      </c>
      <c r="I53" s="14">
        <v>0</v>
      </c>
      <c r="J53" s="14">
        <v>118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</row>
    <row r="54" spans="1:15">
      <c r="A54">
        <v>1240180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200</v>
      </c>
      <c r="N54" s="14">
        <v>0</v>
      </c>
      <c r="O54" s="14">
        <v>0</v>
      </c>
    </row>
    <row r="55" spans="1:15">
      <c r="A55">
        <v>1240184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200</v>
      </c>
      <c r="N55" s="14">
        <v>0</v>
      </c>
      <c r="O55" s="14">
        <v>0</v>
      </c>
    </row>
    <row r="56" spans="1:15">
      <c r="A56">
        <v>1232895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166</v>
      </c>
      <c r="M56" s="14">
        <v>0</v>
      </c>
      <c r="N56" s="14">
        <v>0</v>
      </c>
      <c r="O56" s="14">
        <v>0</v>
      </c>
    </row>
    <row r="57" spans="1:15">
      <c r="A57">
        <v>1232922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166</v>
      </c>
      <c r="M57" s="14">
        <v>0</v>
      </c>
      <c r="N57" s="14">
        <v>0</v>
      </c>
      <c r="O57" s="14">
        <v>0</v>
      </c>
    </row>
  </sheetData>
  <autoFilter ref="A1:O20" xr:uid="{D79DDC41-ABCE-40E2-A639-FB6FEDB7541D}"/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30AE-AA3F-4EAD-BF0A-F31BE5C79E25}">
  <dimension ref="A1:U64"/>
  <sheetViews>
    <sheetView topLeftCell="F27" zoomScale="160" zoomScaleNormal="160" workbookViewId="0">
      <selection activeCell="A47" sqref="A47:XFD47"/>
    </sheetView>
  </sheetViews>
  <sheetFormatPr defaultRowHeight="12"/>
  <cols>
    <col min="1" max="1" width="10.1640625" style="5" bestFit="1" customWidth="1"/>
    <col min="2" max="2" width="9.5" style="9" bestFit="1" customWidth="1"/>
    <col min="3" max="21" width="9.33203125" style="9" customWidth="1"/>
  </cols>
  <sheetData>
    <row r="1" spans="1:21">
      <c r="A1" s="74" t="s">
        <v>0</v>
      </c>
      <c r="B1" s="69" t="s">
        <v>790</v>
      </c>
      <c r="C1" s="69" t="s">
        <v>791</v>
      </c>
      <c r="D1" s="69" t="s">
        <v>792</v>
      </c>
      <c r="E1" s="69" t="s">
        <v>793</v>
      </c>
      <c r="F1" s="69" t="s">
        <v>794</v>
      </c>
      <c r="G1" s="70" t="s">
        <v>795</v>
      </c>
      <c r="H1" s="69" t="s">
        <v>816</v>
      </c>
      <c r="I1" s="69" t="s">
        <v>817</v>
      </c>
      <c r="J1" s="69" t="s">
        <v>818</v>
      </c>
      <c r="K1" s="69" t="s">
        <v>819</v>
      </c>
      <c r="L1" s="69" t="s">
        <v>820</v>
      </c>
      <c r="M1" s="69" t="s">
        <v>821</v>
      </c>
      <c r="N1" s="70" t="s">
        <v>822</v>
      </c>
      <c r="O1" s="69" t="s">
        <v>839</v>
      </c>
      <c r="P1" s="69" t="s">
        <v>840</v>
      </c>
      <c r="Q1" s="69" t="s">
        <v>841</v>
      </c>
      <c r="R1" s="69" t="s">
        <v>842</v>
      </c>
      <c r="S1" s="69" t="s">
        <v>843</v>
      </c>
      <c r="T1" s="69" t="s">
        <v>844</v>
      </c>
      <c r="U1" s="70" t="s">
        <v>845</v>
      </c>
    </row>
    <row r="2" spans="1:21">
      <c r="A2" s="30">
        <v>1226384</v>
      </c>
      <c r="B2" s="32">
        <v>401</v>
      </c>
      <c r="C2" s="32">
        <v>400</v>
      </c>
      <c r="D2" s="32">
        <v>260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  <c r="T2" s="32">
        <v>0</v>
      </c>
      <c r="U2" s="32">
        <v>0</v>
      </c>
    </row>
    <row r="3" spans="1:21">
      <c r="A3" s="30">
        <v>1226388</v>
      </c>
      <c r="B3" s="32">
        <v>401</v>
      </c>
      <c r="C3" s="32">
        <v>400</v>
      </c>
      <c r="D3" s="32">
        <v>260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</row>
    <row r="4" spans="1:21">
      <c r="A4" s="30">
        <v>1227431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96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</row>
    <row r="5" spans="1:21">
      <c r="A5" s="30">
        <v>1227433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96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</row>
    <row r="6" spans="1:21">
      <c r="A6" s="30">
        <v>1229673</v>
      </c>
      <c r="B6" s="32">
        <v>250</v>
      </c>
      <c r="C6" s="32">
        <v>250</v>
      </c>
      <c r="D6" s="32">
        <v>250</v>
      </c>
      <c r="E6" s="32">
        <v>0</v>
      </c>
      <c r="F6" s="32">
        <v>0</v>
      </c>
      <c r="G6" s="32">
        <v>0</v>
      </c>
      <c r="H6" s="32">
        <v>300</v>
      </c>
      <c r="I6" s="32">
        <v>300</v>
      </c>
      <c r="J6" s="32">
        <v>300</v>
      </c>
      <c r="K6" s="32">
        <v>300</v>
      </c>
      <c r="L6" s="32">
        <v>300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</row>
    <row r="7" spans="1:21">
      <c r="A7" s="30">
        <v>1235623</v>
      </c>
      <c r="B7" s="32">
        <v>394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</row>
    <row r="8" spans="1:21">
      <c r="A8" s="30">
        <v>1237088</v>
      </c>
      <c r="B8" s="32">
        <v>634</v>
      </c>
      <c r="C8" s="32">
        <v>380</v>
      </c>
      <c r="D8" s="32">
        <v>224</v>
      </c>
      <c r="E8" s="109">
        <v>440</v>
      </c>
      <c r="F8" s="32">
        <v>0</v>
      </c>
      <c r="G8" s="32">
        <v>0</v>
      </c>
      <c r="H8" s="32">
        <v>488</v>
      </c>
      <c r="I8" s="32">
        <v>1286</v>
      </c>
      <c r="J8" s="32">
        <v>854</v>
      </c>
      <c r="K8" s="32">
        <v>348</v>
      </c>
      <c r="L8" s="32">
        <v>292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1698</v>
      </c>
      <c r="S8" s="32">
        <v>914</v>
      </c>
      <c r="T8" s="32">
        <v>0</v>
      </c>
      <c r="U8" s="32">
        <v>0</v>
      </c>
    </row>
    <row r="9" spans="1:21">
      <c r="A9" s="30">
        <v>1237748</v>
      </c>
      <c r="B9" s="32">
        <v>458</v>
      </c>
      <c r="C9" s="32">
        <v>422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</row>
    <row r="10" spans="1:21">
      <c r="A10" s="30">
        <v>1236091</v>
      </c>
      <c r="B10" s="32">
        <v>0</v>
      </c>
      <c r="C10" s="32">
        <v>0</v>
      </c>
      <c r="D10" s="32">
        <v>0</v>
      </c>
      <c r="E10" s="17">
        <v>200</v>
      </c>
      <c r="F10" s="32">
        <v>0</v>
      </c>
      <c r="G10" s="32">
        <v>0</v>
      </c>
      <c r="H10" s="32">
        <v>0</v>
      </c>
      <c r="I10" s="32">
        <v>0</v>
      </c>
      <c r="J10" s="32">
        <v>150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</row>
    <row r="11" spans="1:21">
      <c r="A11" s="30">
        <v>1238128</v>
      </c>
      <c r="B11" s="32">
        <v>590</v>
      </c>
      <c r="C11" s="32">
        <v>342</v>
      </c>
      <c r="D11" s="32">
        <v>590</v>
      </c>
      <c r="E11" s="17">
        <v>464</v>
      </c>
      <c r="F11" s="32">
        <v>0</v>
      </c>
      <c r="G11" s="32">
        <v>0</v>
      </c>
      <c r="H11" s="32">
        <v>480</v>
      </c>
      <c r="I11" s="32">
        <v>480</v>
      </c>
      <c r="J11" s="32">
        <v>56</v>
      </c>
      <c r="K11" s="32">
        <v>172</v>
      </c>
      <c r="L11" s="32">
        <v>378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480</v>
      </c>
      <c r="S11" s="32">
        <v>378</v>
      </c>
      <c r="T11" s="32">
        <v>0</v>
      </c>
      <c r="U11" s="32">
        <v>0</v>
      </c>
    </row>
    <row r="12" spans="1:21">
      <c r="A12" s="30">
        <v>1236962</v>
      </c>
      <c r="B12" s="32">
        <v>300</v>
      </c>
      <c r="C12" s="32">
        <v>300</v>
      </c>
      <c r="D12" s="32">
        <v>132</v>
      </c>
      <c r="E12" s="32">
        <v>0</v>
      </c>
      <c r="F12" s="32">
        <v>0</v>
      </c>
      <c r="G12" s="32">
        <v>0</v>
      </c>
      <c r="H12" s="32">
        <v>300</v>
      </c>
      <c r="I12" s="32">
        <v>0</v>
      </c>
      <c r="J12" s="32">
        <v>300</v>
      </c>
      <c r="K12" s="32">
        <v>500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</row>
    <row r="13" spans="1:21">
      <c r="A13" s="30">
        <v>1233761</v>
      </c>
      <c r="B13" s="32">
        <v>0</v>
      </c>
      <c r="C13" s="32">
        <v>0</v>
      </c>
      <c r="D13" s="32">
        <v>200</v>
      </c>
      <c r="E13" s="17">
        <v>192</v>
      </c>
      <c r="F13" s="32">
        <v>0</v>
      </c>
      <c r="G13" s="32">
        <v>0</v>
      </c>
      <c r="H13" s="32">
        <v>0</v>
      </c>
      <c r="I13" s="32">
        <v>350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</row>
    <row r="14" spans="1:21">
      <c r="A14" s="30">
        <v>1239651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600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</row>
    <row r="15" spans="1:21">
      <c r="A15" s="30">
        <v>1239988</v>
      </c>
      <c r="B15" s="32">
        <v>454</v>
      </c>
      <c r="C15" s="32">
        <v>148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168</v>
      </c>
      <c r="K15" s="32">
        <v>454</v>
      </c>
      <c r="L15" s="32">
        <v>356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454</v>
      </c>
      <c r="S15" s="32">
        <v>196</v>
      </c>
      <c r="T15" s="32">
        <v>0</v>
      </c>
      <c r="U15" s="32">
        <v>0</v>
      </c>
    </row>
    <row r="16" spans="1:21">
      <c r="A16" s="30">
        <v>1240180</v>
      </c>
      <c r="B16" s="32">
        <v>358</v>
      </c>
      <c r="C16" s="32">
        <v>456</v>
      </c>
      <c r="D16" s="32">
        <v>344</v>
      </c>
      <c r="E16" s="17">
        <v>280</v>
      </c>
      <c r="F16" s="32">
        <v>0</v>
      </c>
      <c r="G16" s="32">
        <v>0</v>
      </c>
      <c r="H16" s="32">
        <v>358</v>
      </c>
      <c r="I16" s="32">
        <v>358</v>
      </c>
      <c r="J16" s="32">
        <v>142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112</v>
      </c>
      <c r="T16" s="32">
        <v>0</v>
      </c>
      <c r="U16" s="32">
        <v>0</v>
      </c>
    </row>
    <row r="17" spans="1:21">
      <c r="A17" s="30">
        <v>1240184</v>
      </c>
      <c r="B17" s="32">
        <v>358</v>
      </c>
      <c r="C17" s="32">
        <v>456</v>
      </c>
      <c r="D17" s="32">
        <v>344</v>
      </c>
      <c r="E17" s="17">
        <v>280</v>
      </c>
      <c r="F17" s="32">
        <v>0</v>
      </c>
      <c r="G17" s="32">
        <v>0</v>
      </c>
      <c r="H17" s="32">
        <v>358</v>
      </c>
      <c r="I17" s="32">
        <v>358</v>
      </c>
      <c r="J17" s="32">
        <v>142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112</v>
      </c>
      <c r="T17" s="32">
        <v>0</v>
      </c>
      <c r="U17" s="32">
        <v>0</v>
      </c>
    </row>
    <row r="18" spans="1:21">
      <c r="A18" s="30">
        <v>1240308</v>
      </c>
      <c r="B18" s="32">
        <v>0</v>
      </c>
      <c r="C18" s="32">
        <v>350</v>
      </c>
      <c r="D18" s="32">
        <v>350</v>
      </c>
      <c r="E18" s="17">
        <v>350</v>
      </c>
      <c r="F18" s="32">
        <v>0</v>
      </c>
      <c r="G18" s="32">
        <v>0</v>
      </c>
      <c r="H18" s="32">
        <v>300</v>
      </c>
      <c r="I18" s="32">
        <v>0</v>
      </c>
      <c r="J18" s="32">
        <v>0</v>
      </c>
      <c r="K18" s="32">
        <v>0</v>
      </c>
      <c r="L18" s="32">
        <v>730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300</v>
      </c>
      <c r="T18" s="32">
        <v>0</v>
      </c>
      <c r="U18" s="32">
        <v>0</v>
      </c>
    </row>
    <row r="19" spans="1:21">
      <c r="A19" s="30">
        <v>1241601</v>
      </c>
      <c r="B19" s="32">
        <v>0</v>
      </c>
      <c r="C19" s="32">
        <v>200</v>
      </c>
      <c r="D19" s="32">
        <v>1020</v>
      </c>
      <c r="E19" s="17">
        <v>768</v>
      </c>
      <c r="F19" s="32">
        <v>0</v>
      </c>
      <c r="G19" s="32">
        <v>0</v>
      </c>
      <c r="H19" s="32">
        <v>700</v>
      </c>
      <c r="I19" s="32">
        <v>1460</v>
      </c>
      <c r="J19" s="32">
        <v>1148</v>
      </c>
      <c r="K19" s="32">
        <v>1460</v>
      </c>
      <c r="L19" s="32">
        <v>624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920</v>
      </c>
      <c r="S19" s="32">
        <v>960</v>
      </c>
      <c r="T19" s="32">
        <v>0</v>
      </c>
      <c r="U19" s="32">
        <v>0</v>
      </c>
    </row>
    <row r="22" spans="1:21">
      <c r="A22" s="5" t="s">
        <v>0</v>
      </c>
      <c r="B22" s="9" t="s">
        <v>790</v>
      </c>
      <c r="C22" s="9" t="s">
        <v>791</v>
      </c>
      <c r="D22" s="9" t="s">
        <v>792</v>
      </c>
      <c r="E22" s="9" t="s">
        <v>793</v>
      </c>
      <c r="F22" s="9" t="s">
        <v>794</v>
      </c>
      <c r="G22" s="9" t="s">
        <v>795</v>
      </c>
      <c r="H22" s="9" t="s">
        <v>816</v>
      </c>
      <c r="I22" s="9" t="s">
        <v>817</v>
      </c>
      <c r="J22" s="9" t="s">
        <v>818</v>
      </c>
      <c r="K22" s="9" t="s">
        <v>819</v>
      </c>
      <c r="L22" s="9" t="s">
        <v>820</v>
      </c>
      <c r="M22" s="9" t="s">
        <v>821</v>
      </c>
      <c r="N22" s="9" t="s">
        <v>822</v>
      </c>
      <c r="O22" s="9" t="s">
        <v>839</v>
      </c>
      <c r="P22" s="9" t="s">
        <v>840</v>
      </c>
      <c r="Q22" s="9" t="s">
        <v>841</v>
      </c>
      <c r="R22" s="9" t="s">
        <v>842</v>
      </c>
      <c r="S22" s="9" t="s">
        <v>843</v>
      </c>
      <c r="T22" s="9" t="s">
        <v>844</v>
      </c>
      <c r="U22" s="9" t="s">
        <v>845</v>
      </c>
    </row>
    <row r="23" spans="1:21">
      <c r="A23" s="5">
        <v>1232846</v>
      </c>
      <c r="B23" s="9">
        <v>0</v>
      </c>
      <c r="C23" s="9">
        <v>0</v>
      </c>
      <c r="D23" s="9">
        <v>0</v>
      </c>
      <c r="E23" s="9">
        <v>304</v>
      </c>
      <c r="F23" s="9">
        <v>0</v>
      </c>
      <c r="G23" s="9">
        <v>0</v>
      </c>
      <c r="H23" s="9">
        <v>448</v>
      </c>
      <c r="I23" s="9">
        <v>448</v>
      </c>
      <c r="J23" s="9">
        <v>94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</row>
    <row r="24" spans="1:21">
      <c r="A24" s="5">
        <v>1232895</v>
      </c>
      <c r="B24" s="9">
        <v>0</v>
      </c>
      <c r="C24" s="9">
        <v>0</v>
      </c>
      <c r="D24" s="9">
        <v>0</v>
      </c>
      <c r="E24" s="9">
        <v>304</v>
      </c>
      <c r="F24" s="9">
        <v>0</v>
      </c>
      <c r="G24" s="9">
        <v>0</v>
      </c>
      <c r="H24" s="9">
        <v>448</v>
      </c>
      <c r="I24" s="9">
        <v>448</v>
      </c>
      <c r="J24" s="9">
        <v>94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</row>
    <row r="25" spans="1:21">
      <c r="A25" s="5">
        <v>1233384</v>
      </c>
      <c r="B25" s="9">
        <v>0</v>
      </c>
      <c r="C25" s="9">
        <v>0</v>
      </c>
      <c r="D25" s="9">
        <v>0</v>
      </c>
      <c r="E25" s="9">
        <v>304</v>
      </c>
      <c r="F25" s="9">
        <v>0</v>
      </c>
      <c r="G25" s="9">
        <v>0</v>
      </c>
      <c r="H25" s="9">
        <v>448</v>
      </c>
      <c r="I25" s="9">
        <v>448</v>
      </c>
      <c r="J25" s="9">
        <v>94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</row>
    <row r="26" spans="1:21">
      <c r="A26" s="5">
        <v>1236387</v>
      </c>
      <c r="B26" s="9">
        <v>150</v>
      </c>
      <c r="C26" s="9">
        <v>357</v>
      </c>
      <c r="D26" s="9">
        <v>71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>
      <c r="A27" s="5">
        <v>1232775</v>
      </c>
      <c r="B27" s="9">
        <v>282</v>
      </c>
      <c r="C27" s="9">
        <v>0</v>
      </c>
      <c r="D27" s="9">
        <v>248</v>
      </c>
      <c r="E27" s="9">
        <v>245</v>
      </c>
      <c r="F27" s="9">
        <v>0</v>
      </c>
      <c r="G27" s="9">
        <v>0</v>
      </c>
      <c r="H27" s="9">
        <v>7</v>
      </c>
      <c r="I27" s="9">
        <v>0</v>
      </c>
      <c r="J27" s="9">
        <v>165</v>
      </c>
      <c r="K27" s="9">
        <v>311</v>
      </c>
      <c r="L27" s="9">
        <v>229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283</v>
      </c>
      <c r="S27" s="9">
        <v>245</v>
      </c>
      <c r="T27" s="9">
        <v>0</v>
      </c>
      <c r="U27" s="9">
        <v>0</v>
      </c>
    </row>
    <row r="28" spans="1:21">
      <c r="A28" s="5">
        <v>1238605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175</v>
      </c>
      <c r="J28" s="9">
        <v>187</v>
      </c>
      <c r="K28" s="9">
        <v>237</v>
      </c>
      <c r="L28" s="9">
        <v>176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203</v>
      </c>
      <c r="S28" s="9">
        <v>0</v>
      </c>
      <c r="T28" s="9">
        <v>0</v>
      </c>
      <c r="U28" s="9">
        <v>0</v>
      </c>
    </row>
    <row r="29" spans="1:21">
      <c r="A29" s="5">
        <v>1230685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379</v>
      </c>
      <c r="I29" s="9">
        <v>71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3" spans="1:21">
      <c r="A33" s="5" t="s">
        <v>0</v>
      </c>
      <c r="B33" s="9" t="s">
        <v>790</v>
      </c>
      <c r="C33" s="9" t="s">
        <v>791</v>
      </c>
      <c r="D33" s="9" t="s">
        <v>792</v>
      </c>
      <c r="E33" s="9" t="s">
        <v>793</v>
      </c>
      <c r="F33" s="9" t="s">
        <v>794</v>
      </c>
      <c r="G33" s="9" t="s">
        <v>795</v>
      </c>
      <c r="H33" s="9" t="s">
        <v>816</v>
      </c>
      <c r="I33" s="9" t="s">
        <v>817</v>
      </c>
      <c r="J33" s="9" t="s">
        <v>818</v>
      </c>
      <c r="K33" s="9" t="s">
        <v>819</v>
      </c>
      <c r="L33" s="9" t="s">
        <v>820</v>
      </c>
      <c r="M33" s="9" t="s">
        <v>821</v>
      </c>
      <c r="N33" s="9" t="s">
        <v>822</v>
      </c>
      <c r="O33" s="9" t="s">
        <v>839</v>
      </c>
      <c r="P33" s="9" t="s">
        <v>840</v>
      </c>
      <c r="Q33" s="9" t="s">
        <v>841</v>
      </c>
      <c r="R33" s="9" t="s">
        <v>842</v>
      </c>
      <c r="S33" s="9" t="s">
        <v>843</v>
      </c>
      <c r="T33" s="9" t="s">
        <v>844</v>
      </c>
      <c r="U33" s="9" t="s">
        <v>845</v>
      </c>
    </row>
    <row r="34" spans="1:21">
      <c r="A34" s="5">
        <v>1230692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150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</row>
    <row r="35" spans="1:21">
      <c r="A35" s="5">
        <v>1221967</v>
      </c>
      <c r="B35" s="9">
        <v>425</v>
      </c>
      <c r="C35" s="9">
        <v>389</v>
      </c>
      <c r="D35" s="9">
        <v>210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 ht="12.75" customHeight="1">
      <c r="A36" s="5">
        <v>1227359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304</v>
      </c>
      <c r="S36" s="9">
        <v>0</v>
      </c>
      <c r="T36" s="9">
        <v>0</v>
      </c>
      <c r="U36" s="9">
        <v>0</v>
      </c>
    </row>
    <row r="37" spans="1:21">
      <c r="A37" s="5">
        <v>1229088</v>
      </c>
      <c r="B37" s="9">
        <v>0</v>
      </c>
      <c r="C37" s="9">
        <v>0</v>
      </c>
      <c r="D37" s="9">
        <v>41</v>
      </c>
      <c r="E37" s="18">
        <v>587</v>
      </c>
      <c r="F37" s="9">
        <v>0</v>
      </c>
      <c r="G37" s="9">
        <v>0</v>
      </c>
      <c r="H37" s="9">
        <v>26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38" spans="1:21">
      <c r="A38" s="5">
        <v>1225464</v>
      </c>
      <c r="B38" s="9">
        <v>415</v>
      </c>
      <c r="C38" s="9">
        <v>341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39" spans="1:21">
      <c r="A39" s="5">
        <v>1231797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100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</row>
    <row r="40" spans="1:21">
      <c r="A40" s="5">
        <v>1232693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650</v>
      </c>
      <c r="J40" s="9">
        <v>85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>
      <c r="A41" s="5">
        <v>1233025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650</v>
      </c>
      <c r="J41" s="9">
        <v>85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</row>
    <row r="42" spans="1:21">
      <c r="A42" s="5">
        <v>1234222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100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400</v>
      </c>
      <c r="T42" s="9">
        <v>0</v>
      </c>
      <c r="U42" s="9">
        <v>0</v>
      </c>
    </row>
    <row r="43" spans="1:21" s="27" customFormat="1">
      <c r="A43" s="104">
        <v>1232528</v>
      </c>
      <c r="B43" s="98">
        <v>673</v>
      </c>
      <c r="C43" s="98">
        <v>508</v>
      </c>
      <c r="D43" s="98">
        <v>686</v>
      </c>
      <c r="E43" s="98">
        <v>539</v>
      </c>
      <c r="F43" s="98">
        <v>0</v>
      </c>
      <c r="G43" s="98">
        <v>0</v>
      </c>
      <c r="H43" s="98">
        <v>686</v>
      </c>
      <c r="I43" s="98">
        <v>686</v>
      </c>
      <c r="J43" s="98">
        <v>539</v>
      </c>
      <c r="K43" s="98">
        <v>420</v>
      </c>
      <c r="L43" s="98">
        <v>600</v>
      </c>
      <c r="M43" s="98">
        <v>0</v>
      </c>
      <c r="N43" s="98">
        <v>0</v>
      </c>
      <c r="O43" s="98">
        <v>0</v>
      </c>
      <c r="P43" s="98">
        <v>0</v>
      </c>
      <c r="Q43" s="98">
        <v>0</v>
      </c>
      <c r="R43" s="98">
        <v>0</v>
      </c>
      <c r="S43" s="98">
        <v>4052</v>
      </c>
      <c r="T43" s="98">
        <v>0</v>
      </c>
      <c r="U43" s="98">
        <v>0</v>
      </c>
    </row>
    <row r="44" spans="1:21">
      <c r="A44" s="5">
        <v>1232846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166</v>
      </c>
      <c r="L44" s="9">
        <v>576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5">
        <v>1231090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240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810</v>
      </c>
      <c r="T45" s="9">
        <v>0</v>
      </c>
      <c r="U45" s="9">
        <v>0</v>
      </c>
    </row>
    <row r="46" spans="1:21">
      <c r="A46" s="5">
        <v>1233383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191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>
      <c r="A47" s="5">
        <v>1220847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3150</v>
      </c>
      <c r="T47" s="9">
        <v>0</v>
      </c>
      <c r="U47" s="9">
        <v>0</v>
      </c>
    </row>
    <row r="48" spans="1:21">
      <c r="A48" s="5">
        <v>1235097</v>
      </c>
      <c r="B48" s="9">
        <v>343</v>
      </c>
      <c r="C48" s="9">
        <v>37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410</v>
      </c>
      <c r="T48" s="9">
        <v>0</v>
      </c>
      <c r="U48" s="9">
        <v>0</v>
      </c>
    </row>
    <row r="49" spans="1:21">
      <c r="A49" s="5">
        <v>1235845</v>
      </c>
      <c r="B49" s="9">
        <v>366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>
      <c r="A50" s="5">
        <v>1236600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765</v>
      </c>
      <c r="S50" s="9">
        <v>0</v>
      </c>
      <c r="T50" s="9">
        <v>0</v>
      </c>
      <c r="U50" s="9">
        <v>0</v>
      </c>
    </row>
    <row r="51" spans="1:21">
      <c r="A51" s="5">
        <v>1236601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123</v>
      </c>
      <c r="S51" s="9">
        <v>0</v>
      </c>
      <c r="T51" s="9">
        <v>0</v>
      </c>
      <c r="U51" s="9">
        <v>0</v>
      </c>
    </row>
    <row r="52" spans="1:21">
      <c r="A52" s="5">
        <v>1236930</v>
      </c>
      <c r="B52" s="9">
        <v>339</v>
      </c>
      <c r="C52" s="9">
        <v>251</v>
      </c>
      <c r="D52" s="9">
        <v>339</v>
      </c>
      <c r="E52" s="9">
        <v>263</v>
      </c>
      <c r="F52" s="9">
        <v>0</v>
      </c>
      <c r="G52" s="9">
        <v>0</v>
      </c>
      <c r="H52" s="161">
        <v>397</v>
      </c>
      <c r="I52" s="9">
        <v>250</v>
      </c>
      <c r="J52" s="9">
        <v>150</v>
      </c>
      <c r="K52" s="9">
        <v>150</v>
      </c>
      <c r="L52" s="9">
        <v>300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350</v>
      </c>
      <c r="S52" s="9">
        <v>770</v>
      </c>
      <c r="T52" s="9">
        <v>0</v>
      </c>
      <c r="U52" s="9">
        <v>0</v>
      </c>
    </row>
    <row r="53" spans="1:21">
      <c r="A53" s="5">
        <v>1237468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64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5">
        <v>1237210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375</v>
      </c>
      <c r="T54" s="9">
        <v>0</v>
      </c>
      <c r="U54" s="9">
        <v>0</v>
      </c>
    </row>
    <row r="55" spans="1:21">
      <c r="A55" s="5">
        <v>1232775</v>
      </c>
      <c r="B55" s="9">
        <v>0</v>
      </c>
      <c r="C55" s="9">
        <v>208</v>
      </c>
      <c r="D55" s="9">
        <v>78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118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500</v>
      </c>
      <c r="S55" s="9">
        <v>600</v>
      </c>
      <c r="T55" s="9">
        <v>0</v>
      </c>
      <c r="U55" s="9">
        <v>0</v>
      </c>
    </row>
    <row r="56" spans="1:21" s="27" customFormat="1">
      <c r="A56" s="104">
        <v>1234905</v>
      </c>
      <c r="B56" s="98">
        <v>0</v>
      </c>
      <c r="C56" s="98">
        <v>0</v>
      </c>
      <c r="D56" s="98">
        <v>404</v>
      </c>
      <c r="E56" s="98">
        <v>377</v>
      </c>
      <c r="F56" s="98">
        <v>0</v>
      </c>
      <c r="G56" s="98">
        <v>0</v>
      </c>
      <c r="H56" s="98">
        <v>540</v>
      </c>
      <c r="I56" s="98">
        <v>390</v>
      </c>
      <c r="J56" s="98">
        <v>312</v>
      </c>
      <c r="K56" s="98">
        <v>70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</row>
    <row r="57" spans="1:21">
      <c r="A57" s="5">
        <v>1238480</v>
      </c>
      <c r="B57" s="9">
        <v>1036</v>
      </c>
      <c r="C57" s="9">
        <v>969</v>
      </c>
      <c r="D57" s="9">
        <v>1308</v>
      </c>
      <c r="E57" s="18">
        <v>1129</v>
      </c>
      <c r="F57" s="9">
        <v>0</v>
      </c>
      <c r="G57" s="9">
        <v>0</v>
      </c>
      <c r="H57" s="9">
        <v>1310</v>
      </c>
      <c r="I57" s="9">
        <v>1224</v>
      </c>
      <c r="J57" s="9">
        <v>1318</v>
      </c>
      <c r="K57" s="9">
        <v>1791</v>
      </c>
      <c r="L57" s="9">
        <v>1428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1423</v>
      </c>
      <c r="S57" s="9">
        <v>2425</v>
      </c>
      <c r="T57" s="9">
        <v>0</v>
      </c>
      <c r="U57" s="9">
        <v>0</v>
      </c>
    </row>
    <row r="58" spans="1:21">
      <c r="A58" s="58">
        <v>1238453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40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5">
        <v>1240180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200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>
      <c r="A60" s="5">
        <v>1240184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200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>
      <c r="A61" s="5">
        <v>1232894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576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5">
        <v>1233387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576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5">
        <v>1232895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166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5">
        <v>1232922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166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</sheetData>
  <autoFilter ref="A1:U19" xr:uid="{520830AE-AA3F-4EAD-BF0A-F31BE5C79E25}"/>
  <phoneticPr fontId="1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2A68-F81B-492D-A04F-38E96A25DB74}">
  <dimension ref="A1:V59"/>
  <sheetViews>
    <sheetView topLeftCell="A14" zoomScale="145" zoomScaleNormal="145" workbookViewId="0">
      <selection activeCell="I25" sqref="I25"/>
    </sheetView>
  </sheetViews>
  <sheetFormatPr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5" style="9" bestFit="1" customWidth="1"/>
    <col min="21" max="22" width="9.33203125" style="5"/>
  </cols>
  <sheetData>
    <row r="1" spans="1:20">
      <c r="A1" s="74" t="s">
        <v>846</v>
      </c>
      <c r="B1" s="69" t="s">
        <v>791</v>
      </c>
      <c r="C1" s="69" t="s">
        <v>792</v>
      </c>
      <c r="D1" s="69" t="s">
        <v>793</v>
      </c>
      <c r="E1" s="69" t="s">
        <v>794</v>
      </c>
      <c r="F1" s="70" t="s">
        <v>795</v>
      </c>
      <c r="G1" s="69" t="s">
        <v>816</v>
      </c>
      <c r="H1" s="69" t="s">
        <v>817</v>
      </c>
      <c r="I1" s="69" t="s">
        <v>818</v>
      </c>
      <c r="J1" s="69" t="s">
        <v>819</v>
      </c>
      <c r="K1" s="69" t="s">
        <v>820</v>
      </c>
      <c r="L1" s="69" t="s">
        <v>821</v>
      </c>
      <c r="M1" s="70" t="s">
        <v>822</v>
      </c>
      <c r="N1" s="69" t="s">
        <v>839</v>
      </c>
      <c r="O1" s="69" t="s">
        <v>840</v>
      </c>
      <c r="P1" s="69" t="s">
        <v>841</v>
      </c>
      <c r="Q1" s="69" t="s">
        <v>842</v>
      </c>
      <c r="R1" s="69" t="s">
        <v>843</v>
      </c>
      <c r="S1" s="69" t="s">
        <v>844</v>
      </c>
      <c r="T1" s="70" t="s">
        <v>845</v>
      </c>
    </row>
    <row r="2" spans="1:20">
      <c r="A2" s="30">
        <v>1226384</v>
      </c>
      <c r="B2" s="32">
        <v>400</v>
      </c>
      <c r="C2" s="32">
        <v>260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  <c r="T2" s="32">
        <v>0</v>
      </c>
    </row>
    <row r="3" spans="1:20">
      <c r="A3" s="30">
        <v>1226388</v>
      </c>
      <c r="B3" s="32">
        <v>400</v>
      </c>
      <c r="C3" s="32">
        <v>260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</row>
    <row r="4" spans="1:20">
      <c r="A4" s="30">
        <v>1227431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96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</row>
    <row r="5" spans="1:20">
      <c r="A5" s="30">
        <v>1227433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96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</row>
    <row r="6" spans="1:20">
      <c r="A6" s="30">
        <v>1229673</v>
      </c>
      <c r="B6" s="32">
        <v>250</v>
      </c>
      <c r="C6" s="32">
        <v>250</v>
      </c>
      <c r="D6" s="32">
        <v>0</v>
      </c>
      <c r="E6" s="32">
        <v>0</v>
      </c>
      <c r="F6" s="32">
        <v>0</v>
      </c>
      <c r="G6" s="17">
        <v>300</v>
      </c>
      <c r="H6" s="32">
        <v>300</v>
      </c>
      <c r="I6" s="32">
        <v>300</v>
      </c>
      <c r="J6" s="32">
        <v>300</v>
      </c>
      <c r="K6" s="32">
        <v>300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</row>
    <row r="7" spans="1:20">
      <c r="A7" s="30">
        <v>1237088</v>
      </c>
      <c r="B7" s="32">
        <v>380</v>
      </c>
      <c r="C7" s="32">
        <v>224</v>
      </c>
      <c r="D7" s="32">
        <v>440</v>
      </c>
      <c r="E7" s="32">
        <v>0</v>
      </c>
      <c r="F7" s="32">
        <v>0</v>
      </c>
      <c r="G7" s="17">
        <v>488</v>
      </c>
      <c r="H7" s="32">
        <v>1134</v>
      </c>
      <c r="I7" s="32">
        <v>854</v>
      </c>
      <c r="J7" s="32">
        <v>500</v>
      </c>
      <c r="K7" s="32">
        <v>292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1698</v>
      </c>
      <c r="R7" s="32">
        <v>914</v>
      </c>
      <c r="S7" s="32">
        <v>0</v>
      </c>
      <c r="T7" s="32">
        <v>0</v>
      </c>
    </row>
    <row r="8" spans="1:20">
      <c r="A8" s="30">
        <v>1237748</v>
      </c>
      <c r="B8" s="32">
        <v>422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</row>
    <row r="9" spans="1:20">
      <c r="A9" s="30">
        <v>1236091</v>
      </c>
      <c r="B9" s="32">
        <v>0</v>
      </c>
      <c r="C9" s="32">
        <v>0</v>
      </c>
      <c r="D9" s="32">
        <v>200</v>
      </c>
      <c r="E9" s="32">
        <v>0</v>
      </c>
      <c r="F9" s="32">
        <v>0</v>
      </c>
      <c r="G9" s="32">
        <v>0</v>
      </c>
      <c r="H9" s="32">
        <v>0</v>
      </c>
      <c r="I9" s="32">
        <v>150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</row>
    <row r="10" spans="1:20">
      <c r="A10" s="30">
        <v>1238128</v>
      </c>
      <c r="B10" s="32">
        <v>342</v>
      </c>
      <c r="C10" s="32">
        <v>864</v>
      </c>
      <c r="D10" s="32">
        <v>190</v>
      </c>
      <c r="E10" s="32">
        <v>0</v>
      </c>
      <c r="F10" s="32">
        <v>0</v>
      </c>
      <c r="G10" s="17">
        <v>480</v>
      </c>
      <c r="H10" s="32">
        <v>480</v>
      </c>
      <c r="I10" s="32">
        <v>56</v>
      </c>
      <c r="J10" s="32">
        <v>172</v>
      </c>
      <c r="K10" s="32">
        <v>378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480</v>
      </c>
      <c r="R10" s="32">
        <v>378</v>
      </c>
      <c r="S10" s="32">
        <v>0</v>
      </c>
      <c r="T10" s="32">
        <v>0</v>
      </c>
    </row>
    <row r="11" spans="1:20">
      <c r="A11" s="30">
        <v>1236962</v>
      </c>
      <c r="B11" s="32">
        <v>300</v>
      </c>
      <c r="C11" s="32">
        <v>132</v>
      </c>
      <c r="D11" s="32">
        <v>0</v>
      </c>
      <c r="E11" s="32">
        <v>0</v>
      </c>
      <c r="F11" s="32">
        <v>0</v>
      </c>
      <c r="G11" s="17">
        <v>300</v>
      </c>
      <c r="H11" s="32">
        <v>0</v>
      </c>
      <c r="I11" s="32">
        <v>300</v>
      </c>
      <c r="J11" s="32">
        <v>500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</row>
    <row r="12" spans="1:20">
      <c r="A12" s="30">
        <v>1233761</v>
      </c>
      <c r="B12" s="32">
        <v>0</v>
      </c>
      <c r="C12" s="32">
        <v>200</v>
      </c>
      <c r="D12" s="32">
        <v>192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350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</row>
    <row r="13" spans="1:20">
      <c r="A13" s="30">
        <v>1239651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500</v>
      </c>
      <c r="I13" s="32">
        <v>0</v>
      </c>
      <c r="J13" s="32">
        <v>100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</row>
    <row r="14" spans="1:20">
      <c r="A14" s="30">
        <v>1239988</v>
      </c>
      <c r="B14" s="32">
        <v>148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168</v>
      </c>
      <c r="J14" s="32">
        <v>454</v>
      </c>
      <c r="K14" s="32">
        <v>356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454</v>
      </c>
      <c r="R14" s="32">
        <v>196</v>
      </c>
      <c r="S14" s="32">
        <v>0</v>
      </c>
      <c r="T14" s="32">
        <v>0</v>
      </c>
    </row>
    <row r="15" spans="1:20">
      <c r="A15" s="30">
        <v>1240180</v>
      </c>
      <c r="B15" s="32">
        <v>456</v>
      </c>
      <c r="C15" s="32">
        <v>470</v>
      </c>
      <c r="D15" s="32">
        <v>486</v>
      </c>
      <c r="E15" s="32">
        <v>0</v>
      </c>
      <c r="F15" s="32">
        <v>0</v>
      </c>
      <c r="G15" s="17">
        <v>358</v>
      </c>
      <c r="H15" s="32">
        <v>358</v>
      </c>
      <c r="I15" s="32">
        <v>142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112</v>
      </c>
      <c r="S15" s="32">
        <v>0</v>
      </c>
      <c r="T15" s="32">
        <v>0</v>
      </c>
    </row>
    <row r="16" spans="1:20">
      <c r="A16" s="30">
        <v>1240184</v>
      </c>
      <c r="B16" s="32">
        <v>456</v>
      </c>
      <c r="C16" s="32">
        <v>470</v>
      </c>
      <c r="D16" s="32">
        <v>486</v>
      </c>
      <c r="E16" s="32">
        <v>0</v>
      </c>
      <c r="F16" s="32">
        <v>0</v>
      </c>
      <c r="G16" s="17">
        <v>358</v>
      </c>
      <c r="H16" s="32">
        <v>358</v>
      </c>
      <c r="I16" s="32">
        <v>142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112</v>
      </c>
      <c r="S16" s="32">
        <v>0</v>
      </c>
      <c r="T16" s="32">
        <v>0</v>
      </c>
    </row>
    <row r="17" spans="1:20">
      <c r="A17" s="30">
        <v>1240308</v>
      </c>
      <c r="B17" s="32">
        <v>350</v>
      </c>
      <c r="C17" s="32">
        <v>350</v>
      </c>
      <c r="D17" s="32">
        <v>350</v>
      </c>
      <c r="E17" s="32">
        <v>0</v>
      </c>
      <c r="F17" s="32">
        <v>0</v>
      </c>
      <c r="G17" s="17">
        <v>300</v>
      </c>
      <c r="H17" s="32">
        <v>0</v>
      </c>
      <c r="I17" s="32">
        <v>0</v>
      </c>
      <c r="J17" s="32">
        <v>0</v>
      </c>
      <c r="K17" s="32">
        <v>730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300</v>
      </c>
      <c r="S17" s="32">
        <v>0</v>
      </c>
      <c r="T17" s="32">
        <v>0</v>
      </c>
    </row>
    <row r="18" spans="1:20">
      <c r="A18" s="30">
        <v>1241601</v>
      </c>
      <c r="B18" s="32">
        <v>0</v>
      </c>
      <c r="C18" s="32">
        <v>1020</v>
      </c>
      <c r="D18" s="32">
        <v>768</v>
      </c>
      <c r="E18" s="32">
        <v>0</v>
      </c>
      <c r="F18" s="32">
        <v>0</v>
      </c>
      <c r="G18" s="79">
        <v>500</v>
      </c>
      <c r="H18" s="32">
        <v>1460</v>
      </c>
      <c r="I18" s="32">
        <v>1148</v>
      </c>
      <c r="J18" s="32">
        <v>1460</v>
      </c>
      <c r="K18" s="32">
        <v>624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920</v>
      </c>
      <c r="R18" s="32">
        <v>960</v>
      </c>
      <c r="S18" s="32">
        <v>0</v>
      </c>
      <c r="T18" s="32">
        <v>0</v>
      </c>
    </row>
    <row r="22" spans="1:20">
      <c r="A22" s="5" t="s">
        <v>0</v>
      </c>
      <c r="B22" s="9" t="s">
        <v>791</v>
      </c>
      <c r="C22" s="9" t="s">
        <v>792</v>
      </c>
      <c r="D22" s="9" t="s">
        <v>793</v>
      </c>
      <c r="E22" s="9" t="s">
        <v>794</v>
      </c>
      <c r="F22" s="9" t="s">
        <v>795</v>
      </c>
      <c r="G22" s="9" t="s">
        <v>816</v>
      </c>
      <c r="H22" s="11" t="s">
        <v>817</v>
      </c>
      <c r="I22" s="11" t="s">
        <v>818</v>
      </c>
      <c r="J22" s="9" t="s">
        <v>819</v>
      </c>
      <c r="K22" s="9" t="s">
        <v>820</v>
      </c>
      <c r="L22" s="9" t="s">
        <v>821</v>
      </c>
      <c r="M22" s="9" t="s">
        <v>822</v>
      </c>
      <c r="N22" s="9" t="s">
        <v>839</v>
      </c>
      <c r="O22" s="9" t="s">
        <v>840</v>
      </c>
      <c r="P22" s="9" t="s">
        <v>841</v>
      </c>
      <c r="Q22" s="9" t="s">
        <v>842</v>
      </c>
      <c r="R22" s="9" t="s">
        <v>843</v>
      </c>
      <c r="S22" s="9" t="s">
        <v>844</v>
      </c>
      <c r="T22" s="9" t="s">
        <v>845</v>
      </c>
    </row>
    <row r="23" spans="1:20">
      <c r="A23" s="5">
        <v>1232846</v>
      </c>
      <c r="B23" s="9">
        <v>0</v>
      </c>
      <c r="C23" s="9">
        <v>0</v>
      </c>
      <c r="D23" s="9">
        <v>304</v>
      </c>
      <c r="E23" s="9">
        <v>0</v>
      </c>
      <c r="F23" s="9">
        <v>0</v>
      </c>
      <c r="G23" s="18">
        <v>448</v>
      </c>
      <c r="H23" s="11">
        <v>448</v>
      </c>
      <c r="I23" s="11">
        <v>94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</row>
    <row r="24" spans="1:20">
      <c r="A24" s="5">
        <v>1232895</v>
      </c>
      <c r="B24" s="9">
        <v>0</v>
      </c>
      <c r="C24" s="9">
        <v>0</v>
      </c>
      <c r="D24" s="9">
        <v>304</v>
      </c>
      <c r="E24" s="9">
        <v>0</v>
      </c>
      <c r="F24" s="9">
        <v>0</v>
      </c>
      <c r="G24" s="18">
        <v>448</v>
      </c>
      <c r="H24" s="11">
        <v>448</v>
      </c>
      <c r="I24" s="11">
        <v>94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</row>
    <row r="25" spans="1:20">
      <c r="A25" s="5">
        <v>1233384</v>
      </c>
      <c r="B25" s="9">
        <v>0</v>
      </c>
      <c r="C25" s="9">
        <v>0</v>
      </c>
      <c r="D25" s="9">
        <v>304</v>
      </c>
      <c r="E25" s="9">
        <v>0</v>
      </c>
      <c r="F25" s="9">
        <v>0</v>
      </c>
      <c r="G25" s="18">
        <v>448</v>
      </c>
      <c r="H25" s="11">
        <v>448</v>
      </c>
      <c r="I25" s="11">
        <v>94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</row>
    <row r="26" spans="1:20">
      <c r="A26" s="5">
        <v>1236387</v>
      </c>
      <c r="B26" s="9">
        <v>357</v>
      </c>
      <c r="C26" s="9">
        <v>71</v>
      </c>
      <c r="D26" s="9">
        <v>0</v>
      </c>
      <c r="E26" s="9">
        <v>0</v>
      </c>
      <c r="F26" s="9">
        <v>0</v>
      </c>
      <c r="G26" s="9">
        <v>0</v>
      </c>
      <c r="H26" s="11">
        <v>0</v>
      </c>
      <c r="I26" s="11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</row>
    <row r="27" spans="1:20">
      <c r="A27" s="5">
        <v>1232775</v>
      </c>
      <c r="B27" s="9">
        <v>0</v>
      </c>
      <c r="C27" s="9">
        <v>248</v>
      </c>
      <c r="D27" s="9">
        <v>245</v>
      </c>
      <c r="E27" s="9">
        <v>0</v>
      </c>
      <c r="F27" s="9">
        <v>0</v>
      </c>
      <c r="G27" s="18">
        <v>7</v>
      </c>
      <c r="H27" s="11">
        <v>0</v>
      </c>
      <c r="I27" s="11">
        <v>165</v>
      </c>
      <c r="J27" s="9">
        <v>311</v>
      </c>
      <c r="K27" s="9">
        <v>229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283</v>
      </c>
      <c r="R27" s="9">
        <v>245</v>
      </c>
      <c r="S27" s="9">
        <v>0</v>
      </c>
      <c r="T27" s="9">
        <v>0</v>
      </c>
    </row>
    <row r="28" spans="1:20">
      <c r="A28" s="5">
        <v>1238605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11">
        <v>175</v>
      </c>
      <c r="I28" s="11">
        <v>187</v>
      </c>
      <c r="J28" s="9">
        <v>237</v>
      </c>
      <c r="K28" s="9">
        <v>176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203</v>
      </c>
      <c r="R28" s="9">
        <v>0</v>
      </c>
      <c r="S28" s="9">
        <v>0</v>
      </c>
      <c r="T28" s="9">
        <v>0</v>
      </c>
    </row>
    <row r="29" spans="1:20">
      <c r="A29" s="5">
        <v>1230685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18">
        <v>379</v>
      </c>
      <c r="H29" s="11">
        <v>71</v>
      </c>
      <c r="I29" s="11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</row>
    <row r="30" spans="1:20">
      <c r="H30" s="11"/>
      <c r="I30" s="11"/>
    </row>
    <row r="31" spans="1:20">
      <c r="H31" s="11"/>
      <c r="I31" s="11"/>
    </row>
    <row r="33" spans="1:22">
      <c r="A33" s="5" t="s">
        <v>0</v>
      </c>
      <c r="B33" s="9" t="s">
        <v>791</v>
      </c>
      <c r="C33" s="9" t="s">
        <v>792</v>
      </c>
      <c r="D33" s="9" t="s">
        <v>793</v>
      </c>
      <c r="E33" s="9" t="s">
        <v>794</v>
      </c>
      <c r="F33" s="9" t="s">
        <v>795</v>
      </c>
      <c r="G33" s="9" t="s">
        <v>816</v>
      </c>
      <c r="H33" s="9" t="s">
        <v>817</v>
      </c>
      <c r="I33" s="9" t="s">
        <v>818</v>
      </c>
      <c r="J33" s="9" t="s">
        <v>819</v>
      </c>
      <c r="K33" s="9" t="s">
        <v>820</v>
      </c>
      <c r="L33" s="9" t="s">
        <v>821</v>
      </c>
      <c r="M33" s="9" t="s">
        <v>822</v>
      </c>
      <c r="N33" s="9" t="s">
        <v>839</v>
      </c>
      <c r="O33" s="9" t="s">
        <v>840</v>
      </c>
      <c r="P33" s="9" t="s">
        <v>841</v>
      </c>
      <c r="Q33" s="9" t="s">
        <v>842</v>
      </c>
      <c r="R33" s="9" t="s">
        <v>843</v>
      </c>
      <c r="S33" s="9" t="s">
        <v>844</v>
      </c>
      <c r="T33" s="9" t="s">
        <v>845</v>
      </c>
    </row>
    <row r="34" spans="1:22">
      <c r="A34" s="5">
        <v>1230692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18">
        <v>150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</row>
    <row r="35" spans="1:22" s="162" customFormat="1">
      <c r="A35" s="20">
        <v>1221967</v>
      </c>
      <c r="B35" s="10">
        <v>389</v>
      </c>
      <c r="C35" s="10">
        <v>210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20"/>
      <c r="V35" s="20"/>
    </row>
    <row r="36" spans="1:22">
      <c r="A36" s="5">
        <v>1229088</v>
      </c>
      <c r="B36" s="9">
        <v>0</v>
      </c>
      <c r="C36" s="9">
        <v>41</v>
      </c>
      <c r="D36" s="9">
        <v>587</v>
      </c>
      <c r="E36" s="9">
        <v>0</v>
      </c>
      <c r="F36" s="9">
        <v>0</v>
      </c>
      <c r="G36" s="18">
        <v>26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</row>
    <row r="37" spans="1:22">
      <c r="A37" s="5">
        <v>1225464</v>
      </c>
      <c r="B37" s="9">
        <v>341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</row>
    <row r="38" spans="1:22">
      <c r="A38" s="5">
        <v>1231797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18">
        <v>100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</row>
    <row r="39" spans="1:22">
      <c r="A39" s="5">
        <v>1232693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18">
        <v>735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</row>
    <row r="40" spans="1:22">
      <c r="A40" s="5">
        <v>1233025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18">
        <v>735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</row>
    <row r="41" spans="1:22" s="163" customFormat="1">
      <c r="A41" s="104">
        <v>1232528</v>
      </c>
      <c r="B41" s="98">
        <v>508</v>
      </c>
      <c r="C41" s="98">
        <v>686</v>
      </c>
      <c r="D41" s="98">
        <v>539</v>
      </c>
      <c r="E41" s="98">
        <v>0</v>
      </c>
      <c r="F41" s="98">
        <v>0</v>
      </c>
      <c r="G41" s="98">
        <v>686</v>
      </c>
      <c r="H41" s="98">
        <v>686</v>
      </c>
      <c r="I41" s="98">
        <v>539</v>
      </c>
      <c r="J41" s="98">
        <v>619</v>
      </c>
      <c r="K41" s="98">
        <v>401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104"/>
      <c r="V41" s="104"/>
    </row>
    <row r="42" spans="1:22">
      <c r="A42" s="5">
        <v>1232846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742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</row>
    <row r="43" spans="1:22">
      <c r="A43" s="5">
        <v>1231090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210</v>
      </c>
      <c r="J43" s="9">
        <v>30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</row>
    <row r="44" spans="1:22">
      <c r="A44" s="5">
        <v>1233383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18">
        <v>191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</row>
    <row r="45" spans="1:22">
      <c r="A45" s="5">
        <v>1234222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100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</row>
    <row r="46" spans="1:22">
      <c r="A46" s="5">
        <v>1235097</v>
      </c>
      <c r="B46" s="9">
        <v>37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2">
      <c r="A47" s="5">
        <v>1236600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3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419</v>
      </c>
      <c r="R47" s="9">
        <v>343</v>
      </c>
      <c r="S47" s="9">
        <v>0</v>
      </c>
      <c r="T47" s="9">
        <v>0</v>
      </c>
    </row>
    <row r="48" spans="1:22">
      <c r="A48" s="5">
        <v>1236601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123</v>
      </c>
      <c r="S48" s="9">
        <v>0</v>
      </c>
      <c r="T48" s="9">
        <v>0</v>
      </c>
    </row>
    <row r="49" spans="1:20">
      <c r="A49" s="5">
        <v>1236930</v>
      </c>
      <c r="B49" s="9">
        <v>251</v>
      </c>
      <c r="C49" s="9">
        <v>339</v>
      </c>
      <c r="D49" s="9">
        <v>263</v>
      </c>
      <c r="E49" s="9">
        <v>0</v>
      </c>
      <c r="F49" s="9">
        <v>0</v>
      </c>
      <c r="G49" s="18">
        <v>222</v>
      </c>
      <c r="H49" s="9">
        <v>180</v>
      </c>
      <c r="I49" s="9">
        <v>242</v>
      </c>
      <c r="J49" s="9">
        <v>358</v>
      </c>
      <c r="K49" s="9">
        <v>476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351</v>
      </c>
      <c r="R49" s="9">
        <v>395</v>
      </c>
      <c r="S49" s="9">
        <v>0</v>
      </c>
      <c r="T49" s="9">
        <v>0</v>
      </c>
    </row>
    <row r="50" spans="1:20">
      <c r="A50" s="5">
        <v>1237210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51</v>
      </c>
      <c r="S50" s="9">
        <v>0</v>
      </c>
      <c r="T50" s="9">
        <v>0</v>
      </c>
    </row>
    <row r="51" spans="1:20">
      <c r="A51" s="5">
        <v>1232775</v>
      </c>
      <c r="B51" s="9">
        <v>208</v>
      </c>
      <c r="C51" s="9">
        <v>78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118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480</v>
      </c>
      <c r="R51" s="9">
        <v>611</v>
      </c>
      <c r="S51" s="9">
        <v>0</v>
      </c>
      <c r="T51" s="9">
        <v>0</v>
      </c>
    </row>
    <row r="52" spans="1:20">
      <c r="A52" s="5">
        <v>1234905</v>
      </c>
      <c r="B52" s="9">
        <v>0</v>
      </c>
      <c r="C52" s="9">
        <v>404</v>
      </c>
      <c r="D52" s="9">
        <v>377</v>
      </c>
      <c r="E52" s="9">
        <v>0</v>
      </c>
      <c r="F52" s="9">
        <v>0</v>
      </c>
      <c r="G52" s="9">
        <v>536</v>
      </c>
      <c r="H52" s="9">
        <v>392</v>
      </c>
      <c r="I52" s="9">
        <v>307</v>
      </c>
      <c r="J52" s="9">
        <v>77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</row>
    <row r="53" spans="1:20">
      <c r="A53" s="5">
        <v>1238480</v>
      </c>
      <c r="B53" s="9">
        <v>969</v>
      </c>
      <c r="C53" s="9">
        <v>1308</v>
      </c>
      <c r="D53" s="9">
        <v>1129</v>
      </c>
      <c r="E53" s="9">
        <v>0</v>
      </c>
      <c r="F53" s="9">
        <v>0</v>
      </c>
      <c r="G53" s="18">
        <v>1308</v>
      </c>
      <c r="H53" s="9">
        <v>1308</v>
      </c>
      <c r="I53" s="9">
        <v>1057</v>
      </c>
      <c r="J53" s="9">
        <v>1113</v>
      </c>
      <c r="K53" s="9">
        <v>1041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979</v>
      </c>
      <c r="R53" s="9">
        <v>1249</v>
      </c>
      <c r="S53" s="9">
        <v>0</v>
      </c>
      <c r="T53" s="9">
        <v>0</v>
      </c>
    </row>
    <row r="54" spans="1:20">
      <c r="A54" s="5">
        <v>1240180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110</v>
      </c>
      <c r="K54" s="9">
        <v>90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208</v>
      </c>
      <c r="R54" s="9">
        <v>320</v>
      </c>
      <c r="S54" s="9">
        <v>0</v>
      </c>
      <c r="T54" s="9">
        <v>0</v>
      </c>
    </row>
    <row r="55" spans="1:20">
      <c r="A55" s="5">
        <v>1240184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110</v>
      </c>
      <c r="K55" s="9">
        <v>90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208</v>
      </c>
      <c r="R55" s="9">
        <v>320</v>
      </c>
      <c r="S55" s="9">
        <v>0</v>
      </c>
      <c r="T55" s="9">
        <v>0</v>
      </c>
    </row>
    <row r="56" spans="1:20">
      <c r="A56" s="5">
        <v>1232894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576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5">
        <v>1233387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576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</row>
    <row r="58" spans="1:20">
      <c r="A58" s="5">
        <v>1232895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166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</row>
    <row r="59" spans="1:20">
      <c r="A59" s="5">
        <v>1232922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166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</row>
  </sheetData>
  <autoFilter ref="A1:T18" xr:uid="{49392A68-F81B-492D-A04F-38E96A25DB74}"/>
  <phoneticPr fontId="1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7F0D-3847-438A-AA5B-FE2F0145248E}">
  <sheetPr>
    <tabColor rgb="FFFFFF00"/>
  </sheetPr>
  <dimension ref="A1:P109"/>
  <sheetViews>
    <sheetView zoomScaleNormal="100" workbookViewId="0">
      <pane xSplit="2" ySplit="8" topLeftCell="C31" activePane="bottomRight" state="frozen"/>
      <selection pane="topRight" activeCell="C1" sqref="C1"/>
      <selection pane="bottomLeft" activeCell="A9" sqref="A9"/>
      <selection pane="bottomRight" activeCell="B49" sqref="A49:XFD49"/>
    </sheetView>
  </sheetViews>
  <sheetFormatPr defaultColWidth="9.33203125" defaultRowHeight="12"/>
  <cols>
    <col min="1" max="1" width="9.5" style="5" bestFit="1" customWidth="1"/>
    <col min="2" max="2" width="12.6640625" style="19" customWidth="1"/>
    <col min="3" max="12" width="13.83203125" style="5" customWidth="1"/>
    <col min="13" max="13" width="9.5" style="5" bestFit="1" customWidth="1"/>
    <col min="14" max="15" width="10" style="9" bestFit="1" customWidth="1"/>
    <col min="16" max="16384" width="9.33203125" style="5"/>
  </cols>
  <sheetData>
    <row r="1" spans="1:16" s="80" customFormat="1">
      <c r="A1" s="81" t="s">
        <v>730</v>
      </c>
      <c r="B1" s="81"/>
      <c r="C1" s="82">
        <f>+C2-C3</f>
        <v>0</v>
      </c>
      <c r="D1" s="82">
        <f t="shared" ref="D1:L1" si="0">+D2-D3</f>
        <v>0</v>
      </c>
      <c r="E1" s="82">
        <f t="shared" si="0"/>
        <v>0</v>
      </c>
      <c r="F1" s="82">
        <f t="shared" si="0"/>
        <v>0</v>
      </c>
      <c r="G1" s="82">
        <f t="shared" si="0"/>
        <v>0</v>
      </c>
      <c r="H1" s="82">
        <f t="shared" si="0"/>
        <v>0</v>
      </c>
      <c r="I1" s="82">
        <f t="shared" si="0"/>
        <v>0</v>
      </c>
      <c r="J1" s="82">
        <f t="shared" si="0"/>
        <v>0</v>
      </c>
      <c r="K1" s="82">
        <f t="shared" si="0"/>
        <v>0</v>
      </c>
      <c r="L1" s="82">
        <f t="shared" si="0"/>
        <v>0</v>
      </c>
      <c r="M1" s="83"/>
      <c r="N1" s="118"/>
      <c r="O1" s="9"/>
    </row>
    <row r="2" spans="1:16" s="80" customFormat="1">
      <c r="A2" s="81" t="s">
        <v>729</v>
      </c>
      <c r="B2" s="81"/>
      <c r="C2" s="9">
        <v>36599</v>
      </c>
      <c r="D2" s="9">
        <v>43150</v>
      </c>
      <c r="E2" s="9">
        <v>43107</v>
      </c>
      <c r="F2" s="9">
        <v>36781</v>
      </c>
      <c r="G2" s="9">
        <v>52977</v>
      </c>
      <c r="H2" s="9">
        <v>50320</v>
      </c>
      <c r="I2" s="9">
        <v>36264</v>
      </c>
      <c r="J2" s="9">
        <v>34565</v>
      </c>
      <c r="K2" s="9">
        <v>41216</v>
      </c>
      <c r="L2" s="9">
        <v>74097</v>
      </c>
      <c r="M2" s="9">
        <v>0</v>
      </c>
      <c r="N2" s="118">
        <v>0</v>
      </c>
      <c r="O2" s="9"/>
    </row>
    <row r="3" spans="1:16" s="84" customFormat="1">
      <c r="A3" s="85" t="s">
        <v>30</v>
      </c>
      <c r="B3" s="85"/>
      <c r="C3" s="86">
        <v>36599</v>
      </c>
      <c r="D3" s="86">
        <v>43150</v>
      </c>
      <c r="E3" s="86">
        <v>43107</v>
      </c>
      <c r="F3" s="86">
        <v>36781</v>
      </c>
      <c r="G3" s="86">
        <v>52977</v>
      </c>
      <c r="H3" s="86">
        <v>50320</v>
      </c>
      <c r="I3" s="86">
        <v>36264</v>
      </c>
      <c r="J3" s="86">
        <v>34565</v>
      </c>
      <c r="K3" s="86">
        <v>41216</v>
      </c>
      <c r="L3" s="86">
        <v>74097</v>
      </c>
      <c r="M3" s="86"/>
      <c r="N3" s="164"/>
      <c r="O3" s="63"/>
    </row>
    <row r="4" spans="1:16" s="80" customFormat="1">
      <c r="A4" s="81" t="s">
        <v>31</v>
      </c>
      <c r="B4" s="81"/>
      <c r="C4" s="83">
        <f>SUM(C9:C40)</f>
        <v>13883</v>
      </c>
      <c r="D4" s="83">
        <f t="shared" ref="D4:L4" si="1">SUM(D9:D40)</f>
        <v>29112</v>
      </c>
      <c r="E4" s="83">
        <f t="shared" si="1"/>
        <v>24516</v>
      </c>
      <c r="F4" s="83">
        <f t="shared" si="1"/>
        <v>26510</v>
      </c>
      <c r="G4" s="83">
        <f t="shared" si="1"/>
        <v>32416</v>
      </c>
      <c r="H4" s="83">
        <f t="shared" si="1"/>
        <v>29912</v>
      </c>
      <c r="I4" s="83">
        <f t="shared" si="1"/>
        <v>20567</v>
      </c>
      <c r="J4" s="83">
        <f t="shared" si="1"/>
        <v>26316</v>
      </c>
      <c r="K4" s="83">
        <f t="shared" si="1"/>
        <v>25696</v>
      </c>
      <c r="L4" s="83">
        <f t="shared" si="1"/>
        <v>42634</v>
      </c>
      <c r="M4" s="83"/>
      <c r="N4" s="118"/>
      <c r="O4" s="9"/>
    </row>
    <row r="5" spans="1:16" s="80" customFormat="1">
      <c r="A5" s="81" t="s">
        <v>27</v>
      </c>
      <c r="B5" s="81"/>
      <c r="C5" s="83">
        <f>SUM(C46:C109)</f>
        <v>22716</v>
      </c>
      <c r="D5" s="83">
        <f t="shared" ref="D5:L5" si="2">SUM(D46:D109)</f>
        <v>14038</v>
      </c>
      <c r="E5" s="83">
        <f t="shared" si="2"/>
        <v>18591</v>
      </c>
      <c r="F5" s="83">
        <f t="shared" si="2"/>
        <v>10271</v>
      </c>
      <c r="G5" s="83">
        <f t="shared" si="2"/>
        <v>20561</v>
      </c>
      <c r="H5" s="83">
        <f t="shared" si="2"/>
        <v>20408</v>
      </c>
      <c r="I5" s="83">
        <f t="shared" si="2"/>
        <v>15697</v>
      </c>
      <c r="J5" s="83">
        <f t="shared" si="2"/>
        <v>8249</v>
      </c>
      <c r="K5" s="83">
        <f t="shared" si="2"/>
        <v>15520</v>
      </c>
      <c r="L5" s="83">
        <f t="shared" si="2"/>
        <v>31463</v>
      </c>
      <c r="M5" s="83"/>
      <c r="N5" s="118"/>
      <c r="O5" s="9"/>
    </row>
    <row r="6" spans="1:16">
      <c r="C6" s="9"/>
      <c r="D6" s="9"/>
      <c r="E6" s="9"/>
      <c r="F6" s="9"/>
      <c r="G6" s="9"/>
      <c r="H6" s="9"/>
      <c r="I6" s="9"/>
      <c r="J6" s="9"/>
      <c r="K6" s="9"/>
      <c r="L6" s="9"/>
      <c r="N6" s="118"/>
    </row>
    <row r="7" spans="1:16" s="8" customFormat="1">
      <c r="A7" s="8" t="s">
        <v>24</v>
      </c>
      <c r="B7" s="8" t="s">
        <v>0</v>
      </c>
      <c r="C7" s="8" t="s">
        <v>727</v>
      </c>
      <c r="D7" s="8" t="s">
        <v>731</v>
      </c>
      <c r="E7" s="8" t="s">
        <v>736</v>
      </c>
      <c r="F7" s="8" t="s">
        <v>745</v>
      </c>
      <c r="G7" s="8" t="s">
        <v>754</v>
      </c>
      <c r="H7" s="8" t="s">
        <v>764</v>
      </c>
      <c r="I7" s="8" t="s">
        <v>773</v>
      </c>
      <c r="J7" s="8" t="s">
        <v>796</v>
      </c>
      <c r="K7" s="8" t="s">
        <v>823</v>
      </c>
      <c r="L7" s="8" t="s">
        <v>847</v>
      </c>
      <c r="N7" s="102"/>
      <c r="O7" s="102"/>
    </row>
    <row r="8" spans="1:16" s="8" customFormat="1" ht="15">
      <c r="C8" s="8" t="s">
        <v>728</v>
      </c>
      <c r="D8" s="8" t="s">
        <v>732</v>
      </c>
      <c r="E8" s="8" t="s">
        <v>737</v>
      </c>
      <c r="F8" s="8" t="s">
        <v>746</v>
      </c>
      <c r="G8" s="8" t="s">
        <v>755</v>
      </c>
      <c r="H8" s="8" t="s">
        <v>765</v>
      </c>
      <c r="I8" s="8" t="s">
        <v>774</v>
      </c>
      <c r="J8" s="8" t="s">
        <v>797</v>
      </c>
      <c r="K8" s="8" t="s">
        <v>824</v>
      </c>
      <c r="L8" s="8" t="s">
        <v>848</v>
      </c>
      <c r="N8" s="165" t="s">
        <v>849</v>
      </c>
      <c r="O8" s="102"/>
    </row>
    <row r="9" spans="1:16">
      <c r="B9" s="19">
        <v>1226384</v>
      </c>
      <c r="C9" s="9">
        <v>0</v>
      </c>
      <c r="D9" s="9">
        <v>1060</v>
      </c>
      <c r="E9" s="9">
        <v>600</v>
      </c>
      <c r="F9" s="9">
        <v>500</v>
      </c>
      <c r="G9" s="9">
        <v>0</v>
      </c>
      <c r="H9" s="9">
        <v>600</v>
      </c>
      <c r="I9" s="9">
        <v>0</v>
      </c>
      <c r="J9" s="9">
        <v>0</v>
      </c>
      <c r="K9" s="9">
        <v>0</v>
      </c>
      <c r="L9" s="9">
        <v>800</v>
      </c>
      <c r="N9" s="9">
        <f>SUM(C9:L9)</f>
        <v>3560</v>
      </c>
      <c r="P9" s="78">
        <f>+N9-O9</f>
        <v>3560</v>
      </c>
    </row>
    <row r="10" spans="1:16">
      <c r="B10" s="19">
        <v>1226388</v>
      </c>
      <c r="C10" s="9">
        <v>0</v>
      </c>
      <c r="D10" s="9">
        <v>1060</v>
      </c>
      <c r="E10" s="9">
        <v>600</v>
      </c>
      <c r="F10" s="9">
        <v>500</v>
      </c>
      <c r="G10" s="9">
        <v>0</v>
      </c>
      <c r="H10" s="9">
        <v>600</v>
      </c>
      <c r="I10" s="9">
        <v>0</v>
      </c>
      <c r="J10" s="9">
        <v>0</v>
      </c>
      <c r="K10" s="9">
        <v>0</v>
      </c>
      <c r="L10" s="9">
        <v>800</v>
      </c>
      <c r="N10" s="9">
        <f t="shared" ref="N10:N73" si="3">SUM(C10:L10)</f>
        <v>3560</v>
      </c>
      <c r="P10" s="78">
        <f t="shared" ref="P10:P73" si="4">+N10-O10</f>
        <v>3560</v>
      </c>
    </row>
    <row r="11" spans="1:16">
      <c r="B11" s="19">
        <v>1229673</v>
      </c>
      <c r="C11" s="9">
        <v>0</v>
      </c>
      <c r="D11" s="9">
        <v>600</v>
      </c>
      <c r="E11" s="9">
        <v>900</v>
      </c>
      <c r="F11" s="9">
        <v>1000</v>
      </c>
      <c r="G11" s="9">
        <v>1000</v>
      </c>
      <c r="H11" s="9">
        <v>1500</v>
      </c>
      <c r="I11" s="9">
        <v>800</v>
      </c>
      <c r="J11" s="9">
        <v>1000</v>
      </c>
      <c r="K11" s="9">
        <v>1000</v>
      </c>
      <c r="L11" s="9">
        <v>1700</v>
      </c>
      <c r="N11" s="9">
        <f t="shared" si="3"/>
        <v>9500</v>
      </c>
      <c r="P11" s="78">
        <f t="shared" si="4"/>
        <v>9500</v>
      </c>
    </row>
    <row r="12" spans="1:16" s="21" customFormat="1">
      <c r="B12" s="166">
        <v>1230692</v>
      </c>
      <c r="C12" s="63">
        <v>0</v>
      </c>
      <c r="D12" s="63">
        <v>1056</v>
      </c>
      <c r="E12" s="63">
        <v>700</v>
      </c>
      <c r="F12" s="63">
        <v>600</v>
      </c>
      <c r="G12" s="63">
        <v>700</v>
      </c>
      <c r="H12" s="63">
        <v>1200</v>
      </c>
      <c r="I12" s="63">
        <v>800</v>
      </c>
      <c r="J12" s="63">
        <v>800</v>
      </c>
      <c r="K12" s="63">
        <v>800</v>
      </c>
      <c r="L12" s="63">
        <v>1300</v>
      </c>
      <c r="N12" s="63">
        <f t="shared" si="3"/>
        <v>7956</v>
      </c>
      <c r="O12" s="9"/>
      <c r="P12" s="167">
        <f t="shared" si="4"/>
        <v>7956</v>
      </c>
    </row>
    <row r="13" spans="1:16">
      <c r="B13" s="19">
        <v>1230696</v>
      </c>
      <c r="C13" s="9">
        <v>108</v>
      </c>
      <c r="D13" s="9">
        <v>68</v>
      </c>
      <c r="E13" s="9">
        <v>0</v>
      </c>
      <c r="F13" s="9">
        <v>200</v>
      </c>
      <c r="G13" s="9">
        <v>100</v>
      </c>
      <c r="H13" s="9">
        <v>0</v>
      </c>
      <c r="I13" s="9">
        <v>0</v>
      </c>
      <c r="J13" s="9">
        <v>200</v>
      </c>
      <c r="K13" s="9">
        <v>200</v>
      </c>
      <c r="L13" s="9">
        <v>200</v>
      </c>
      <c r="N13" s="9">
        <f t="shared" si="3"/>
        <v>1076</v>
      </c>
      <c r="P13" s="78">
        <f t="shared" si="4"/>
        <v>1076</v>
      </c>
    </row>
    <row r="14" spans="1:16">
      <c r="B14" s="19">
        <v>1230854</v>
      </c>
      <c r="C14" s="9">
        <v>0</v>
      </c>
      <c r="D14" s="9">
        <v>100</v>
      </c>
      <c r="E14" s="9">
        <v>0</v>
      </c>
      <c r="F14" s="9">
        <v>0</v>
      </c>
      <c r="G14" s="9">
        <v>200</v>
      </c>
      <c r="H14" s="9">
        <v>0</v>
      </c>
      <c r="I14" s="9">
        <v>0</v>
      </c>
      <c r="J14" s="9">
        <v>0</v>
      </c>
      <c r="K14" s="9">
        <v>100</v>
      </c>
      <c r="L14" s="9">
        <v>0</v>
      </c>
      <c r="N14" s="9">
        <f t="shared" si="3"/>
        <v>400</v>
      </c>
      <c r="P14" s="78">
        <f t="shared" si="4"/>
        <v>400</v>
      </c>
    </row>
    <row r="15" spans="1:16">
      <c r="B15" s="19">
        <v>1231202</v>
      </c>
      <c r="C15" s="9">
        <v>0</v>
      </c>
      <c r="D15" s="9">
        <v>0</v>
      </c>
      <c r="E15" s="9">
        <v>0</v>
      </c>
      <c r="F15" s="9">
        <v>0</v>
      </c>
      <c r="G15" s="9">
        <v>200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N15" s="9">
        <f t="shared" si="3"/>
        <v>200</v>
      </c>
      <c r="P15" s="78">
        <f t="shared" si="4"/>
        <v>200</v>
      </c>
    </row>
    <row r="16" spans="1:16">
      <c r="B16" s="19">
        <v>1231898</v>
      </c>
      <c r="C16" s="9">
        <v>1344</v>
      </c>
      <c r="D16" s="9">
        <v>2688</v>
      </c>
      <c r="E16" s="9">
        <v>2240</v>
      </c>
      <c r="F16" s="9">
        <v>1792</v>
      </c>
      <c r="G16" s="9">
        <v>1792</v>
      </c>
      <c r="H16" s="9">
        <v>1792</v>
      </c>
      <c r="I16" s="9">
        <v>1792</v>
      </c>
      <c r="J16" s="9">
        <v>2240</v>
      </c>
      <c r="K16" s="9">
        <v>1344</v>
      </c>
      <c r="L16" s="9">
        <v>2240</v>
      </c>
      <c r="N16" s="9">
        <f t="shared" si="3"/>
        <v>19264</v>
      </c>
      <c r="P16" s="78">
        <f t="shared" si="4"/>
        <v>19264</v>
      </c>
    </row>
    <row r="17" spans="2:16">
      <c r="B17" s="19">
        <v>1233492</v>
      </c>
      <c r="C17" s="9">
        <v>0</v>
      </c>
      <c r="D17" s="9">
        <v>0</v>
      </c>
      <c r="E17" s="9">
        <v>0</v>
      </c>
      <c r="F17" s="9">
        <v>0</v>
      </c>
      <c r="G17" s="9">
        <v>500</v>
      </c>
      <c r="H17" s="9">
        <v>0</v>
      </c>
      <c r="I17" s="9">
        <v>300</v>
      </c>
      <c r="J17" s="9">
        <v>400</v>
      </c>
      <c r="K17" s="9">
        <v>400</v>
      </c>
      <c r="L17" s="9">
        <v>300</v>
      </c>
      <c r="N17" s="9">
        <f t="shared" si="3"/>
        <v>1900</v>
      </c>
      <c r="P17" s="78">
        <f t="shared" si="4"/>
        <v>1900</v>
      </c>
    </row>
    <row r="18" spans="2:16">
      <c r="B18" s="19">
        <v>1233498</v>
      </c>
      <c r="C18" s="9">
        <v>0</v>
      </c>
      <c r="D18" s="9">
        <v>0</v>
      </c>
      <c r="E18" s="9">
        <v>0</v>
      </c>
      <c r="F18" s="9">
        <v>0</v>
      </c>
      <c r="G18" s="9">
        <v>500</v>
      </c>
      <c r="H18" s="9">
        <v>0</v>
      </c>
      <c r="I18" s="9">
        <v>300</v>
      </c>
      <c r="J18" s="9">
        <v>400</v>
      </c>
      <c r="K18" s="9">
        <v>400</v>
      </c>
      <c r="L18" s="9">
        <v>300</v>
      </c>
      <c r="N18" s="9">
        <f t="shared" si="3"/>
        <v>1900</v>
      </c>
      <c r="P18" s="78">
        <f t="shared" si="4"/>
        <v>1900</v>
      </c>
    </row>
    <row r="19" spans="2:16">
      <c r="B19" s="19">
        <v>1233623</v>
      </c>
      <c r="C19" s="9">
        <v>0</v>
      </c>
      <c r="D19" s="9">
        <v>0</v>
      </c>
      <c r="E19" s="9">
        <v>0</v>
      </c>
      <c r="F19" s="9">
        <v>0</v>
      </c>
      <c r="G19" s="9">
        <v>500</v>
      </c>
      <c r="H19" s="9">
        <v>0</v>
      </c>
      <c r="I19" s="9">
        <v>300</v>
      </c>
      <c r="J19" s="9">
        <v>400</v>
      </c>
      <c r="K19" s="9">
        <v>400</v>
      </c>
      <c r="L19" s="9">
        <v>300</v>
      </c>
      <c r="N19" s="9">
        <f t="shared" si="3"/>
        <v>1900</v>
      </c>
      <c r="P19" s="78">
        <f t="shared" si="4"/>
        <v>1900</v>
      </c>
    </row>
    <row r="20" spans="2:16">
      <c r="B20" s="19">
        <v>1233761</v>
      </c>
      <c r="C20" s="9">
        <v>0</v>
      </c>
      <c r="D20" s="9">
        <v>0</v>
      </c>
      <c r="E20" s="9">
        <v>0</v>
      </c>
      <c r="F20" s="9">
        <v>300</v>
      </c>
      <c r="G20" s="9">
        <v>140</v>
      </c>
      <c r="H20" s="9">
        <v>0</v>
      </c>
      <c r="I20" s="9">
        <v>0</v>
      </c>
      <c r="J20" s="9">
        <v>200</v>
      </c>
      <c r="K20" s="9">
        <v>200</v>
      </c>
      <c r="L20" s="9">
        <v>100</v>
      </c>
      <c r="N20" s="9">
        <f t="shared" si="3"/>
        <v>940</v>
      </c>
      <c r="P20" s="78">
        <f t="shared" si="4"/>
        <v>940</v>
      </c>
    </row>
    <row r="21" spans="2:16">
      <c r="B21" s="19">
        <v>1233877</v>
      </c>
      <c r="C21" s="9">
        <v>0</v>
      </c>
      <c r="D21" s="9">
        <v>0</v>
      </c>
      <c r="E21" s="9">
        <v>120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N21" s="9">
        <f t="shared" si="3"/>
        <v>120</v>
      </c>
      <c r="P21" s="78">
        <f t="shared" si="4"/>
        <v>120</v>
      </c>
    </row>
    <row r="22" spans="2:16" s="21" customFormat="1">
      <c r="B22" s="166">
        <v>1234614</v>
      </c>
      <c r="C22" s="63">
        <v>0</v>
      </c>
      <c r="D22" s="63">
        <v>0</v>
      </c>
      <c r="E22" s="63">
        <v>0</v>
      </c>
      <c r="F22" s="63">
        <v>400</v>
      </c>
      <c r="G22" s="63">
        <v>400</v>
      </c>
      <c r="H22" s="63">
        <v>0</v>
      </c>
      <c r="I22" s="63">
        <v>300</v>
      </c>
      <c r="J22" s="63">
        <v>300</v>
      </c>
      <c r="K22" s="63">
        <v>300</v>
      </c>
      <c r="L22" s="63">
        <v>0</v>
      </c>
      <c r="N22" s="63">
        <f t="shared" si="3"/>
        <v>1700</v>
      </c>
      <c r="O22" s="9"/>
      <c r="P22" s="167">
        <f t="shared" si="4"/>
        <v>1700</v>
      </c>
    </row>
    <row r="23" spans="2:16">
      <c r="B23" s="19">
        <v>1235003</v>
      </c>
      <c r="C23" s="9">
        <v>0</v>
      </c>
      <c r="D23" s="9">
        <v>0</v>
      </c>
      <c r="E23" s="9">
        <v>3225</v>
      </c>
      <c r="F23" s="9">
        <v>3450</v>
      </c>
      <c r="G23" s="9">
        <v>1350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N23" s="9">
        <f t="shared" si="3"/>
        <v>8025</v>
      </c>
      <c r="P23" s="78">
        <f t="shared" si="4"/>
        <v>8025</v>
      </c>
    </row>
    <row r="24" spans="2:16">
      <c r="B24" s="19">
        <v>1235058</v>
      </c>
      <c r="C24" s="9">
        <v>0</v>
      </c>
      <c r="D24" s="9">
        <v>0</v>
      </c>
      <c r="E24" s="9">
        <v>675</v>
      </c>
      <c r="F24" s="9">
        <v>625</v>
      </c>
      <c r="G24" s="9">
        <v>100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N24" s="9">
        <f t="shared" si="3"/>
        <v>1400</v>
      </c>
      <c r="P24" s="78">
        <f t="shared" si="4"/>
        <v>1400</v>
      </c>
    </row>
    <row r="25" spans="2:16">
      <c r="B25" s="19">
        <v>1235623</v>
      </c>
      <c r="C25" s="9">
        <v>0</v>
      </c>
      <c r="D25" s="9">
        <v>1872</v>
      </c>
      <c r="E25" s="9">
        <v>416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1872</v>
      </c>
      <c r="L25" s="9">
        <v>0</v>
      </c>
      <c r="N25" s="9">
        <f t="shared" si="3"/>
        <v>4160</v>
      </c>
      <c r="P25" s="78">
        <f t="shared" si="4"/>
        <v>4160</v>
      </c>
    </row>
    <row r="26" spans="2:16">
      <c r="B26" s="19">
        <v>1236091</v>
      </c>
      <c r="C26" s="9">
        <v>0</v>
      </c>
      <c r="D26" s="9">
        <v>100</v>
      </c>
      <c r="E26" s="9">
        <v>0</v>
      </c>
      <c r="F26" s="9">
        <v>350</v>
      </c>
      <c r="G26" s="9">
        <v>300</v>
      </c>
      <c r="H26" s="9">
        <v>0</v>
      </c>
      <c r="I26" s="9">
        <v>0</v>
      </c>
      <c r="J26" s="9">
        <v>300</v>
      </c>
      <c r="K26" s="9">
        <v>400</v>
      </c>
      <c r="L26" s="9">
        <v>0</v>
      </c>
      <c r="N26" s="9">
        <f t="shared" si="3"/>
        <v>1450</v>
      </c>
      <c r="P26" s="78">
        <f t="shared" si="4"/>
        <v>1450</v>
      </c>
    </row>
    <row r="27" spans="2:16">
      <c r="B27" s="19">
        <v>1236488</v>
      </c>
      <c r="C27" s="9">
        <v>576</v>
      </c>
      <c r="D27" s="9">
        <v>588</v>
      </c>
      <c r="E27" s="9">
        <v>500</v>
      </c>
      <c r="F27" s="9">
        <v>500</v>
      </c>
      <c r="G27" s="9">
        <v>600</v>
      </c>
      <c r="H27" s="9">
        <v>500</v>
      </c>
      <c r="I27" s="9">
        <v>800</v>
      </c>
      <c r="J27" s="9">
        <v>800</v>
      </c>
      <c r="K27" s="9">
        <v>800</v>
      </c>
      <c r="L27" s="9">
        <v>1300</v>
      </c>
      <c r="N27" s="9">
        <f t="shared" si="3"/>
        <v>6964</v>
      </c>
      <c r="P27" s="78">
        <f t="shared" si="4"/>
        <v>6964</v>
      </c>
    </row>
    <row r="28" spans="2:16">
      <c r="B28" s="19">
        <v>1236534</v>
      </c>
      <c r="C28" s="9">
        <v>0</v>
      </c>
      <c r="D28" s="9">
        <v>24</v>
      </c>
      <c r="E28" s="9">
        <v>0</v>
      </c>
      <c r="F28" s="9">
        <v>200</v>
      </c>
      <c r="G28" s="9">
        <v>0</v>
      </c>
      <c r="H28" s="9">
        <v>0</v>
      </c>
      <c r="I28" s="9">
        <v>0</v>
      </c>
      <c r="J28" s="9">
        <v>400</v>
      </c>
      <c r="K28" s="9">
        <v>400</v>
      </c>
      <c r="L28" s="9">
        <v>0</v>
      </c>
      <c r="N28" s="9">
        <f t="shared" si="3"/>
        <v>1024</v>
      </c>
      <c r="P28" s="78">
        <f t="shared" si="4"/>
        <v>1024</v>
      </c>
    </row>
    <row r="29" spans="2:16">
      <c r="B29" s="19">
        <v>1236962</v>
      </c>
      <c r="C29" s="9">
        <v>0</v>
      </c>
      <c r="D29" s="9">
        <v>568</v>
      </c>
      <c r="E29" s="9">
        <v>700</v>
      </c>
      <c r="F29" s="9">
        <v>900</v>
      </c>
      <c r="G29" s="9">
        <v>900</v>
      </c>
      <c r="H29" s="9">
        <v>1700</v>
      </c>
      <c r="I29" s="9">
        <v>900</v>
      </c>
      <c r="J29" s="9">
        <v>800</v>
      </c>
      <c r="K29" s="9">
        <v>800</v>
      </c>
      <c r="L29" s="9">
        <v>1600</v>
      </c>
      <c r="N29" s="9">
        <f t="shared" si="3"/>
        <v>8868</v>
      </c>
      <c r="P29" s="78">
        <f t="shared" si="4"/>
        <v>8868</v>
      </c>
    </row>
    <row r="30" spans="2:16">
      <c r="B30" s="19">
        <v>1237088</v>
      </c>
      <c r="C30" s="9">
        <v>2612</v>
      </c>
      <c r="D30" s="9">
        <v>4268</v>
      </c>
      <c r="E30" s="9">
        <v>3950</v>
      </c>
      <c r="F30" s="9">
        <v>4413</v>
      </c>
      <c r="G30" s="9">
        <v>4436</v>
      </c>
      <c r="H30" s="9">
        <v>6486</v>
      </c>
      <c r="I30" s="9">
        <v>4107</v>
      </c>
      <c r="J30" s="9">
        <v>4436</v>
      </c>
      <c r="K30" s="9">
        <v>4436</v>
      </c>
      <c r="L30" s="9">
        <v>7636</v>
      </c>
      <c r="N30" s="9">
        <f t="shared" si="3"/>
        <v>46780</v>
      </c>
      <c r="P30" s="78">
        <f t="shared" si="4"/>
        <v>46780</v>
      </c>
    </row>
    <row r="31" spans="2:16">
      <c r="B31" s="19">
        <v>1237586</v>
      </c>
      <c r="C31" s="9">
        <v>1344</v>
      </c>
      <c r="D31" s="9">
        <v>2688</v>
      </c>
      <c r="E31" s="9">
        <v>2240</v>
      </c>
      <c r="F31" s="9">
        <v>1792</v>
      </c>
      <c r="G31" s="9">
        <v>1792</v>
      </c>
      <c r="H31" s="9">
        <v>1792</v>
      </c>
      <c r="I31" s="9">
        <v>1792</v>
      </c>
      <c r="J31" s="9">
        <v>2240</v>
      </c>
      <c r="K31" s="9">
        <v>1344</v>
      </c>
      <c r="L31" s="9">
        <v>2240</v>
      </c>
      <c r="N31" s="9">
        <f t="shared" si="3"/>
        <v>19264</v>
      </c>
      <c r="P31" s="78">
        <f t="shared" si="4"/>
        <v>19264</v>
      </c>
    </row>
    <row r="32" spans="2:16">
      <c r="B32" s="19">
        <v>1237748</v>
      </c>
      <c r="C32" s="9">
        <v>676</v>
      </c>
      <c r="D32" s="9">
        <v>0</v>
      </c>
      <c r="E32" s="9">
        <v>0</v>
      </c>
      <c r="F32" s="9">
        <v>0</v>
      </c>
      <c r="G32" s="9">
        <v>520</v>
      </c>
      <c r="H32" s="9">
        <v>0</v>
      </c>
      <c r="I32" s="9">
        <v>0</v>
      </c>
      <c r="J32" s="9">
        <v>0</v>
      </c>
      <c r="K32" s="9">
        <v>0</v>
      </c>
      <c r="L32" s="9">
        <v>624</v>
      </c>
      <c r="N32" s="9">
        <f t="shared" si="3"/>
        <v>1820</v>
      </c>
      <c r="P32" s="78">
        <f t="shared" si="4"/>
        <v>1820</v>
      </c>
    </row>
    <row r="33" spans="1:16">
      <c r="B33" s="19">
        <v>1238128</v>
      </c>
      <c r="C33" s="9">
        <v>4169</v>
      </c>
      <c r="D33" s="9">
        <v>0</v>
      </c>
      <c r="E33" s="9">
        <v>0</v>
      </c>
      <c r="F33" s="9">
        <v>0</v>
      </c>
      <c r="G33" s="9">
        <v>7136</v>
      </c>
      <c r="H33" s="9">
        <v>0</v>
      </c>
      <c r="I33" s="9">
        <v>0</v>
      </c>
      <c r="J33" s="9">
        <v>0</v>
      </c>
      <c r="K33" s="9">
        <v>0</v>
      </c>
      <c r="L33" s="9">
        <v>6784</v>
      </c>
      <c r="N33" s="9">
        <f t="shared" si="3"/>
        <v>18089</v>
      </c>
      <c r="P33" s="78">
        <f t="shared" si="4"/>
        <v>18089</v>
      </c>
    </row>
    <row r="34" spans="1:16">
      <c r="B34" s="19">
        <v>1239651</v>
      </c>
      <c r="C34" s="9">
        <v>0</v>
      </c>
      <c r="D34" s="9">
        <v>500</v>
      </c>
      <c r="E34" s="9">
        <v>200</v>
      </c>
      <c r="F34" s="9">
        <v>400</v>
      </c>
      <c r="G34" s="9">
        <v>600</v>
      </c>
      <c r="H34" s="9">
        <v>500</v>
      </c>
      <c r="I34" s="9">
        <v>300</v>
      </c>
      <c r="J34" s="9">
        <v>400</v>
      </c>
      <c r="K34" s="9">
        <v>400</v>
      </c>
      <c r="L34" s="9">
        <v>650</v>
      </c>
      <c r="N34" s="9">
        <f t="shared" si="3"/>
        <v>3950</v>
      </c>
      <c r="P34" s="78">
        <f t="shared" si="4"/>
        <v>3950</v>
      </c>
    </row>
    <row r="35" spans="1:16">
      <c r="B35" s="19">
        <v>1239988</v>
      </c>
      <c r="C35" s="9">
        <v>650</v>
      </c>
      <c r="D35" s="9">
        <v>900</v>
      </c>
      <c r="E35" s="9">
        <v>800</v>
      </c>
      <c r="F35" s="9">
        <v>800</v>
      </c>
      <c r="G35" s="9">
        <v>1300</v>
      </c>
      <c r="H35" s="9">
        <v>1500</v>
      </c>
      <c r="I35" s="9">
        <v>800</v>
      </c>
      <c r="J35" s="9">
        <v>1300</v>
      </c>
      <c r="K35" s="9">
        <v>1350</v>
      </c>
      <c r="L35" s="9">
        <v>2050</v>
      </c>
      <c r="N35" s="9">
        <f t="shared" si="3"/>
        <v>11450</v>
      </c>
      <c r="P35" s="78">
        <f t="shared" si="4"/>
        <v>11450</v>
      </c>
    </row>
    <row r="36" spans="1:16" s="21" customFormat="1">
      <c r="B36" s="166">
        <v>1240180</v>
      </c>
      <c r="C36" s="63">
        <v>112</v>
      </c>
      <c r="D36" s="63">
        <v>1551</v>
      </c>
      <c r="E36" s="63">
        <v>1200</v>
      </c>
      <c r="F36" s="63">
        <v>1484</v>
      </c>
      <c r="G36" s="63">
        <v>1850</v>
      </c>
      <c r="H36" s="63">
        <v>2496</v>
      </c>
      <c r="I36" s="63">
        <v>888</v>
      </c>
      <c r="J36" s="63">
        <v>1900</v>
      </c>
      <c r="K36" s="63">
        <v>1800</v>
      </c>
      <c r="L36" s="63">
        <v>2630</v>
      </c>
      <c r="N36" s="63">
        <f t="shared" si="3"/>
        <v>15911</v>
      </c>
      <c r="O36" s="9"/>
      <c r="P36" s="167">
        <f t="shared" si="4"/>
        <v>15911</v>
      </c>
    </row>
    <row r="37" spans="1:16" s="21" customFormat="1">
      <c r="B37" s="166">
        <v>1240184</v>
      </c>
      <c r="C37" s="63">
        <v>112</v>
      </c>
      <c r="D37" s="63">
        <v>1451</v>
      </c>
      <c r="E37" s="63">
        <v>1200</v>
      </c>
      <c r="F37" s="63">
        <v>1334</v>
      </c>
      <c r="G37" s="63">
        <v>1450</v>
      </c>
      <c r="H37" s="63">
        <v>2496</v>
      </c>
      <c r="I37" s="63">
        <v>888</v>
      </c>
      <c r="J37" s="63">
        <v>1700</v>
      </c>
      <c r="K37" s="63">
        <v>1650</v>
      </c>
      <c r="L37" s="63">
        <v>2230</v>
      </c>
      <c r="N37" s="63">
        <f t="shared" si="3"/>
        <v>14511</v>
      </c>
      <c r="O37" s="9"/>
      <c r="P37" s="167">
        <f t="shared" si="4"/>
        <v>14511</v>
      </c>
    </row>
    <row r="38" spans="1:16">
      <c r="B38" s="19">
        <v>1240308</v>
      </c>
      <c r="C38" s="9">
        <v>300</v>
      </c>
      <c r="D38" s="9">
        <v>450</v>
      </c>
      <c r="E38" s="9">
        <v>450</v>
      </c>
      <c r="F38" s="9">
        <v>870</v>
      </c>
      <c r="G38" s="9">
        <v>950</v>
      </c>
      <c r="H38" s="9">
        <v>1350</v>
      </c>
      <c r="I38" s="9">
        <v>300</v>
      </c>
      <c r="J38" s="9">
        <v>900</v>
      </c>
      <c r="K38" s="9">
        <v>900</v>
      </c>
      <c r="L38" s="9">
        <v>850</v>
      </c>
      <c r="N38" s="9">
        <f t="shared" si="3"/>
        <v>7320</v>
      </c>
      <c r="P38" s="78">
        <f t="shared" si="4"/>
        <v>7320</v>
      </c>
    </row>
    <row r="39" spans="1:16">
      <c r="B39" s="19">
        <v>1241134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1900</v>
      </c>
      <c r="J39" s="9">
        <v>1100</v>
      </c>
      <c r="K39" s="9">
        <v>600</v>
      </c>
      <c r="L39" s="9">
        <v>0</v>
      </c>
      <c r="N39" s="9">
        <f t="shared" si="3"/>
        <v>3600</v>
      </c>
      <c r="P39" s="78">
        <f t="shared" si="4"/>
        <v>3600</v>
      </c>
    </row>
    <row r="40" spans="1:16">
      <c r="B40" s="19">
        <v>1241601</v>
      </c>
      <c r="C40" s="9">
        <v>1880</v>
      </c>
      <c r="D40" s="9">
        <v>7520</v>
      </c>
      <c r="E40" s="9">
        <v>3800</v>
      </c>
      <c r="F40" s="9">
        <v>4100</v>
      </c>
      <c r="G40" s="9">
        <v>3100</v>
      </c>
      <c r="H40" s="9">
        <v>5400</v>
      </c>
      <c r="I40" s="9">
        <v>3300</v>
      </c>
      <c r="J40" s="9">
        <v>4100</v>
      </c>
      <c r="K40" s="9">
        <v>3800</v>
      </c>
      <c r="L40" s="9">
        <v>6000</v>
      </c>
      <c r="N40" s="9">
        <f t="shared" si="3"/>
        <v>43000</v>
      </c>
      <c r="P40" s="78">
        <f t="shared" si="4"/>
        <v>43000</v>
      </c>
    </row>
    <row r="41" spans="1:16">
      <c r="C41" s="9"/>
      <c r="D41" s="9"/>
      <c r="E41" s="9"/>
      <c r="F41" s="9"/>
      <c r="G41" s="9"/>
      <c r="H41" s="9"/>
      <c r="I41" s="9"/>
      <c r="J41" s="9"/>
      <c r="K41" s="9"/>
      <c r="L41" s="9"/>
      <c r="N41" s="9">
        <f t="shared" si="3"/>
        <v>0</v>
      </c>
      <c r="P41" s="78">
        <f t="shared" si="4"/>
        <v>0</v>
      </c>
    </row>
    <row r="42" spans="1:16">
      <c r="C42" s="9"/>
      <c r="D42" s="9"/>
      <c r="E42" s="9"/>
      <c r="F42" s="9"/>
      <c r="G42" s="9"/>
      <c r="H42" s="9"/>
      <c r="I42" s="9"/>
      <c r="J42" s="9"/>
      <c r="K42" s="9"/>
      <c r="L42" s="9"/>
      <c r="N42" s="9">
        <f t="shared" si="3"/>
        <v>0</v>
      </c>
      <c r="P42" s="78">
        <f t="shared" si="4"/>
        <v>0</v>
      </c>
    </row>
    <row r="43" spans="1:16">
      <c r="C43" s="9"/>
      <c r="D43" s="9"/>
      <c r="E43" s="9"/>
      <c r="F43" s="9"/>
      <c r="G43" s="9"/>
      <c r="H43" s="9"/>
      <c r="I43" s="9"/>
      <c r="J43" s="9"/>
      <c r="K43" s="9"/>
      <c r="L43" s="9"/>
      <c r="N43" s="9">
        <f t="shared" si="3"/>
        <v>0</v>
      </c>
      <c r="P43" s="78">
        <f t="shared" si="4"/>
        <v>0</v>
      </c>
    </row>
    <row r="44" spans="1:16" s="8" customFormat="1">
      <c r="A44" s="8" t="s">
        <v>24</v>
      </c>
      <c r="B44" s="8" t="s">
        <v>0</v>
      </c>
      <c r="C44" s="8" t="s">
        <v>727</v>
      </c>
      <c r="D44" s="8" t="s">
        <v>731</v>
      </c>
      <c r="E44" s="8" t="s">
        <v>736</v>
      </c>
      <c r="F44" s="8" t="s">
        <v>745</v>
      </c>
      <c r="G44" s="8" t="s">
        <v>754</v>
      </c>
      <c r="H44" s="8" t="s">
        <v>764</v>
      </c>
      <c r="I44" s="8" t="s">
        <v>773</v>
      </c>
      <c r="J44" s="8" t="s">
        <v>796</v>
      </c>
      <c r="K44" s="8" t="s">
        <v>823</v>
      </c>
      <c r="L44" s="8" t="s">
        <v>847</v>
      </c>
      <c r="N44" s="9">
        <f t="shared" si="3"/>
        <v>0</v>
      </c>
      <c r="O44" s="9"/>
      <c r="P44" s="78">
        <f t="shared" si="4"/>
        <v>0</v>
      </c>
    </row>
    <row r="45" spans="1:16" s="8" customFormat="1">
      <c r="C45" s="8" t="s">
        <v>728</v>
      </c>
      <c r="D45" s="8" t="s">
        <v>732</v>
      </c>
      <c r="E45" s="8" t="s">
        <v>737</v>
      </c>
      <c r="F45" s="8" t="s">
        <v>746</v>
      </c>
      <c r="G45" s="8" t="s">
        <v>755</v>
      </c>
      <c r="H45" s="8" t="s">
        <v>765</v>
      </c>
      <c r="I45" s="8" t="s">
        <v>774</v>
      </c>
      <c r="J45" s="8" t="s">
        <v>797</v>
      </c>
      <c r="K45" s="8" t="s">
        <v>824</v>
      </c>
      <c r="L45" s="8" t="s">
        <v>848</v>
      </c>
      <c r="N45" s="9">
        <f t="shared" si="3"/>
        <v>0</v>
      </c>
      <c r="O45" s="9"/>
      <c r="P45" s="78">
        <f t="shared" si="4"/>
        <v>0</v>
      </c>
    </row>
    <row r="46" spans="1:16">
      <c r="B46" s="19">
        <v>1216452</v>
      </c>
      <c r="C46" s="9">
        <v>288</v>
      </c>
      <c r="D46" s="9">
        <v>288</v>
      </c>
      <c r="E46" s="9">
        <v>0</v>
      </c>
      <c r="F46" s="9">
        <v>0</v>
      </c>
      <c r="G46" s="9">
        <v>1152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N46" s="9">
        <f t="shared" si="3"/>
        <v>1728</v>
      </c>
      <c r="O46" s="9" t="e">
        <f>VLOOKUP(B46,#REF!,36,0)</f>
        <v>#REF!</v>
      </c>
      <c r="P46" s="78" t="e">
        <f t="shared" si="4"/>
        <v>#REF!</v>
      </c>
    </row>
    <row r="47" spans="1:16">
      <c r="B47" s="19">
        <v>1220847</v>
      </c>
      <c r="C47" s="9">
        <v>2004</v>
      </c>
      <c r="D47" s="9">
        <v>1276</v>
      </c>
      <c r="E47" s="9">
        <v>2164</v>
      </c>
      <c r="F47" s="9">
        <v>0</v>
      </c>
      <c r="G47" s="9">
        <v>0</v>
      </c>
      <c r="H47" s="9">
        <v>33</v>
      </c>
      <c r="I47" s="9">
        <v>1050</v>
      </c>
      <c r="J47" s="9">
        <v>0</v>
      </c>
      <c r="K47" s="9">
        <v>0</v>
      </c>
      <c r="L47" s="9">
        <v>0</v>
      </c>
      <c r="N47" s="9">
        <f t="shared" si="3"/>
        <v>6527</v>
      </c>
      <c r="O47" s="9" t="e">
        <f>VLOOKUP(B47,#REF!,36,0)</f>
        <v>#REF!</v>
      </c>
      <c r="P47" s="78" t="e">
        <f t="shared" si="4"/>
        <v>#REF!</v>
      </c>
    </row>
    <row r="48" spans="1:16">
      <c r="B48" s="19">
        <v>1221967</v>
      </c>
      <c r="C48" s="9">
        <v>0</v>
      </c>
      <c r="D48" s="9">
        <v>0</v>
      </c>
      <c r="E48" s="9">
        <v>0</v>
      </c>
      <c r="F48" s="9">
        <v>0</v>
      </c>
      <c r="G48" s="9">
        <v>329</v>
      </c>
      <c r="H48" s="9">
        <v>0</v>
      </c>
      <c r="I48" s="9">
        <v>0</v>
      </c>
      <c r="J48" s="9">
        <v>0</v>
      </c>
      <c r="K48" s="9">
        <v>205</v>
      </c>
      <c r="L48" s="9">
        <v>0</v>
      </c>
      <c r="N48" s="9">
        <f t="shared" si="3"/>
        <v>534</v>
      </c>
      <c r="O48" s="9" t="e">
        <f>VLOOKUP(B48,#REF!,36,0)</f>
        <v>#REF!</v>
      </c>
      <c r="P48" s="78" t="e">
        <f t="shared" si="4"/>
        <v>#REF!</v>
      </c>
    </row>
    <row r="49" spans="2:16">
      <c r="B49" s="19">
        <v>1225464</v>
      </c>
      <c r="C49" s="9">
        <v>0</v>
      </c>
      <c r="D49" s="9">
        <v>0</v>
      </c>
      <c r="E49" s="9">
        <v>756</v>
      </c>
      <c r="F49" s="9">
        <v>0</v>
      </c>
      <c r="G49" s="9">
        <v>0</v>
      </c>
      <c r="H49" s="9">
        <v>0</v>
      </c>
      <c r="I49" s="9">
        <v>756</v>
      </c>
      <c r="J49" s="9">
        <v>0</v>
      </c>
      <c r="K49" s="9">
        <v>0</v>
      </c>
      <c r="L49" s="9">
        <v>0</v>
      </c>
      <c r="N49" s="9">
        <f t="shared" si="3"/>
        <v>1512</v>
      </c>
      <c r="O49" s="9" t="e">
        <f>VLOOKUP(B49,#REF!,36,0)</f>
        <v>#REF!</v>
      </c>
      <c r="P49" s="78" t="e">
        <f t="shared" si="4"/>
        <v>#REF!</v>
      </c>
    </row>
    <row r="50" spans="2:16">
      <c r="B50" s="19">
        <v>1227306</v>
      </c>
      <c r="C50" s="9">
        <v>0</v>
      </c>
      <c r="D50" s="9">
        <v>0</v>
      </c>
      <c r="E50" s="9">
        <v>0</v>
      </c>
      <c r="F50" s="9">
        <v>300</v>
      </c>
      <c r="G50" s="9">
        <v>300</v>
      </c>
      <c r="H50" s="9">
        <v>300</v>
      </c>
      <c r="I50" s="9">
        <v>200</v>
      </c>
      <c r="J50" s="9">
        <v>700</v>
      </c>
      <c r="K50" s="9">
        <v>550</v>
      </c>
      <c r="L50" s="9">
        <v>400</v>
      </c>
      <c r="N50" s="9">
        <f t="shared" si="3"/>
        <v>2750</v>
      </c>
      <c r="O50" s="9" t="e">
        <f>VLOOKUP(B50,#REF!,36,0)</f>
        <v>#REF!</v>
      </c>
      <c r="P50" s="78" t="e">
        <f t="shared" si="4"/>
        <v>#REF!</v>
      </c>
    </row>
    <row r="51" spans="2:16">
      <c r="B51" s="19">
        <v>1227359</v>
      </c>
      <c r="C51" s="9">
        <v>304</v>
      </c>
      <c r="D51" s="9">
        <v>20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N51" s="9">
        <f t="shared" si="3"/>
        <v>324</v>
      </c>
      <c r="O51" s="9" t="e">
        <f>VLOOKUP(B51,#REF!,36,0)</f>
        <v>#REF!</v>
      </c>
      <c r="P51" s="78" t="e">
        <f t="shared" si="4"/>
        <v>#REF!</v>
      </c>
    </row>
    <row r="52" spans="2:16">
      <c r="B52" s="19">
        <v>1229050</v>
      </c>
      <c r="C52" s="9">
        <v>180</v>
      </c>
      <c r="D52" s="9">
        <v>0</v>
      </c>
      <c r="E52" s="9">
        <v>0</v>
      </c>
      <c r="F52" s="9">
        <v>0</v>
      </c>
      <c r="G52" s="9">
        <v>205</v>
      </c>
      <c r="H52" s="9">
        <v>0</v>
      </c>
      <c r="I52" s="9">
        <v>0</v>
      </c>
      <c r="J52" s="9">
        <v>0</v>
      </c>
      <c r="K52" s="9">
        <v>0</v>
      </c>
      <c r="L52" s="9">
        <v>205</v>
      </c>
      <c r="N52" s="9">
        <f t="shared" si="3"/>
        <v>590</v>
      </c>
      <c r="O52" s="9" t="e">
        <f>VLOOKUP(B52,#REF!,36,0)</f>
        <v>#REF!</v>
      </c>
      <c r="P52" s="78" t="e">
        <f t="shared" si="4"/>
        <v>#REF!</v>
      </c>
    </row>
    <row r="53" spans="2:16">
      <c r="B53" s="19">
        <v>1229088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350</v>
      </c>
      <c r="K53" s="9">
        <v>300</v>
      </c>
      <c r="L53" s="9">
        <v>0</v>
      </c>
      <c r="N53" s="9">
        <f t="shared" si="3"/>
        <v>650</v>
      </c>
      <c r="O53" s="9" t="e">
        <f>VLOOKUP(B53,#REF!,36,0)</f>
        <v>#REF!</v>
      </c>
      <c r="P53" s="78" t="e">
        <f t="shared" si="4"/>
        <v>#REF!</v>
      </c>
    </row>
    <row r="54" spans="2:16">
      <c r="B54" s="19">
        <v>1229776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100</v>
      </c>
      <c r="I54" s="9">
        <v>0</v>
      </c>
      <c r="J54" s="9">
        <v>0</v>
      </c>
      <c r="K54" s="9">
        <v>100</v>
      </c>
      <c r="L54" s="9">
        <v>0</v>
      </c>
      <c r="N54" s="9">
        <f t="shared" si="3"/>
        <v>200</v>
      </c>
      <c r="O54" s="9" t="e">
        <f>VLOOKUP(B54,#REF!,36,0)</f>
        <v>#REF!</v>
      </c>
      <c r="P54" s="78" t="e">
        <f t="shared" si="4"/>
        <v>#REF!</v>
      </c>
    </row>
    <row r="55" spans="2:16">
      <c r="B55" s="19">
        <v>1230685</v>
      </c>
      <c r="C55" s="9">
        <v>0</v>
      </c>
      <c r="D55" s="9">
        <v>0</v>
      </c>
      <c r="E55" s="9">
        <v>0</v>
      </c>
      <c r="F55" s="9">
        <v>200</v>
      </c>
      <c r="G55" s="9">
        <v>250</v>
      </c>
      <c r="H55" s="9">
        <v>0</v>
      </c>
      <c r="I55" s="9">
        <v>0</v>
      </c>
      <c r="J55" s="9">
        <v>200</v>
      </c>
      <c r="K55" s="9">
        <v>200</v>
      </c>
      <c r="L55" s="9">
        <v>200</v>
      </c>
      <c r="N55" s="9">
        <f t="shared" si="3"/>
        <v>1050</v>
      </c>
      <c r="O55" s="9" t="e">
        <f>VLOOKUP(B55,#REF!,36,0)</f>
        <v>#REF!</v>
      </c>
      <c r="P55" s="78" t="e">
        <f t="shared" si="4"/>
        <v>#REF!</v>
      </c>
    </row>
    <row r="56" spans="2:16" s="21" customFormat="1">
      <c r="B56" s="166">
        <v>1230692</v>
      </c>
      <c r="C56" s="63">
        <v>0</v>
      </c>
      <c r="D56" s="63">
        <v>150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100</v>
      </c>
      <c r="K56" s="63">
        <v>0</v>
      </c>
      <c r="L56" s="63">
        <v>0</v>
      </c>
      <c r="N56" s="63">
        <f t="shared" si="3"/>
        <v>250</v>
      </c>
      <c r="O56" s="63" t="e">
        <f>VLOOKUP(B56,#REF!,36,0)</f>
        <v>#REF!</v>
      </c>
      <c r="P56" s="167" t="e">
        <f t="shared" si="4"/>
        <v>#REF!</v>
      </c>
    </row>
    <row r="57" spans="2:16">
      <c r="B57" s="19">
        <v>1230791</v>
      </c>
      <c r="C57" s="9">
        <v>23</v>
      </c>
      <c r="D57" s="9">
        <v>0</v>
      </c>
      <c r="E57" s="9">
        <v>0</v>
      </c>
      <c r="F57" s="9">
        <v>26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N57" s="9">
        <f t="shared" si="3"/>
        <v>49</v>
      </c>
      <c r="O57" s="9" t="e">
        <f>VLOOKUP(B57,#REF!,36,0)</f>
        <v>#REF!</v>
      </c>
      <c r="P57" s="78" t="e">
        <f t="shared" si="4"/>
        <v>#REF!</v>
      </c>
    </row>
    <row r="58" spans="2:16">
      <c r="B58" s="19">
        <v>1231011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90</v>
      </c>
      <c r="K58" s="9">
        <v>210</v>
      </c>
      <c r="L58" s="9">
        <v>0</v>
      </c>
      <c r="N58" s="9">
        <f t="shared" si="3"/>
        <v>300</v>
      </c>
      <c r="O58" s="9" t="e">
        <f>VLOOKUP(B58,#REF!,36,0)</f>
        <v>#REF!</v>
      </c>
      <c r="P58" s="78" t="e">
        <f t="shared" si="4"/>
        <v>#REF!</v>
      </c>
    </row>
    <row r="59" spans="2:16">
      <c r="B59" s="19">
        <v>1231090</v>
      </c>
      <c r="C59" s="9">
        <v>510</v>
      </c>
      <c r="D59" s="9">
        <v>1319</v>
      </c>
      <c r="E59" s="9">
        <v>270</v>
      </c>
      <c r="F59" s="9">
        <v>476</v>
      </c>
      <c r="G59" s="9">
        <v>1025</v>
      </c>
      <c r="H59" s="9">
        <v>100</v>
      </c>
      <c r="I59" s="9">
        <v>540</v>
      </c>
      <c r="J59" s="9">
        <v>0</v>
      </c>
      <c r="K59" s="9">
        <v>100</v>
      </c>
      <c r="L59" s="9">
        <v>1025</v>
      </c>
      <c r="N59" s="9">
        <f t="shared" si="3"/>
        <v>5365</v>
      </c>
      <c r="O59" s="9" t="e">
        <f>VLOOKUP(B59,#REF!,36,0)</f>
        <v>#REF!</v>
      </c>
      <c r="P59" s="78" t="e">
        <f t="shared" si="4"/>
        <v>#REF!</v>
      </c>
    </row>
    <row r="60" spans="2:16">
      <c r="B60" s="19">
        <v>1231578</v>
      </c>
      <c r="C60" s="9">
        <v>268</v>
      </c>
      <c r="D60" s="9">
        <v>0</v>
      </c>
      <c r="E60" s="9">
        <v>0</v>
      </c>
      <c r="F60" s="9">
        <v>300</v>
      </c>
      <c r="G60" s="9">
        <v>200</v>
      </c>
      <c r="H60" s="9">
        <v>400</v>
      </c>
      <c r="I60" s="9">
        <v>0</v>
      </c>
      <c r="J60" s="9">
        <v>200</v>
      </c>
      <c r="K60" s="9">
        <v>200</v>
      </c>
      <c r="L60" s="9">
        <v>200</v>
      </c>
      <c r="N60" s="9">
        <f t="shared" si="3"/>
        <v>1768</v>
      </c>
      <c r="O60" s="9" t="e">
        <f>VLOOKUP(B60,#REF!,36,0)</f>
        <v>#REF!</v>
      </c>
      <c r="P60" s="78" t="e">
        <f t="shared" si="4"/>
        <v>#REF!</v>
      </c>
    </row>
    <row r="61" spans="2:16">
      <c r="B61" s="19">
        <v>1231797</v>
      </c>
      <c r="C61" s="9">
        <v>0</v>
      </c>
      <c r="D61" s="9">
        <v>0</v>
      </c>
      <c r="E61" s="9">
        <v>0</v>
      </c>
      <c r="F61" s="9">
        <v>139</v>
      </c>
      <c r="G61" s="9">
        <v>0</v>
      </c>
      <c r="H61" s="9">
        <v>0</v>
      </c>
      <c r="I61" s="9">
        <v>0</v>
      </c>
      <c r="J61" s="9">
        <v>0</v>
      </c>
      <c r="K61" s="9">
        <v>154</v>
      </c>
      <c r="L61" s="9">
        <v>0</v>
      </c>
      <c r="N61" s="9">
        <f t="shared" si="3"/>
        <v>293</v>
      </c>
      <c r="O61" s="9" t="e">
        <f>VLOOKUP(B61,#REF!,36,0)</f>
        <v>#REF!</v>
      </c>
      <c r="P61" s="78" t="e">
        <f t="shared" si="4"/>
        <v>#REF!</v>
      </c>
    </row>
    <row r="62" spans="2:16">
      <c r="B62" s="19">
        <v>1231860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100</v>
      </c>
      <c r="N62" s="9">
        <f t="shared" si="3"/>
        <v>100</v>
      </c>
      <c r="O62" s="9" t="e">
        <f>VLOOKUP(B62,#REF!,36,0)</f>
        <v>#REF!</v>
      </c>
      <c r="P62" s="78" t="e">
        <f t="shared" si="4"/>
        <v>#REF!</v>
      </c>
    </row>
    <row r="63" spans="2:16">
      <c r="B63" s="19">
        <v>1232066</v>
      </c>
      <c r="C63" s="9">
        <v>180</v>
      </c>
      <c r="D63" s="9">
        <v>0</v>
      </c>
      <c r="E63" s="9">
        <v>0</v>
      </c>
      <c r="F63" s="9">
        <v>0</v>
      </c>
      <c r="G63" s="9">
        <v>288</v>
      </c>
      <c r="H63" s="9">
        <v>0</v>
      </c>
      <c r="I63" s="9">
        <v>0</v>
      </c>
      <c r="J63" s="9">
        <v>0</v>
      </c>
      <c r="K63" s="9">
        <v>0</v>
      </c>
      <c r="L63" s="9">
        <v>216</v>
      </c>
      <c r="N63" s="9">
        <f t="shared" si="3"/>
        <v>684</v>
      </c>
      <c r="O63" s="9" t="e">
        <f>VLOOKUP(B63,#REF!,36,0)</f>
        <v>#REF!</v>
      </c>
      <c r="P63" s="78" t="e">
        <f t="shared" si="4"/>
        <v>#REF!</v>
      </c>
    </row>
    <row r="64" spans="2:16">
      <c r="B64" s="19">
        <v>1232528</v>
      </c>
      <c r="C64" s="9">
        <v>4160</v>
      </c>
      <c r="D64" s="9">
        <v>1152</v>
      </c>
      <c r="E64" s="9">
        <v>5601</v>
      </c>
      <c r="F64" s="9">
        <v>0</v>
      </c>
      <c r="G64" s="9">
        <v>1386</v>
      </c>
      <c r="H64" s="9">
        <v>42</v>
      </c>
      <c r="I64" s="9">
        <v>5580</v>
      </c>
      <c r="J64" s="9">
        <v>0</v>
      </c>
      <c r="K64" s="9">
        <v>0</v>
      </c>
      <c r="L64" s="9">
        <v>1386</v>
      </c>
      <c r="N64" s="9">
        <f t="shared" si="3"/>
        <v>19307</v>
      </c>
      <c r="O64" s="9" t="e">
        <f>VLOOKUP(B64,#REF!,36,0)</f>
        <v>#REF!</v>
      </c>
      <c r="P64" s="78" t="e">
        <f t="shared" si="4"/>
        <v>#REF!</v>
      </c>
    </row>
    <row r="65" spans="2:16">
      <c r="B65" s="19">
        <v>1232693</v>
      </c>
      <c r="C65" s="9">
        <v>0</v>
      </c>
      <c r="D65" s="9">
        <v>0</v>
      </c>
      <c r="E65" s="9">
        <v>0</v>
      </c>
      <c r="F65" s="9">
        <v>0</v>
      </c>
      <c r="G65" s="9">
        <v>861</v>
      </c>
      <c r="H65" s="9">
        <v>0</v>
      </c>
      <c r="I65" s="9">
        <v>0</v>
      </c>
      <c r="J65" s="9">
        <v>0</v>
      </c>
      <c r="K65" s="9">
        <v>0</v>
      </c>
      <c r="L65" s="9">
        <v>1029</v>
      </c>
      <c r="N65" s="9">
        <f t="shared" si="3"/>
        <v>1890</v>
      </c>
      <c r="O65" s="9" t="e">
        <f>VLOOKUP(B65,#REF!,36,0)</f>
        <v>#REF!</v>
      </c>
      <c r="P65" s="78" t="e">
        <f t="shared" si="4"/>
        <v>#REF!</v>
      </c>
    </row>
    <row r="66" spans="2:16">
      <c r="B66" s="19">
        <v>1232775</v>
      </c>
      <c r="C66" s="9">
        <v>1969</v>
      </c>
      <c r="D66" s="9">
        <v>1017</v>
      </c>
      <c r="E66" s="9">
        <v>348</v>
      </c>
      <c r="F66" s="9">
        <v>1374</v>
      </c>
      <c r="G66" s="9">
        <v>1966</v>
      </c>
      <c r="H66" s="9">
        <v>2349</v>
      </c>
      <c r="I66" s="9">
        <v>1291</v>
      </c>
      <c r="J66" s="9">
        <v>1959</v>
      </c>
      <c r="K66" s="9">
        <v>1420</v>
      </c>
      <c r="L66" s="9">
        <v>2300</v>
      </c>
      <c r="N66" s="9">
        <f t="shared" si="3"/>
        <v>15993</v>
      </c>
      <c r="O66" s="9" t="e">
        <f>VLOOKUP(B66,#REF!,36,0)</f>
        <v>#REF!</v>
      </c>
      <c r="P66" s="78" t="e">
        <f t="shared" si="4"/>
        <v>#REF!</v>
      </c>
    </row>
    <row r="67" spans="2:16">
      <c r="B67" s="19">
        <v>1232846</v>
      </c>
      <c r="C67" s="9">
        <v>240</v>
      </c>
      <c r="D67" s="9">
        <v>568</v>
      </c>
      <c r="E67" s="9">
        <v>350</v>
      </c>
      <c r="F67" s="9">
        <v>276</v>
      </c>
      <c r="G67" s="9">
        <v>368</v>
      </c>
      <c r="H67" s="9">
        <v>0</v>
      </c>
      <c r="I67" s="9">
        <v>550</v>
      </c>
      <c r="J67" s="9">
        <v>300</v>
      </c>
      <c r="K67" s="9">
        <v>763</v>
      </c>
      <c r="L67" s="9">
        <v>692</v>
      </c>
      <c r="N67" s="9">
        <f t="shared" si="3"/>
        <v>4107</v>
      </c>
      <c r="O67" s="9" t="e">
        <f>VLOOKUP(B67,#REF!,36,0)</f>
        <v>#REF!</v>
      </c>
      <c r="P67" s="78" t="e">
        <f t="shared" si="4"/>
        <v>#REF!</v>
      </c>
    </row>
    <row r="68" spans="2:16">
      <c r="B68" s="19">
        <v>1232894</v>
      </c>
      <c r="C68" s="9">
        <v>240</v>
      </c>
      <c r="D68" s="9">
        <v>128</v>
      </c>
      <c r="E68" s="9">
        <v>350</v>
      </c>
      <c r="F68" s="9">
        <v>0</v>
      </c>
      <c r="G68" s="9">
        <v>168</v>
      </c>
      <c r="H68" s="9">
        <v>0</v>
      </c>
      <c r="I68" s="9">
        <v>350</v>
      </c>
      <c r="J68" s="9">
        <v>0</v>
      </c>
      <c r="K68" s="9">
        <v>0</v>
      </c>
      <c r="L68" s="9">
        <v>192</v>
      </c>
      <c r="N68" s="9">
        <f t="shared" si="3"/>
        <v>1428</v>
      </c>
      <c r="O68" s="9" t="e">
        <f>VLOOKUP(B68,#REF!,36,0)</f>
        <v>#REF!</v>
      </c>
      <c r="P68" s="78" t="e">
        <f t="shared" si="4"/>
        <v>#REF!</v>
      </c>
    </row>
    <row r="69" spans="2:16">
      <c r="B69" s="19">
        <v>1232895</v>
      </c>
      <c r="C69" s="9">
        <v>0</v>
      </c>
      <c r="D69" s="9">
        <v>440</v>
      </c>
      <c r="E69" s="9">
        <v>0</v>
      </c>
      <c r="F69" s="9">
        <v>276</v>
      </c>
      <c r="G69" s="9">
        <v>200</v>
      </c>
      <c r="H69" s="9">
        <v>0</v>
      </c>
      <c r="I69" s="9">
        <v>200</v>
      </c>
      <c r="J69" s="9">
        <v>300</v>
      </c>
      <c r="K69" s="9">
        <v>763</v>
      </c>
      <c r="L69" s="9">
        <v>500</v>
      </c>
      <c r="N69" s="9">
        <f t="shared" si="3"/>
        <v>2679</v>
      </c>
      <c r="O69" s="9" t="e">
        <f>VLOOKUP(B69,#REF!,36,0)</f>
        <v>#REF!</v>
      </c>
      <c r="P69" s="78" t="e">
        <f t="shared" si="4"/>
        <v>#REF!</v>
      </c>
    </row>
    <row r="70" spans="2:16">
      <c r="B70" s="19">
        <v>1232922</v>
      </c>
      <c r="C70" s="9">
        <v>0</v>
      </c>
      <c r="D70" s="9">
        <v>40</v>
      </c>
      <c r="E70" s="9">
        <v>0</v>
      </c>
      <c r="F70" s="9">
        <v>276</v>
      </c>
      <c r="G70" s="9">
        <v>0</v>
      </c>
      <c r="H70" s="9">
        <v>0</v>
      </c>
      <c r="I70" s="9">
        <v>0</v>
      </c>
      <c r="J70" s="9">
        <v>0</v>
      </c>
      <c r="K70" s="9">
        <v>276</v>
      </c>
      <c r="L70" s="9">
        <v>0</v>
      </c>
      <c r="N70" s="9">
        <f t="shared" si="3"/>
        <v>592</v>
      </c>
      <c r="O70" s="9" t="e">
        <f>VLOOKUP(B70,#REF!,36,0)</f>
        <v>#REF!</v>
      </c>
      <c r="P70" s="78" t="e">
        <f t="shared" si="4"/>
        <v>#REF!</v>
      </c>
    </row>
    <row r="71" spans="2:16">
      <c r="B71" s="19">
        <v>1232982</v>
      </c>
      <c r="C71" s="9">
        <v>0</v>
      </c>
      <c r="D71" s="9">
        <v>400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50</v>
      </c>
      <c r="L71" s="9">
        <v>0</v>
      </c>
      <c r="N71" s="9">
        <f t="shared" si="3"/>
        <v>450</v>
      </c>
      <c r="O71" s="9" t="e">
        <f>VLOOKUP(B71,#REF!,36,0)</f>
        <v>#REF!</v>
      </c>
      <c r="P71" s="78" t="e">
        <f t="shared" si="4"/>
        <v>#REF!</v>
      </c>
    </row>
    <row r="72" spans="2:16" ht="12.75" customHeight="1">
      <c r="B72" s="19">
        <v>1233025</v>
      </c>
      <c r="C72" s="9">
        <v>0</v>
      </c>
      <c r="D72" s="9">
        <v>0</v>
      </c>
      <c r="E72" s="9">
        <v>0</v>
      </c>
      <c r="F72" s="9">
        <v>0</v>
      </c>
      <c r="G72" s="9">
        <v>861</v>
      </c>
      <c r="H72" s="9">
        <v>0</v>
      </c>
      <c r="I72" s="9">
        <v>0</v>
      </c>
      <c r="J72" s="9">
        <v>0</v>
      </c>
      <c r="K72" s="9">
        <v>0</v>
      </c>
      <c r="L72" s="9">
        <v>1029</v>
      </c>
      <c r="N72" s="9">
        <f t="shared" si="3"/>
        <v>1890</v>
      </c>
      <c r="O72" s="9" t="e">
        <f>VLOOKUP(B72,#REF!,36,0)</f>
        <v>#REF!</v>
      </c>
      <c r="P72" s="78" t="e">
        <f t="shared" si="4"/>
        <v>#REF!</v>
      </c>
    </row>
    <row r="73" spans="2:16">
      <c r="B73" s="19">
        <v>1233165</v>
      </c>
      <c r="C73" s="9">
        <v>0</v>
      </c>
      <c r="D73" s="9">
        <v>0</v>
      </c>
      <c r="E73" s="9">
        <v>0</v>
      </c>
      <c r="F73" s="9">
        <v>0</v>
      </c>
      <c r="G73" s="9">
        <v>750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N73" s="9">
        <f t="shared" si="3"/>
        <v>750</v>
      </c>
      <c r="O73" s="9" t="e">
        <f>VLOOKUP(B73,#REF!,36,0)</f>
        <v>#REF!</v>
      </c>
      <c r="P73" s="78" t="e">
        <f t="shared" si="4"/>
        <v>#REF!</v>
      </c>
    </row>
    <row r="74" spans="2:16">
      <c r="B74" s="19">
        <v>1233383</v>
      </c>
      <c r="C74" s="9">
        <v>0</v>
      </c>
      <c r="D74" s="9">
        <v>0</v>
      </c>
      <c r="E74" s="9">
        <v>0</v>
      </c>
      <c r="F74" s="9">
        <v>154</v>
      </c>
      <c r="G74" s="9">
        <v>0</v>
      </c>
      <c r="H74" s="9">
        <v>0</v>
      </c>
      <c r="I74" s="9">
        <v>0</v>
      </c>
      <c r="J74" s="9">
        <v>0</v>
      </c>
      <c r="K74" s="9">
        <v>159</v>
      </c>
      <c r="L74" s="9">
        <v>0</v>
      </c>
      <c r="N74" s="9">
        <f t="shared" ref="N74:N109" si="5">SUM(C74:L74)</f>
        <v>313</v>
      </c>
      <c r="O74" s="9" t="e">
        <f>VLOOKUP(B74,#REF!,36,0)</f>
        <v>#REF!</v>
      </c>
      <c r="P74" s="78" t="e">
        <f t="shared" ref="P74:P109" si="6">+N74-O74</f>
        <v>#REF!</v>
      </c>
    </row>
    <row r="75" spans="2:16">
      <c r="B75" s="19">
        <v>1233384</v>
      </c>
      <c r="C75" s="9">
        <v>0</v>
      </c>
      <c r="D75" s="9">
        <v>400</v>
      </c>
      <c r="E75" s="9">
        <v>0</v>
      </c>
      <c r="F75" s="9">
        <v>0</v>
      </c>
      <c r="G75" s="9">
        <v>200</v>
      </c>
      <c r="H75" s="9">
        <v>0</v>
      </c>
      <c r="I75" s="9">
        <v>200</v>
      </c>
      <c r="J75" s="9">
        <v>300</v>
      </c>
      <c r="K75" s="9">
        <v>300</v>
      </c>
      <c r="L75" s="9">
        <v>500</v>
      </c>
      <c r="N75" s="9">
        <f t="shared" si="5"/>
        <v>1900</v>
      </c>
      <c r="O75" s="9" t="e">
        <f>VLOOKUP(B75,#REF!,36,0)</f>
        <v>#REF!</v>
      </c>
      <c r="P75" s="78" t="e">
        <f t="shared" si="6"/>
        <v>#REF!</v>
      </c>
    </row>
    <row r="76" spans="2:16">
      <c r="B76" s="19">
        <v>1233385</v>
      </c>
      <c r="C76" s="9">
        <v>240</v>
      </c>
      <c r="D76" s="9">
        <v>0</v>
      </c>
      <c r="E76" s="9">
        <v>0</v>
      </c>
      <c r="F76" s="9">
        <v>0</v>
      </c>
      <c r="G76" s="9">
        <v>168</v>
      </c>
      <c r="H76" s="9">
        <v>0</v>
      </c>
      <c r="I76" s="9">
        <v>0</v>
      </c>
      <c r="J76" s="9">
        <v>0</v>
      </c>
      <c r="K76" s="9">
        <v>0</v>
      </c>
      <c r="L76" s="9">
        <v>192</v>
      </c>
      <c r="N76" s="9">
        <f t="shared" si="5"/>
        <v>600</v>
      </c>
      <c r="O76" s="9" t="e">
        <f>VLOOKUP(B76,#REF!,36,0)</f>
        <v>#REF!</v>
      </c>
      <c r="P76" s="78" t="e">
        <f t="shared" si="6"/>
        <v>#REF!</v>
      </c>
    </row>
    <row r="77" spans="2:16">
      <c r="B77" s="19">
        <v>1233386</v>
      </c>
      <c r="C77" s="9">
        <v>0</v>
      </c>
      <c r="D77" s="9">
        <v>0</v>
      </c>
      <c r="E77" s="9">
        <v>350</v>
      </c>
      <c r="F77" s="9">
        <v>0</v>
      </c>
      <c r="G77" s="9">
        <v>0</v>
      </c>
      <c r="H77" s="9">
        <v>0</v>
      </c>
      <c r="I77" s="9">
        <v>350</v>
      </c>
      <c r="J77" s="9">
        <v>0</v>
      </c>
      <c r="K77" s="9">
        <v>0</v>
      </c>
      <c r="L77" s="9">
        <v>0</v>
      </c>
      <c r="N77" s="9">
        <f t="shared" si="5"/>
        <v>700</v>
      </c>
      <c r="O77" s="9" t="e">
        <f>VLOOKUP(B77,#REF!,36,0)</f>
        <v>#REF!</v>
      </c>
      <c r="P77" s="78" t="e">
        <f t="shared" si="6"/>
        <v>#REF!</v>
      </c>
    </row>
    <row r="78" spans="2:16">
      <c r="B78" s="19">
        <v>1233387</v>
      </c>
      <c r="C78" s="9">
        <v>0</v>
      </c>
      <c r="D78" s="9">
        <v>128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187</v>
      </c>
      <c r="L78" s="9">
        <v>0</v>
      </c>
      <c r="N78" s="9">
        <f t="shared" si="5"/>
        <v>315</v>
      </c>
      <c r="O78" s="9" t="e">
        <f>VLOOKUP(B78,#REF!,36,0)</f>
        <v>#REF!</v>
      </c>
      <c r="P78" s="78" t="e">
        <f t="shared" si="6"/>
        <v>#REF!</v>
      </c>
    </row>
    <row r="79" spans="2:16">
      <c r="B79" s="19">
        <v>1233580</v>
      </c>
      <c r="C79" s="9">
        <v>0</v>
      </c>
      <c r="D79" s="9">
        <v>0</v>
      </c>
      <c r="E79" s="9">
        <v>0</v>
      </c>
      <c r="F79" s="9">
        <v>200</v>
      </c>
      <c r="G79" s="9">
        <v>0</v>
      </c>
      <c r="H79" s="9">
        <v>0</v>
      </c>
      <c r="I79" s="9">
        <v>0</v>
      </c>
      <c r="J79" s="9">
        <v>0</v>
      </c>
      <c r="K79" s="9">
        <v>50</v>
      </c>
      <c r="L79" s="9">
        <v>0</v>
      </c>
      <c r="N79" s="9">
        <f t="shared" si="5"/>
        <v>250</v>
      </c>
      <c r="O79" s="9" t="e">
        <f>VLOOKUP(B79,#REF!,36,0)</f>
        <v>#REF!</v>
      </c>
      <c r="P79" s="78" t="e">
        <f t="shared" si="6"/>
        <v>#REF!</v>
      </c>
    </row>
    <row r="80" spans="2:16">
      <c r="B80" s="19">
        <v>1233587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10</v>
      </c>
      <c r="L80" s="9">
        <v>0</v>
      </c>
      <c r="N80" s="9">
        <f t="shared" si="5"/>
        <v>10</v>
      </c>
      <c r="O80" s="9" t="e">
        <f>VLOOKUP(B80,#REF!,36,0)</f>
        <v>#REF!</v>
      </c>
      <c r="P80" s="78" t="e">
        <f t="shared" si="6"/>
        <v>#REF!</v>
      </c>
    </row>
    <row r="81" spans="2:16">
      <c r="B81" s="19">
        <v>1234110</v>
      </c>
      <c r="C81" s="9">
        <v>0</v>
      </c>
      <c r="D81" s="9">
        <v>0</v>
      </c>
      <c r="E81" s="9">
        <v>0</v>
      </c>
      <c r="F81" s="9">
        <v>0</v>
      </c>
      <c r="G81" s="9">
        <v>50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N81" s="9">
        <f t="shared" si="5"/>
        <v>50</v>
      </c>
      <c r="O81" s="9" t="e">
        <f>VLOOKUP(B81,#REF!,36,0)</f>
        <v>#REF!</v>
      </c>
      <c r="P81" s="78" t="e">
        <f t="shared" si="6"/>
        <v>#REF!</v>
      </c>
    </row>
    <row r="82" spans="2:16">
      <c r="B82" s="19">
        <v>1234111</v>
      </c>
      <c r="C82" s="9">
        <v>0</v>
      </c>
      <c r="D82" s="9">
        <v>0</v>
      </c>
      <c r="E82" s="9">
        <v>0</v>
      </c>
      <c r="F82" s="9">
        <v>0</v>
      </c>
      <c r="G82" s="9">
        <v>50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N82" s="9">
        <f t="shared" si="5"/>
        <v>50</v>
      </c>
      <c r="O82" s="9" t="e">
        <f>VLOOKUP(B82,#REF!,36,0)</f>
        <v>#REF!</v>
      </c>
      <c r="P82" s="78" t="e">
        <f t="shared" si="6"/>
        <v>#REF!</v>
      </c>
    </row>
    <row r="83" spans="2:16">
      <c r="B83" s="19">
        <v>1234217</v>
      </c>
      <c r="C83" s="9">
        <v>0</v>
      </c>
      <c r="D83" s="9">
        <v>0</v>
      </c>
      <c r="E83" s="9">
        <v>0</v>
      </c>
      <c r="F83" s="9">
        <v>0</v>
      </c>
      <c r="G83" s="9">
        <v>50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N83" s="9">
        <f t="shared" si="5"/>
        <v>50</v>
      </c>
      <c r="O83" s="9" t="e">
        <f>VLOOKUP(B83,#REF!,36,0)</f>
        <v>#REF!</v>
      </c>
      <c r="P83" s="78" t="e">
        <f t="shared" si="6"/>
        <v>#REF!</v>
      </c>
    </row>
    <row r="84" spans="2:16">
      <c r="B84" s="19">
        <v>1234222</v>
      </c>
      <c r="C84" s="9">
        <v>796</v>
      </c>
      <c r="D84" s="9">
        <v>369</v>
      </c>
      <c r="E84" s="9">
        <v>0</v>
      </c>
      <c r="F84" s="9">
        <v>0</v>
      </c>
      <c r="G84" s="9">
        <v>777</v>
      </c>
      <c r="H84" s="9">
        <v>0</v>
      </c>
      <c r="I84" s="9">
        <v>0</v>
      </c>
      <c r="J84" s="9">
        <v>0</v>
      </c>
      <c r="K84" s="9">
        <v>868</v>
      </c>
      <c r="L84" s="9">
        <v>0</v>
      </c>
      <c r="N84" s="9">
        <f t="shared" si="5"/>
        <v>2810</v>
      </c>
      <c r="O84" s="9" t="e">
        <f>VLOOKUP(B84,#REF!,36,0)</f>
        <v>#REF!</v>
      </c>
      <c r="P84" s="78" t="e">
        <f t="shared" si="6"/>
        <v>#REF!</v>
      </c>
    </row>
    <row r="85" spans="2:16" s="21" customFormat="1">
      <c r="B85" s="166">
        <v>1234614</v>
      </c>
      <c r="C85" s="63">
        <v>0</v>
      </c>
      <c r="D85" s="63">
        <v>0</v>
      </c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324</v>
      </c>
      <c r="L85" s="63">
        <v>0</v>
      </c>
      <c r="N85" s="63">
        <f t="shared" si="5"/>
        <v>324</v>
      </c>
      <c r="O85" s="63" t="e">
        <f>VLOOKUP(B85,#REF!,36,0)</f>
        <v>#REF!</v>
      </c>
      <c r="P85" s="167" t="e">
        <f t="shared" si="6"/>
        <v>#REF!</v>
      </c>
    </row>
    <row r="86" spans="2:16">
      <c r="B86" s="19">
        <v>1234905</v>
      </c>
      <c r="C86" s="9">
        <v>0</v>
      </c>
      <c r="D86" s="9">
        <v>100</v>
      </c>
      <c r="E86" s="9">
        <v>650</v>
      </c>
      <c r="F86" s="9">
        <v>600</v>
      </c>
      <c r="G86" s="9">
        <v>1041</v>
      </c>
      <c r="H86" s="9">
        <v>1150</v>
      </c>
      <c r="I86" s="9">
        <v>500</v>
      </c>
      <c r="J86" s="9">
        <v>900</v>
      </c>
      <c r="K86" s="9">
        <v>1000</v>
      </c>
      <c r="L86" s="9">
        <v>1602</v>
      </c>
      <c r="N86" s="9">
        <f t="shared" si="5"/>
        <v>7543</v>
      </c>
      <c r="O86" s="9" t="e">
        <f>VLOOKUP(B86,#REF!,36,0)</f>
        <v>#REF!</v>
      </c>
      <c r="P86" s="78" t="e">
        <f t="shared" si="6"/>
        <v>#REF!</v>
      </c>
    </row>
    <row r="87" spans="2:16">
      <c r="B87" s="19">
        <v>1235097</v>
      </c>
      <c r="C87" s="9">
        <v>0</v>
      </c>
      <c r="D87" s="9">
        <v>0</v>
      </c>
      <c r="E87" s="9">
        <v>0</v>
      </c>
      <c r="F87" s="9">
        <v>410</v>
      </c>
      <c r="G87" s="9">
        <v>0</v>
      </c>
      <c r="H87" s="9">
        <v>0</v>
      </c>
      <c r="I87" s="9">
        <v>0</v>
      </c>
      <c r="J87" s="9">
        <v>200</v>
      </c>
      <c r="K87" s="9">
        <v>190</v>
      </c>
      <c r="L87" s="9">
        <v>431</v>
      </c>
      <c r="N87" s="9">
        <f t="shared" si="5"/>
        <v>1231</v>
      </c>
      <c r="O87" s="9" t="e">
        <f>VLOOKUP(B87,#REF!,36,0)</f>
        <v>#REF!</v>
      </c>
      <c r="P87" s="78" t="e">
        <f t="shared" si="6"/>
        <v>#REF!</v>
      </c>
    </row>
    <row r="88" spans="2:16">
      <c r="B88" s="19">
        <v>1235845</v>
      </c>
      <c r="C88" s="9">
        <v>0</v>
      </c>
      <c r="D88" s="9">
        <v>900</v>
      </c>
      <c r="E88" s="9">
        <v>0</v>
      </c>
      <c r="F88" s="9">
        <v>0</v>
      </c>
      <c r="G88" s="9">
        <v>337</v>
      </c>
      <c r="H88" s="9">
        <v>0</v>
      </c>
      <c r="I88" s="9">
        <v>0</v>
      </c>
      <c r="J88" s="9">
        <v>0</v>
      </c>
      <c r="K88" s="9">
        <v>514</v>
      </c>
      <c r="L88" s="9">
        <v>0</v>
      </c>
      <c r="N88" s="9">
        <f t="shared" si="5"/>
        <v>1751</v>
      </c>
      <c r="O88" s="9" t="e">
        <f>VLOOKUP(B88,#REF!,36,0)</f>
        <v>#REF!</v>
      </c>
      <c r="P88" s="78" t="e">
        <f t="shared" si="6"/>
        <v>#REF!</v>
      </c>
    </row>
    <row r="89" spans="2:16">
      <c r="B89" s="19">
        <v>1236387</v>
      </c>
      <c r="C89" s="9">
        <v>0</v>
      </c>
      <c r="D89" s="9">
        <v>0</v>
      </c>
      <c r="E89" s="9">
        <v>692</v>
      </c>
      <c r="F89" s="9">
        <v>700</v>
      </c>
      <c r="G89" s="9">
        <v>500</v>
      </c>
      <c r="H89" s="9">
        <v>600</v>
      </c>
      <c r="I89" s="9">
        <v>300</v>
      </c>
      <c r="J89" s="9">
        <v>450</v>
      </c>
      <c r="K89" s="9">
        <v>600</v>
      </c>
      <c r="L89" s="9">
        <v>1300</v>
      </c>
      <c r="N89" s="9">
        <f t="shared" si="5"/>
        <v>5142</v>
      </c>
      <c r="O89" s="9" t="e">
        <f>VLOOKUP(B89,#REF!,36,0)</f>
        <v>#REF!</v>
      </c>
      <c r="P89" s="78" t="e">
        <f t="shared" si="6"/>
        <v>#REF!</v>
      </c>
    </row>
    <row r="90" spans="2:16">
      <c r="B90" s="19">
        <v>1236600</v>
      </c>
      <c r="C90" s="9">
        <v>0</v>
      </c>
      <c r="D90" s="9">
        <v>80</v>
      </c>
      <c r="E90" s="9">
        <v>0</v>
      </c>
      <c r="F90" s="9">
        <v>878</v>
      </c>
      <c r="G90" s="9">
        <v>0</v>
      </c>
      <c r="H90" s="9">
        <v>0</v>
      </c>
      <c r="I90" s="9">
        <v>0</v>
      </c>
      <c r="J90" s="9">
        <v>0</v>
      </c>
      <c r="K90" s="9">
        <v>935</v>
      </c>
      <c r="L90" s="9">
        <v>0</v>
      </c>
      <c r="N90" s="9">
        <f t="shared" si="5"/>
        <v>1893</v>
      </c>
      <c r="O90" s="9" t="e">
        <f>VLOOKUP(B90,#REF!,36,0)</f>
        <v>#REF!</v>
      </c>
      <c r="P90" s="78" t="e">
        <f t="shared" si="6"/>
        <v>#REF!</v>
      </c>
    </row>
    <row r="91" spans="2:16">
      <c r="B91" s="19">
        <v>1236601</v>
      </c>
      <c r="C91" s="9">
        <v>0</v>
      </c>
      <c r="D91" s="9">
        <v>0</v>
      </c>
      <c r="E91" s="9">
        <v>0</v>
      </c>
      <c r="F91" s="9">
        <v>112</v>
      </c>
      <c r="G91" s="9">
        <v>0</v>
      </c>
      <c r="H91" s="9">
        <v>0</v>
      </c>
      <c r="I91" s="9">
        <v>0</v>
      </c>
      <c r="J91" s="9">
        <v>0</v>
      </c>
      <c r="K91" s="9">
        <v>107</v>
      </c>
      <c r="L91" s="9">
        <v>0</v>
      </c>
      <c r="N91" s="9">
        <f t="shared" si="5"/>
        <v>219</v>
      </c>
      <c r="O91" s="9" t="e">
        <f>VLOOKUP(B91,#REF!,36,0)</f>
        <v>#REF!</v>
      </c>
      <c r="P91" s="78" t="e">
        <f t="shared" si="6"/>
        <v>#REF!</v>
      </c>
    </row>
    <row r="92" spans="2:16">
      <c r="B92" s="19">
        <v>1236619</v>
      </c>
      <c r="C92" s="9">
        <v>0</v>
      </c>
      <c r="D92" s="9">
        <v>0</v>
      </c>
      <c r="E92" s="9">
        <v>0</v>
      </c>
      <c r="F92" s="9">
        <v>180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N92" s="9">
        <f t="shared" si="5"/>
        <v>180</v>
      </c>
      <c r="O92" s="9" t="e">
        <f>VLOOKUP(B92,#REF!,36,0)</f>
        <v>#REF!</v>
      </c>
      <c r="P92" s="78" t="e">
        <f t="shared" si="6"/>
        <v>#REF!</v>
      </c>
    </row>
    <row r="93" spans="2:16">
      <c r="B93" s="19">
        <v>1236930</v>
      </c>
      <c r="C93" s="9">
        <v>1940</v>
      </c>
      <c r="D93" s="9">
        <v>300</v>
      </c>
      <c r="E93" s="9">
        <v>1018</v>
      </c>
      <c r="F93" s="9">
        <v>555</v>
      </c>
      <c r="G93" s="9">
        <v>1645</v>
      </c>
      <c r="H93" s="9">
        <v>1104</v>
      </c>
      <c r="I93" s="9">
        <v>2050</v>
      </c>
      <c r="J93" s="9">
        <v>900</v>
      </c>
      <c r="K93" s="9">
        <v>1150</v>
      </c>
      <c r="L93" s="9">
        <v>1974</v>
      </c>
      <c r="N93" s="9">
        <f t="shared" si="5"/>
        <v>12636</v>
      </c>
      <c r="O93" s="9" t="e">
        <f>VLOOKUP(B93,#REF!,36,0)</f>
        <v>#REF!</v>
      </c>
      <c r="P93" s="78" t="e">
        <f t="shared" si="6"/>
        <v>#REF!</v>
      </c>
    </row>
    <row r="94" spans="2:16">
      <c r="B94" s="19">
        <v>1237210</v>
      </c>
      <c r="C94" s="9">
        <v>324</v>
      </c>
      <c r="D94" s="9">
        <v>0</v>
      </c>
      <c r="E94" s="9">
        <v>0</v>
      </c>
      <c r="F94" s="9">
        <v>160</v>
      </c>
      <c r="G94" s="9">
        <v>375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N94" s="9">
        <f t="shared" si="5"/>
        <v>859</v>
      </c>
      <c r="O94" s="9" t="e">
        <f>VLOOKUP(B94,#REF!,36,0)</f>
        <v>#REF!</v>
      </c>
      <c r="P94" s="78" t="e">
        <f t="shared" si="6"/>
        <v>#REF!</v>
      </c>
    </row>
    <row r="95" spans="2:16">
      <c r="B95" s="19">
        <v>1237386</v>
      </c>
      <c r="C95" s="9">
        <v>0</v>
      </c>
      <c r="D95" s="9">
        <v>0</v>
      </c>
      <c r="E95" s="9">
        <v>0</v>
      </c>
      <c r="F95" s="9">
        <v>255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N95" s="9">
        <f t="shared" si="5"/>
        <v>255</v>
      </c>
      <c r="O95" s="9" t="e">
        <f>VLOOKUP(B95,#REF!,36,0)</f>
        <v>#REF!</v>
      </c>
      <c r="P95" s="78" t="e">
        <f t="shared" si="6"/>
        <v>#REF!</v>
      </c>
    </row>
    <row r="96" spans="2:16">
      <c r="B96" s="19">
        <v>1237457</v>
      </c>
      <c r="C96" s="9">
        <v>0</v>
      </c>
      <c r="D96" s="9">
        <v>0</v>
      </c>
      <c r="E96" s="9">
        <v>0</v>
      </c>
      <c r="F96" s="9">
        <v>108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N96" s="9">
        <f t="shared" si="5"/>
        <v>108</v>
      </c>
      <c r="O96" s="9" t="e">
        <f>VLOOKUP(B96,#REF!,36,0)</f>
        <v>#REF!</v>
      </c>
      <c r="P96" s="78" t="e">
        <f t="shared" si="6"/>
        <v>#REF!</v>
      </c>
    </row>
    <row r="97" spans="2:16">
      <c r="B97" s="19">
        <v>1237468</v>
      </c>
      <c r="C97" s="9">
        <v>192</v>
      </c>
      <c r="D97" s="9">
        <v>0</v>
      </c>
      <c r="E97" s="9">
        <v>192</v>
      </c>
      <c r="F97" s="9">
        <v>86</v>
      </c>
      <c r="G97" s="9">
        <v>0</v>
      </c>
      <c r="H97" s="9">
        <v>0</v>
      </c>
      <c r="I97" s="9">
        <v>0</v>
      </c>
      <c r="J97" s="9">
        <v>0</v>
      </c>
      <c r="K97" s="9">
        <v>183</v>
      </c>
      <c r="L97" s="9">
        <v>0</v>
      </c>
      <c r="N97" s="9">
        <f t="shared" si="5"/>
        <v>653</v>
      </c>
      <c r="O97" s="9" t="e">
        <f>VLOOKUP(B97,#REF!,36,0)</f>
        <v>#REF!</v>
      </c>
      <c r="P97" s="78" t="e">
        <f t="shared" si="6"/>
        <v>#REF!</v>
      </c>
    </row>
    <row r="98" spans="2:16">
      <c r="B98" s="19">
        <v>1238453</v>
      </c>
      <c r="C98" s="9">
        <v>302</v>
      </c>
      <c r="D98" s="9">
        <v>0</v>
      </c>
      <c r="E98" s="9">
        <v>0</v>
      </c>
      <c r="F98" s="9">
        <v>248</v>
      </c>
      <c r="G98" s="9">
        <v>0</v>
      </c>
      <c r="H98" s="9">
        <v>0</v>
      </c>
      <c r="I98" s="9">
        <v>0</v>
      </c>
      <c r="J98" s="9">
        <v>0</v>
      </c>
      <c r="K98" s="9">
        <v>191</v>
      </c>
      <c r="L98" s="9">
        <v>0</v>
      </c>
      <c r="N98" s="9">
        <f t="shared" si="5"/>
        <v>741</v>
      </c>
      <c r="O98" s="9" t="e">
        <f>VLOOKUP(B98,#REF!,36,0)</f>
        <v>#REF!</v>
      </c>
      <c r="P98" s="78" t="e">
        <f t="shared" si="6"/>
        <v>#REF!</v>
      </c>
    </row>
    <row r="99" spans="2:16">
      <c r="B99" s="19">
        <v>1238480</v>
      </c>
      <c r="C99" s="9">
        <v>7297</v>
      </c>
      <c r="D99" s="9">
        <v>4963</v>
      </c>
      <c r="E99" s="9">
        <v>5850</v>
      </c>
      <c r="F99" s="9">
        <v>1210</v>
      </c>
      <c r="G99" s="9">
        <v>1450</v>
      </c>
      <c r="H99" s="9">
        <v>14230</v>
      </c>
      <c r="I99" s="9">
        <v>1780</v>
      </c>
      <c r="J99" s="9">
        <v>900</v>
      </c>
      <c r="K99" s="9">
        <v>800</v>
      </c>
      <c r="L99" s="9">
        <v>14840</v>
      </c>
      <c r="N99" s="9">
        <f t="shared" si="5"/>
        <v>53320</v>
      </c>
      <c r="O99" s="9" t="e">
        <f>VLOOKUP(B99,#REF!,36,0)</f>
        <v>#REF!</v>
      </c>
      <c r="P99" s="78" t="e">
        <f t="shared" si="6"/>
        <v>#REF!</v>
      </c>
    </row>
    <row r="100" spans="2:16">
      <c r="B100" s="19">
        <v>1238605</v>
      </c>
      <c r="C100" s="9">
        <v>203</v>
      </c>
      <c r="D100" s="9">
        <v>0</v>
      </c>
      <c r="E100" s="9">
        <v>0</v>
      </c>
      <c r="F100" s="9">
        <v>450</v>
      </c>
      <c r="G100" s="9">
        <v>1255</v>
      </c>
      <c r="H100" s="9">
        <v>0</v>
      </c>
      <c r="I100" s="9">
        <v>0</v>
      </c>
      <c r="J100" s="9">
        <v>0</v>
      </c>
      <c r="K100" s="9">
        <v>861</v>
      </c>
      <c r="L100" s="9">
        <v>350</v>
      </c>
      <c r="N100" s="9">
        <f t="shared" si="5"/>
        <v>3119</v>
      </c>
      <c r="O100" s="9" t="e">
        <f>VLOOKUP(B100,#REF!,36,0)</f>
        <v>#REF!</v>
      </c>
      <c r="P100" s="78" t="e">
        <f t="shared" si="6"/>
        <v>#REF!</v>
      </c>
    </row>
    <row r="101" spans="2:16">
      <c r="B101" s="19">
        <v>1240029</v>
      </c>
      <c r="C101" s="9">
        <v>0</v>
      </c>
      <c r="D101" s="9">
        <v>0</v>
      </c>
      <c r="E101" s="9">
        <v>0</v>
      </c>
      <c r="F101" s="9">
        <v>0</v>
      </c>
      <c r="G101" s="9">
        <v>800</v>
      </c>
      <c r="H101" s="9">
        <v>0</v>
      </c>
      <c r="I101" s="9">
        <v>0</v>
      </c>
      <c r="J101" s="9">
        <v>200</v>
      </c>
      <c r="K101" s="9">
        <v>600</v>
      </c>
      <c r="L101" s="9">
        <v>0</v>
      </c>
      <c r="N101" s="9">
        <f t="shared" si="5"/>
        <v>1600</v>
      </c>
      <c r="O101" s="9" t="e">
        <f>VLOOKUP(B101,#REF!,36,0)</f>
        <v>#REF!</v>
      </c>
      <c r="P101" s="78" t="e">
        <f t="shared" si="6"/>
        <v>#REF!</v>
      </c>
    </row>
    <row r="102" spans="2:16">
      <c r="B102" s="19">
        <v>1240032</v>
      </c>
      <c r="C102" s="9">
        <v>0</v>
      </c>
      <c r="D102" s="9">
        <v>0</v>
      </c>
      <c r="E102" s="9">
        <v>0</v>
      </c>
      <c r="F102" s="9">
        <v>0</v>
      </c>
      <c r="G102" s="9">
        <v>800</v>
      </c>
      <c r="H102" s="9">
        <v>0</v>
      </c>
      <c r="I102" s="9">
        <v>0</v>
      </c>
      <c r="J102" s="9">
        <v>200</v>
      </c>
      <c r="K102" s="9">
        <v>600</v>
      </c>
      <c r="L102" s="9">
        <v>0</v>
      </c>
      <c r="N102" s="9">
        <f t="shared" si="5"/>
        <v>1600</v>
      </c>
      <c r="O102" s="9" t="e">
        <f>VLOOKUP(B102,#REF!,36,0)</f>
        <v>#REF!</v>
      </c>
      <c r="P102" s="78" t="e">
        <f t="shared" si="6"/>
        <v>#REF!</v>
      </c>
    </row>
    <row r="103" spans="2:16" s="21" customFormat="1">
      <c r="B103" s="166">
        <v>1240180</v>
      </c>
      <c r="C103" s="63">
        <v>528</v>
      </c>
      <c r="D103" s="63">
        <v>0</v>
      </c>
      <c r="E103" s="63">
        <v>0</v>
      </c>
      <c r="F103" s="63">
        <v>161</v>
      </c>
      <c r="G103" s="63">
        <v>250</v>
      </c>
      <c r="H103" s="63">
        <v>0</v>
      </c>
      <c r="I103" s="63">
        <v>0</v>
      </c>
      <c r="J103" s="63">
        <v>0</v>
      </c>
      <c r="K103" s="63">
        <v>300</v>
      </c>
      <c r="L103" s="63">
        <v>400</v>
      </c>
      <c r="N103" s="63">
        <f t="shared" si="5"/>
        <v>1639</v>
      </c>
      <c r="O103" s="63" t="e">
        <f>VLOOKUP(B103,#REF!,36,0)</f>
        <v>#REF!</v>
      </c>
      <c r="P103" s="167" t="e">
        <f t="shared" si="6"/>
        <v>#REF!</v>
      </c>
    </row>
    <row r="104" spans="2:16" s="21" customFormat="1">
      <c r="B104" s="166">
        <v>1240184</v>
      </c>
      <c r="C104" s="63">
        <v>528</v>
      </c>
      <c r="D104" s="63">
        <v>0</v>
      </c>
      <c r="E104" s="63">
        <v>0</v>
      </c>
      <c r="F104" s="63">
        <v>161</v>
      </c>
      <c r="G104" s="63">
        <v>250</v>
      </c>
      <c r="H104" s="63">
        <v>0</v>
      </c>
      <c r="I104" s="63">
        <v>0</v>
      </c>
      <c r="J104" s="63">
        <v>0</v>
      </c>
      <c r="K104" s="63">
        <v>300</v>
      </c>
      <c r="L104" s="63">
        <v>400</v>
      </c>
      <c r="N104" s="63">
        <f t="shared" si="5"/>
        <v>1639</v>
      </c>
      <c r="O104" s="63" t="e">
        <f>VLOOKUP(B104,#REF!,36,0)</f>
        <v>#REF!</v>
      </c>
      <c r="P104" s="167" t="e">
        <f t="shared" si="6"/>
        <v>#REF!</v>
      </c>
    </row>
    <row r="105" spans="2:16">
      <c r="B105" s="19">
        <v>1241343</v>
      </c>
      <c r="C105" s="9">
        <v>0</v>
      </c>
      <c r="D105" s="9">
        <v>0</v>
      </c>
      <c r="E105" s="9">
        <v>0</v>
      </c>
      <c r="F105" s="9">
        <v>0</v>
      </c>
      <c r="G105" s="9">
        <v>20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N105" s="9">
        <f t="shared" si="5"/>
        <v>20</v>
      </c>
      <c r="O105" s="9" t="e">
        <f>VLOOKUP(B105,#REF!,36,0)</f>
        <v>#REF!</v>
      </c>
      <c r="P105" s="78" t="e">
        <f t="shared" si="6"/>
        <v>#REF!</v>
      </c>
    </row>
    <row r="106" spans="2:16">
      <c r="B106" s="19">
        <v>1241347</v>
      </c>
      <c r="C106" s="9">
        <v>0</v>
      </c>
      <c r="D106" s="9">
        <v>0</v>
      </c>
      <c r="E106" s="9">
        <v>0</v>
      </c>
      <c r="F106" s="9">
        <v>0</v>
      </c>
      <c r="G106" s="9">
        <v>20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N106" s="9">
        <f t="shared" si="5"/>
        <v>20</v>
      </c>
      <c r="O106" s="9" t="e">
        <f>VLOOKUP(B106,#REF!,36,0)</f>
        <v>#REF!</v>
      </c>
      <c r="P106" s="78" t="e">
        <f t="shared" si="6"/>
        <v>#REF!</v>
      </c>
    </row>
    <row r="107" spans="2:16">
      <c r="B107" s="19">
        <v>1241387</v>
      </c>
      <c r="C107" s="9">
        <v>0</v>
      </c>
      <c r="D107" s="9">
        <v>0</v>
      </c>
      <c r="E107" s="9">
        <v>0</v>
      </c>
      <c r="F107" s="9">
        <v>0</v>
      </c>
      <c r="G107" s="9">
        <v>151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N107" s="9">
        <f t="shared" si="5"/>
        <v>151</v>
      </c>
      <c r="O107" s="9" t="e">
        <f>VLOOKUP(B107,#REF!,36,0)</f>
        <v>#REF!</v>
      </c>
      <c r="P107" s="78" t="e">
        <f t="shared" si="6"/>
        <v>#REF!</v>
      </c>
    </row>
    <row r="108" spans="2:16">
      <c r="B108" s="19">
        <v>1241474</v>
      </c>
      <c r="C108" s="9">
        <v>0</v>
      </c>
      <c r="D108" s="9">
        <v>0</v>
      </c>
      <c r="E108" s="9">
        <v>0</v>
      </c>
      <c r="F108" s="9">
        <v>0</v>
      </c>
      <c r="G108" s="9">
        <v>37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N108" s="9">
        <f t="shared" si="5"/>
        <v>37</v>
      </c>
      <c r="O108" s="9" t="e">
        <f>VLOOKUP(B108,#REF!,36,0)</f>
        <v>#REF!</v>
      </c>
      <c r="P108" s="78" t="e">
        <f t="shared" si="6"/>
        <v>#REF!</v>
      </c>
    </row>
    <row r="109" spans="2:16">
      <c r="B109" s="19">
        <v>1241480</v>
      </c>
      <c r="C109" s="9">
        <v>0</v>
      </c>
      <c r="D109" s="9">
        <v>0</v>
      </c>
      <c r="E109" s="9">
        <v>0</v>
      </c>
      <c r="F109" s="9">
        <v>0</v>
      </c>
      <c r="G109" s="9">
        <v>26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N109" s="9">
        <f t="shared" si="5"/>
        <v>26</v>
      </c>
      <c r="O109" s="9" t="e">
        <f>VLOOKUP(B109,#REF!,36,0)</f>
        <v>#REF!</v>
      </c>
      <c r="P109" s="78" t="e">
        <f t="shared" si="6"/>
        <v>#REF!</v>
      </c>
    </row>
  </sheetData>
  <phoneticPr fontId="1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5F6E-BDBE-4D9F-AA56-606E544C63DD}">
  <dimension ref="A1:S52"/>
  <sheetViews>
    <sheetView zoomScale="160" zoomScaleNormal="160" workbookViewId="0">
      <selection activeCell="F12" sqref="F12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16384" width="9.33203125" style="5"/>
  </cols>
  <sheetData>
    <row r="1" spans="1:19">
      <c r="A1" s="74" t="s">
        <v>0</v>
      </c>
      <c r="B1" s="69" t="s">
        <v>792</v>
      </c>
      <c r="C1" s="69" t="s">
        <v>793</v>
      </c>
      <c r="D1" s="69" t="s">
        <v>794</v>
      </c>
      <c r="E1" s="70" t="s">
        <v>795</v>
      </c>
      <c r="F1" s="69" t="s">
        <v>816</v>
      </c>
      <c r="G1" s="69" t="s">
        <v>817</v>
      </c>
      <c r="H1" s="69" t="s">
        <v>818</v>
      </c>
      <c r="I1" s="69" t="s">
        <v>819</v>
      </c>
      <c r="J1" s="69" t="s">
        <v>820</v>
      </c>
      <c r="K1" s="69" t="s">
        <v>821</v>
      </c>
      <c r="L1" s="70" t="s">
        <v>822</v>
      </c>
      <c r="M1" s="69" t="s">
        <v>839</v>
      </c>
      <c r="N1" s="69" t="s">
        <v>840</v>
      </c>
      <c r="O1" s="69" t="s">
        <v>841</v>
      </c>
      <c r="P1" s="69" t="s">
        <v>842</v>
      </c>
      <c r="Q1" s="69" t="s">
        <v>843</v>
      </c>
      <c r="R1" s="69" t="s">
        <v>844</v>
      </c>
      <c r="S1" s="70" t="s">
        <v>845</v>
      </c>
    </row>
    <row r="2" spans="1:19">
      <c r="A2" s="30">
        <v>1226384</v>
      </c>
      <c r="B2" s="32">
        <v>260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</row>
    <row r="3" spans="1:19">
      <c r="A3" s="30">
        <v>1226388</v>
      </c>
      <c r="B3" s="32">
        <v>260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</row>
    <row r="4" spans="1:19">
      <c r="A4" s="30">
        <v>1227431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96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</row>
    <row r="5" spans="1:19">
      <c r="A5" s="30">
        <v>1227433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96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</row>
    <row r="6" spans="1:19">
      <c r="A6" s="30">
        <v>1229673</v>
      </c>
      <c r="B6" s="32">
        <v>250</v>
      </c>
      <c r="C6" s="32">
        <v>0</v>
      </c>
      <c r="D6" s="32">
        <v>0</v>
      </c>
      <c r="E6" s="32">
        <v>0</v>
      </c>
      <c r="F6" s="32">
        <v>300</v>
      </c>
      <c r="G6" s="17">
        <v>300</v>
      </c>
      <c r="H6" s="32">
        <v>300</v>
      </c>
      <c r="I6" s="32">
        <v>300</v>
      </c>
      <c r="J6" s="32">
        <v>116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</row>
    <row r="7" spans="1:19">
      <c r="A7" s="30">
        <v>1237088</v>
      </c>
      <c r="B7" s="32">
        <v>224</v>
      </c>
      <c r="C7" s="32">
        <v>440</v>
      </c>
      <c r="D7" s="32">
        <v>0</v>
      </c>
      <c r="E7" s="32">
        <v>0</v>
      </c>
      <c r="F7" s="32">
        <v>488</v>
      </c>
      <c r="G7" s="17">
        <v>1134</v>
      </c>
      <c r="H7" s="32">
        <v>854</v>
      </c>
      <c r="I7" s="32">
        <v>952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1698</v>
      </c>
      <c r="Q7" s="32">
        <v>914</v>
      </c>
      <c r="R7" s="32">
        <v>0</v>
      </c>
      <c r="S7" s="32">
        <v>0</v>
      </c>
    </row>
    <row r="8" spans="1:19">
      <c r="A8" s="30">
        <v>1236091</v>
      </c>
      <c r="B8" s="32">
        <v>0</v>
      </c>
      <c r="C8" s="32">
        <v>200</v>
      </c>
      <c r="D8" s="32">
        <v>0</v>
      </c>
      <c r="E8" s="32">
        <v>0</v>
      </c>
      <c r="F8" s="32">
        <v>0</v>
      </c>
      <c r="G8" s="32">
        <v>0</v>
      </c>
      <c r="H8" s="32">
        <v>150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</row>
    <row r="9" spans="1:19">
      <c r="A9" s="30">
        <v>1238128</v>
      </c>
      <c r="B9" s="32">
        <v>864</v>
      </c>
      <c r="C9" s="32">
        <v>190</v>
      </c>
      <c r="D9" s="32">
        <v>0</v>
      </c>
      <c r="E9" s="32">
        <v>0</v>
      </c>
      <c r="F9" s="32">
        <v>712</v>
      </c>
      <c r="G9" s="17">
        <v>1014</v>
      </c>
      <c r="H9" s="32">
        <v>548</v>
      </c>
      <c r="I9" s="32">
        <v>0</v>
      </c>
      <c r="J9" s="32">
        <v>378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378</v>
      </c>
      <c r="Q9" s="32">
        <v>378</v>
      </c>
      <c r="R9" s="32">
        <v>0</v>
      </c>
      <c r="S9" s="32">
        <v>0</v>
      </c>
    </row>
    <row r="10" spans="1:19">
      <c r="A10" s="30">
        <v>1236962</v>
      </c>
      <c r="B10" s="32">
        <v>132</v>
      </c>
      <c r="C10" s="32">
        <v>0</v>
      </c>
      <c r="D10" s="32">
        <v>0</v>
      </c>
      <c r="E10" s="32">
        <v>0</v>
      </c>
      <c r="F10" s="32">
        <v>300</v>
      </c>
      <c r="G10" s="32">
        <v>0</v>
      </c>
      <c r="H10" s="32">
        <v>300</v>
      </c>
      <c r="I10" s="32">
        <v>500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</row>
    <row r="11" spans="1:19">
      <c r="A11" s="30">
        <v>1233761</v>
      </c>
      <c r="B11" s="32">
        <v>200</v>
      </c>
      <c r="C11" s="32">
        <v>192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350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</row>
    <row r="12" spans="1:19">
      <c r="A12" s="30">
        <v>1239651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17">
        <v>500</v>
      </c>
      <c r="H12" s="32">
        <v>0</v>
      </c>
      <c r="I12" s="32">
        <v>100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</row>
    <row r="13" spans="1:19">
      <c r="A13" s="30">
        <v>1239988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17">
        <v>66</v>
      </c>
      <c r="H13" s="32">
        <v>506</v>
      </c>
      <c r="I13" s="32">
        <v>406</v>
      </c>
      <c r="J13" s="32">
        <v>356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356</v>
      </c>
      <c r="Q13" s="32">
        <v>294</v>
      </c>
      <c r="R13" s="32">
        <v>0</v>
      </c>
      <c r="S13" s="32">
        <v>0</v>
      </c>
    </row>
    <row r="14" spans="1:19">
      <c r="A14" s="30">
        <v>1240180</v>
      </c>
      <c r="B14" s="32">
        <v>470</v>
      </c>
      <c r="C14" s="32">
        <v>486</v>
      </c>
      <c r="D14" s="32">
        <v>0</v>
      </c>
      <c r="E14" s="32">
        <v>0</v>
      </c>
      <c r="F14" s="32">
        <v>380</v>
      </c>
      <c r="G14" s="17">
        <v>358</v>
      </c>
      <c r="H14" s="32">
        <v>142</v>
      </c>
      <c r="I14" s="32">
        <v>520</v>
      </c>
      <c r="J14" s="32">
        <v>574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100</v>
      </c>
      <c r="Q14" s="32">
        <v>34</v>
      </c>
      <c r="R14" s="32">
        <v>0</v>
      </c>
      <c r="S14" s="32">
        <v>0</v>
      </c>
    </row>
    <row r="15" spans="1:19">
      <c r="A15" s="30">
        <v>1240184</v>
      </c>
      <c r="B15" s="32">
        <v>470</v>
      </c>
      <c r="C15" s="32">
        <v>486</v>
      </c>
      <c r="D15" s="32">
        <v>0</v>
      </c>
      <c r="E15" s="32">
        <v>0</v>
      </c>
      <c r="F15" s="32">
        <v>380</v>
      </c>
      <c r="G15" s="17">
        <v>358</v>
      </c>
      <c r="H15" s="32">
        <v>142</v>
      </c>
      <c r="I15" s="32">
        <v>520</v>
      </c>
      <c r="J15" s="32">
        <v>574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100</v>
      </c>
      <c r="Q15" s="32">
        <v>34</v>
      </c>
      <c r="R15" s="32">
        <v>0</v>
      </c>
      <c r="S15" s="32">
        <v>0</v>
      </c>
    </row>
    <row r="16" spans="1:19">
      <c r="A16" s="30">
        <v>1240308</v>
      </c>
      <c r="B16" s="32">
        <v>350</v>
      </c>
      <c r="C16" s="32">
        <v>350</v>
      </c>
      <c r="D16" s="32">
        <v>0</v>
      </c>
      <c r="E16" s="32">
        <v>0</v>
      </c>
      <c r="F16" s="32">
        <v>300</v>
      </c>
      <c r="G16" s="32">
        <v>0</v>
      </c>
      <c r="H16" s="32">
        <v>0</v>
      </c>
      <c r="I16" s="32">
        <v>0</v>
      </c>
      <c r="J16" s="32">
        <v>730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300</v>
      </c>
      <c r="R16" s="32">
        <v>0</v>
      </c>
      <c r="S16" s="32">
        <v>0</v>
      </c>
    </row>
    <row r="17" spans="1:19">
      <c r="A17" s="30">
        <v>1241601</v>
      </c>
      <c r="B17" s="32">
        <v>1020</v>
      </c>
      <c r="C17" s="32">
        <v>768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776</v>
      </c>
      <c r="Q17" s="32">
        <v>660</v>
      </c>
      <c r="R17" s="32">
        <v>0</v>
      </c>
      <c r="S17" s="32">
        <v>0</v>
      </c>
    </row>
    <row r="20" spans="1:19">
      <c r="A20" s="5" t="s">
        <v>0</v>
      </c>
      <c r="B20" s="9" t="s">
        <v>792</v>
      </c>
      <c r="C20" s="9" t="s">
        <v>793</v>
      </c>
      <c r="D20" s="9" t="s">
        <v>794</v>
      </c>
      <c r="E20" s="9" t="s">
        <v>795</v>
      </c>
      <c r="F20" s="9" t="s">
        <v>816</v>
      </c>
      <c r="G20" s="9" t="s">
        <v>817</v>
      </c>
      <c r="H20" s="9" t="s">
        <v>818</v>
      </c>
      <c r="I20" s="9" t="s">
        <v>819</v>
      </c>
      <c r="J20" s="9" t="s">
        <v>820</v>
      </c>
      <c r="K20" s="9" t="s">
        <v>821</v>
      </c>
      <c r="L20" s="9" t="s">
        <v>822</v>
      </c>
      <c r="M20" s="9" t="s">
        <v>839</v>
      </c>
      <c r="N20" s="9" t="s">
        <v>840</v>
      </c>
      <c r="O20" s="9" t="s">
        <v>841</v>
      </c>
      <c r="P20" s="9" t="s">
        <v>842</v>
      </c>
      <c r="Q20" s="9" t="s">
        <v>843</v>
      </c>
      <c r="R20" s="9" t="s">
        <v>844</v>
      </c>
      <c r="S20" s="9" t="s">
        <v>845</v>
      </c>
    </row>
    <row r="21" spans="1:19">
      <c r="A21" s="5">
        <v>1232846</v>
      </c>
      <c r="B21" s="9">
        <v>0</v>
      </c>
      <c r="C21" s="9">
        <v>304</v>
      </c>
      <c r="D21" s="9">
        <v>0</v>
      </c>
      <c r="E21" s="9">
        <v>0</v>
      </c>
      <c r="F21" s="9">
        <v>448</v>
      </c>
      <c r="G21" s="18">
        <v>448</v>
      </c>
      <c r="H21" s="18">
        <v>94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</row>
    <row r="22" spans="1:19">
      <c r="A22" s="5">
        <v>1232895</v>
      </c>
      <c r="B22" s="9">
        <v>0</v>
      </c>
      <c r="C22" s="9">
        <v>304</v>
      </c>
      <c r="D22" s="9">
        <v>0</v>
      </c>
      <c r="E22" s="9">
        <v>0</v>
      </c>
      <c r="F22" s="9">
        <v>448</v>
      </c>
      <c r="G22" s="18">
        <v>448</v>
      </c>
      <c r="H22" s="18">
        <v>94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</row>
    <row r="23" spans="1:19">
      <c r="A23" s="5">
        <v>1233384</v>
      </c>
      <c r="B23" s="9">
        <v>0</v>
      </c>
      <c r="C23" s="9">
        <v>304</v>
      </c>
      <c r="D23" s="9">
        <v>0</v>
      </c>
      <c r="E23" s="9">
        <v>0</v>
      </c>
      <c r="F23" s="9">
        <v>448</v>
      </c>
      <c r="G23" s="18">
        <v>448</v>
      </c>
      <c r="H23" s="18">
        <v>94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</row>
    <row r="24" spans="1:19">
      <c r="A24" s="5">
        <v>1236387</v>
      </c>
      <c r="B24" s="9">
        <v>71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</row>
    <row r="25" spans="1:19">
      <c r="A25" s="5">
        <v>1232775</v>
      </c>
      <c r="B25" s="9">
        <v>248</v>
      </c>
      <c r="C25" s="9">
        <v>245</v>
      </c>
      <c r="D25" s="9">
        <v>0</v>
      </c>
      <c r="E25" s="9">
        <v>0</v>
      </c>
      <c r="F25" s="9">
        <v>7</v>
      </c>
      <c r="G25" s="9">
        <v>0</v>
      </c>
      <c r="H25" s="9">
        <v>165</v>
      </c>
      <c r="I25" s="9">
        <v>311</v>
      </c>
      <c r="J25" s="9">
        <v>229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283</v>
      </c>
      <c r="Q25" s="9">
        <v>245</v>
      </c>
      <c r="R25" s="9">
        <v>0</v>
      </c>
      <c r="S25" s="9">
        <v>0</v>
      </c>
    </row>
    <row r="26" spans="1:19">
      <c r="A26" s="5">
        <v>1238605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18">
        <v>175</v>
      </c>
      <c r="H26" s="9">
        <v>187</v>
      </c>
      <c r="I26" s="9">
        <v>237</v>
      </c>
      <c r="J26" s="9">
        <v>176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203</v>
      </c>
      <c r="Q26" s="9">
        <v>0</v>
      </c>
      <c r="R26" s="9">
        <v>0</v>
      </c>
      <c r="S26" s="9">
        <v>0</v>
      </c>
    </row>
    <row r="27" spans="1:19">
      <c r="A27" s="5">
        <v>1230685</v>
      </c>
      <c r="B27" s="9">
        <v>0</v>
      </c>
      <c r="C27" s="9">
        <v>0</v>
      </c>
      <c r="D27" s="9">
        <v>0</v>
      </c>
      <c r="E27" s="9">
        <v>0</v>
      </c>
      <c r="F27" s="9">
        <v>379</v>
      </c>
      <c r="G27" s="77">
        <v>71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</row>
    <row r="30" spans="1:19">
      <c r="A30" s="5" t="s">
        <v>0</v>
      </c>
      <c r="B30" s="9" t="s">
        <v>792</v>
      </c>
      <c r="C30" s="9" t="s">
        <v>793</v>
      </c>
      <c r="D30" s="9" t="s">
        <v>794</v>
      </c>
      <c r="E30" s="9" t="s">
        <v>795</v>
      </c>
      <c r="F30" s="9" t="s">
        <v>816</v>
      </c>
      <c r="G30" s="9" t="s">
        <v>817</v>
      </c>
      <c r="H30" s="9" t="s">
        <v>818</v>
      </c>
      <c r="I30" s="9" t="s">
        <v>819</v>
      </c>
      <c r="J30" s="9" t="s">
        <v>820</v>
      </c>
      <c r="K30" s="9" t="s">
        <v>821</v>
      </c>
      <c r="L30" s="9" t="s">
        <v>822</v>
      </c>
      <c r="M30" s="9" t="s">
        <v>839</v>
      </c>
      <c r="N30" s="9" t="s">
        <v>840</v>
      </c>
      <c r="O30" s="9" t="s">
        <v>841</v>
      </c>
      <c r="P30" s="9" t="s">
        <v>842</v>
      </c>
      <c r="Q30" s="9" t="s">
        <v>843</v>
      </c>
      <c r="R30" s="9" t="s">
        <v>844</v>
      </c>
      <c r="S30" s="9" t="s">
        <v>845</v>
      </c>
    </row>
    <row r="31" spans="1:19">
      <c r="A31" s="5">
        <v>1230692</v>
      </c>
      <c r="B31" s="9">
        <v>0</v>
      </c>
      <c r="C31" s="9">
        <v>0</v>
      </c>
      <c r="D31" s="9">
        <v>0</v>
      </c>
      <c r="E31" s="9">
        <v>0</v>
      </c>
      <c r="F31" s="9">
        <v>150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1:19">
      <c r="A32" s="5">
        <v>1221967</v>
      </c>
      <c r="B32" s="9">
        <v>210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</row>
    <row r="33" spans="1:19">
      <c r="A33" s="5">
        <v>1229088</v>
      </c>
      <c r="B33" s="9">
        <v>41</v>
      </c>
      <c r="C33" s="9">
        <v>587</v>
      </c>
      <c r="D33" s="9">
        <v>0</v>
      </c>
      <c r="E33" s="9">
        <v>0</v>
      </c>
      <c r="F33" s="9">
        <v>26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</row>
    <row r="34" spans="1:19">
      <c r="A34" s="5">
        <v>1231797</v>
      </c>
      <c r="B34" s="9">
        <v>0</v>
      </c>
      <c r="C34" s="9">
        <v>0</v>
      </c>
      <c r="D34" s="9">
        <v>0</v>
      </c>
      <c r="E34" s="9">
        <v>0</v>
      </c>
      <c r="F34" s="9">
        <v>100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</row>
    <row r="35" spans="1:19">
      <c r="A35" s="5">
        <v>1232693</v>
      </c>
      <c r="B35" s="9">
        <v>0</v>
      </c>
      <c r="C35" s="9">
        <v>0</v>
      </c>
      <c r="D35" s="9">
        <v>0</v>
      </c>
      <c r="E35" s="9">
        <v>0</v>
      </c>
      <c r="F35" s="98">
        <v>547</v>
      </c>
      <c r="G35" s="98">
        <v>188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spans="1:19">
      <c r="A36" s="5">
        <v>1233025</v>
      </c>
      <c r="B36" s="9">
        <v>0</v>
      </c>
      <c r="C36" s="9">
        <v>0</v>
      </c>
      <c r="D36" s="9">
        <v>0</v>
      </c>
      <c r="E36" s="9">
        <v>0</v>
      </c>
      <c r="F36" s="98">
        <v>547</v>
      </c>
      <c r="G36" s="98">
        <v>188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1:19">
      <c r="A37" s="5">
        <v>1232528</v>
      </c>
      <c r="B37" s="9">
        <v>686</v>
      </c>
      <c r="C37" s="9">
        <v>539</v>
      </c>
      <c r="D37" s="9">
        <v>0</v>
      </c>
      <c r="E37" s="9">
        <v>0</v>
      </c>
      <c r="F37" s="9">
        <v>527</v>
      </c>
      <c r="G37" s="9">
        <v>176</v>
      </c>
      <c r="H37" s="9">
        <v>539</v>
      </c>
      <c r="I37" s="9">
        <v>554</v>
      </c>
      <c r="J37" s="9">
        <v>539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539</v>
      </c>
      <c r="Q37" s="9">
        <v>57</v>
      </c>
      <c r="R37" s="9">
        <v>0</v>
      </c>
      <c r="S37" s="9">
        <v>0</v>
      </c>
    </row>
    <row r="38" spans="1:19">
      <c r="A38" s="5">
        <v>1232846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18">
        <v>742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5">
        <v>1231090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210</v>
      </c>
      <c r="I39" s="9">
        <v>30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5">
        <v>1233383</v>
      </c>
      <c r="B40" s="9">
        <v>0</v>
      </c>
      <c r="C40" s="9">
        <v>0</v>
      </c>
      <c r="D40" s="9">
        <v>0</v>
      </c>
      <c r="E40" s="9">
        <v>0</v>
      </c>
      <c r="F40" s="9">
        <v>191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5">
        <v>1234222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100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5">
        <v>1236600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195</v>
      </c>
      <c r="Q42" s="9">
        <v>419</v>
      </c>
      <c r="R42" s="9">
        <v>0</v>
      </c>
      <c r="S42" s="9">
        <v>0</v>
      </c>
    </row>
    <row r="43" spans="1:19">
      <c r="A43" s="5">
        <v>1236930</v>
      </c>
      <c r="B43" s="9">
        <v>339</v>
      </c>
      <c r="C43" s="9">
        <v>263</v>
      </c>
      <c r="D43" s="9">
        <v>0</v>
      </c>
      <c r="E43" s="9">
        <v>0</v>
      </c>
      <c r="F43" s="9">
        <v>122</v>
      </c>
      <c r="G43" s="9">
        <v>152</v>
      </c>
      <c r="H43" s="18">
        <v>228</v>
      </c>
      <c r="I43" s="9">
        <v>440</v>
      </c>
      <c r="J43" s="9">
        <v>120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273</v>
      </c>
      <c r="Q43" s="9">
        <v>330</v>
      </c>
      <c r="R43" s="9">
        <v>0</v>
      </c>
      <c r="S43" s="9">
        <v>0</v>
      </c>
    </row>
    <row r="44" spans="1:19">
      <c r="A44" s="5">
        <v>1232775</v>
      </c>
      <c r="B44" s="9">
        <v>78</v>
      </c>
      <c r="C44" s="9">
        <v>0</v>
      </c>
      <c r="D44" s="9">
        <v>0</v>
      </c>
      <c r="E44" s="9">
        <v>0</v>
      </c>
      <c r="F44" s="9">
        <v>0</v>
      </c>
      <c r="G44" s="18">
        <v>118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480</v>
      </c>
      <c r="Q44" s="9">
        <v>480</v>
      </c>
      <c r="R44" s="9">
        <v>0</v>
      </c>
      <c r="S44" s="9">
        <v>0</v>
      </c>
    </row>
    <row r="45" spans="1:19">
      <c r="A45" s="5">
        <v>1234905</v>
      </c>
      <c r="B45" s="9">
        <v>404</v>
      </c>
      <c r="C45" s="9">
        <v>377</v>
      </c>
      <c r="D45" s="9">
        <v>0</v>
      </c>
      <c r="E45" s="9">
        <v>0</v>
      </c>
      <c r="F45" s="9">
        <v>540</v>
      </c>
      <c r="G45" s="9">
        <v>432</v>
      </c>
      <c r="H45" s="9">
        <v>307</v>
      </c>
      <c r="I45" s="9">
        <v>77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500</v>
      </c>
      <c r="Q45" s="9">
        <v>500</v>
      </c>
      <c r="R45" s="9">
        <v>0</v>
      </c>
      <c r="S45" s="9">
        <v>0</v>
      </c>
    </row>
    <row r="46" spans="1:19">
      <c r="A46" s="5">
        <v>1238480</v>
      </c>
      <c r="B46" s="9">
        <v>1308</v>
      </c>
      <c r="C46" s="9">
        <v>1129</v>
      </c>
      <c r="D46" s="9">
        <v>0</v>
      </c>
      <c r="E46" s="9">
        <v>0</v>
      </c>
      <c r="F46" s="9">
        <v>1029</v>
      </c>
      <c r="G46" s="18">
        <v>1308</v>
      </c>
      <c r="H46" s="9">
        <v>1057</v>
      </c>
      <c r="I46" s="9">
        <v>952</v>
      </c>
      <c r="J46" s="9">
        <v>1182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851</v>
      </c>
      <c r="Q46" s="9">
        <v>927</v>
      </c>
      <c r="R46" s="9">
        <v>0</v>
      </c>
      <c r="S46" s="9">
        <v>0</v>
      </c>
    </row>
    <row r="47" spans="1:19">
      <c r="A47" s="5">
        <v>1240180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211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249</v>
      </c>
      <c r="Q47" s="9">
        <v>251</v>
      </c>
      <c r="R47" s="9">
        <v>0</v>
      </c>
      <c r="S47" s="9">
        <v>0</v>
      </c>
    </row>
    <row r="48" spans="1:19">
      <c r="A48" s="5">
        <v>1240184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211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249</v>
      </c>
      <c r="Q48" s="9">
        <v>251</v>
      </c>
      <c r="R48" s="9">
        <v>0</v>
      </c>
      <c r="S48" s="9">
        <v>0</v>
      </c>
    </row>
    <row r="49" spans="1:19">
      <c r="A49" s="5">
        <v>1232894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576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19">
      <c r="A50" s="5">
        <v>1233387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576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</row>
    <row r="51" spans="1:19">
      <c r="A51" s="5">
        <v>1232895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18">
        <v>166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5">
        <v>1232922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18">
        <v>166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</sheetData>
  <autoFilter ref="A1:S17" xr:uid="{B1E85F6E-BDBE-4D9F-AA56-606E544C63DD}"/>
  <phoneticPr fontId="1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EBAC-4568-437E-BA95-5F2C98ADE93D}">
  <dimension ref="A1:V48"/>
  <sheetViews>
    <sheetView zoomScale="130" zoomScaleNormal="130" workbookViewId="0">
      <selection activeCell="S2" sqref="S2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16384" width="9.33203125" style="5"/>
  </cols>
  <sheetData>
    <row r="1" spans="1:22">
      <c r="A1" s="74" t="s">
        <v>0</v>
      </c>
      <c r="B1" s="69" t="s">
        <v>793</v>
      </c>
      <c r="C1" s="69" t="s">
        <v>794</v>
      </c>
      <c r="D1" s="70" t="s">
        <v>795</v>
      </c>
      <c r="E1" s="69" t="s">
        <v>816</v>
      </c>
      <c r="F1" s="69" t="s">
        <v>817</v>
      </c>
      <c r="G1" s="69" t="s">
        <v>818</v>
      </c>
      <c r="H1" s="69" t="s">
        <v>819</v>
      </c>
      <c r="I1" s="69" t="s">
        <v>820</v>
      </c>
      <c r="J1" s="69" t="s">
        <v>821</v>
      </c>
      <c r="K1" s="70" t="s">
        <v>822</v>
      </c>
      <c r="L1" s="69" t="s">
        <v>839</v>
      </c>
      <c r="M1" s="69" t="s">
        <v>840</v>
      </c>
      <c r="N1" s="69" t="s">
        <v>841</v>
      </c>
      <c r="O1" s="69" t="s">
        <v>842</v>
      </c>
      <c r="P1" s="69" t="s">
        <v>843</v>
      </c>
      <c r="Q1" s="69" t="s">
        <v>844</v>
      </c>
      <c r="R1" s="70" t="s">
        <v>845</v>
      </c>
    </row>
    <row r="2" spans="1:22">
      <c r="A2" s="30">
        <v>1227431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96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T2" s="78"/>
      <c r="V2" s="78"/>
    </row>
    <row r="3" spans="1:22">
      <c r="A3" s="30">
        <v>1227433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96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T3" s="78"/>
      <c r="V3" s="78"/>
    </row>
    <row r="4" spans="1:22" s="20" customFormat="1">
      <c r="A4" s="66">
        <v>1229673</v>
      </c>
      <c r="B4" s="61">
        <v>0</v>
      </c>
      <c r="C4" s="61">
        <v>0</v>
      </c>
      <c r="D4" s="61">
        <v>0</v>
      </c>
      <c r="E4" s="61">
        <v>300</v>
      </c>
      <c r="F4" s="61">
        <v>300</v>
      </c>
      <c r="G4" s="79">
        <v>300</v>
      </c>
      <c r="H4" s="61">
        <v>300</v>
      </c>
      <c r="I4" s="61">
        <v>300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  <c r="P4" s="61">
        <v>0</v>
      </c>
      <c r="Q4" s="61">
        <v>0</v>
      </c>
      <c r="R4" s="61">
        <v>0</v>
      </c>
      <c r="T4" s="112"/>
      <c r="V4" s="112"/>
    </row>
    <row r="5" spans="1:22">
      <c r="A5" s="30">
        <v>1237088</v>
      </c>
      <c r="B5" s="32">
        <v>440</v>
      </c>
      <c r="C5" s="32">
        <v>0</v>
      </c>
      <c r="D5" s="32">
        <v>0</v>
      </c>
      <c r="E5" s="32">
        <v>488</v>
      </c>
      <c r="F5" s="32">
        <v>1134</v>
      </c>
      <c r="G5" s="17">
        <v>854</v>
      </c>
      <c r="H5" s="32">
        <v>792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1698</v>
      </c>
      <c r="P5" s="32">
        <v>914</v>
      </c>
      <c r="Q5" s="32">
        <v>0</v>
      </c>
      <c r="R5" s="32">
        <v>0</v>
      </c>
      <c r="T5" s="78"/>
      <c r="V5" s="78"/>
    </row>
    <row r="6" spans="1:22">
      <c r="A6" s="30">
        <v>1236091</v>
      </c>
      <c r="B6" s="32">
        <v>200</v>
      </c>
      <c r="C6" s="32">
        <v>0</v>
      </c>
      <c r="D6" s="32">
        <v>0</v>
      </c>
      <c r="E6" s="32">
        <v>0</v>
      </c>
      <c r="F6" s="32">
        <v>0</v>
      </c>
      <c r="G6" s="17">
        <v>150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T6" s="78"/>
      <c r="V6" s="78"/>
    </row>
    <row r="7" spans="1:22">
      <c r="A7" s="30">
        <v>1238128</v>
      </c>
      <c r="B7" s="32">
        <v>190</v>
      </c>
      <c r="C7" s="32">
        <v>0</v>
      </c>
      <c r="D7" s="32">
        <v>0</v>
      </c>
      <c r="E7" s="32">
        <v>712</v>
      </c>
      <c r="F7" s="32">
        <v>1014</v>
      </c>
      <c r="G7" s="17">
        <v>420</v>
      </c>
      <c r="H7" s="32">
        <v>0</v>
      </c>
      <c r="I7" s="32">
        <v>378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378</v>
      </c>
      <c r="P7" s="32">
        <v>378</v>
      </c>
      <c r="Q7" s="32">
        <v>0</v>
      </c>
      <c r="R7" s="32">
        <v>0</v>
      </c>
      <c r="T7" s="78"/>
      <c r="V7" s="78"/>
    </row>
    <row r="8" spans="1:22" s="20" customFormat="1">
      <c r="A8" s="66">
        <v>1236962</v>
      </c>
      <c r="B8" s="61">
        <v>0</v>
      </c>
      <c r="C8" s="61">
        <v>0</v>
      </c>
      <c r="D8" s="61">
        <v>0</v>
      </c>
      <c r="E8" s="61">
        <v>300</v>
      </c>
      <c r="F8" s="61">
        <v>0</v>
      </c>
      <c r="G8" s="79">
        <v>300</v>
      </c>
      <c r="H8" s="61">
        <v>500</v>
      </c>
      <c r="I8" s="61">
        <v>170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T8" s="112"/>
      <c r="V8" s="112"/>
    </row>
    <row r="9" spans="1:22">
      <c r="A9" s="30">
        <v>1233761</v>
      </c>
      <c r="B9" s="32">
        <v>192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350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T9" s="78"/>
      <c r="V9" s="78"/>
    </row>
    <row r="10" spans="1:22">
      <c r="A10" s="30">
        <v>1239651</v>
      </c>
      <c r="B10" s="32">
        <v>0</v>
      </c>
      <c r="C10" s="32">
        <v>0</v>
      </c>
      <c r="D10" s="32">
        <v>0</v>
      </c>
      <c r="E10" s="32">
        <v>0</v>
      </c>
      <c r="F10" s="32">
        <v>500</v>
      </c>
      <c r="G10" s="32">
        <v>0</v>
      </c>
      <c r="H10" s="32">
        <v>228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T10" s="78"/>
      <c r="V10" s="78"/>
    </row>
    <row r="11" spans="1:22">
      <c r="A11" s="30">
        <v>1239988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17">
        <v>168</v>
      </c>
      <c r="H11" s="32">
        <v>356</v>
      </c>
      <c r="I11" s="32">
        <v>356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356</v>
      </c>
      <c r="P11" s="32">
        <v>294</v>
      </c>
      <c r="Q11" s="32">
        <v>0</v>
      </c>
      <c r="R11" s="32">
        <v>0</v>
      </c>
      <c r="T11" s="78"/>
      <c r="V11" s="78"/>
    </row>
    <row r="12" spans="1:22">
      <c r="A12" s="30">
        <v>1240180</v>
      </c>
      <c r="B12" s="32">
        <v>486</v>
      </c>
      <c r="C12" s="32">
        <v>0</v>
      </c>
      <c r="D12" s="32">
        <v>0</v>
      </c>
      <c r="E12" s="32">
        <v>380</v>
      </c>
      <c r="F12" s="32">
        <v>358</v>
      </c>
      <c r="G12" s="17">
        <v>142</v>
      </c>
      <c r="H12" s="32">
        <v>0</v>
      </c>
      <c r="I12" s="32">
        <v>254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50</v>
      </c>
      <c r="P12" s="32">
        <v>34</v>
      </c>
      <c r="Q12" s="32">
        <v>0</v>
      </c>
      <c r="R12" s="32">
        <v>0</v>
      </c>
      <c r="T12" s="78"/>
      <c r="V12" s="78"/>
    </row>
    <row r="13" spans="1:22">
      <c r="A13" s="30">
        <v>1240184</v>
      </c>
      <c r="B13" s="32">
        <v>486</v>
      </c>
      <c r="C13" s="32">
        <v>0</v>
      </c>
      <c r="D13" s="32">
        <v>0</v>
      </c>
      <c r="E13" s="32">
        <v>380</v>
      </c>
      <c r="F13" s="32">
        <v>358</v>
      </c>
      <c r="G13" s="17">
        <v>142</v>
      </c>
      <c r="H13" s="32">
        <v>0</v>
      </c>
      <c r="I13" s="32">
        <v>254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50</v>
      </c>
      <c r="P13" s="32">
        <v>34</v>
      </c>
      <c r="Q13" s="32">
        <v>0</v>
      </c>
      <c r="R13" s="32">
        <v>0</v>
      </c>
      <c r="T13" s="78"/>
      <c r="V13" s="78"/>
    </row>
    <row r="14" spans="1:22" s="20" customFormat="1">
      <c r="A14" s="66">
        <v>1240308</v>
      </c>
      <c r="B14" s="61">
        <v>350</v>
      </c>
      <c r="C14" s="61">
        <v>0</v>
      </c>
      <c r="D14" s="61">
        <v>0</v>
      </c>
      <c r="E14" s="61">
        <v>300</v>
      </c>
      <c r="F14" s="61">
        <v>0</v>
      </c>
      <c r="G14" s="61">
        <v>0</v>
      </c>
      <c r="H14" s="61">
        <v>0</v>
      </c>
      <c r="I14" s="61">
        <v>150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300</v>
      </c>
      <c r="Q14" s="61">
        <v>0</v>
      </c>
      <c r="R14" s="61">
        <v>0</v>
      </c>
      <c r="T14" s="112"/>
      <c r="V14" s="112"/>
    </row>
    <row r="15" spans="1:22">
      <c r="A15" s="30">
        <v>1241601</v>
      </c>
      <c r="B15" s="32">
        <v>0</v>
      </c>
      <c r="C15" s="32">
        <v>0</v>
      </c>
      <c r="D15" s="32">
        <v>0</v>
      </c>
      <c r="E15" s="32">
        <v>0</v>
      </c>
      <c r="F15" s="32">
        <v>144</v>
      </c>
      <c r="G15" s="32">
        <v>694</v>
      </c>
      <c r="H15" s="32">
        <v>1220</v>
      </c>
      <c r="I15" s="32">
        <v>50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608</v>
      </c>
      <c r="P15" s="32">
        <v>944</v>
      </c>
      <c r="Q15" s="32">
        <v>0</v>
      </c>
      <c r="R15" s="32">
        <v>0</v>
      </c>
      <c r="T15" s="78"/>
      <c r="V15" s="78"/>
    </row>
    <row r="18" spans="1:18">
      <c r="A18" s="5" t="s">
        <v>0</v>
      </c>
      <c r="B18" s="9" t="s">
        <v>793</v>
      </c>
      <c r="C18" s="9" t="s">
        <v>794</v>
      </c>
      <c r="D18" s="9" t="s">
        <v>795</v>
      </c>
      <c r="E18" s="9" t="s">
        <v>816</v>
      </c>
      <c r="F18" s="9" t="s">
        <v>817</v>
      </c>
      <c r="G18" s="9" t="s">
        <v>818</v>
      </c>
      <c r="H18" s="9" t="s">
        <v>819</v>
      </c>
      <c r="I18" s="9" t="s">
        <v>820</v>
      </c>
      <c r="J18" s="9" t="s">
        <v>821</v>
      </c>
      <c r="K18" s="9" t="s">
        <v>822</v>
      </c>
      <c r="L18" s="9" t="s">
        <v>839</v>
      </c>
      <c r="M18" s="9" t="s">
        <v>840</v>
      </c>
      <c r="N18" s="9" t="s">
        <v>841</v>
      </c>
      <c r="O18" s="9" t="s">
        <v>842</v>
      </c>
      <c r="P18" s="9" t="s">
        <v>843</v>
      </c>
      <c r="Q18" s="9" t="s">
        <v>844</v>
      </c>
      <c r="R18" s="9" t="s">
        <v>845</v>
      </c>
    </row>
    <row r="19" spans="1:18">
      <c r="A19" s="5">
        <v>1232846</v>
      </c>
      <c r="B19" s="9">
        <v>304</v>
      </c>
      <c r="C19" s="9">
        <v>0</v>
      </c>
      <c r="D19" s="9">
        <v>0</v>
      </c>
      <c r="E19" s="98">
        <v>448</v>
      </c>
      <c r="F19" s="98">
        <v>448</v>
      </c>
      <c r="G19" s="98">
        <v>94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</row>
    <row r="20" spans="1:18">
      <c r="A20" s="5">
        <v>1232895</v>
      </c>
      <c r="B20" s="9">
        <v>304</v>
      </c>
      <c r="C20" s="9">
        <v>0</v>
      </c>
      <c r="D20" s="9">
        <v>0</v>
      </c>
      <c r="E20" s="98">
        <v>448</v>
      </c>
      <c r="F20" s="98">
        <v>448</v>
      </c>
      <c r="G20" s="98">
        <v>94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>
      <c r="A21" s="5">
        <v>1233384</v>
      </c>
      <c r="B21" s="9">
        <v>304</v>
      </c>
      <c r="C21" s="9">
        <v>0</v>
      </c>
      <c r="D21" s="9">
        <v>0</v>
      </c>
      <c r="E21" s="98">
        <v>448</v>
      </c>
      <c r="F21" s="98">
        <v>448</v>
      </c>
      <c r="G21" s="98">
        <v>94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</row>
    <row r="22" spans="1:18">
      <c r="A22" s="5">
        <v>1232775</v>
      </c>
      <c r="B22" s="9">
        <v>245</v>
      </c>
      <c r="C22" s="9">
        <v>0</v>
      </c>
      <c r="D22" s="9">
        <v>0</v>
      </c>
      <c r="E22" s="9">
        <v>7</v>
      </c>
      <c r="F22" s="9">
        <v>0</v>
      </c>
      <c r="G22" s="18">
        <v>165</v>
      </c>
      <c r="H22" s="18">
        <v>311</v>
      </c>
      <c r="I22" s="11">
        <v>229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184</v>
      </c>
      <c r="P22" s="9">
        <v>211</v>
      </c>
      <c r="Q22" s="9">
        <v>0</v>
      </c>
      <c r="R22" s="9">
        <v>0</v>
      </c>
    </row>
    <row r="23" spans="1:18">
      <c r="A23" s="5">
        <v>1238605</v>
      </c>
      <c r="B23" s="9">
        <v>0</v>
      </c>
      <c r="C23" s="9">
        <v>0</v>
      </c>
      <c r="D23" s="9">
        <v>0</v>
      </c>
      <c r="E23" s="9">
        <v>0</v>
      </c>
      <c r="F23" s="9">
        <v>175</v>
      </c>
      <c r="G23" s="18">
        <v>187</v>
      </c>
      <c r="H23" s="18">
        <v>237</v>
      </c>
      <c r="I23" s="11">
        <v>176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189</v>
      </c>
      <c r="P23" s="9">
        <v>14</v>
      </c>
      <c r="Q23" s="9">
        <v>0</v>
      </c>
      <c r="R23" s="9">
        <v>0</v>
      </c>
    </row>
    <row r="24" spans="1:18">
      <c r="A24" s="5">
        <v>1230685</v>
      </c>
      <c r="B24" s="9">
        <v>0</v>
      </c>
      <c r="C24" s="9">
        <v>0</v>
      </c>
      <c r="D24" s="9">
        <v>0</v>
      </c>
      <c r="E24" s="98">
        <v>379</v>
      </c>
      <c r="F24" s="98">
        <v>71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7" spans="1:18">
      <c r="A27" s="5" t="s">
        <v>0</v>
      </c>
      <c r="B27" s="9" t="s">
        <v>793</v>
      </c>
      <c r="C27" s="9" t="s">
        <v>794</v>
      </c>
      <c r="D27" s="9" t="s">
        <v>795</v>
      </c>
      <c r="E27" s="9" t="s">
        <v>816</v>
      </c>
      <c r="F27" s="9" t="s">
        <v>817</v>
      </c>
      <c r="G27" s="9" t="s">
        <v>818</v>
      </c>
      <c r="H27" s="9" t="s">
        <v>819</v>
      </c>
      <c r="I27" s="9" t="s">
        <v>820</v>
      </c>
      <c r="J27" s="9" t="s">
        <v>821</v>
      </c>
      <c r="K27" s="9" t="s">
        <v>822</v>
      </c>
      <c r="L27" s="9" t="s">
        <v>839</v>
      </c>
      <c r="M27" s="9" t="s">
        <v>840</v>
      </c>
      <c r="N27" s="9" t="s">
        <v>841</v>
      </c>
      <c r="O27" s="9" t="s">
        <v>842</v>
      </c>
      <c r="P27" s="9" t="s">
        <v>843</v>
      </c>
      <c r="Q27" s="9" t="s">
        <v>844</v>
      </c>
      <c r="R27" s="9" t="s">
        <v>845</v>
      </c>
    </row>
    <row r="28" spans="1:18">
      <c r="A28" s="5">
        <v>1230692</v>
      </c>
      <c r="B28" s="9">
        <v>0</v>
      </c>
      <c r="C28" s="9">
        <v>0</v>
      </c>
      <c r="D28" s="9">
        <v>0</v>
      </c>
      <c r="E28" s="9">
        <v>150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>
      <c r="A29" s="5">
        <v>1229088</v>
      </c>
      <c r="B29" s="9">
        <v>587</v>
      </c>
      <c r="C29" s="9">
        <v>0</v>
      </c>
      <c r="D29" s="9">
        <v>0</v>
      </c>
      <c r="E29" s="9">
        <v>26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</row>
    <row r="30" spans="1:18">
      <c r="A30" s="5">
        <v>1231797</v>
      </c>
      <c r="B30" s="9">
        <v>0</v>
      </c>
      <c r="C30" s="9">
        <v>0</v>
      </c>
      <c r="D30" s="9">
        <v>0</v>
      </c>
      <c r="E30" s="9">
        <v>100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>
      <c r="A31" s="5">
        <v>1232693</v>
      </c>
      <c r="B31" s="9">
        <v>0</v>
      </c>
      <c r="C31" s="9">
        <v>0</v>
      </c>
      <c r="D31" s="9">
        <v>0</v>
      </c>
      <c r="E31" s="9">
        <v>547</v>
      </c>
      <c r="F31" s="9">
        <v>188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</row>
    <row r="32" spans="1:18">
      <c r="A32" s="5">
        <v>1233025</v>
      </c>
      <c r="B32" s="9">
        <v>0</v>
      </c>
      <c r="C32" s="9">
        <v>0</v>
      </c>
      <c r="D32" s="9">
        <v>0</v>
      </c>
      <c r="E32" s="9">
        <v>547</v>
      </c>
      <c r="F32" s="9">
        <v>188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>
      <c r="A33" s="5">
        <v>1232528</v>
      </c>
      <c r="B33" s="9">
        <v>539</v>
      </c>
      <c r="C33" s="9">
        <v>0</v>
      </c>
      <c r="D33" s="9">
        <v>0</v>
      </c>
      <c r="E33" s="9">
        <v>527</v>
      </c>
      <c r="F33" s="9">
        <v>176</v>
      </c>
      <c r="G33" s="9">
        <v>539</v>
      </c>
      <c r="H33" s="9">
        <v>554</v>
      </c>
      <c r="I33" s="9">
        <v>539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539</v>
      </c>
      <c r="P33" s="9">
        <v>57</v>
      </c>
      <c r="Q33" s="9">
        <v>0</v>
      </c>
      <c r="R33" s="9">
        <v>0</v>
      </c>
    </row>
    <row r="34" spans="1:18">
      <c r="A34" s="5">
        <v>1232846</v>
      </c>
      <c r="B34" s="9">
        <v>0</v>
      </c>
      <c r="C34" s="9">
        <v>0</v>
      </c>
      <c r="D34" s="9">
        <v>0</v>
      </c>
      <c r="E34" s="9">
        <v>0</v>
      </c>
      <c r="F34" s="9">
        <v>742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>
      <c r="A35" s="5">
        <v>1231090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18">
        <v>210</v>
      </c>
      <c r="H35" s="9">
        <v>30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</row>
    <row r="36" spans="1:18">
      <c r="A36" s="5">
        <v>1233383</v>
      </c>
      <c r="B36" s="9">
        <v>0</v>
      </c>
      <c r="C36" s="9">
        <v>0</v>
      </c>
      <c r="D36" s="9">
        <v>0</v>
      </c>
      <c r="E36" s="9">
        <v>191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>
      <c r="A37" s="5">
        <v>1234222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18">
        <v>100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</row>
    <row r="38" spans="1:18">
      <c r="A38" s="5">
        <v>1236600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195</v>
      </c>
      <c r="P38" s="9">
        <v>419</v>
      </c>
      <c r="Q38" s="9">
        <v>0</v>
      </c>
      <c r="R38" s="9">
        <v>0</v>
      </c>
    </row>
    <row r="39" spans="1:18">
      <c r="A39" s="5">
        <v>1236930</v>
      </c>
      <c r="B39" s="9">
        <v>263</v>
      </c>
      <c r="C39" s="9">
        <v>0</v>
      </c>
      <c r="D39" s="9">
        <v>0</v>
      </c>
      <c r="E39" s="9">
        <v>122</v>
      </c>
      <c r="F39" s="9">
        <v>149</v>
      </c>
      <c r="G39" s="9">
        <v>223</v>
      </c>
      <c r="H39" s="18">
        <v>440</v>
      </c>
      <c r="I39" s="9">
        <v>120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273</v>
      </c>
      <c r="P39" s="9">
        <v>330</v>
      </c>
      <c r="Q39" s="9">
        <v>0</v>
      </c>
      <c r="R39" s="9">
        <v>0</v>
      </c>
    </row>
    <row r="40" spans="1:18">
      <c r="A40" s="5">
        <v>1232775</v>
      </c>
      <c r="B40" s="9">
        <v>0</v>
      </c>
      <c r="C40" s="9">
        <v>0</v>
      </c>
      <c r="D40" s="9">
        <v>0</v>
      </c>
      <c r="E40" s="9">
        <v>0</v>
      </c>
      <c r="F40" s="9">
        <v>118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480</v>
      </c>
      <c r="P40" s="9">
        <v>480</v>
      </c>
      <c r="Q40" s="9">
        <v>0</v>
      </c>
      <c r="R40" s="9">
        <v>0</v>
      </c>
    </row>
    <row r="41" spans="1:18">
      <c r="A41" s="5">
        <v>1234905</v>
      </c>
      <c r="B41" s="9">
        <v>377</v>
      </c>
      <c r="C41" s="9">
        <v>0</v>
      </c>
      <c r="D41" s="9">
        <v>0</v>
      </c>
      <c r="E41" s="9">
        <v>540</v>
      </c>
      <c r="F41" s="9">
        <v>432</v>
      </c>
      <c r="G41" s="9">
        <v>307</v>
      </c>
      <c r="H41" s="9">
        <v>77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500</v>
      </c>
      <c r="P41" s="9">
        <v>500</v>
      </c>
      <c r="Q41" s="9">
        <v>0</v>
      </c>
      <c r="R41" s="9">
        <v>0</v>
      </c>
    </row>
    <row r="42" spans="1:18">
      <c r="A42" s="5">
        <v>1238480</v>
      </c>
      <c r="B42" s="9">
        <v>1129</v>
      </c>
      <c r="C42" s="9">
        <v>0</v>
      </c>
      <c r="D42" s="9">
        <v>0</v>
      </c>
      <c r="E42" s="9">
        <v>1029</v>
      </c>
      <c r="F42" s="9">
        <v>1308</v>
      </c>
      <c r="G42" s="18">
        <v>1057</v>
      </c>
      <c r="H42" s="9">
        <v>952</v>
      </c>
      <c r="I42" s="9">
        <v>1182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871</v>
      </c>
      <c r="P42" s="9">
        <v>927</v>
      </c>
      <c r="Q42" s="9">
        <v>0</v>
      </c>
      <c r="R42" s="9">
        <v>0</v>
      </c>
    </row>
    <row r="43" spans="1:18">
      <c r="A43" s="5">
        <v>1240180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211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249</v>
      </c>
      <c r="P43" s="9">
        <v>251</v>
      </c>
      <c r="Q43" s="9">
        <v>0</v>
      </c>
      <c r="R43" s="9">
        <v>0</v>
      </c>
    </row>
    <row r="44" spans="1:18">
      <c r="A44" s="5">
        <v>1240184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211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249</v>
      </c>
      <c r="P44" s="9">
        <v>251</v>
      </c>
      <c r="Q44" s="9">
        <v>0</v>
      </c>
      <c r="R44" s="9">
        <v>0</v>
      </c>
    </row>
    <row r="45" spans="1:18">
      <c r="A45" s="5">
        <v>1232894</v>
      </c>
      <c r="B45" s="9">
        <v>0</v>
      </c>
      <c r="C45" s="9">
        <v>0</v>
      </c>
      <c r="D45" s="9">
        <v>0</v>
      </c>
      <c r="E45" s="9">
        <v>0</v>
      </c>
      <c r="F45" s="18">
        <v>576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</row>
    <row r="46" spans="1:18">
      <c r="A46" s="5">
        <v>1233387</v>
      </c>
      <c r="B46" s="9">
        <v>0</v>
      </c>
      <c r="C46" s="9">
        <v>0</v>
      </c>
      <c r="D46" s="9">
        <v>0</v>
      </c>
      <c r="E46" s="9">
        <v>0</v>
      </c>
      <c r="F46" s="18">
        <v>576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>
      <c r="A47" s="5">
        <v>1232895</v>
      </c>
      <c r="B47" s="9">
        <v>0</v>
      </c>
      <c r="C47" s="9">
        <v>0</v>
      </c>
      <c r="D47" s="9">
        <v>0</v>
      </c>
      <c r="E47" s="9">
        <v>0</v>
      </c>
      <c r="F47" s="9">
        <v>166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</row>
    <row r="48" spans="1:18">
      <c r="A48" s="5">
        <v>1232922</v>
      </c>
      <c r="B48" s="9">
        <v>0</v>
      </c>
      <c r="C48" s="9">
        <v>0</v>
      </c>
      <c r="D48" s="9">
        <v>0</v>
      </c>
      <c r="E48" s="9">
        <v>0</v>
      </c>
      <c r="F48" s="9">
        <v>166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</sheetData>
  <autoFilter ref="A1:R15" xr:uid="{AE0FEBAC-4568-437E-BA95-5F2C98ADE93D}"/>
  <phoneticPr fontId="1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9493-1C85-405B-9D02-6F0ACE64A90D}">
  <dimension ref="A1:R49"/>
  <sheetViews>
    <sheetView zoomScale="145" zoomScaleNormal="145" workbookViewId="0">
      <selection activeCell="L22" sqref="L22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4" width="9.5" style="9" customWidth="1"/>
    <col min="15" max="15" width="9.5" style="9" bestFit="1" customWidth="1"/>
    <col min="16" max="17" width="9.33203125" style="9"/>
    <col min="18" max="16384" width="9.33203125" style="5"/>
  </cols>
  <sheetData>
    <row r="1" spans="1:18">
      <c r="A1" s="74" t="s">
        <v>0</v>
      </c>
      <c r="B1" s="69" t="s">
        <v>816</v>
      </c>
      <c r="C1" s="69" t="s">
        <v>817</v>
      </c>
      <c r="D1" s="69" t="s">
        <v>818</v>
      </c>
      <c r="E1" s="69" t="s">
        <v>819</v>
      </c>
      <c r="F1" s="69" t="s">
        <v>820</v>
      </c>
      <c r="G1" s="69" t="s">
        <v>821</v>
      </c>
      <c r="H1" s="70" t="s">
        <v>822</v>
      </c>
      <c r="I1" s="69" t="s">
        <v>839</v>
      </c>
      <c r="J1" s="69" t="s">
        <v>840</v>
      </c>
      <c r="K1" s="69" t="s">
        <v>841</v>
      </c>
      <c r="L1" s="69" t="s">
        <v>842</v>
      </c>
      <c r="M1" s="69" t="s">
        <v>843</v>
      </c>
      <c r="N1" s="69" t="s">
        <v>844</v>
      </c>
      <c r="O1" s="70" t="s">
        <v>845</v>
      </c>
    </row>
    <row r="2" spans="1:18">
      <c r="A2" s="30">
        <v>1227431</v>
      </c>
      <c r="B2" s="32">
        <v>0</v>
      </c>
      <c r="C2" s="32">
        <v>0</v>
      </c>
      <c r="D2" s="32">
        <v>0</v>
      </c>
      <c r="E2" s="17">
        <v>96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9">
        <f>SUM(B2:O2)</f>
        <v>96</v>
      </c>
      <c r="Q2" s="174">
        <f>VLOOKUP(A2,[2]sheet1!$A$2:$Y$17,25,0)</f>
        <v>96</v>
      </c>
      <c r="R2" s="78">
        <f>+P2-Q2</f>
        <v>0</v>
      </c>
    </row>
    <row r="3" spans="1:18">
      <c r="A3" s="30">
        <v>1227433</v>
      </c>
      <c r="B3" s="32">
        <v>0</v>
      </c>
      <c r="C3" s="32">
        <v>0</v>
      </c>
      <c r="D3" s="32">
        <v>0</v>
      </c>
      <c r="E3" s="17">
        <v>96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9">
        <f t="shared" ref="P3:P15" si="0">SUM(B3:O3)</f>
        <v>96</v>
      </c>
      <c r="Q3" s="174">
        <f>VLOOKUP(A3,[2]sheet1!$A$2:$Y$17,25,0)</f>
        <v>96</v>
      </c>
      <c r="R3" s="78">
        <f t="shared" ref="R3:R15" si="1">+P3-Q3</f>
        <v>0</v>
      </c>
    </row>
    <row r="4" spans="1:18">
      <c r="A4" s="30">
        <v>1229673</v>
      </c>
      <c r="B4" s="32">
        <v>300</v>
      </c>
      <c r="C4" s="32">
        <v>300</v>
      </c>
      <c r="D4" s="32">
        <v>300</v>
      </c>
      <c r="E4" s="17">
        <v>300</v>
      </c>
      <c r="F4" s="32">
        <v>300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9">
        <f t="shared" si="0"/>
        <v>1500</v>
      </c>
      <c r="Q4" s="174">
        <f>VLOOKUP(A4,[2]sheet1!$A$2:$Y$17,25,0)</f>
        <v>1500</v>
      </c>
      <c r="R4" s="78">
        <f t="shared" si="1"/>
        <v>0</v>
      </c>
    </row>
    <row r="5" spans="1:18">
      <c r="A5" s="111">
        <v>1237088</v>
      </c>
      <c r="B5" s="32">
        <v>488</v>
      </c>
      <c r="C5" s="32">
        <v>1134</v>
      </c>
      <c r="D5" s="32">
        <v>854</v>
      </c>
      <c r="E5" s="17">
        <v>792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1698</v>
      </c>
      <c r="M5" s="32">
        <v>914</v>
      </c>
      <c r="N5" s="32">
        <v>0</v>
      </c>
      <c r="O5" s="32">
        <v>0</v>
      </c>
      <c r="P5" s="9">
        <f t="shared" si="0"/>
        <v>5880</v>
      </c>
      <c r="Q5" s="174">
        <f>VLOOKUP(A5,[2]sheet1!$A$2:$Y$17,25,0)</f>
        <v>5358</v>
      </c>
      <c r="R5" s="78">
        <f t="shared" si="1"/>
        <v>522</v>
      </c>
    </row>
    <row r="6" spans="1:18">
      <c r="A6" s="30">
        <v>1236091</v>
      </c>
      <c r="B6" s="32">
        <v>0</v>
      </c>
      <c r="C6" s="32">
        <v>0</v>
      </c>
      <c r="D6" s="32">
        <v>150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9">
        <f t="shared" si="0"/>
        <v>150</v>
      </c>
      <c r="Q6" s="174">
        <f>VLOOKUP(A6,[2]sheet1!$A$2:$Y$17,25,0)</f>
        <v>150</v>
      </c>
      <c r="R6" s="78">
        <f t="shared" si="1"/>
        <v>0</v>
      </c>
    </row>
    <row r="7" spans="1:18" s="20" customFormat="1">
      <c r="A7" s="66">
        <v>1238128</v>
      </c>
      <c r="B7" s="61">
        <v>712</v>
      </c>
      <c r="C7" s="61">
        <v>1014</v>
      </c>
      <c r="D7" s="61">
        <v>420</v>
      </c>
      <c r="E7" s="61">
        <v>0</v>
      </c>
      <c r="F7" s="61">
        <v>378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378</v>
      </c>
      <c r="M7" s="61">
        <v>378</v>
      </c>
      <c r="N7" s="61">
        <v>0</v>
      </c>
      <c r="O7" s="61">
        <v>0</v>
      </c>
      <c r="P7" s="10">
        <f t="shared" si="0"/>
        <v>3280</v>
      </c>
      <c r="Q7" s="175">
        <f>VLOOKUP(A7,[2]sheet1!$A$2:$Y$17,25,0)</f>
        <v>3408</v>
      </c>
      <c r="R7" s="112">
        <f t="shared" si="1"/>
        <v>-128</v>
      </c>
    </row>
    <row r="8" spans="1:18">
      <c r="A8" s="111">
        <v>1236962</v>
      </c>
      <c r="B8" s="32">
        <v>300</v>
      </c>
      <c r="C8" s="32">
        <v>0</v>
      </c>
      <c r="D8" s="32">
        <v>300</v>
      </c>
      <c r="E8" s="17">
        <v>500</v>
      </c>
      <c r="F8" s="32">
        <v>170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9">
        <f t="shared" si="0"/>
        <v>1270</v>
      </c>
      <c r="Q8" s="174">
        <f>VLOOKUP(A8,[2]sheet1!$A$2:$Y$17,25,0)</f>
        <v>1270</v>
      </c>
      <c r="R8" s="78">
        <f t="shared" si="1"/>
        <v>0</v>
      </c>
    </row>
    <row r="9" spans="1:18">
      <c r="A9" s="30">
        <v>1233761</v>
      </c>
      <c r="B9" s="32">
        <v>0</v>
      </c>
      <c r="C9" s="32">
        <v>0</v>
      </c>
      <c r="D9" s="32">
        <v>0</v>
      </c>
      <c r="E9" s="32">
        <v>0</v>
      </c>
      <c r="F9" s="32">
        <v>350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9">
        <f t="shared" si="0"/>
        <v>350</v>
      </c>
      <c r="Q9" s="174">
        <f>VLOOKUP(A9,[2]sheet1!$A$2:$Y$17,25,0)</f>
        <v>350</v>
      </c>
      <c r="R9" s="78">
        <f t="shared" si="1"/>
        <v>0</v>
      </c>
    </row>
    <row r="10" spans="1:18">
      <c r="A10" s="30">
        <v>1239651</v>
      </c>
      <c r="B10" s="32">
        <v>0</v>
      </c>
      <c r="C10" s="32">
        <v>500</v>
      </c>
      <c r="D10" s="32">
        <v>0</v>
      </c>
      <c r="E10" s="17">
        <v>228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9">
        <f t="shared" si="0"/>
        <v>728</v>
      </c>
      <c r="Q10" s="174">
        <f>VLOOKUP(A10,[2]sheet1!$A$2:$Y$17,25,0)</f>
        <v>728</v>
      </c>
      <c r="R10" s="78">
        <f t="shared" si="1"/>
        <v>0</v>
      </c>
    </row>
    <row r="11" spans="1:18" s="173" customFormat="1">
      <c r="A11" s="170">
        <v>1239988</v>
      </c>
      <c r="B11" s="171">
        <v>0</v>
      </c>
      <c r="C11" s="171">
        <v>0</v>
      </c>
      <c r="D11" s="171">
        <v>168</v>
      </c>
      <c r="E11" s="172">
        <v>356</v>
      </c>
      <c r="F11" s="171">
        <v>356</v>
      </c>
      <c r="G11" s="171">
        <v>0</v>
      </c>
      <c r="H11" s="171">
        <v>0</v>
      </c>
      <c r="I11" s="171">
        <v>0</v>
      </c>
      <c r="J11" s="171">
        <v>0</v>
      </c>
      <c r="K11" s="171">
        <v>0</v>
      </c>
      <c r="L11" s="171">
        <v>356</v>
      </c>
      <c r="M11" s="171">
        <v>294</v>
      </c>
      <c r="N11" s="171">
        <v>0</v>
      </c>
      <c r="O11" s="171">
        <v>0</v>
      </c>
      <c r="P11" s="9">
        <f t="shared" si="0"/>
        <v>1530</v>
      </c>
      <c r="Q11" s="174">
        <f>VLOOKUP(A11,[2]sheet1!$A$2:$Y$17,25,0)</f>
        <v>1530</v>
      </c>
      <c r="R11" s="78">
        <f t="shared" si="1"/>
        <v>0</v>
      </c>
    </row>
    <row r="12" spans="1:18">
      <c r="A12" s="30">
        <v>1240180</v>
      </c>
      <c r="B12" s="32">
        <v>380</v>
      </c>
      <c r="C12" s="32">
        <v>358</v>
      </c>
      <c r="D12" s="32">
        <v>142</v>
      </c>
      <c r="E12" s="32">
        <v>0</v>
      </c>
      <c r="F12" s="32">
        <v>254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50</v>
      </c>
      <c r="M12" s="32">
        <v>34</v>
      </c>
      <c r="N12" s="32">
        <v>0</v>
      </c>
      <c r="O12" s="32">
        <v>0</v>
      </c>
      <c r="P12" s="9">
        <f t="shared" si="0"/>
        <v>1218</v>
      </c>
      <c r="Q12" s="174">
        <f>VLOOKUP(A12,[2]sheet1!$A$2:$Y$17,25,0)</f>
        <v>914</v>
      </c>
      <c r="R12" s="78">
        <f t="shared" si="1"/>
        <v>304</v>
      </c>
    </row>
    <row r="13" spans="1:18">
      <c r="A13" s="30">
        <v>1240184</v>
      </c>
      <c r="B13" s="32">
        <v>380</v>
      </c>
      <c r="C13" s="32">
        <v>358</v>
      </c>
      <c r="D13" s="32">
        <v>142</v>
      </c>
      <c r="E13" s="32">
        <v>0</v>
      </c>
      <c r="F13" s="32">
        <v>254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50</v>
      </c>
      <c r="M13" s="32">
        <v>34</v>
      </c>
      <c r="N13" s="32">
        <v>0</v>
      </c>
      <c r="O13" s="32">
        <v>0</v>
      </c>
      <c r="P13" s="9">
        <f t="shared" si="0"/>
        <v>1218</v>
      </c>
      <c r="Q13" s="174">
        <f>VLOOKUP(A13,[2]sheet1!$A$2:$Y$17,25,0)</f>
        <v>914</v>
      </c>
      <c r="R13" s="78">
        <f t="shared" si="1"/>
        <v>304</v>
      </c>
    </row>
    <row r="14" spans="1:18">
      <c r="A14" s="30">
        <v>1240308</v>
      </c>
      <c r="B14" s="32">
        <v>300</v>
      </c>
      <c r="C14" s="32">
        <v>0</v>
      </c>
      <c r="D14" s="32">
        <v>0</v>
      </c>
      <c r="E14" s="32">
        <v>0</v>
      </c>
      <c r="F14" s="32">
        <v>150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300</v>
      </c>
      <c r="N14" s="32">
        <v>0</v>
      </c>
      <c r="O14" s="32">
        <v>0</v>
      </c>
      <c r="P14" s="9">
        <f t="shared" si="0"/>
        <v>750</v>
      </c>
      <c r="Q14" s="174">
        <f>VLOOKUP(A14,[2]sheet1!$A$2:$Y$17,25,0)</f>
        <v>750</v>
      </c>
      <c r="R14" s="78">
        <f t="shared" si="1"/>
        <v>0</v>
      </c>
    </row>
    <row r="15" spans="1:18" s="7" customFormat="1">
      <c r="A15" s="168">
        <v>1241601</v>
      </c>
      <c r="B15" s="169">
        <v>0</v>
      </c>
      <c r="C15" s="169">
        <v>144</v>
      </c>
      <c r="D15" s="169">
        <v>694</v>
      </c>
      <c r="E15" s="113">
        <v>1220</v>
      </c>
      <c r="F15" s="169">
        <v>50</v>
      </c>
      <c r="G15" s="169">
        <v>0</v>
      </c>
      <c r="H15" s="169">
        <v>0</v>
      </c>
      <c r="I15" s="169">
        <v>0</v>
      </c>
      <c r="J15" s="169">
        <v>0</v>
      </c>
      <c r="K15" s="169">
        <v>0</v>
      </c>
      <c r="L15" s="169">
        <v>608</v>
      </c>
      <c r="M15" s="169">
        <v>944</v>
      </c>
      <c r="N15" s="169">
        <v>0</v>
      </c>
      <c r="O15" s="169">
        <v>0</v>
      </c>
      <c r="P15" s="9">
        <f t="shared" si="0"/>
        <v>3660</v>
      </c>
      <c r="Q15" s="174">
        <f>VLOOKUP(A15,[2]sheet1!$A$2:$Y$17,25,0)</f>
        <v>3374</v>
      </c>
      <c r="R15" s="78">
        <f t="shared" si="1"/>
        <v>286</v>
      </c>
    </row>
    <row r="18" spans="1:15">
      <c r="A18" s="5" t="s">
        <v>0</v>
      </c>
      <c r="B18" s="9" t="s">
        <v>816</v>
      </c>
      <c r="C18" s="9" t="s">
        <v>817</v>
      </c>
      <c r="D18" s="9" t="s">
        <v>818</v>
      </c>
      <c r="E18" s="9" t="s">
        <v>819</v>
      </c>
      <c r="F18" s="9" t="s">
        <v>820</v>
      </c>
      <c r="G18" s="9" t="s">
        <v>821</v>
      </c>
      <c r="H18" s="9" t="s">
        <v>822</v>
      </c>
      <c r="I18" s="9" t="s">
        <v>839</v>
      </c>
      <c r="J18" s="9" t="s">
        <v>840</v>
      </c>
      <c r="K18" s="9" t="s">
        <v>841</v>
      </c>
      <c r="L18" s="9" t="s">
        <v>842</v>
      </c>
      <c r="M18" s="9" t="s">
        <v>843</v>
      </c>
      <c r="N18" s="9" t="s">
        <v>844</v>
      </c>
      <c r="O18" s="9" t="s">
        <v>845</v>
      </c>
    </row>
    <row r="19" spans="1:15">
      <c r="A19" s="5">
        <v>1232846</v>
      </c>
      <c r="B19" s="9">
        <v>448</v>
      </c>
      <c r="C19" s="9">
        <v>448</v>
      </c>
      <c r="D19" s="9">
        <v>94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</row>
    <row r="20" spans="1:15">
      <c r="A20" s="5">
        <v>1232895</v>
      </c>
      <c r="B20" s="9">
        <v>448</v>
      </c>
      <c r="C20" s="9">
        <v>448</v>
      </c>
      <c r="D20" s="9">
        <v>94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1:15">
      <c r="A21" s="5">
        <v>1233384</v>
      </c>
      <c r="B21" s="9">
        <v>448</v>
      </c>
      <c r="C21" s="9">
        <v>448</v>
      </c>
      <c r="D21" s="9">
        <v>94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</row>
    <row r="22" spans="1:15">
      <c r="A22" s="5">
        <v>1232775</v>
      </c>
      <c r="B22" s="9">
        <v>7</v>
      </c>
      <c r="C22" s="9">
        <v>0</v>
      </c>
      <c r="D22" s="9">
        <v>165</v>
      </c>
      <c r="E22" s="9">
        <v>311</v>
      </c>
      <c r="F22" s="18">
        <v>229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184</v>
      </c>
      <c r="M22" s="18">
        <v>211</v>
      </c>
      <c r="N22" s="9">
        <v>0</v>
      </c>
      <c r="O22" s="9">
        <v>0</v>
      </c>
    </row>
    <row r="23" spans="1:15">
      <c r="A23" s="5">
        <v>1238605</v>
      </c>
      <c r="B23" s="9">
        <v>0</v>
      </c>
      <c r="C23" s="9">
        <v>175</v>
      </c>
      <c r="D23" s="9">
        <v>187</v>
      </c>
      <c r="E23" s="9">
        <v>237</v>
      </c>
      <c r="F23" s="18">
        <v>176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189</v>
      </c>
      <c r="M23" s="18">
        <v>14</v>
      </c>
      <c r="N23" s="18">
        <v>0</v>
      </c>
      <c r="O23" s="9">
        <v>0</v>
      </c>
    </row>
    <row r="24" spans="1:15">
      <c r="A24" s="5">
        <v>1230685</v>
      </c>
      <c r="B24" s="9">
        <v>379</v>
      </c>
      <c r="C24" s="9">
        <v>71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</row>
    <row r="27" spans="1:15">
      <c r="A27" s="74" t="s">
        <v>0</v>
      </c>
      <c r="B27" s="69" t="s">
        <v>816</v>
      </c>
      <c r="C27" s="69" t="s">
        <v>817</v>
      </c>
      <c r="D27" s="69" t="s">
        <v>818</v>
      </c>
      <c r="E27" s="69" t="s">
        <v>819</v>
      </c>
      <c r="F27" s="69" t="s">
        <v>820</v>
      </c>
      <c r="G27" s="69" t="s">
        <v>821</v>
      </c>
      <c r="H27" s="70" t="s">
        <v>822</v>
      </c>
      <c r="I27" s="69" t="s">
        <v>839</v>
      </c>
      <c r="J27" s="69" t="s">
        <v>840</v>
      </c>
      <c r="K27" s="69" t="s">
        <v>841</v>
      </c>
      <c r="L27" s="69" t="s">
        <v>842</v>
      </c>
      <c r="M27" s="69" t="s">
        <v>843</v>
      </c>
      <c r="N27" s="69" t="s">
        <v>844</v>
      </c>
      <c r="O27" s="70" t="s">
        <v>845</v>
      </c>
    </row>
    <row r="28" spans="1:15">
      <c r="A28" s="30">
        <v>1230692</v>
      </c>
      <c r="B28" s="32">
        <v>150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</row>
    <row r="29" spans="1:15">
      <c r="A29" s="30">
        <v>1227359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304</v>
      </c>
      <c r="N29" s="32">
        <v>0</v>
      </c>
      <c r="O29" s="32">
        <v>0</v>
      </c>
    </row>
    <row r="30" spans="1:15">
      <c r="A30" s="30">
        <v>1229088</v>
      </c>
      <c r="B30" s="32">
        <v>26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</row>
    <row r="31" spans="1:15">
      <c r="A31" s="30">
        <v>1231797</v>
      </c>
      <c r="B31" s="32">
        <v>100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</row>
    <row r="32" spans="1:15">
      <c r="A32" s="30">
        <v>1232693</v>
      </c>
      <c r="B32" s="32">
        <v>547</v>
      </c>
      <c r="C32" s="32">
        <v>188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</row>
    <row r="33" spans="1:15">
      <c r="A33" s="30">
        <v>1233025</v>
      </c>
      <c r="B33" s="32">
        <v>547</v>
      </c>
      <c r="C33" s="32">
        <v>188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</row>
    <row r="34" spans="1:15">
      <c r="A34" s="30">
        <v>1232528</v>
      </c>
      <c r="B34" s="32">
        <v>527</v>
      </c>
      <c r="C34" s="32">
        <v>176</v>
      </c>
      <c r="D34" s="32">
        <v>539</v>
      </c>
      <c r="E34" s="32">
        <v>554</v>
      </c>
      <c r="F34" s="32">
        <v>539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539</v>
      </c>
      <c r="M34" s="32">
        <v>57</v>
      </c>
      <c r="N34" s="32">
        <v>0</v>
      </c>
      <c r="O34" s="32">
        <v>0</v>
      </c>
    </row>
    <row r="35" spans="1:15">
      <c r="A35" s="30">
        <v>1232846</v>
      </c>
      <c r="B35" s="32">
        <v>0</v>
      </c>
      <c r="C35" s="32">
        <v>742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</row>
    <row r="36" spans="1:15">
      <c r="A36" s="30">
        <v>1231090</v>
      </c>
      <c r="B36" s="32">
        <v>0</v>
      </c>
      <c r="C36" s="32">
        <v>0</v>
      </c>
      <c r="D36" s="32">
        <v>210</v>
      </c>
      <c r="E36" s="17">
        <v>30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</row>
    <row r="37" spans="1:15">
      <c r="A37" s="30">
        <v>1233383</v>
      </c>
      <c r="B37" s="32">
        <v>191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</row>
    <row r="38" spans="1:15">
      <c r="A38" s="30">
        <v>1234222</v>
      </c>
      <c r="B38" s="32">
        <v>0</v>
      </c>
      <c r="C38" s="32">
        <v>0</v>
      </c>
      <c r="D38" s="32">
        <v>100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</row>
    <row r="39" spans="1:15">
      <c r="A39" s="30">
        <v>1236600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195</v>
      </c>
      <c r="M39" s="32">
        <v>419</v>
      </c>
      <c r="N39" s="32">
        <v>0</v>
      </c>
      <c r="O39" s="32">
        <v>0</v>
      </c>
    </row>
    <row r="40" spans="1:15">
      <c r="A40" s="30">
        <v>1236930</v>
      </c>
      <c r="B40" s="32">
        <v>122</v>
      </c>
      <c r="C40" s="32">
        <v>149</v>
      </c>
      <c r="D40" s="32">
        <v>223</v>
      </c>
      <c r="E40" s="32">
        <v>440</v>
      </c>
      <c r="F40" s="17">
        <v>120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273</v>
      </c>
      <c r="M40" s="32">
        <v>430</v>
      </c>
      <c r="N40" s="32">
        <v>0</v>
      </c>
      <c r="O40" s="32">
        <v>0</v>
      </c>
    </row>
    <row r="41" spans="1:15">
      <c r="A41" s="30">
        <v>1232775</v>
      </c>
      <c r="B41" s="32">
        <v>0</v>
      </c>
      <c r="C41" s="32">
        <v>118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480</v>
      </c>
      <c r="M41" s="32">
        <v>480</v>
      </c>
      <c r="N41" s="32">
        <v>0</v>
      </c>
      <c r="O41" s="32">
        <v>0</v>
      </c>
    </row>
    <row r="42" spans="1:15">
      <c r="A42" s="30">
        <v>1234905</v>
      </c>
      <c r="B42" s="32">
        <v>540</v>
      </c>
      <c r="C42" s="32">
        <v>432</v>
      </c>
      <c r="D42" s="32">
        <v>307</v>
      </c>
      <c r="E42" s="32">
        <v>77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500</v>
      </c>
      <c r="M42" s="32">
        <v>500</v>
      </c>
      <c r="N42" s="32">
        <v>0</v>
      </c>
      <c r="O42" s="32">
        <v>0</v>
      </c>
    </row>
    <row r="43" spans="1:15">
      <c r="A43" s="30">
        <v>1238480</v>
      </c>
      <c r="B43" s="32">
        <v>1029</v>
      </c>
      <c r="C43" s="32">
        <v>1308</v>
      </c>
      <c r="D43" s="32">
        <v>1057</v>
      </c>
      <c r="E43" s="17">
        <v>952</v>
      </c>
      <c r="F43" s="32">
        <v>1182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851</v>
      </c>
      <c r="M43" s="32">
        <v>927</v>
      </c>
      <c r="N43" s="32">
        <v>0</v>
      </c>
      <c r="O43" s="32">
        <v>0</v>
      </c>
    </row>
    <row r="44" spans="1:15">
      <c r="A44" s="30">
        <v>1240180</v>
      </c>
      <c r="B44" s="32">
        <v>0</v>
      </c>
      <c r="C44" s="32">
        <v>0</v>
      </c>
      <c r="D44" s="32">
        <v>0</v>
      </c>
      <c r="E44" s="32">
        <v>0</v>
      </c>
      <c r="F44" s="17">
        <v>211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249</v>
      </c>
      <c r="M44" s="32">
        <v>251</v>
      </c>
      <c r="N44" s="32">
        <v>0</v>
      </c>
      <c r="O44" s="32">
        <v>0</v>
      </c>
    </row>
    <row r="45" spans="1:15">
      <c r="A45" s="30">
        <v>1240184</v>
      </c>
      <c r="B45" s="32">
        <v>0</v>
      </c>
      <c r="C45" s="32">
        <v>0</v>
      </c>
      <c r="D45" s="32">
        <v>0</v>
      </c>
      <c r="E45" s="32">
        <v>0</v>
      </c>
      <c r="F45" s="17">
        <v>211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249</v>
      </c>
      <c r="M45" s="32">
        <v>251</v>
      </c>
      <c r="N45" s="32">
        <v>0</v>
      </c>
      <c r="O45" s="32">
        <v>0</v>
      </c>
    </row>
    <row r="46" spans="1:15">
      <c r="A46" s="30">
        <v>1232894</v>
      </c>
      <c r="B46" s="32">
        <v>0</v>
      </c>
      <c r="C46" s="32">
        <v>576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</row>
    <row r="47" spans="1:15">
      <c r="A47" s="30">
        <v>1233387</v>
      </c>
      <c r="B47" s="32">
        <v>0</v>
      </c>
      <c r="C47" s="32">
        <v>576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</row>
    <row r="48" spans="1:15">
      <c r="A48" s="30">
        <v>1232895</v>
      </c>
      <c r="B48" s="32">
        <v>0</v>
      </c>
      <c r="C48" s="32">
        <v>166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</row>
    <row r="49" spans="1:15">
      <c r="A49" s="30">
        <v>1232922</v>
      </c>
      <c r="B49" s="32">
        <v>0</v>
      </c>
      <c r="C49" s="32">
        <v>166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</row>
  </sheetData>
  <autoFilter ref="A1:O15" xr:uid="{77C49493-1C85-405B-9D02-6F0ACE64A90D}"/>
  <phoneticPr fontId="1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B3EC-D5D3-42E2-BF59-5D80916EDDBD}">
  <dimension ref="A1:Y211"/>
  <sheetViews>
    <sheetView zoomScale="130" zoomScaleNormal="130" workbookViewId="0">
      <selection activeCell="Q7" sqref="Q7"/>
    </sheetView>
  </sheetViews>
  <sheetFormatPr defaultColWidth="9.33203125" defaultRowHeight="12"/>
  <cols>
    <col min="1" max="1" width="10.1640625" style="5" bestFit="1" customWidth="1"/>
    <col min="2" max="2" width="9.33203125" style="9" bestFit="1"/>
    <col min="3" max="5" width="9.1640625" style="9" customWidth="1"/>
    <col min="6" max="10" width="9.1640625" style="9" hidden="1" customWidth="1"/>
    <col min="11" max="20" width="9.1640625" style="9" customWidth="1"/>
    <col min="21" max="21" width="9.33203125" style="9" bestFit="1"/>
    <col min="22" max="22" width="9.33203125" style="5"/>
    <col min="23" max="23" width="11.5" style="180" bestFit="1" customWidth="1"/>
    <col min="24" max="16384" width="9.33203125" style="5"/>
  </cols>
  <sheetData>
    <row r="1" spans="1:25">
      <c r="A1" s="176" t="s">
        <v>0</v>
      </c>
      <c r="B1" s="69" t="s">
        <v>817</v>
      </c>
      <c r="C1" s="69" t="s">
        <v>818</v>
      </c>
      <c r="D1" s="69" t="s">
        <v>819</v>
      </c>
      <c r="E1" s="69" t="s">
        <v>820</v>
      </c>
      <c r="F1" s="69" t="s">
        <v>821</v>
      </c>
      <c r="G1" s="70" t="s">
        <v>822</v>
      </c>
      <c r="H1" s="69" t="s">
        <v>839</v>
      </c>
      <c r="I1" s="69" t="s">
        <v>840</v>
      </c>
      <c r="J1" s="69" t="s">
        <v>841</v>
      </c>
      <c r="K1" s="69" t="s">
        <v>842</v>
      </c>
      <c r="L1" s="69" t="s">
        <v>843</v>
      </c>
      <c r="M1" s="69" t="s">
        <v>844</v>
      </c>
      <c r="N1" s="70" t="s">
        <v>845</v>
      </c>
      <c r="O1" s="69" t="s">
        <v>850</v>
      </c>
      <c r="P1" s="69" t="s">
        <v>851</v>
      </c>
      <c r="Q1" s="69" t="s">
        <v>852</v>
      </c>
      <c r="R1" s="69" t="s">
        <v>853</v>
      </c>
      <c r="S1" s="69" t="s">
        <v>854</v>
      </c>
      <c r="T1" s="69" t="s">
        <v>855</v>
      </c>
      <c r="U1" s="70" t="s">
        <v>856</v>
      </c>
      <c r="W1" s="177"/>
    </row>
    <row r="2" spans="1:25">
      <c r="A2" s="178">
        <v>1227431</v>
      </c>
      <c r="B2" s="32">
        <v>0</v>
      </c>
      <c r="C2" s="32">
        <v>0</v>
      </c>
      <c r="D2" s="32">
        <v>96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  <c r="S2" s="32">
        <v>0</v>
      </c>
      <c r="T2" s="32">
        <v>0</v>
      </c>
      <c r="U2" s="32">
        <v>0</v>
      </c>
      <c r="W2" s="179"/>
      <c r="Y2" s="78"/>
    </row>
    <row r="3" spans="1:25">
      <c r="A3" s="178">
        <v>1227433</v>
      </c>
      <c r="B3" s="32">
        <v>0</v>
      </c>
      <c r="C3" s="32">
        <v>0</v>
      </c>
      <c r="D3" s="32">
        <v>96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  <c r="W3" s="179"/>
      <c r="Y3" s="78"/>
    </row>
    <row r="4" spans="1:25">
      <c r="A4" s="178">
        <v>1229673</v>
      </c>
      <c r="B4" s="32">
        <v>300</v>
      </c>
      <c r="C4" s="32">
        <v>300</v>
      </c>
      <c r="D4" s="32">
        <v>300</v>
      </c>
      <c r="E4" s="17">
        <v>300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300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  <c r="W4" s="179"/>
      <c r="Y4" s="78"/>
    </row>
    <row r="5" spans="1:25">
      <c r="A5" s="178">
        <v>1230854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100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W5" s="179"/>
      <c r="Y5" s="78"/>
    </row>
    <row r="6" spans="1:25">
      <c r="A6" s="178">
        <v>1237088</v>
      </c>
      <c r="B6" s="32">
        <v>1134</v>
      </c>
      <c r="C6" s="32">
        <v>854</v>
      </c>
      <c r="D6" s="32">
        <v>792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1406</v>
      </c>
      <c r="L6" s="32">
        <v>684</v>
      </c>
      <c r="M6" s="32">
        <v>0</v>
      </c>
      <c r="N6" s="32">
        <v>0</v>
      </c>
      <c r="O6" s="32">
        <v>644</v>
      </c>
      <c r="P6" s="32">
        <v>394</v>
      </c>
      <c r="Q6" s="32">
        <v>0</v>
      </c>
      <c r="R6" s="32">
        <v>1980</v>
      </c>
      <c r="S6" s="32">
        <v>1356</v>
      </c>
      <c r="T6" s="32">
        <v>0</v>
      </c>
      <c r="U6" s="32">
        <v>0</v>
      </c>
      <c r="W6" s="179"/>
      <c r="Y6" s="78"/>
    </row>
    <row r="7" spans="1:25">
      <c r="A7" s="178">
        <v>1237748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558</v>
      </c>
      <c r="S7" s="32">
        <v>456</v>
      </c>
      <c r="T7" s="32">
        <v>0</v>
      </c>
      <c r="U7" s="32">
        <v>0</v>
      </c>
      <c r="W7" s="179"/>
      <c r="Y7" s="78"/>
    </row>
    <row r="8" spans="1:25">
      <c r="A8" s="178">
        <v>1236091</v>
      </c>
      <c r="B8" s="32">
        <v>0</v>
      </c>
      <c r="C8" s="32">
        <v>150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100</v>
      </c>
      <c r="R8" s="32">
        <v>0</v>
      </c>
      <c r="S8" s="32">
        <v>0</v>
      </c>
      <c r="T8" s="32">
        <v>0</v>
      </c>
      <c r="U8" s="32">
        <v>0</v>
      </c>
      <c r="W8" s="179"/>
      <c r="Y8" s="78"/>
    </row>
    <row r="9" spans="1:25" s="4" customFormat="1">
      <c r="A9" s="181">
        <v>1238128</v>
      </c>
      <c r="B9" s="91">
        <v>900</v>
      </c>
      <c r="C9" s="91">
        <v>578</v>
      </c>
      <c r="D9" s="91">
        <v>84</v>
      </c>
      <c r="E9" s="17">
        <v>378</v>
      </c>
      <c r="F9" s="91">
        <v>0</v>
      </c>
      <c r="G9" s="91">
        <v>0</v>
      </c>
      <c r="H9" s="91">
        <v>0</v>
      </c>
      <c r="I9" s="91">
        <v>0</v>
      </c>
      <c r="J9" s="91">
        <v>0</v>
      </c>
      <c r="K9" s="91">
        <v>378</v>
      </c>
      <c r="L9" s="91">
        <v>378</v>
      </c>
      <c r="M9" s="91">
        <v>0</v>
      </c>
      <c r="N9" s="91">
        <v>0</v>
      </c>
      <c r="O9" s="91">
        <v>378</v>
      </c>
      <c r="P9" s="91">
        <v>490</v>
      </c>
      <c r="Q9" s="91">
        <v>698</v>
      </c>
      <c r="R9" s="91">
        <v>529</v>
      </c>
      <c r="S9" s="91">
        <v>312</v>
      </c>
      <c r="T9" s="91">
        <v>0</v>
      </c>
      <c r="U9" s="91">
        <v>0</v>
      </c>
      <c r="W9" s="182"/>
      <c r="Y9" s="182"/>
    </row>
    <row r="10" spans="1:25">
      <c r="A10" s="178">
        <v>1236962</v>
      </c>
      <c r="B10" s="32">
        <v>0</v>
      </c>
      <c r="C10" s="32">
        <v>300</v>
      </c>
      <c r="D10" s="32">
        <v>500</v>
      </c>
      <c r="E10" s="17">
        <v>170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398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W10" s="179"/>
      <c r="Y10" s="78"/>
    </row>
    <row r="11" spans="1:25">
      <c r="A11" s="178">
        <v>1233761</v>
      </c>
      <c r="B11" s="32">
        <v>0</v>
      </c>
      <c r="C11" s="32">
        <v>0</v>
      </c>
      <c r="D11" s="32">
        <v>0</v>
      </c>
      <c r="E11" s="17">
        <v>350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W11" s="179"/>
      <c r="Y11" s="78"/>
    </row>
    <row r="12" spans="1:25">
      <c r="A12" s="178">
        <v>1239651</v>
      </c>
      <c r="B12" s="32">
        <v>500</v>
      </c>
      <c r="C12" s="32">
        <v>0</v>
      </c>
      <c r="D12" s="32">
        <v>228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500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W12" s="179"/>
      <c r="Y12" s="78"/>
    </row>
    <row r="13" spans="1:25" s="4" customFormat="1">
      <c r="A13" s="181">
        <v>1239988</v>
      </c>
      <c r="B13" s="91">
        <v>0</v>
      </c>
      <c r="C13" s="91">
        <v>168</v>
      </c>
      <c r="D13" s="91">
        <v>356</v>
      </c>
      <c r="E13" s="17">
        <v>356</v>
      </c>
      <c r="F13" s="91">
        <v>0</v>
      </c>
      <c r="G13" s="91">
        <v>0</v>
      </c>
      <c r="H13" s="91">
        <v>0</v>
      </c>
      <c r="I13" s="91">
        <v>0</v>
      </c>
      <c r="J13" s="91">
        <v>0</v>
      </c>
      <c r="K13" s="91">
        <v>356</v>
      </c>
      <c r="L13" s="91">
        <v>294</v>
      </c>
      <c r="M13" s="91">
        <v>0</v>
      </c>
      <c r="N13" s="91">
        <v>0</v>
      </c>
      <c r="O13" s="91">
        <v>284</v>
      </c>
      <c r="P13" s="91">
        <v>442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W13" s="182"/>
      <c r="Y13" s="182"/>
    </row>
    <row r="14" spans="1:25">
      <c r="A14" s="178">
        <v>1240180</v>
      </c>
      <c r="B14" s="32">
        <v>358</v>
      </c>
      <c r="C14" s="32">
        <v>142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34</v>
      </c>
      <c r="M14" s="32">
        <v>0</v>
      </c>
      <c r="N14" s="32">
        <v>0</v>
      </c>
      <c r="O14" s="32">
        <v>68</v>
      </c>
      <c r="P14" s="32">
        <v>358</v>
      </c>
      <c r="Q14" s="32">
        <v>224</v>
      </c>
      <c r="R14" s="32">
        <v>0</v>
      </c>
      <c r="S14" s="32">
        <v>0</v>
      </c>
      <c r="T14" s="32">
        <v>0</v>
      </c>
      <c r="U14" s="32">
        <v>0</v>
      </c>
      <c r="W14" s="179"/>
      <c r="Y14" s="78"/>
    </row>
    <row r="15" spans="1:25">
      <c r="A15" s="178">
        <v>1240184</v>
      </c>
      <c r="B15" s="32">
        <v>358</v>
      </c>
      <c r="C15" s="32">
        <v>142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34</v>
      </c>
      <c r="M15" s="32">
        <v>0</v>
      </c>
      <c r="N15" s="32">
        <v>0</v>
      </c>
      <c r="O15" s="32">
        <v>68</v>
      </c>
      <c r="P15" s="32">
        <v>358</v>
      </c>
      <c r="Q15" s="32">
        <v>124</v>
      </c>
      <c r="R15" s="32">
        <v>0</v>
      </c>
      <c r="S15" s="32">
        <v>0</v>
      </c>
      <c r="T15" s="32">
        <v>0</v>
      </c>
      <c r="U15" s="32">
        <v>0</v>
      </c>
      <c r="W15" s="179"/>
      <c r="Y15" s="78"/>
    </row>
    <row r="16" spans="1:25">
      <c r="A16" s="178">
        <v>1240308</v>
      </c>
      <c r="B16" s="32">
        <v>0</v>
      </c>
      <c r="C16" s="32">
        <v>0</v>
      </c>
      <c r="D16" s="32">
        <v>0</v>
      </c>
      <c r="E16" s="17">
        <v>150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300</v>
      </c>
      <c r="M16" s="32">
        <v>0</v>
      </c>
      <c r="N16" s="32">
        <v>0</v>
      </c>
      <c r="O16" s="32">
        <v>450</v>
      </c>
      <c r="P16" s="32">
        <v>0</v>
      </c>
      <c r="Q16" s="32">
        <v>580</v>
      </c>
      <c r="R16" s="32">
        <v>0</v>
      </c>
      <c r="S16" s="32">
        <v>0</v>
      </c>
      <c r="T16" s="32">
        <v>0</v>
      </c>
      <c r="U16" s="32">
        <v>0</v>
      </c>
      <c r="W16" s="179"/>
      <c r="Y16" s="78"/>
    </row>
    <row r="17" spans="1:25">
      <c r="A17" s="178">
        <v>1241601</v>
      </c>
      <c r="B17" s="32">
        <v>0</v>
      </c>
      <c r="C17" s="32">
        <v>528</v>
      </c>
      <c r="D17" s="32">
        <v>804</v>
      </c>
      <c r="E17" s="17">
        <v>420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670</v>
      </c>
      <c r="L17" s="32">
        <v>952</v>
      </c>
      <c r="M17" s="32">
        <v>0</v>
      </c>
      <c r="N17" s="32">
        <v>0</v>
      </c>
      <c r="O17" s="32">
        <v>1000</v>
      </c>
      <c r="P17" s="32">
        <v>764</v>
      </c>
      <c r="Q17" s="32">
        <v>566</v>
      </c>
      <c r="R17" s="32">
        <v>1318</v>
      </c>
      <c r="S17" s="32">
        <v>1014</v>
      </c>
      <c r="T17" s="32">
        <v>0</v>
      </c>
      <c r="U17" s="32">
        <v>0</v>
      </c>
      <c r="W17" s="179"/>
      <c r="Y17" s="78"/>
    </row>
    <row r="18" spans="1:25">
      <c r="W18" s="179"/>
      <c r="Y18" s="78"/>
    </row>
    <row r="19" spans="1:25">
      <c r="W19" s="179"/>
      <c r="Y19" s="78"/>
    </row>
    <row r="20" spans="1:25">
      <c r="W20" s="179"/>
      <c r="Y20" s="78"/>
    </row>
    <row r="21" spans="1:25">
      <c r="A21" s="176" t="s">
        <v>0</v>
      </c>
      <c r="B21" s="69" t="s">
        <v>817</v>
      </c>
      <c r="C21" s="69" t="s">
        <v>818</v>
      </c>
      <c r="D21" s="69" t="s">
        <v>819</v>
      </c>
      <c r="E21" s="69" t="s">
        <v>820</v>
      </c>
      <c r="F21" s="69" t="s">
        <v>821</v>
      </c>
      <c r="G21" s="70" t="s">
        <v>822</v>
      </c>
      <c r="H21" s="69" t="s">
        <v>839</v>
      </c>
      <c r="I21" s="69" t="s">
        <v>840</v>
      </c>
      <c r="J21" s="69" t="s">
        <v>841</v>
      </c>
      <c r="K21" s="69" t="s">
        <v>842</v>
      </c>
      <c r="L21" s="69" t="s">
        <v>843</v>
      </c>
      <c r="M21" s="69" t="s">
        <v>844</v>
      </c>
      <c r="N21" s="70" t="s">
        <v>845</v>
      </c>
      <c r="O21" s="69" t="s">
        <v>850</v>
      </c>
      <c r="P21" s="69" t="s">
        <v>851</v>
      </c>
      <c r="Q21" s="69" t="s">
        <v>852</v>
      </c>
      <c r="R21" s="69" t="s">
        <v>853</v>
      </c>
      <c r="S21" s="69" t="s">
        <v>854</v>
      </c>
      <c r="T21" s="69" t="s">
        <v>855</v>
      </c>
      <c r="U21" s="70" t="s">
        <v>856</v>
      </c>
      <c r="W21" s="179"/>
      <c r="Y21" s="78"/>
    </row>
    <row r="22" spans="1:25">
      <c r="A22" s="178">
        <v>1232846</v>
      </c>
      <c r="B22" s="75">
        <v>448</v>
      </c>
      <c r="C22" s="75">
        <v>94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102</v>
      </c>
      <c r="P22" s="32">
        <v>352</v>
      </c>
      <c r="Q22" s="32">
        <v>251</v>
      </c>
      <c r="R22" s="32">
        <v>0</v>
      </c>
      <c r="S22" s="32">
        <v>0</v>
      </c>
      <c r="T22" s="32">
        <v>0</v>
      </c>
      <c r="U22" s="32">
        <v>0</v>
      </c>
      <c r="W22" s="179"/>
      <c r="Y22" s="78"/>
    </row>
    <row r="23" spans="1:25">
      <c r="A23" s="178">
        <v>1232895</v>
      </c>
      <c r="B23" s="75">
        <v>448</v>
      </c>
      <c r="C23" s="75">
        <v>94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102</v>
      </c>
      <c r="P23" s="32">
        <v>352</v>
      </c>
      <c r="Q23" s="32">
        <v>251</v>
      </c>
      <c r="R23" s="32">
        <v>0</v>
      </c>
      <c r="S23" s="32">
        <v>0</v>
      </c>
      <c r="T23" s="32">
        <v>0</v>
      </c>
      <c r="U23" s="32">
        <v>0</v>
      </c>
      <c r="W23" s="179"/>
      <c r="Y23" s="78"/>
    </row>
    <row r="24" spans="1:25">
      <c r="A24" s="178">
        <v>1233384</v>
      </c>
      <c r="B24" s="75">
        <v>448</v>
      </c>
      <c r="C24" s="75">
        <v>94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102</v>
      </c>
      <c r="P24" s="32">
        <v>352</v>
      </c>
      <c r="Q24" s="32">
        <v>251</v>
      </c>
      <c r="R24" s="32">
        <v>0</v>
      </c>
      <c r="S24" s="32">
        <v>0</v>
      </c>
      <c r="T24" s="32">
        <v>0</v>
      </c>
      <c r="U24" s="32">
        <v>0</v>
      </c>
      <c r="W24" s="179"/>
      <c r="Y24" s="78"/>
    </row>
    <row r="25" spans="1:25">
      <c r="A25" s="178">
        <v>1232775</v>
      </c>
      <c r="B25" s="32">
        <v>0</v>
      </c>
      <c r="C25" s="75">
        <v>165</v>
      </c>
      <c r="D25" s="75">
        <v>311</v>
      </c>
      <c r="E25" s="75">
        <v>229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184</v>
      </c>
      <c r="L25" s="75">
        <v>211</v>
      </c>
      <c r="M25" s="32">
        <v>0</v>
      </c>
      <c r="N25" s="32">
        <v>0</v>
      </c>
      <c r="O25" s="32">
        <v>245</v>
      </c>
      <c r="P25" s="32">
        <v>245</v>
      </c>
      <c r="Q25" s="32">
        <v>300</v>
      </c>
      <c r="R25" s="32">
        <v>487</v>
      </c>
      <c r="S25" s="32">
        <v>424</v>
      </c>
      <c r="T25" s="32">
        <v>0</v>
      </c>
      <c r="U25" s="32">
        <v>0</v>
      </c>
      <c r="W25" s="179"/>
      <c r="Y25" s="78"/>
    </row>
    <row r="26" spans="1:25">
      <c r="A26" s="178">
        <v>1238605</v>
      </c>
      <c r="B26" s="75">
        <v>175</v>
      </c>
      <c r="C26" s="75">
        <v>187</v>
      </c>
      <c r="D26" s="75">
        <v>237</v>
      </c>
      <c r="E26" s="75">
        <v>176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189</v>
      </c>
      <c r="L26" s="75">
        <v>14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W26" s="179"/>
      <c r="Y26" s="78"/>
    </row>
    <row r="27" spans="1:25">
      <c r="A27" s="178">
        <v>1230685</v>
      </c>
      <c r="B27" s="75">
        <v>71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W27" s="179"/>
      <c r="Y27" s="78"/>
    </row>
    <row r="28" spans="1:25">
      <c r="W28" s="179"/>
      <c r="Y28" s="78"/>
    </row>
    <row r="29" spans="1:25">
      <c r="W29" s="179"/>
      <c r="Y29" s="78"/>
    </row>
    <row r="30" spans="1:25">
      <c r="W30" s="179"/>
      <c r="Y30" s="78"/>
    </row>
    <row r="31" spans="1:25">
      <c r="A31" s="176" t="s">
        <v>0</v>
      </c>
      <c r="B31" s="69" t="s">
        <v>817</v>
      </c>
      <c r="C31" s="69" t="s">
        <v>818</v>
      </c>
      <c r="D31" s="69" t="s">
        <v>819</v>
      </c>
      <c r="E31" s="69" t="s">
        <v>820</v>
      </c>
      <c r="F31" s="69" t="s">
        <v>821</v>
      </c>
      <c r="G31" s="70" t="s">
        <v>822</v>
      </c>
      <c r="H31" s="69" t="s">
        <v>839</v>
      </c>
      <c r="I31" s="69" t="s">
        <v>840</v>
      </c>
      <c r="J31" s="69" t="s">
        <v>841</v>
      </c>
      <c r="K31" s="69" t="s">
        <v>842</v>
      </c>
      <c r="L31" s="69" t="s">
        <v>843</v>
      </c>
      <c r="M31" s="69" t="s">
        <v>844</v>
      </c>
      <c r="N31" s="70" t="s">
        <v>845</v>
      </c>
      <c r="O31" s="69" t="s">
        <v>850</v>
      </c>
      <c r="P31" s="69" t="s">
        <v>851</v>
      </c>
      <c r="Q31" s="69" t="s">
        <v>852</v>
      </c>
      <c r="R31" s="69" t="s">
        <v>853</v>
      </c>
      <c r="S31" s="69" t="s">
        <v>854</v>
      </c>
      <c r="T31" s="69" t="s">
        <v>855</v>
      </c>
      <c r="U31" s="70" t="s">
        <v>856</v>
      </c>
      <c r="W31" s="179"/>
      <c r="Y31" s="78"/>
    </row>
    <row r="32" spans="1:25">
      <c r="A32" s="178">
        <v>1227359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324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W32" s="179"/>
      <c r="Y32" s="78"/>
    </row>
    <row r="33" spans="1:25">
      <c r="A33" s="178">
        <v>1232066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234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W33" s="179"/>
      <c r="Y33" s="78"/>
    </row>
    <row r="34" spans="1:25">
      <c r="A34" s="178">
        <v>1232693</v>
      </c>
      <c r="B34" s="32">
        <v>188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1134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W34" s="179"/>
      <c r="Y34" s="78"/>
    </row>
    <row r="35" spans="1:25">
      <c r="A35" s="178">
        <v>1233025</v>
      </c>
      <c r="B35" s="32">
        <v>188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1134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W35" s="179"/>
      <c r="Y35" s="78"/>
    </row>
    <row r="36" spans="1:25">
      <c r="A36" s="178">
        <v>1234222</v>
      </c>
      <c r="B36" s="32">
        <v>0</v>
      </c>
      <c r="C36" s="32">
        <v>100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400</v>
      </c>
      <c r="R36" s="32">
        <v>0</v>
      </c>
      <c r="S36" s="32">
        <v>0</v>
      </c>
      <c r="T36" s="32">
        <v>0</v>
      </c>
      <c r="U36" s="32">
        <v>0</v>
      </c>
      <c r="W36" s="179"/>
      <c r="Y36" s="78"/>
    </row>
    <row r="37" spans="1:25">
      <c r="A37" s="178">
        <v>1232528</v>
      </c>
      <c r="B37" s="32">
        <v>176</v>
      </c>
      <c r="C37" s="32">
        <v>539</v>
      </c>
      <c r="D37" s="32">
        <v>554</v>
      </c>
      <c r="E37" s="17">
        <v>539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539</v>
      </c>
      <c r="L37" s="32">
        <v>57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2181</v>
      </c>
      <c r="T37" s="32">
        <v>0</v>
      </c>
      <c r="U37" s="32">
        <v>0</v>
      </c>
      <c r="W37" s="179"/>
      <c r="Y37" s="78"/>
    </row>
    <row r="38" spans="1:25">
      <c r="A38" s="178">
        <v>1232846</v>
      </c>
      <c r="B38" s="32">
        <v>742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W38" s="179"/>
      <c r="Y38" s="78"/>
    </row>
    <row r="39" spans="1:25">
      <c r="A39" s="178">
        <v>1229050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185</v>
      </c>
      <c r="M39" s="32">
        <v>0</v>
      </c>
      <c r="N39" s="32">
        <v>0</v>
      </c>
      <c r="O39" s="32">
        <v>335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W39" s="179"/>
      <c r="Y39" s="78"/>
    </row>
    <row r="40" spans="1:25">
      <c r="A40" s="178">
        <v>1231090</v>
      </c>
      <c r="B40" s="32">
        <v>0</v>
      </c>
      <c r="C40" s="75">
        <v>210</v>
      </c>
      <c r="D40" s="75">
        <v>30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2385</v>
      </c>
      <c r="T40" s="32">
        <v>0</v>
      </c>
      <c r="U40" s="32">
        <v>0</v>
      </c>
      <c r="W40" s="179"/>
      <c r="Y40" s="78"/>
    </row>
    <row r="41" spans="1:25">
      <c r="A41" s="178">
        <v>1220847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3300</v>
      </c>
      <c r="T41" s="32">
        <v>0</v>
      </c>
      <c r="U41" s="32">
        <v>0</v>
      </c>
      <c r="W41" s="179"/>
      <c r="Y41" s="78"/>
    </row>
    <row r="42" spans="1:25">
      <c r="A42" s="178">
        <v>1235097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410</v>
      </c>
      <c r="T42" s="32">
        <v>0</v>
      </c>
      <c r="U42" s="32">
        <v>0</v>
      </c>
      <c r="W42" s="179"/>
      <c r="Y42" s="78"/>
    </row>
    <row r="43" spans="1:25">
      <c r="A43" s="178">
        <v>1236600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195</v>
      </c>
      <c r="L43" s="32">
        <v>419</v>
      </c>
      <c r="M43" s="32">
        <v>0</v>
      </c>
      <c r="N43" s="32">
        <v>0</v>
      </c>
      <c r="O43" s="32">
        <v>151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W43" s="179"/>
      <c r="Y43" s="78"/>
    </row>
    <row r="44" spans="1:25">
      <c r="A44" s="178">
        <v>1236601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123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W44" s="179"/>
      <c r="Y44" s="78"/>
    </row>
    <row r="45" spans="1:25">
      <c r="A45" s="178">
        <v>1236619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198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W45" s="179"/>
      <c r="Y45" s="78"/>
    </row>
    <row r="46" spans="1:25">
      <c r="A46" s="178">
        <v>1236930</v>
      </c>
      <c r="B46" s="32">
        <v>149</v>
      </c>
      <c r="C46" s="32">
        <v>223</v>
      </c>
      <c r="D46" s="32">
        <v>440</v>
      </c>
      <c r="E46" s="32">
        <v>120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17">
        <v>273</v>
      </c>
      <c r="L46" s="32">
        <v>430</v>
      </c>
      <c r="M46" s="32">
        <v>0</v>
      </c>
      <c r="N46" s="32">
        <v>0</v>
      </c>
      <c r="O46" s="32">
        <v>317</v>
      </c>
      <c r="P46" s="32">
        <v>680</v>
      </c>
      <c r="Q46" s="32">
        <v>514</v>
      </c>
      <c r="R46" s="32">
        <v>488</v>
      </c>
      <c r="S46" s="32">
        <v>420</v>
      </c>
      <c r="T46" s="32">
        <v>0</v>
      </c>
      <c r="U46" s="32">
        <v>0</v>
      </c>
      <c r="W46" s="179"/>
      <c r="Y46" s="78"/>
    </row>
    <row r="47" spans="1:25">
      <c r="A47" s="178">
        <v>1237468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64</v>
      </c>
      <c r="T47" s="32">
        <v>0</v>
      </c>
      <c r="U47" s="32">
        <v>0</v>
      </c>
      <c r="W47" s="179"/>
      <c r="Y47" s="78"/>
    </row>
    <row r="48" spans="1:25">
      <c r="A48" s="178">
        <v>1237210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375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W48" s="179"/>
      <c r="Y48" s="78"/>
    </row>
    <row r="49" spans="1:25">
      <c r="A49" s="178">
        <v>1232775</v>
      </c>
      <c r="B49" s="32">
        <v>118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480</v>
      </c>
      <c r="L49" s="32">
        <v>480</v>
      </c>
      <c r="M49" s="32">
        <v>0</v>
      </c>
      <c r="N49" s="32">
        <v>0</v>
      </c>
      <c r="O49" s="32">
        <v>573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W49" s="179"/>
      <c r="Y49" s="78"/>
    </row>
    <row r="50" spans="1:25">
      <c r="A50" s="178">
        <v>1237457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54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W50" s="179"/>
      <c r="Y50" s="78"/>
    </row>
    <row r="51" spans="1:25">
      <c r="A51" s="178">
        <v>1237386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45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W51" s="179"/>
      <c r="Y51" s="78"/>
    </row>
    <row r="52" spans="1:25">
      <c r="A52" s="178">
        <v>1234905</v>
      </c>
      <c r="B52" s="32">
        <v>432</v>
      </c>
      <c r="C52" s="32">
        <v>307</v>
      </c>
      <c r="D52" s="32">
        <v>77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400</v>
      </c>
      <c r="M52" s="32">
        <v>0</v>
      </c>
      <c r="N52" s="32">
        <v>0</v>
      </c>
      <c r="O52" s="32">
        <v>400</v>
      </c>
      <c r="P52" s="32">
        <v>200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W52" s="179"/>
      <c r="Y52" s="78"/>
    </row>
    <row r="53" spans="1:25">
      <c r="A53" s="178">
        <v>1238480</v>
      </c>
      <c r="B53" s="32">
        <v>1308</v>
      </c>
      <c r="C53" s="32">
        <v>1057</v>
      </c>
      <c r="D53" s="32">
        <v>952</v>
      </c>
      <c r="E53" s="17">
        <v>1182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851</v>
      </c>
      <c r="L53" s="32">
        <v>927</v>
      </c>
      <c r="M53" s="32">
        <v>0</v>
      </c>
      <c r="N53" s="32">
        <v>0</v>
      </c>
      <c r="O53" s="32">
        <v>1067</v>
      </c>
      <c r="P53" s="32">
        <v>1205</v>
      </c>
      <c r="Q53" s="32">
        <v>1679</v>
      </c>
      <c r="R53" s="32">
        <v>1633</v>
      </c>
      <c r="S53" s="32">
        <v>1803</v>
      </c>
      <c r="T53" s="32">
        <v>0</v>
      </c>
      <c r="U53" s="32">
        <v>0</v>
      </c>
      <c r="W53" s="179"/>
      <c r="Y53" s="78"/>
    </row>
    <row r="54" spans="1:25">
      <c r="A54" s="178">
        <v>1238453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40</v>
      </c>
      <c r="T54" s="32">
        <v>0</v>
      </c>
      <c r="U54" s="32">
        <v>0</v>
      </c>
      <c r="W54" s="179"/>
      <c r="Y54" s="78"/>
    </row>
    <row r="55" spans="1:25">
      <c r="A55" s="178">
        <v>1240180</v>
      </c>
      <c r="B55" s="32">
        <v>0</v>
      </c>
      <c r="C55" s="32">
        <v>0</v>
      </c>
      <c r="D55" s="32">
        <v>0</v>
      </c>
      <c r="E55" s="32">
        <v>211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17">
        <v>441</v>
      </c>
      <c r="L55" s="32">
        <v>59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W55" s="179"/>
      <c r="Y55" s="78"/>
    </row>
    <row r="56" spans="1:25">
      <c r="A56" s="178">
        <v>1240184</v>
      </c>
      <c r="B56" s="32">
        <v>0</v>
      </c>
      <c r="C56" s="32">
        <v>0</v>
      </c>
      <c r="D56" s="32">
        <v>0</v>
      </c>
      <c r="E56" s="32">
        <v>211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17">
        <v>441</v>
      </c>
      <c r="L56" s="32">
        <v>59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W56" s="179"/>
      <c r="Y56" s="78"/>
    </row>
    <row r="57" spans="1:25">
      <c r="A57" s="178">
        <v>1216452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576</v>
      </c>
      <c r="R57" s="32">
        <v>0</v>
      </c>
      <c r="S57" s="32">
        <v>0</v>
      </c>
      <c r="T57" s="32">
        <v>0</v>
      </c>
      <c r="U57" s="32">
        <v>0</v>
      </c>
      <c r="W57" s="179"/>
      <c r="Y57" s="78"/>
    </row>
    <row r="58" spans="1:25">
      <c r="A58" s="178">
        <v>1232894</v>
      </c>
      <c r="B58" s="32">
        <v>576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W58" s="179"/>
      <c r="Y58" s="78"/>
    </row>
    <row r="59" spans="1:25">
      <c r="A59" s="178">
        <v>1233387</v>
      </c>
      <c r="B59" s="32">
        <v>576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W59" s="179"/>
      <c r="Y59" s="78"/>
    </row>
    <row r="60" spans="1:25">
      <c r="A60" s="178">
        <v>1232895</v>
      </c>
      <c r="B60" s="32">
        <v>166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W60" s="179"/>
      <c r="Y60" s="78"/>
    </row>
    <row r="61" spans="1:25">
      <c r="A61" s="178">
        <v>1232922</v>
      </c>
      <c r="B61" s="32">
        <v>166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W61" s="179"/>
      <c r="Y61" s="78"/>
    </row>
    <row r="62" spans="1:25">
      <c r="W62" s="179"/>
      <c r="Y62" s="78"/>
    </row>
    <row r="63" spans="1:25">
      <c r="W63" s="179"/>
      <c r="Y63" s="78"/>
    </row>
    <row r="64" spans="1:25">
      <c r="W64" s="179"/>
      <c r="Y64" s="78"/>
    </row>
    <row r="65" spans="23:25">
      <c r="W65" s="179"/>
      <c r="Y65" s="78"/>
    </row>
    <row r="66" spans="23:25">
      <c r="W66" s="179"/>
      <c r="Y66" s="78"/>
    </row>
    <row r="67" spans="23:25">
      <c r="W67" s="179"/>
      <c r="Y67" s="78"/>
    </row>
    <row r="68" spans="23:25">
      <c r="W68" s="179"/>
      <c r="Y68" s="78"/>
    </row>
    <row r="69" spans="23:25">
      <c r="W69" s="179"/>
      <c r="Y69" s="78"/>
    </row>
    <row r="70" spans="23:25">
      <c r="W70" s="179"/>
      <c r="Y70" s="78"/>
    </row>
    <row r="71" spans="23:25">
      <c r="W71" s="179"/>
      <c r="Y71" s="78"/>
    </row>
    <row r="72" spans="23:25">
      <c r="W72" s="179"/>
      <c r="Y72" s="78"/>
    </row>
    <row r="73" spans="23:25">
      <c r="W73" s="179"/>
      <c r="Y73" s="78"/>
    </row>
    <row r="74" spans="23:25">
      <c r="W74" s="179"/>
      <c r="Y74" s="78"/>
    </row>
    <row r="75" spans="23:25">
      <c r="W75" s="179"/>
      <c r="Y75" s="78"/>
    </row>
    <row r="76" spans="23:25">
      <c r="W76" s="179"/>
      <c r="Y76" s="78"/>
    </row>
    <row r="77" spans="23:25">
      <c r="W77" s="179"/>
      <c r="Y77" s="78"/>
    </row>
    <row r="78" spans="23:25">
      <c r="W78" s="179"/>
      <c r="Y78" s="78"/>
    </row>
    <row r="79" spans="23:25">
      <c r="W79" s="179"/>
      <c r="Y79" s="78"/>
    </row>
    <row r="80" spans="23:25">
      <c r="W80" s="179"/>
      <c r="Y80" s="78"/>
    </row>
    <row r="81" spans="23:25">
      <c r="W81" s="179"/>
      <c r="Y81" s="78"/>
    </row>
    <row r="82" spans="23:25">
      <c r="W82" s="179"/>
      <c r="Y82" s="78"/>
    </row>
    <row r="83" spans="23:25">
      <c r="W83" s="179"/>
      <c r="Y83" s="78"/>
    </row>
    <row r="84" spans="23:25">
      <c r="W84" s="179"/>
      <c r="Y84" s="78"/>
    </row>
    <row r="85" spans="23:25">
      <c r="W85" s="179"/>
      <c r="Y85" s="78"/>
    </row>
    <row r="86" spans="23:25">
      <c r="W86" s="179"/>
      <c r="Y86" s="78"/>
    </row>
    <row r="87" spans="23:25">
      <c r="W87" s="179"/>
      <c r="Y87" s="78"/>
    </row>
    <row r="88" spans="23:25">
      <c r="W88" s="179"/>
      <c r="Y88" s="78"/>
    </row>
    <row r="89" spans="23:25">
      <c r="W89" s="179"/>
      <c r="Y89" s="78"/>
    </row>
    <row r="90" spans="23:25">
      <c r="W90" s="179"/>
      <c r="Y90" s="78"/>
    </row>
    <row r="91" spans="23:25">
      <c r="W91" s="179"/>
      <c r="Y91" s="78"/>
    </row>
    <row r="92" spans="23:25">
      <c r="W92" s="179"/>
      <c r="Y92" s="78"/>
    </row>
    <row r="93" spans="23:25">
      <c r="W93" s="179"/>
      <c r="Y93" s="78"/>
    </row>
    <row r="94" spans="23:25">
      <c r="W94" s="179"/>
      <c r="Y94" s="78"/>
    </row>
    <row r="95" spans="23:25">
      <c r="W95" s="179"/>
      <c r="Y95" s="78"/>
    </row>
    <row r="96" spans="23:25">
      <c r="W96" s="179"/>
      <c r="Y96" s="78"/>
    </row>
    <row r="97" spans="23:25">
      <c r="W97" s="179"/>
      <c r="Y97" s="78"/>
    </row>
    <row r="98" spans="23:25">
      <c r="W98" s="179"/>
      <c r="Y98" s="78"/>
    </row>
    <row r="99" spans="23:25">
      <c r="W99" s="179"/>
      <c r="Y99" s="78"/>
    </row>
    <row r="100" spans="23:25">
      <c r="W100" s="179"/>
      <c r="Y100" s="78"/>
    </row>
    <row r="101" spans="23:25">
      <c r="W101" s="179"/>
      <c r="Y101" s="78"/>
    </row>
    <row r="102" spans="23:25">
      <c r="W102" s="179"/>
      <c r="Y102" s="78"/>
    </row>
    <row r="103" spans="23:25">
      <c r="W103" s="179"/>
      <c r="Y103" s="78"/>
    </row>
    <row r="104" spans="23:25">
      <c r="W104" s="179"/>
      <c r="Y104" s="78"/>
    </row>
    <row r="105" spans="23:25">
      <c r="W105" s="179"/>
      <c r="Y105" s="78"/>
    </row>
    <row r="106" spans="23:25">
      <c r="W106" s="179"/>
      <c r="Y106" s="78"/>
    </row>
    <row r="107" spans="23:25">
      <c r="W107" s="179"/>
      <c r="Y107" s="78"/>
    </row>
    <row r="108" spans="23:25">
      <c r="W108" s="179"/>
      <c r="Y108" s="78"/>
    </row>
    <row r="109" spans="23:25">
      <c r="W109" s="179"/>
      <c r="Y109" s="78"/>
    </row>
    <row r="110" spans="23:25">
      <c r="W110" s="179"/>
      <c r="Y110" s="78"/>
    </row>
    <row r="111" spans="23:25">
      <c r="W111" s="179"/>
      <c r="Y111" s="78"/>
    </row>
    <row r="112" spans="23:25">
      <c r="W112" s="179"/>
      <c r="Y112" s="78"/>
    </row>
    <row r="113" spans="23:25">
      <c r="W113" s="179"/>
      <c r="Y113" s="78"/>
    </row>
    <row r="114" spans="23:25">
      <c r="W114" s="179"/>
      <c r="Y114" s="78"/>
    </row>
    <row r="115" spans="23:25">
      <c r="W115" s="179"/>
      <c r="Y115" s="78"/>
    </row>
    <row r="116" spans="23:25">
      <c r="W116" s="179"/>
      <c r="Y116" s="78"/>
    </row>
    <row r="117" spans="23:25">
      <c r="W117" s="179"/>
      <c r="Y117" s="78"/>
    </row>
    <row r="118" spans="23:25">
      <c r="W118" s="179"/>
      <c r="Y118" s="78"/>
    </row>
    <row r="119" spans="23:25">
      <c r="W119" s="179"/>
      <c r="Y119" s="78"/>
    </row>
    <row r="120" spans="23:25">
      <c r="W120" s="179"/>
      <c r="Y120" s="78"/>
    </row>
    <row r="121" spans="23:25">
      <c r="W121" s="179"/>
      <c r="Y121" s="78"/>
    </row>
    <row r="122" spans="23:25">
      <c r="W122" s="179"/>
      <c r="Y122" s="78"/>
    </row>
    <row r="123" spans="23:25">
      <c r="W123" s="179"/>
      <c r="Y123" s="78"/>
    </row>
    <row r="124" spans="23:25">
      <c r="W124" s="179"/>
      <c r="Y124" s="78"/>
    </row>
    <row r="125" spans="23:25">
      <c r="W125" s="179"/>
      <c r="Y125" s="78"/>
    </row>
    <row r="126" spans="23:25">
      <c r="W126" s="179"/>
      <c r="Y126" s="78"/>
    </row>
    <row r="127" spans="23:25">
      <c r="W127" s="179"/>
      <c r="Y127" s="78"/>
    </row>
    <row r="128" spans="23:25">
      <c r="W128" s="179"/>
      <c r="Y128" s="78"/>
    </row>
    <row r="129" spans="23:25">
      <c r="W129" s="179"/>
      <c r="Y129" s="78"/>
    </row>
    <row r="130" spans="23:25">
      <c r="W130" s="179"/>
      <c r="Y130" s="78"/>
    </row>
    <row r="131" spans="23:25">
      <c r="W131" s="179"/>
      <c r="Y131" s="78"/>
    </row>
    <row r="132" spans="23:25">
      <c r="W132" s="179"/>
      <c r="Y132" s="78"/>
    </row>
    <row r="133" spans="23:25">
      <c r="W133" s="179"/>
      <c r="Y133" s="78"/>
    </row>
    <row r="134" spans="23:25">
      <c r="W134" s="179"/>
      <c r="Y134" s="78"/>
    </row>
    <row r="135" spans="23:25">
      <c r="W135" s="179"/>
      <c r="Y135" s="78"/>
    </row>
    <row r="136" spans="23:25">
      <c r="W136" s="179"/>
      <c r="Y136" s="78"/>
    </row>
    <row r="137" spans="23:25">
      <c r="W137" s="179"/>
      <c r="Y137" s="78"/>
    </row>
    <row r="138" spans="23:25">
      <c r="W138" s="179"/>
      <c r="Y138" s="78"/>
    </row>
    <row r="139" spans="23:25">
      <c r="W139" s="179"/>
      <c r="Y139" s="78"/>
    </row>
    <row r="140" spans="23:25">
      <c r="W140" s="179"/>
      <c r="Y140" s="78"/>
    </row>
    <row r="141" spans="23:25">
      <c r="W141" s="179"/>
      <c r="Y141" s="78"/>
    </row>
    <row r="142" spans="23:25">
      <c r="W142" s="179"/>
      <c r="Y142" s="78"/>
    </row>
    <row r="143" spans="23:25">
      <c r="W143" s="179"/>
      <c r="Y143" s="78"/>
    </row>
    <row r="144" spans="23:25">
      <c r="W144" s="179"/>
      <c r="Y144" s="78"/>
    </row>
    <row r="145" spans="23:25">
      <c r="W145" s="179"/>
      <c r="Y145" s="78"/>
    </row>
    <row r="146" spans="23:25">
      <c r="W146" s="179"/>
      <c r="Y146" s="78"/>
    </row>
    <row r="147" spans="23:25">
      <c r="W147" s="179"/>
      <c r="Y147" s="78"/>
    </row>
    <row r="148" spans="23:25">
      <c r="W148" s="179"/>
      <c r="Y148" s="78"/>
    </row>
    <row r="149" spans="23:25">
      <c r="W149" s="179"/>
      <c r="Y149" s="78"/>
    </row>
    <row r="150" spans="23:25">
      <c r="W150" s="179"/>
      <c r="Y150" s="78"/>
    </row>
    <row r="151" spans="23:25">
      <c r="W151" s="179"/>
      <c r="Y151" s="78"/>
    </row>
    <row r="152" spans="23:25">
      <c r="W152" s="179"/>
      <c r="Y152" s="78"/>
    </row>
    <row r="153" spans="23:25">
      <c r="W153" s="179"/>
      <c r="Y153" s="78"/>
    </row>
    <row r="154" spans="23:25">
      <c r="W154" s="179"/>
      <c r="Y154" s="78"/>
    </row>
    <row r="155" spans="23:25">
      <c r="W155" s="179"/>
      <c r="Y155" s="78"/>
    </row>
    <row r="156" spans="23:25">
      <c r="W156" s="179"/>
      <c r="Y156" s="78"/>
    </row>
    <row r="157" spans="23:25">
      <c r="W157" s="179"/>
      <c r="Y157" s="78"/>
    </row>
    <row r="158" spans="23:25">
      <c r="W158" s="179"/>
      <c r="Y158" s="78"/>
    </row>
    <row r="159" spans="23:25">
      <c r="W159" s="179"/>
      <c r="Y159" s="78"/>
    </row>
    <row r="160" spans="23:25">
      <c r="W160" s="179"/>
      <c r="Y160" s="78"/>
    </row>
    <row r="161" spans="23:25">
      <c r="W161" s="179"/>
      <c r="Y161" s="78"/>
    </row>
    <row r="162" spans="23:25">
      <c r="W162" s="179"/>
      <c r="Y162" s="78"/>
    </row>
    <row r="163" spans="23:25">
      <c r="W163" s="179"/>
      <c r="Y163" s="78"/>
    </row>
    <row r="164" spans="23:25">
      <c r="W164" s="179"/>
      <c r="Y164" s="78"/>
    </row>
    <row r="165" spans="23:25">
      <c r="W165" s="179"/>
      <c r="Y165" s="78"/>
    </row>
    <row r="166" spans="23:25">
      <c r="W166" s="179"/>
      <c r="Y166" s="78"/>
    </row>
    <row r="167" spans="23:25">
      <c r="W167" s="179"/>
      <c r="Y167" s="78"/>
    </row>
    <row r="168" spans="23:25">
      <c r="W168" s="179"/>
      <c r="Y168" s="78"/>
    </row>
    <row r="169" spans="23:25">
      <c r="W169" s="179"/>
      <c r="Y169" s="78"/>
    </row>
    <row r="170" spans="23:25">
      <c r="W170" s="179"/>
      <c r="Y170" s="78"/>
    </row>
    <row r="171" spans="23:25">
      <c r="W171" s="179"/>
      <c r="Y171" s="78"/>
    </row>
    <row r="172" spans="23:25">
      <c r="W172" s="179"/>
      <c r="Y172" s="78"/>
    </row>
    <row r="173" spans="23:25">
      <c r="W173" s="179"/>
      <c r="Y173" s="78"/>
    </row>
    <row r="174" spans="23:25">
      <c r="W174" s="179"/>
      <c r="Y174" s="78"/>
    </row>
    <row r="175" spans="23:25">
      <c r="W175" s="179"/>
      <c r="Y175" s="78"/>
    </row>
    <row r="176" spans="23:25">
      <c r="W176" s="179"/>
      <c r="Y176" s="78"/>
    </row>
    <row r="177" spans="23:25">
      <c r="W177" s="179"/>
      <c r="Y177" s="78"/>
    </row>
    <row r="178" spans="23:25">
      <c r="W178" s="179"/>
      <c r="Y178" s="78"/>
    </row>
    <row r="179" spans="23:25">
      <c r="W179" s="179"/>
      <c r="Y179" s="78"/>
    </row>
    <row r="180" spans="23:25">
      <c r="W180" s="179"/>
      <c r="Y180" s="78"/>
    </row>
    <row r="181" spans="23:25">
      <c r="W181" s="179"/>
      <c r="Y181" s="78"/>
    </row>
    <row r="182" spans="23:25">
      <c r="W182" s="179"/>
      <c r="Y182" s="78"/>
    </row>
    <row r="183" spans="23:25">
      <c r="W183" s="179"/>
      <c r="Y183" s="78"/>
    </row>
    <row r="184" spans="23:25">
      <c r="W184" s="179"/>
    </row>
    <row r="185" spans="23:25">
      <c r="W185" s="179"/>
    </row>
    <row r="186" spans="23:25">
      <c r="W186" s="179"/>
    </row>
    <row r="187" spans="23:25">
      <c r="W187" s="179"/>
    </row>
    <row r="188" spans="23:25">
      <c r="W188" s="179"/>
    </row>
    <row r="189" spans="23:25">
      <c r="W189" s="179"/>
    </row>
    <row r="190" spans="23:25">
      <c r="W190" s="179"/>
    </row>
    <row r="191" spans="23:25">
      <c r="W191" s="179"/>
    </row>
    <row r="192" spans="23:25">
      <c r="W192" s="179"/>
    </row>
    <row r="193" spans="23:23">
      <c r="W193" s="179"/>
    </row>
    <row r="194" spans="23:23">
      <c r="W194" s="179"/>
    </row>
    <row r="195" spans="23:23">
      <c r="W195" s="179"/>
    </row>
    <row r="196" spans="23:23">
      <c r="W196" s="179"/>
    </row>
    <row r="197" spans="23:23">
      <c r="W197" s="179"/>
    </row>
    <row r="198" spans="23:23">
      <c r="W198" s="179"/>
    </row>
    <row r="199" spans="23:23">
      <c r="W199" s="179"/>
    </row>
    <row r="200" spans="23:23">
      <c r="W200" s="179"/>
    </row>
    <row r="201" spans="23:23">
      <c r="W201" s="179"/>
    </row>
    <row r="202" spans="23:23">
      <c r="W202" s="179"/>
    </row>
    <row r="203" spans="23:23">
      <c r="W203" s="179"/>
    </row>
    <row r="204" spans="23:23">
      <c r="W204" s="179"/>
    </row>
    <row r="205" spans="23:23">
      <c r="W205" s="179"/>
    </row>
    <row r="206" spans="23:23">
      <c r="W206" s="179"/>
    </row>
    <row r="207" spans="23:23">
      <c r="W207" s="179"/>
    </row>
    <row r="208" spans="23:23">
      <c r="W208" s="179"/>
    </row>
    <row r="209" spans="23:23">
      <c r="W209" s="179"/>
    </row>
    <row r="210" spans="23:23">
      <c r="W210" s="179"/>
    </row>
    <row r="211" spans="23:23">
      <c r="W211" s="179"/>
    </row>
  </sheetData>
  <autoFilter ref="A1:U17" xr:uid="{5C18B3EC-D5D3-42E2-BF59-5D80916EDDBD}"/>
  <phoneticPr fontId="1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88E8-5733-4248-836D-67BC04310AE0}">
  <dimension ref="A1:W54"/>
  <sheetViews>
    <sheetView topLeftCell="A16" zoomScale="115" zoomScaleNormal="115" workbookViewId="0">
      <selection activeCell="R48" sqref="R48"/>
    </sheetView>
  </sheetViews>
  <sheetFormatPr defaultRowHeight="11.25"/>
  <cols>
    <col min="2" max="2" width="9.1640625" style="14"/>
    <col min="3" max="19" width="9.1640625" style="14" customWidth="1"/>
    <col min="20" max="20" width="9.1640625" style="14"/>
  </cols>
  <sheetData>
    <row r="1" spans="1:23">
      <c r="A1" s="2" t="s">
        <v>0</v>
      </c>
      <c r="B1" s="14" t="s">
        <v>857</v>
      </c>
      <c r="C1" s="14" t="s">
        <v>858</v>
      </c>
      <c r="D1" s="14" t="s">
        <v>859</v>
      </c>
      <c r="E1" s="14" t="s">
        <v>860</v>
      </c>
      <c r="F1" s="14" t="s">
        <v>861</v>
      </c>
      <c r="G1" s="14" t="s">
        <v>862</v>
      </c>
      <c r="H1" s="14" t="s">
        <v>863</v>
      </c>
      <c r="I1" s="14" t="s">
        <v>864</v>
      </c>
      <c r="J1" s="14" t="s">
        <v>865</v>
      </c>
      <c r="K1" s="14" t="s">
        <v>866</v>
      </c>
      <c r="L1" s="14" t="s">
        <v>867</v>
      </c>
      <c r="M1" s="14" t="s">
        <v>868</v>
      </c>
      <c r="N1" s="14" t="s">
        <v>869</v>
      </c>
      <c r="O1" s="14" t="s">
        <v>870</v>
      </c>
      <c r="P1" s="14" t="s">
        <v>871</v>
      </c>
      <c r="Q1" s="14" t="s">
        <v>872</v>
      </c>
      <c r="R1" s="14" t="s">
        <v>873</v>
      </c>
      <c r="S1" s="14" t="s">
        <v>874</v>
      </c>
      <c r="T1" s="14" t="s">
        <v>875</v>
      </c>
    </row>
    <row r="2" spans="1:23">
      <c r="A2">
        <v>1227431</v>
      </c>
      <c r="B2" s="14">
        <v>0</v>
      </c>
      <c r="C2" s="14">
        <v>96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84">
        <f>SUM(B2:T2)</f>
        <v>96</v>
      </c>
      <c r="V2">
        <f>VLOOKUP(A2,[3]sheet1!$A$2:$V$17,22,0)</f>
        <v>96</v>
      </c>
      <c r="W2" s="184">
        <f>+U2-V2</f>
        <v>0</v>
      </c>
    </row>
    <row r="3" spans="1:23">
      <c r="A3">
        <v>1227433</v>
      </c>
      <c r="B3" s="14">
        <v>0</v>
      </c>
      <c r="C3" s="14">
        <v>96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84">
        <f t="shared" ref="U3:U17" si="0">SUM(B3:T3)</f>
        <v>96</v>
      </c>
      <c r="V3">
        <f>VLOOKUP(A3,[3]sheet1!$A$2:$V$17,22,0)</f>
        <v>96</v>
      </c>
      <c r="W3" s="184">
        <f t="shared" ref="W3:W17" si="1">+U3-V3</f>
        <v>0</v>
      </c>
    </row>
    <row r="4" spans="1:23">
      <c r="A4">
        <v>1229673</v>
      </c>
      <c r="B4" s="14">
        <v>300</v>
      </c>
      <c r="C4" s="14">
        <v>300</v>
      </c>
      <c r="D4" s="14">
        <v>300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300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84">
        <f t="shared" si="0"/>
        <v>1200</v>
      </c>
      <c r="V4">
        <f>VLOOKUP(A4,[3]sheet1!$A$2:$V$17,22,0)</f>
        <v>1200</v>
      </c>
      <c r="W4" s="184">
        <f t="shared" si="1"/>
        <v>0</v>
      </c>
    </row>
    <row r="5" spans="1:23">
      <c r="A5">
        <v>1230854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100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84">
        <f t="shared" si="0"/>
        <v>100</v>
      </c>
      <c r="V5">
        <f>VLOOKUP(A5,[3]sheet1!$A$2:$V$17,22,0)</f>
        <v>100</v>
      </c>
      <c r="W5" s="184">
        <f t="shared" si="1"/>
        <v>0</v>
      </c>
    </row>
    <row r="6" spans="1:23">
      <c r="A6">
        <v>1237088</v>
      </c>
      <c r="B6" s="14">
        <v>854</v>
      </c>
      <c r="C6" s="14">
        <v>792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6">
        <v>1406</v>
      </c>
      <c r="K6" s="14">
        <v>684</v>
      </c>
      <c r="L6" s="14">
        <v>0</v>
      </c>
      <c r="M6" s="14">
        <v>0</v>
      </c>
      <c r="N6" s="14">
        <v>644</v>
      </c>
      <c r="O6" s="14">
        <v>394</v>
      </c>
      <c r="P6" s="14">
        <v>424</v>
      </c>
      <c r="Q6" s="14">
        <v>1556</v>
      </c>
      <c r="R6" s="14">
        <v>1356</v>
      </c>
      <c r="S6" s="14">
        <v>0</v>
      </c>
      <c r="T6" s="14">
        <v>0</v>
      </c>
      <c r="U6" s="184">
        <f t="shared" si="0"/>
        <v>8110</v>
      </c>
      <c r="V6">
        <f>VLOOKUP(A6,[3]sheet1!$A$2:$V$17,22,0)</f>
        <v>8110</v>
      </c>
      <c r="W6" s="184">
        <f t="shared" si="1"/>
        <v>0</v>
      </c>
    </row>
    <row r="7" spans="1:23">
      <c r="A7">
        <v>1237748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558</v>
      </c>
      <c r="R7" s="14">
        <v>456</v>
      </c>
      <c r="S7" s="14">
        <v>0</v>
      </c>
      <c r="T7" s="14">
        <v>0</v>
      </c>
      <c r="U7" s="184">
        <f t="shared" si="0"/>
        <v>1014</v>
      </c>
      <c r="V7">
        <f>VLOOKUP(A7,[3]sheet1!$A$2:$V$17,22,0)</f>
        <v>1014</v>
      </c>
      <c r="W7" s="184">
        <f t="shared" si="1"/>
        <v>0</v>
      </c>
    </row>
    <row r="8" spans="1:23">
      <c r="A8">
        <v>1236091</v>
      </c>
      <c r="B8" s="14">
        <v>150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100</v>
      </c>
      <c r="Q8" s="14">
        <v>0</v>
      </c>
      <c r="R8" s="14">
        <v>0</v>
      </c>
      <c r="S8" s="14">
        <v>0</v>
      </c>
      <c r="T8" s="14">
        <v>0</v>
      </c>
      <c r="U8" s="184">
        <f t="shared" si="0"/>
        <v>250</v>
      </c>
      <c r="V8">
        <f>VLOOKUP(A8,[3]sheet1!$A$2:$V$17,22,0)</f>
        <v>250</v>
      </c>
      <c r="W8" s="184">
        <f t="shared" si="1"/>
        <v>0</v>
      </c>
    </row>
    <row r="9" spans="1:23">
      <c r="A9">
        <v>1238128</v>
      </c>
      <c r="B9" s="14">
        <v>578</v>
      </c>
      <c r="C9" s="14">
        <v>84</v>
      </c>
      <c r="D9" s="14">
        <v>378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6">
        <v>378</v>
      </c>
      <c r="K9" s="14">
        <v>378</v>
      </c>
      <c r="L9" s="14">
        <v>0</v>
      </c>
      <c r="M9" s="14">
        <v>0</v>
      </c>
      <c r="N9" s="14">
        <v>378</v>
      </c>
      <c r="O9" s="14">
        <v>490</v>
      </c>
      <c r="P9" s="14">
        <v>698</v>
      </c>
      <c r="Q9" s="14">
        <v>529</v>
      </c>
      <c r="R9" s="14">
        <v>312</v>
      </c>
      <c r="S9" s="14">
        <v>0</v>
      </c>
      <c r="T9" s="14">
        <v>0</v>
      </c>
      <c r="U9" s="184">
        <f t="shared" si="0"/>
        <v>4203</v>
      </c>
      <c r="V9">
        <f>VLOOKUP(A9,[3]sheet1!$A$2:$V$17,22,0)</f>
        <v>4203</v>
      </c>
      <c r="W9" s="184">
        <f t="shared" si="1"/>
        <v>0</v>
      </c>
    </row>
    <row r="10" spans="1:23">
      <c r="A10">
        <v>1236962</v>
      </c>
      <c r="B10" s="14">
        <v>300</v>
      </c>
      <c r="C10" s="14">
        <v>500</v>
      </c>
      <c r="D10" s="14">
        <v>170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398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84">
        <f t="shared" si="0"/>
        <v>1368</v>
      </c>
      <c r="V10">
        <f>VLOOKUP(A10,[3]sheet1!$A$2:$V$17,22,0)</f>
        <v>1368</v>
      </c>
      <c r="W10" s="184">
        <f t="shared" si="1"/>
        <v>0</v>
      </c>
    </row>
    <row r="11" spans="1:23">
      <c r="A11">
        <v>1233761</v>
      </c>
      <c r="B11" s="14">
        <v>0</v>
      </c>
      <c r="C11" s="14">
        <v>0</v>
      </c>
      <c r="D11" s="14">
        <v>350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84">
        <f t="shared" si="0"/>
        <v>350</v>
      </c>
      <c r="V11">
        <f>VLOOKUP(A11,[3]sheet1!$A$2:$V$17,22,0)</f>
        <v>350</v>
      </c>
      <c r="W11" s="184">
        <f t="shared" si="1"/>
        <v>0</v>
      </c>
    </row>
    <row r="12" spans="1:23">
      <c r="A12">
        <v>1239651</v>
      </c>
      <c r="B12" s="14">
        <v>0</v>
      </c>
      <c r="C12" s="14">
        <v>228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500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84">
        <f t="shared" si="0"/>
        <v>728</v>
      </c>
      <c r="V12">
        <f>VLOOKUP(A12,[3]sheet1!$A$2:$V$17,22,0)</f>
        <v>728</v>
      </c>
      <c r="W12" s="184">
        <f t="shared" si="1"/>
        <v>0</v>
      </c>
    </row>
    <row r="13" spans="1:23">
      <c r="A13">
        <v>1239988</v>
      </c>
      <c r="B13" s="14">
        <v>168</v>
      </c>
      <c r="C13" s="14">
        <v>356</v>
      </c>
      <c r="D13" s="14">
        <v>356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6">
        <v>356</v>
      </c>
      <c r="K13" s="14">
        <v>294</v>
      </c>
      <c r="L13" s="14">
        <v>0</v>
      </c>
      <c r="M13" s="14">
        <v>0</v>
      </c>
      <c r="N13" s="14">
        <v>284</v>
      </c>
      <c r="O13" s="14">
        <v>442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84">
        <f t="shared" si="0"/>
        <v>2256</v>
      </c>
      <c r="V13">
        <f>VLOOKUP(A13,[3]sheet1!$A$2:$V$17,22,0)</f>
        <v>2256</v>
      </c>
      <c r="W13" s="184">
        <f t="shared" si="1"/>
        <v>0</v>
      </c>
    </row>
    <row r="14" spans="1:23">
      <c r="A14">
        <v>1240180</v>
      </c>
      <c r="B14" s="14">
        <v>142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34</v>
      </c>
      <c r="L14" s="14">
        <v>0</v>
      </c>
      <c r="M14" s="14">
        <v>0</v>
      </c>
      <c r="N14" s="14">
        <v>68</v>
      </c>
      <c r="O14" s="14">
        <v>358</v>
      </c>
      <c r="P14" s="14">
        <v>224</v>
      </c>
      <c r="Q14" s="14">
        <v>0</v>
      </c>
      <c r="R14" s="14">
        <v>0</v>
      </c>
      <c r="S14" s="14">
        <v>0</v>
      </c>
      <c r="T14" s="14">
        <v>0</v>
      </c>
      <c r="U14" s="184">
        <f t="shared" si="0"/>
        <v>826</v>
      </c>
      <c r="V14">
        <f>VLOOKUP(A14,[3]sheet1!$A$2:$V$17,22,0)</f>
        <v>826</v>
      </c>
      <c r="W14" s="184">
        <f t="shared" si="1"/>
        <v>0</v>
      </c>
    </row>
    <row r="15" spans="1:23">
      <c r="A15">
        <v>1240184</v>
      </c>
      <c r="B15" s="14">
        <v>142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34</v>
      </c>
      <c r="L15" s="14">
        <v>0</v>
      </c>
      <c r="M15" s="14">
        <v>0</v>
      </c>
      <c r="N15" s="14">
        <v>68</v>
      </c>
      <c r="O15" s="14">
        <v>358</v>
      </c>
      <c r="P15" s="14">
        <v>124</v>
      </c>
      <c r="Q15" s="14">
        <v>0</v>
      </c>
      <c r="R15" s="14">
        <v>0</v>
      </c>
      <c r="S15" s="14">
        <v>0</v>
      </c>
      <c r="T15" s="14">
        <v>0</v>
      </c>
      <c r="U15" s="184">
        <f t="shared" si="0"/>
        <v>726</v>
      </c>
      <c r="V15">
        <f>VLOOKUP(A15,[3]sheet1!$A$2:$V$17,22,0)</f>
        <v>726</v>
      </c>
      <c r="W15" s="184">
        <f t="shared" si="1"/>
        <v>0</v>
      </c>
    </row>
    <row r="16" spans="1:23">
      <c r="A16">
        <v>1240308</v>
      </c>
      <c r="B16" s="14">
        <v>0</v>
      </c>
      <c r="C16" s="14">
        <v>0</v>
      </c>
      <c r="D16" s="14">
        <v>150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300</v>
      </c>
      <c r="L16" s="14">
        <v>0</v>
      </c>
      <c r="M16" s="14">
        <v>0</v>
      </c>
      <c r="N16" s="14">
        <v>450</v>
      </c>
      <c r="O16" s="14">
        <v>0</v>
      </c>
      <c r="P16" s="14">
        <v>280</v>
      </c>
      <c r="Q16" s="14">
        <v>300</v>
      </c>
      <c r="R16" s="14">
        <v>0</v>
      </c>
      <c r="S16" s="14">
        <v>0</v>
      </c>
      <c r="T16" s="14">
        <v>0</v>
      </c>
      <c r="U16" s="184">
        <f t="shared" si="0"/>
        <v>1480</v>
      </c>
      <c r="V16">
        <f>VLOOKUP(A16,[3]sheet1!$A$2:$V$17,22,0)</f>
        <v>1480</v>
      </c>
      <c r="W16" s="184">
        <f t="shared" si="1"/>
        <v>0</v>
      </c>
    </row>
    <row r="17" spans="1:23">
      <c r="A17">
        <v>1241601</v>
      </c>
      <c r="B17" s="14">
        <v>528</v>
      </c>
      <c r="C17" s="14">
        <v>804</v>
      </c>
      <c r="D17" s="14">
        <v>420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83">
        <v>670</v>
      </c>
      <c r="K17" s="14">
        <v>952</v>
      </c>
      <c r="L17" s="14">
        <v>0</v>
      </c>
      <c r="M17" s="14">
        <v>0</v>
      </c>
      <c r="N17" s="14">
        <v>1000</v>
      </c>
      <c r="O17" s="14">
        <v>764</v>
      </c>
      <c r="P17" s="14">
        <v>566</v>
      </c>
      <c r="Q17" s="14">
        <v>1318</v>
      </c>
      <c r="R17" s="14">
        <v>1014</v>
      </c>
      <c r="S17" s="14">
        <v>0</v>
      </c>
      <c r="T17" s="14">
        <v>0</v>
      </c>
      <c r="U17" s="184">
        <f t="shared" si="0"/>
        <v>8036</v>
      </c>
      <c r="V17">
        <f>VLOOKUP(A17,[3]sheet1!$A$2:$V$17,22,0)</f>
        <v>8036</v>
      </c>
      <c r="W17" s="184">
        <f t="shared" si="1"/>
        <v>0</v>
      </c>
    </row>
    <row r="21" spans="1:23">
      <c r="A21" s="2" t="s">
        <v>0</v>
      </c>
      <c r="B21" s="14" t="s">
        <v>857</v>
      </c>
      <c r="C21" s="14" t="s">
        <v>858</v>
      </c>
      <c r="D21" s="14" t="s">
        <v>859</v>
      </c>
      <c r="E21" s="14" t="s">
        <v>860</v>
      </c>
      <c r="F21" s="14" t="s">
        <v>861</v>
      </c>
      <c r="G21" s="14" t="s">
        <v>862</v>
      </c>
      <c r="H21" s="14" t="s">
        <v>863</v>
      </c>
      <c r="I21" s="14" t="s">
        <v>864</v>
      </c>
      <c r="J21" s="14" t="s">
        <v>865</v>
      </c>
      <c r="K21" s="14" t="s">
        <v>866</v>
      </c>
      <c r="L21" s="14" t="s">
        <v>867</v>
      </c>
      <c r="M21" s="14" t="s">
        <v>868</v>
      </c>
      <c r="N21" s="14" t="s">
        <v>869</v>
      </c>
      <c r="O21" s="14" t="s">
        <v>870</v>
      </c>
      <c r="P21" s="14" t="s">
        <v>871</v>
      </c>
      <c r="Q21" s="14" t="s">
        <v>872</v>
      </c>
      <c r="R21" s="14" t="s">
        <v>873</v>
      </c>
      <c r="S21" s="14" t="s">
        <v>874</v>
      </c>
      <c r="T21" s="14" t="s">
        <v>875</v>
      </c>
    </row>
    <row r="22" spans="1:23">
      <c r="A22">
        <v>1232846</v>
      </c>
      <c r="B22" s="14">
        <v>94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289</v>
      </c>
      <c r="O22" s="14">
        <v>352</v>
      </c>
      <c r="P22" s="14">
        <v>79</v>
      </c>
      <c r="Q22" s="14">
        <v>0</v>
      </c>
      <c r="R22" s="14">
        <v>0</v>
      </c>
      <c r="S22" s="14">
        <v>0</v>
      </c>
      <c r="T22" s="14">
        <v>0</v>
      </c>
      <c r="U22" s="184">
        <f>SUM(B22:T22)</f>
        <v>814</v>
      </c>
      <c r="V22">
        <f>VLOOKUP(A22,[4]sheet1!$A$2:$X$6,24,0)</f>
        <v>814</v>
      </c>
    </row>
    <row r="23" spans="1:23">
      <c r="A23">
        <v>1232895</v>
      </c>
      <c r="B23" s="14">
        <v>94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289</v>
      </c>
      <c r="O23" s="14">
        <v>352</v>
      </c>
      <c r="P23" s="14">
        <v>79</v>
      </c>
      <c r="Q23" s="14">
        <v>0</v>
      </c>
      <c r="R23" s="14">
        <v>0</v>
      </c>
      <c r="S23" s="14">
        <v>0</v>
      </c>
      <c r="T23" s="14">
        <v>0</v>
      </c>
      <c r="U23" s="184">
        <f t="shared" ref="U23:U27" si="2">SUM(B23:T23)</f>
        <v>814</v>
      </c>
      <c r="V23">
        <f>VLOOKUP(A23,[4]sheet1!$A$2:$X$6,24,0)</f>
        <v>814</v>
      </c>
    </row>
    <row r="24" spans="1:23">
      <c r="A24">
        <v>1233384</v>
      </c>
      <c r="B24" s="14">
        <v>94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289</v>
      </c>
      <c r="O24" s="14">
        <v>352</v>
      </c>
      <c r="P24" s="14">
        <v>79</v>
      </c>
      <c r="Q24" s="14">
        <v>0</v>
      </c>
      <c r="R24" s="14">
        <v>0</v>
      </c>
      <c r="S24" s="14">
        <v>0</v>
      </c>
      <c r="T24" s="14">
        <v>0</v>
      </c>
      <c r="U24" s="184">
        <f t="shared" si="2"/>
        <v>814</v>
      </c>
      <c r="V24">
        <f>VLOOKUP(A24,[4]sheet1!$A$2:$X$6,24,0)</f>
        <v>814</v>
      </c>
    </row>
    <row r="25" spans="1:23">
      <c r="A25">
        <v>1232775</v>
      </c>
      <c r="B25" s="14">
        <v>165</v>
      </c>
      <c r="C25" s="14">
        <v>245</v>
      </c>
      <c r="D25" s="14">
        <v>284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92">
        <v>308</v>
      </c>
      <c r="K25" s="92">
        <v>242</v>
      </c>
      <c r="L25" s="14">
        <v>0</v>
      </c>
      <c r="M25" s="14">
        <v>0</v>
      </c>
      <c r="N25" s="14">
        <v>311</v>
      </c>
      <c r="O25" s="14">
        <v>100</v>
      </c>
      <c r="P25" s="14">
        <v>178</v>
      </c>
      <c r="Q25" s="14">
        <v>435</v>
      </c>
      <c r="R25" s="14">
        <v>424</v>
      </c>
      <c r="S25" s="14">
        <v>0</v>
      </c>
      <c r="T25" s="14">
        <v>0</v>
      </c>
      <c r="U25" s="184">
        <f t="shared" si="2"/>
        <v>2692</v>
      </c>
      <c r="V25">
        <f>VLOOKUP(A25,[4]sheet1!$A$2:$X$6,24,0)</f>
        <v>2692</v>
      </c>
    </row>
    <row r="26" spans="1:23">
      <c r="A26">
        <v>1238605</v>
      </c>
      <c r="B26" s="14">
        <v>187</v>
      </c>
      <c r="C26" s="14">
        <v>185</v>
      </c>
      <c r="D26" s="14">
        <v>122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92">
        <v>0</v>
      </c>
      <c r="K26" s="92">
        <v>0</v>
      </c>
      <c r="L26" s="14">
        <v>0</v>
      </c>
      <c r="M26" s="14">
        <v>0</v>
      </c>
      <c r="N26" s="14">
        <v>0</v>
      </c>
      <c r="O26" s="14">
        <v>92</v>
      </c>
      <c r="P26" s="14">
        <v>189</v>
      </c>
      <c r="Q26" s="14">
        <v>28</v>
      </c>
      <c r="R26" s="14">
        <v>0</v>
      </c>
      <c r="S26" s="14">
        <v>0</v>
      </c>
      <c r="T26" s="14">
        <v>0</v>
      </c>
      <c r="U26" s="184">
        <f t="shared" si="2"/>
        <v>803</v>
      </c>
      <c r="V26">
        <f>VLOOKUP(A26,[4]sheet1!$A$2:$X$6,24,0)</f>
        <v>803</v>
      </c>
    </row>
    <row r="27" spans="1:23">
      <c r="U27" s="184">
        <f t="shared" si="2"/>
        <v>0</v>
      </c>
    </row>
    <row r="31" spans="1:23">
      <c r="A31" s="2" t="s">
        <v>0</v>
      </c>
      <c r="B31" s="14" t="s">
        <v>857</v>
      </c>
      <c r="C31" s="14" t="s">
        <v>858</v>
      </c>
      <c r="D31" s="14" t="s">
        <v>859</v>
      </c>
      <c r="E31" s="14" t="s">
        <v>860</v>
      </c>
      <c r="F31" s="14" t="s">
        <v>861</v>
      </c>
      <c r="G31" s="14" t="s">
        <v>862</v>
      </c>
      <c r="H31" s="14" t="s">
        <v>863</v>
      </c>
      <c r="I31" s="14" t="s">
        <v>864</v>
      </c>
      <c r="J31" s="14" t="s">
        <v>865</v>
      </c>
      <c r="K31" s="14" t="s">
        <v>866</v>
      </c>
      <c r="L31" s="14" t="s">
        <v>867</v>
      </c>
      <c r="M31" s="14" t="s">
        <v>868</v>
      </c>
      <c r="N31" s="14" t="s">
        <v>869</v>
      </c>
      <c r="O31" s="14" t="s">
        <v>870</v>
      </c>
      <c r="P31" s="14" t="s">
        <v>871</v>
      </c>
      <c r="Q31" s="14" t="s">
        <v>872</v>
      </c>
      <c r="R31" s="14" t="s">
        <v>873</v>
      </c>
      <c r="S31" s="14" t="s">
        <v>874</v>
      </c>
      <c r="T31" s="14" t="s">
        <v>875</v>
      </c>
    </row>
    <row r="32" spans="1:23">
      <c r="A32">
        <v>1220847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70</v>
      </c>
      <c r="P32" s="14">
        <v>210</v>
      </c>
      <c r="Q32" s="14">
        <v>0</v>
      </c>
      <c r="R32" s="14">
        <v>0</v>
      </c>
      <c r="S32" s="14">
        <v>0</v>
      </c>
      <c r="T32" s="14">
        <v>0</v>
      </c>
    </row>
    <row r="33" spans="1:20">
      <c r="A33">
        <v>1227359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290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</row>
    <row r="34" spans="1:20">
      <c r="A34">
        <v>1232066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234</v>
      </c>
      <c r="S34" s="14">
        <v>0</v>
      </c>
      <c r="T34" s="14">
        <v>0</v>
      </c>
    </row>
    <row r="35" spans="1:20">
      <c r="A35">
        <v>1232693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542</v>
      </c>
      <c r="Q35" s="14">
        <v>592</v>
      </c>
      <c r="R35" s="14">
        <v>0</v>
      </c>
      <c r="S35" s="14">
        <v>0</v>
      </c>
      <c r="T35" s="14">
        <v>0</v>
      </c>
    </row>
    <row r="36" spans="1:20">
      <c r="A36">
        <v>1233025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542</v>
      </c>
      <c r="Q36" s="14">
        <v>592</v>
      </c>
      <c r="R36" s="14">
        <v>0</v>
      </c>
      <c r="S36" s="14">
        <v>0</v>
      </c>
      <c r="T36" s="14">
        <v>0</v>
      </c>
    </row>
    <row r="37" spans="1:20">
      <c r="A37">
        <v>1234222</v>
      </c>
      <c r="B37" s="14">
        <v>100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400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</row>
    <row r="38" spans="1:20">
      <c r="A38">
        <v>1232528</v>
      </c>
      <c r="B38" s="14">
        <v>539</v>
      </c>
      <c r="C38" s="14">
        <v>554</v>
      </c>
      <c r="D38" s="14">
        <v>539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6">
        <v>539</v>
      </c>
      <c r="K38" s="14">
        <v>57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</row>
    <row r="39" spans="1:20">
      <c r="A39">
        <v>1229050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185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</row>
    <row r="40" spans="1:20">
      <c r="A40">
        <v>1231090</v>
      </c>
      <c r="B40" s="14">
        <v>210</v>
      </c>
      <c r="C40" s="14">
        <v>30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80</v>
      </c>
      <c r="Q40" s="14">
        <v>0</v>
      </c>
      <c r="R40" s="14">
        <v>0</v>
      </c>
      <c r="S40" s="14">
        <v>0</v>
      </c>
      <c r="T40" s="14">
        <v>0</v>
      </c>
    </row>
    <row r="41" spans="1:20">
      <c r="A41">
        <v>1235097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118</v>
      </c>
      <c r="O41" s="14">
        <v>132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</row>
    <row r="42" spans="1:20">
      <c r="A42">
        <v>1235845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137</v>
      </c>
      <c r="S42" s="14">
        <v>0</v>
      </c>
      <c r="T42" s="14">
        <v>0</v>
      </c>
    </row>
    <row r="43" spans="1:20">
      <c r="A43">
        <v>1236600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419</v>
      </c>
      <c r="Q43" s="14">
        <v>426</v>
      </c>
      <c r="R43" s="14">
        <v>0</v>
      </c>
      <c r="S43" s="14">
        <v>0</v>
      </c>
      <c r="T43" s="14">
        <v>0</v>
      </c>
    </row>
    <row r="44" spans="1:20">
      <c r="A44">
        <v>1236601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41</v>
      </c>
      <c r="R44" s="14">
        <v>82</v>
      </c>
      <c r="S44" s="14">
        <v>0</v>
      </c>
      <c r="T44" s="14">
        <v>0</v>
      </c>
    </row>
    <row r="45" spans="1:20">
      <c r="A45">
        <v>1236930</v>
      </c>
      <c r="B45" s="14">
        <v>223</v>
      </c>
      <c r="C45" s="14">
        <v>440</v>
      </c>
      <c r="D45" s="14">
        <v>120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273</v>
      </c>
      <c r="K45" s="16">
        <v>40</v>
      </c>
      <c r="L45" s="14">
        <v>0</v>
      </c>
      <c r="M45" s="14">
        <v>0</v>
      </c>
      <c r="N45" s="14">
        <v>0</v>
      </c>
      <c r="O45" s="14">
        <v>100</v>
      </c>
      <c r="P45" s="14">
        <v>330</v>
      </c>
      <c r="Q45" s="14">
        <v>405</v>
      </c>
      <c r="R45" s="14">
        <v>180</v>
      </c>
      <c r="S45" s="14">
        <v>0</v>
      </c>
      <c r="T45" s="14">
        <v>0</v>
      </c>
    </row>
    <row r="46" spans="1:20">
      <c r="A46">
        <v>1237468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64</v>
      </c>
      <c r="Q46" s="14">
        <v>0</v>
      </c>
      <c r="R46" s="14">
        <v>0</v>
      </c>
      <c r="S46" s="14">
        <v>0</v>
      </c>
      <c r="T46" s="14">
        <v>0</v>
      </c>
    </row>
    <row r="47" spans="1:20">
      <c r="A47">
        <v>1237210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375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</row>
    <row r="48" spans="1:20">
      <c r="A48">
        <v>1232775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6">
        <v>480</v>
      </c>
      <c r="K48" s="14">
        <v>480</v>
      </c>
      <c r="L48" s="14">
        <v>0</v>
      </c>
      <c r="M48" s="14">
        <v>0</v>
      </c>
      <c r="N48" s="14">
        <v>473</v>
      </c>
      <c r="O48" s="14">
        <v>47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</row>
    <row r="49" spans="1:20">
      <c r="A49">
        <v>1234905</v>
      </c>
      <c r="B49" s="14">
        <v>307</v>
      </c>
      <c r="C49" s="14">
        <v>77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300</v>
      </c>
      <c r="K49" s="14">
        <v>311</v>
      </c>
      <c r="L49" s="14">
        <v>0</v>
      </c>
      <c r="M49" s="14">
        <v>0</v>
      </c>
      <c r="N49" s="14">
        <v>311</v>
      </c>
      <c r="O49" s="14">
        <v>40</v>
      </c>
      <c r="P49" s="14">
        <v>0</v>
      </c>
      <c r="Q49" s="14">
        <v>0</v>
      </c>
      <c r="R49" s="14">
        <v>224</v>
      </c>
      <c r="S49" s="14">
        <v>0</v>
      </c>
      <c r="T49" s="14">
        <v>0</v>
      </c>
    </row>
    <row r="50" spans="1:20">
      <c r="A50">
        <v>1238480</v>
      </c>
      <c r="B50" s="14">
        <v>1057</v>
      </c>
      <c r="C50" s="14">
        <v>952</v>
      </c>
      <c r="D50" s="14">
        <v>1182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6">
        <v>1019</v>
      </c>
      <c r="K50" s="14">
        <v>1564</v>
      </c>
      <c r="L50" s="14">
        <v>0</v>
      </c>
      <c r="M50" s="14">
        <v>0</v>
      </c>
      <c r="N50" s="14">
        <v>1669</v>
      </c>
      <c r="O50" s="14">
        <v>1538</v>
      </c>
      <c r="P50" s="14">
        <v>603</v>
      </c>
      <c r="Q50" s="14">
        <v>772</v>
      </c>
      <c r="R50" s="14">
        <v>977</v>
      </c>
      <c r="S50" s="14">
        <v>0</v>
      </c>
      <c r="T50" s="14">
        <v>0</v>
      </c>
    </row>
    <row r="51" spans="1:20">
      <c r="A51">
        <v>1238453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40</v>
      </c>
      <c r="R51" s="14">
        <v>0</v>
      </c>
      <c r="S51" s="14">
        <v>0</v>
      </c>
      <c r="T51" s="14">
        <v>0</v>
      </c>
    </row>
    <row r="52" spans="1:20">
      <c r="A52">
        <v>1240180</v>
      </c>
      <c r="B52" s="14">
        <v>0</v>
      </c>
      <c r="C52" s="14">
        <v>0</v>
      </c>
      <c r="D52" s="14">
        <v>211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278</v>
      </c>
      <c r="P52" s="14">
        <v>256</v>
      </c>
      <c r="Q52" s="14">
        <v>176</v>
      </c>
      <c r="R52" s="14">
        <v>0</v>
      </c>
      <c r="S52" s="14">
        <v>0</v>
      </c>
      <c r="T52" s="14">
        <v>0</v>
      </c>
    </row>
    <row r="53" spans="1:20">
      <c r="A53">
        <v>1240184</v>
      </c>
      <c r="B53" s="14">
        <v>0</v>
      </c>
      <c r="C53" s="14">
        <v>0</v>
      </c>
      <c r="D53" s="14">
        <v>211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278</v>
      </c>
      <c r="P53" s="14">
        <v>256</v>
      </c>
      <c r="Q53" s="14">
        <v>176</v>
      </c>
      <c r="R53" s="14">
        <v>0</v>
      </c>
      <c r="S53" s="14">
        <v>0</v>
      </c>
      <c r="T53" s="14">
        <v>0</v>
      </c>
    </row>
    <row r="54" spans="1:20">
      <c r="A54">
        <v>1216452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385</v>
      </c>
      <c r="P54" s="14">
        <v>115</v>
      </c>
      <c r="Q54" s="14">
        <v>0</v>
      </c>
      <c r="R54" s="14">
        <v>0</v>
      </c>
      <c r="S54" s="14">
        <v>0</v>
      </c>
      <c r="T54" s="14">
        <v>0</v>
      </c>
    </row>
  </sheetData>
  <autoFilter ref="A1:T17" xr:uid="{1D0988E8-5733-4248-836D-67BC04310AE0}"/>
  <phoneticPr fontId="11" type="noConversion"/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4595-015E-4E66-92C0-A831B21AF8C3}">
  <sheetPr>
    <tabColor rgb="FFFFFF00"/>
  </sheetPr>
  <dimension ref="A1:N101"/>
  <sheetViews>
    <sheetView zoomScale="115" zoomScaleNormal="115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H42" sqref="A42:XFD42"/>
    </sheetView>
  </sheetViews>
  <sheetFormatPr defaultColWidth="9.33203125" defaultRowHeight="12"/>
  <cols>
    <col min="1" max="1" width="9.5" style="5" bestFit="1" customWidth="1"/>
    <col min="2" max="2" width="10.1640625" style="5" bestFit="1" customWidth="1"/>
    <col min="3" max="12" width="13.6640625" style="9" customWidth="1"/>
    <col min="13" max="16384" width="9.33203125" style="5"/>
  </cols>
  <sheetData>
    <row r="1" spans="1:14" s="33" customFormat="1">
      <c r="A1" s="300"/>
      <c r="B1" s="300" t="s">
        <v>0</v>
      </c>
      <c r="C1" s="114" t="s">
        <v>731</v>
      </c>
      <c r="D1" s="114" t="s">
        <v>736</v>
      </c>
      <c r="E1" s="114" t="s">
        <v>745</v>
      </c>
      <c r="F1" s="114" t="s">
        <v>754</v>
      </c>
      <c r="G1" s="114" t="s">
        <v>764</v>
      </c>
      <c r="H1" s="114" t="s">
        <v>773</v>
      </c>
      <c r="I1" s="114" t="s">
        <v>796</v>
      </c>
      <c r="J1" s="114" t="s">
        <v>823</v>
      </c>
      <c r="K1" s="114" t="s">
        <v>847</v>
      </c>
      <c r="L1" s="114" t="s">
        <v>876</v>
      </c>
    </row>
    <row r="2" spans="1:14" s="33" customFormat="1">
      <c r="A2" s="300"/>
      <c r="B2" s="301"/>
      <c r="C2" s="60" t="s">
        <v>732</v>
      </c>
      <c r="D2" s="60" t="s">
        <v>737</v>
      </c>
      <c r="E2" s="60" t="s">
        <v>746</v>
      </c>
      <c r="F2" s="60" t="s">
        <v>755</v>
      </c>
      <c r="G2" s="60" t="s">
        <v>765</v>
      </c>
      <c r="H2" s="60" t="s">
        <v>774</v>
      </c>
      <c r="I2" s="60" t="s">
        <v>797</v>
      </c>
      <c r="J2" s="60" t="s">
        <v>824</v>
      </c>
      <c r="K2" s="60" t="s">
        <v>848</v>
      </c>
      <c r="L2" s="60" t="s">
        <v>877</v>
      </c>
    </row>
    <row r="3" spans="1:14">
      <c r="A3" s="29"/>
      <c r="B3" s="30">
        <v>1226384</v>
      </c>
      <c r="C3" s="32">
        <v>1060</v>
      </c>
      <c r="D3" s="32">
        <v>600</v>
      </c>
      <c r="E3" s="32">
        <v>0</v>
      </c>
      <c r="F3" s="32">
        <v>800</v>
      </c>
      <c r="G3" s="32">
        <v>600</v>
      </c>
      <c r="H3" s="32">
        <v>0</v>
      </c>
      <c r="I3" s="32">
        <v>0</v>
      </c>
      <c r="J3" s="32">
        <v>800</v>
      </c>
      <c r="K3" s="32">
        <v>0</v>
      </c>
      <c r="L3" s="32">
        <v>0</v>
      </c>
      <c r="N3" s="78">
        <f t="shared" ref="N3:N34" si="0">SUM(D3:L3)</f>
        <v>2800</v>
      </c>
    </row>
    <row r="4" spans="1:14">
      <c r="A4" s="29"/>
      <c r="B4" s="30">
        <v>1226388</v>
      </c>
      <c r="C4" s="32">
        <v>1060</v>
      </c>
      <c r="D4" s="32">
        <v>600</v>
      </c>
      <c r="E4" s="32">
        <v>0</v>
      </c>
      <c r="F4" s="32">
        <v>800</v>
      </c>
      <c r="G4" s="32">
        <v>600</v>
      </c>
      <c r="H4" s="32">
        <v>0</v>
      </c>
      <c r="I4" s="32">
        <v>0</v>
      </c>
      <c r="J4" s="32">
        <v>800</v>
      </c>
      <c r="K4" s="32">
        <v>0</v>
      </c>
      <c r="L4" s="32">
        <v>0</v>
      </c>
      <c r="N4" s="78">
        <f t="shared" si="0"/>
        <v>2800</v>
      </c>
    </row>
    <row r="5" spans="1:14">
      <c r="A5" s="29"/>
      <c r="B5" s="30">
        <v>1229673</v>
      </c>
      <c r="C5" s="32">
        <v>900</v>
      </c>
      <c r="D5" s="32">
        <v>1000</v>
      </c>
      <c r="E5" s="32">
        <v>1000</v>
      </c>
      <c r="F5" s="32">
        <v>900</v>
      </c>
      <c r="G5" s="32">
        <v>1400</v>
      </c>
      <c r="H5" s="32">
        <v>1000</v>
      </c>
      <c r="I5" s="32">
        <v>1000</v>
      </c>
      <c r="J5" s="32">
        <v>1000</v>
      </c>
      <c r="K5" s="32">
        <v>700</v>
      </c>
      <c r="L5" s="32">
        <v>1000</v>
      </c>
      <c r="N5" s="78">
        <f t="shared" si="0"/>
        <v>9000</v>
      </c>
    </row>
    <row r="6" spans="1:14">
      <c r="A6" s="29"/>
      <c r="B6" s="30">
        <v>1230692</v>
      </c>
      <c r="C6" s="32">
        <v>700</v>
      </c>
      <c r="D6" s="32">
        <v>600</v>
      </c>
      <c r="E6" s="32">
        <v>700</v>
      </c>
      <c r="F6" s="32">
        <v>700</v>
      </c>
      <c r="G6" s="32">
        <v>1400</v>
      </c>
      <c r="H6" s="32">
        <v>800</v>
      </c>
      <c r="I6" s="32">
        <v>800</v>
      </c>
      <c r="J6" s="32">
        <v>900</v>
      </c>
      <c r="K6" s="32">
        <v>600</v>
      </c>
      <c r="L6" s="32">
        <v>800</v>
      </c>
      <c r="N6" s="78">
        <f t="shared" si="0"/>
        <v>7300</v>
      </c>
    </row>
    <row r="7" spans="1:14">
      <c r="A7" s="29"/>
      <c r="B7" s="30">
        <v>1230696</v>
      </c>
      <c r="C7" s="32">
        <v>0</v>
      </c>
      <c r="D7" s="32">
        <v>200</v>
      </c>
      <c r="E7" s="32">
        <v>100</v>
      </c>
      <c r="F7" s="32">
        <v>0</v>
      </c>
      <c r="G7" s="32">
        <v>0</v>
      </c>
      <c r="H7" s="32">
        <v>200</v>
      </c>
      <c r="I7" s="32">
        <v>200</v>
      </c>
      <c r="J7" s="32">
        <v>200</v>
      </c>
      <c r="K7" s="32">
        <v>0</v>
      </c>
      <c r="L7" s="32">
        <v>100</v>
      </c>
      <c r="N7" s="78">
        <f t="shared" si="0"/>
        <v>1000</v>
      </c>
    </row>
    <row r="8" spans="1:14">
      <c r="A8" s="29"/>
      <c r="B8" s="30">
        <v>1230854</v>
      </c>
      <c r="C8" s="32">
        <v>0</v>
      </c>
      <c r="D8" s="32">
        <v>0</v>
      </c>
      <c r="E8" s="32">
        <v>100</v>
      </c>
      <c r="F8" s="32">
        <v>0</v>
      </c>
      <c r="G8" s="32">
        <v>0</v>
      </c>
      <c r="H8" s="32">
        <v>0</v>
      </c>
      <c r="I8" s="32">
        <v>100</v>
      </c>
      <c r="J8" s="32">
        <v>0</v>
      </c>
      <c r="K8" s="32">
        <v>0</v>
      </c>
      <c r="L8" s="32">
        <v>200</v>
      </c>
      <c r="N8" s="78">
        <f t="shared" si="0"/>
        <v>400</v>
      </c>
    </row>
    <row r="9" spans="1:14">
      <c r="A9" s="29"/>
      <c r="B9" s="30">
        <v>1231202</v>
      </c>
      <c r="C9" s="32">
        <v>0</v>
      </c>
      <c r="D9" s="32">
        <v>0</v>
      </c>
      <c r="E9" s="32">
        <v>150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N9" s="78">
        <f t="shared" si="0"/>
        <v>150</v>
      </c>
    </row>
    <row r="10" spans="1:14">
      <c r="A10" s="29"/>
      <c r="B10" s="30">
        <v>1231898</v>
      </c>
      <c r="C10" s="32">
        <v>2240</v>
      </c>
      <c r="D10" s="32">
        <v>1792</v>
      </c>
      <c r="E10" s="32">
        <v>1792</v>
      </c>
      <c r="F10" s="32">
        <v>1792</v>
      </c>
      <c r="G10" s="32">
        <v>1792</v>
      </c>
      <c r="H10" s="32">
        <v>2240</v>
      </c>
      <c r="I10" s="32">
        <v>1344</v>
      </c>
      <c r="J10" s="32">
        <v>1344</v>
      </c>
      <c r="K10" s="32">
        <v>0</v>
      </c>
      <c r="L10" s="32">
        <v>2240</v>
      </c>
      <c r="N10" s="78">
        <f t="shared" si="0"/>
        <v>14336</v>
      </c>
    </row>
    <row r="11" spans="1:14">
      <c r="A11" s="29"/>
      <c r="B11" s="30">
        <v>1233492</v>
      </c>
      <c r="C11" s="32">
        <v>0</v>
      </c>
      <c r="D11" s="32">
        <v>0</v>
      </c>
      <c r="E11" s="32">
        <v>500</v>
      </c>
      <c r="F11" s="32">
        <v>0</v>
      </c>
      <c r="G11" s="32">
        <v>300</v>
      </c>
      <c r="H11" s="32">
        <v>400</v>
      </c>
      <c r="I11" s="32">
        <v>400</v>
      </c>
      <c r="J11" s="32">
        <v>300</v>
      </c>
      <c r="K11" s="32">
        <v>0</v>
      </c>
      <c r="L11" s="32">
        <v>400</v>
      </c>
      <c r="N11" s="78">
        <f t="shared" si="0"/>
        <v>2300</v>
      </c>
    </row>
    <row r="12" spans="1:14">
      <c r="A12" s="29"/>
      <c r="B12" s="30">
        <v>1233498</v>
      </c>
      <c r="C12" s="32">
        <v>0</v>
      </c>
      <c r="D12" s="32">
        <v>0</v>
      </c>
      <c r="E12" s="32">
        <v>500</v>
      </c>
      <c r="F12" s="32">
        <v>0</v>
      </c>
      <c r="G12" s="32">
        <v>300</v>
      </c>
      <c r="H12" s="32">
        <v>400</v>
      </c>
      <c r="I12" s="32">
        <v>400</v>
      </c>
      <c r="J12" s="32">
        <v>300</v>
      </c>
      <c r="K12" s="32">
        <v>0</v>
      </c>
      <c r="L12" s="32">
        <v>400</v>
      </c>
      <c r="N12" s="78">
        <f t="shared" si="0"/>
        <v>2300</v>
      </c>
    </row>
    <row r="13" spans="1:14">
      <c r="A13" s="29"/>
      <c r="B13" s="30">
        <v>1233623</v>
      </c>
      <c r="C13" s="32">
        <v>0</v>
      </c>
      <c r="D13" s="32">
        <v>0</v>
      </c>
      <c r="E13" s="32">
        <v>500</v>
      </c>
      <c r="F13" s="32">
        <v>0</v>
      </c>
      <c r="G13" s="32">
        <v>300</v>
      </c>
      <c r="H13" s="32">
        <v>400</v>
      </c>
      <c r="I13" s="32">
        <v>400</v>
      </c>
      <c r="J13" s="32">
        <v>300</v>
      </c>
      <c r="K13" s="32">
        <v>0</v>
      </c>
      <c r="L13" s="32">
        <v>400</v>
      </c>
      <c r="N13" s="78">
        <f t="shared" si="0"/>
        <v>2300</v>
      </c>
    </row>
    <row r="14" spans="1:14">
      <c r="A14" s="29"/>
      <c r="B14" s="30">
        <v>1233761</v>
      </c>
      <c r="C14" s="32">
        <v>0</v>
      </c>
      <c r="D14" s="32">
        <v>300</v>
      </c>
      <c r="E14" s="32">
        <v>140</v>
      </c>
      <c r="F14" s="32">
        <v>0</v>
      </c>
      <c r="G14" s="32">
        <v>0</v>
      </c>
      <c r="H14" s="32">
        <v>200</v>
      </c>
      <c r="I14" s="32">
        <v>200</v>
      </c>
      <c r="J14" s="32">
        <v>100</v>
      </c>
      <c r="K14" s="32">
        <v>0</v>
      </c>
      <c r="L14" s="32">
        <v>0</v>
      </c>
      <c r="N14" s="78">
        <f t="shared" si="0"/>
        <v>940</v>
      </c>
    </row>
    <row r="15" spans="1:14">
      <c r="A15" s="29"/>
      <c r="B15" s="30">
        <v>1233877</v>
      </c>
      <c r="C15" s="32">
        <v>0</v>
      </c>
      <c r="D15" s="32">
        <v>0</v>
      </c>
      <c r="E15" s="32">
        <v>0</v>
      </c>
      <c r="F15" s="32">
        <v>0</v>
      </c>
      <c r="G15" s="32">
        <v>120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N15" s="78">
        <f t="shared" si="0"/>
        <v>120</v>
      </c>
    </row>
    <row r="16" spans="1:14">
      <c r="A16" s="29"/>
      <c r="B16" s="30">
        <v>1234614</v>
      </c>
      <c r="C16" s="32">
        <v>0</v>
      </c>
      <c r="D16" s="32">
        <v>400</v>
      </c>
      <c r="E16" s="32">
        <v>400</v>
      </c>
      <c r="F16" s="32">
        <v>0</v>
      </c>
      <c r="G16" s="32">
        <v>300</v>
      </c>
      <c r="H16" s="32">
        <v>300</v>
      </c>
      <c r="I16" s="32">
        <v>300</v>
      </c>
      <c r="J16" s="32">
        <v>0</v>
      </c>
      <c r="K16" s="32">
        <v>0</v>
      </c>
      <c r="L16" s="32">
        <v>300</v>
      </c>
      <c r="N16" s="78">
        <f t="shared" si="0"/>
        <v>2000</v>
      </c>
    </row>
    <row r="17" spans="1:14">
      <c r="A17" s="29"/>
      <c r="B17" s="30">
        <v>1235003</v>
      </c>
      <c r="C17" s="32">
        <v>3225</v>
      </c>
      <c r="D17" s="32">
        <v>3200</v>
      </c>
      <c r="E17" s="32">
        <v>1600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N17" s="78">
        <f t="shared" si="0"/>
        <v>4800</v>
      </c>
    </row>
    <row r="18" spans="1:14">
      <c r="A18" s="29"/>
      <c r="B18" s="30">
        <v>1235058</v>
      </c>
      <c r="C18" s="32">
        <v>675</v>
      </c>
      <c r="D18" s="32">
        <v>625</v>
      </c>
      <c r="E18" s="32">
        <v>100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N18" s="78">
        <f t="shared" si="0"/>
        <v>725</v>
      </c>
    </row>
    <row r="19" spans="1:14">
      <c r="A19" s="29"/>
      <c r="B19" s="30">
        <v>1235623</v>
      </c>
      <c r="C19" s="32">
        <v>0</v>
      </c>
      <c r="D19" s="32">
        <v>1872</v>
      </c>
      <c r="E19" s="32">
        <v>416</v>
      </c>
      <c r="F19" s="32">
        <v>0</v>
      </c>
      <c r="G19" s="32">
        <v>0</v>
      </c>
      <c r="H19" s="32">
        <v>0</v>
      </c>
      <c r="I19" s="32">
        <v>0</v>
      </c>
      <c r="J19" s="32">
        <v>1872</v>
      </c>
      <c r="K19" s="32">
        <v>0</v>
      </c>
      <c r="L19" s="32">
        <v>0</v>
      </c>
      <c r="N19" s="78">
        <f t="shared" si="0"/>
        <v>4160</v>
      </c>
    </row>
    <row r="20" spans="1:14">
      <c r="A20" s="29"/>
      <c r="B20" s="30">
        <v>1236091</v>
      </c>
      <c r="C20" s="32">
        <v>0</v>
      </c>
      <c r="D20" s="32">
        <v>350</v>
      </c>
      <c r="E20" s="32">
        <v>300</v>
      </c>
      <c r="F20" s="32">
        <v>0</v>
      </c>
      <c r="G20" s="32">
        <v>0</v>
      </c>
      <c r="H20" s="32">
        <v>200</v>
      </c>
      <c r="I20" s="32">
        <v>200</v>
      </c>
      <c r="J20" s="32">
        <v>0</v>
      </c>
      <c r="K20" s="32">
        <v>0</v>
      </c>
      <c r="L20" s="32">
        <v>0</v>
      </c>
      <c r="N20" s="78">
        <f t="shared" si="0"/>
        <v>1050</v>
      </c>
    </row>
    <row r="21" spans="1:14">
      <c r="A21" s="29"/>
      <c r="B21" s="30">
        <v>1236488</v>
      </c>
      <c r="C21" s="32">
        <v>500</v>
      </c>
      <c r="D21" s="32">
        <v>500</v>
      </c>
      <c r="E21" s="32">
        <v>600</v>
      </c>
      <c r="F21" s="32">
        <v>600</v>
      </c>
      <c r="G21" s="32">
        <v>800</v>
      </c>
      <c r="H21" s="32">
        <v>800</v>
      </c>
      <c r="I21" s="32">
        <v>900</v>
      </c>
      <c r="J21" s="32">
        <v>1000</v>
      </c>
      <c r="K21" s="32">
        <v>1000</v>
      </c>
      <c r="L21" s="32">
        <v>1100</v>
      </c>
      <c r="N21" s="78">
        <f t="shared" si="0"/>
        <v>7300</v>
      </c>
    </row>
    <row r="22" spans="1:14">
      <c r="A22" s="29"/>
      <c r="B22" s="30">
        <v>1236534</v>
      </c>
      <c r="C22" s="32">
        <v>0</v>
      </c>
      <c r="D22" s="32">
        <v>200</v>
      </c>
      <c r="E22" s="32">
        <v>0</v>
      </c>
      <c r="F22" s="32">
        <v>0</v>
      </c>
      <c r="G22" s="32">
        <v>0</v>
      </c>
      <c r="H22" s="32">
        <v>400</v>
      </c>
      <c r="I22" s="32">
        <v>400</v>
      </c>
      <c r="J22" s="32">
        <v>0</v>
      </c>
      <c r="K22" s="32">
        <v>0</v>
      </c>
      <c r="L22" s="32">
        <v>300</v>
      </c>
      <c r="N22" s="78">
        <f t="shared" si="0"/>
        <v>1300</v>
      </c>
    </row>
    <row r="23" spans="1:14">
      <c r="A23" s="29"/>
      <c r="B23" s="30">
        <v>1236962</v>
      </c>
      <c r="C23" s="32">
        <v>700</v>
      </c>
      <c r="D23" s="32">
        <v>900</v>
      </c>
      <c r="E23" s="32">
        <v>900</v>
      </c>
      <c r="F23" s="32">
        <v>900</v>
      </c>
      <c r="G23" s="32">
        <v>1700</v>
      </c>
      <c r="H23" s="32">
        <v>800</v>
      </c>
      <c r="I23" s="32">
        <v>800</v>
      </c>
      <c r="J23" s="32">
        <v>800</v>
      </c>
      <c r="K23" s="32">
        <v>800</v>
      </c>
      <c r="L23" s="32">
        <v>600</v>
      </c>
      <c r="N23" s="78">
        <f t="shared" si="0"/>
        <v>8200</v>
      </c>
    </row>
    <row r="24" spans="1:14">
      <c r="A24" s="29"/>
      <c r="B24" s="30">
        <v>1237088</v>
      </c>
      <c r="C24" s="32">
        <v>4366</v>
      </c>
      <c r="D24" s="32">
        <v>4413</v>
      </c>
      <c r="E24" s="32">
        <v>4436</v>
      </c>
      <c r="F24" s="32">
        <v>4186</v>
      </c>
      <c r="G24" s="32">
        <v>6407</v>
      </c>
      <c r="H24" s="32">
        <v>4436</v>
      </c>
      <c r="I24" s="32">
        <v>4436</v>
      </c>
      <c r="J24" s="32">
        <v>4636</v>
      </c>
      <c r="K24" s="32">
        <v>3000</v>
      </c>
      <c r="L24" s="32">
        <v>2600</v>
      </c>
      <c r="N24" s="78">
        <f t="shared" si="0"/>
        <v>38550</v>
      </c>
    </row>
    <row r="25" spans="1:14">
      <c r="A25" s="29"/>
      <c r="B25" s="30">
        <v>1237586</v>
      </c>
      <c r="C25" s="32">
        <v>2240</v>
      </c>
      <c r="D25" s="32">
        <v>1792</v>
      </c>
      <c r="E25" s="32">
        <v>1792</v>
      </c>
      <c r="F25" s="32">
        <v>1792</v>
      </c>
      <c r="G25" s="32">
        <v>1792</v>
      </c>
      <c r="H25" s="32">
        <v>2240</v>
      </c>
      <c r="I25" s="32">
        <v>1344</v>
      </c>
      <c r="J25" s="32">
        <v>1344</v>
      </c>
      <c r="K25" s="32">
        <v>0</v>
      </c>
      <c r="L25" s="32">
        <v>2240</v>
      </c>
      <c r="N25" s="78">
        <f t="shared" si="0"/>
        <v>14336</v>
      </c>
    </row>
    <row r="26" spans="1:14">
      <c r="A26" s="29"/>
      <c r="B26" s="30">
        <v>1237748</v>
      </c>
      <c r="C26" s="32">
        <v>78</v>
      </c>
      <c r="D26" s="32">
        <v>0</v>
      </c>
      <c r="E26" s="32">
        <v>0</v>
      </c>
      <c r="F26" s="32">
        <v>728</v>
      </c>
      <c r="G26" s="32">
        <v>0</v>
      </c>
      <c r="H26" s="32">
        <v>0</v>
      </c>
      <c r="I26" s="32">
        <v>0</v>
      </c>
      <c r="J26" s="32">
        <v>0</v>
      </c>
      <c r="K26" s="32">
        <v>780</v>
      </c>
      <c r="L26" s="32">
        <v>0</v>
      </c>
      <c r="N26" s="78">
        <f t="shared" si="0"/>
        <v>1508</v>
      </c>
    </row>
    <row r="27" spans="1:14">
      <c r="A27" s="29"/>
      <c r="B27" s="30">
        <v>1238128</v>
      </c>
      <c r="C27" s="32">
        <v>5578</v>
      </c>
      <c r="D27" s="32">
        <v>0</v>
      </c>
      <c r="E27" s="32">
        <v>0</v>
      </c>
      <c r="F27" s="32">
        <v>7744</v>
      </c>
      <c r="G27" s="32">
        <v>0</v>
      </c>
      <c r="H27" s="32">
        <v>0</v>
      </c>
      <c r="I27" s="32">
        <v>0</v>
      </c>
      <c r="J27" s="32">
        <v>0</v>
      </c>
      <c r="K27" s="32">
        <v>7840</v>
      </c>
      <c r="L27" s="32">
        <v>0</v>
      </c>
      <c r="N27" s="78">
        <f t="shared" si="0"/>
        <v>15584</v>
      </c>
    </row>
    <row r="28" spans="1:14">
      <c r="A28" s="29"/>
      <c r="B28" s="30">
        <v>1239651</v>
      </c>
      <c r="C28" s="32">
        <v>200</v>
      </c>
      <c r="D28" s="32">
        <v>400</v>
      </c>
      <c r="E28" s="32">
        <v>500</v>
      </c>
      <c r="F28" s="32">
        <v>340</v>
      </c>
      <c r="G28" s="32">
        <v>500</v>
      </c>
      <c r="H28" s="32">
        <v>400</v>
      </c>
      <c r="I28" s="32">
        <v>500</v>
      </c>
      <c r="J28" s="32">
        <v>500</v>
      </c>
      <c r="K28" s="32">
        <v>150</v>
      </c>
      <c r="L28" s="32">
        <v>400</v>
      </c>
      <c r="N28" s="78">
        <f t="shared" si="0"/>
        <v>3690</v>
      </c>
    </row>
    <row r="29" spans="1:14">
      <c r="A29" s="29"/>
      <c r="B29" s="30">
        <v>1239988</v>
      </c>
      <c r="C29" s="32">
        <v>500</v>
      </c>
      <c r="D29" s="32">
        <v>800</v>
      </c>
      <c r="E29" s="32">
        <v>1600</v>
      </c>
      <c r="F29" s="32">
        <v>1000</v>
      </c>
      <c r="G29" s="32">
        <v>1300</v>
      </c>
      <c r="H29" s="32">
        <v>1300</v>
      </c>
      <c r="I29" s="32">
        <v>1450</v>
      </c>
      <c r="J29" s="32">
        <v>1650</v>
      </c>
      <c r="K29" s="32">
        <v>400</v>
      </c>
      <c r="L29" s="32">
        <v>524</v>
      </c>
      <c r="N29" s="78">
        <f t="shared" si="0"/>
        <v>10024</v>
      </c>
    </row>
    <row r="30" spans="1:14">
      <c r="A30" s="29"/>
      <c r="B30" s="30">
        <v>1240180</v>
      </c>
      <c r="C30" s="32">
        <v>1200</v>
      </c>
      <c r="D30" s="32">
        <v>1484</v>
      </c>
      <c r="E30" s="32">
        <v>2321</v>
      </c>
      <c r="F30" s="32">
        <v>1796</v>
      </c>
      <c r="G30" s="32">
        <v>1588</v>
      </c>
      <c r="H30" s="32">
        <v>2000</v>
      </c>
      <c r="I30" s="32">
        <v>1800</v>
      </c>
      <c r="J30" s="32">
        <v>934</v>
      </c>
      <c r="K30" s="32">
        <v>1496</v>
      </c>
      <c r="L30" s="32">
        <v>1153</v>
      </c>
      <c r="N30" s="78">
        <f t="shared" si="0"/>
        <v>14572</v>
      </c>
    </row>
    <row r="31" spans="1:14">
      <c r="A31" s="29"/>
      <c r="B31" s="30">
        <v>1240184</v>
      </c>
      <c r="C31" s="32">
        <v>1200</v>
      </c>
      <c r="D31" s="32">
        <v>1334</v>
      </c>
      <c r="E31" s="32">
        <v>1921</v>
      </c>
      <c r="F31" s="32">
        <v>1796</v>
      </c>
      <c r="G31" s="32">
        <v>1588</v>
      </c>
      <c r="H31" s="32">
        <v>1700</v>
      </c>
      <c r="I31" s="32">
        <v>1650</v>
      </c>
      <c r="J31" s="32">
        <v>734</v>
      </c>
      <c r="K31" s="32">
        <v>1496</v>
      </c>
      <c r="L31" s="32">
        <v>1153</v>
      </c>
      <c r="N31" s="78">
        <f t="shared" si="0"/>
        <v>13372</v>
      </c>
    </row>
    <row r="32" spans="1:14">
      <c r="A32" s="29"/>
      <c r="B32" s="30">
        <v>1240308</v>
      </c>
      <c r="C32" s="32">
        <v>450</v>
      </c>
      <c r="D32" s="32">
        <v>870</v>
      </c>
      <c r="E32" s="32">
        <v>950</v>
      </c>
      <c r="F32" s="32">
        <v>900</v>
      </c>
      <c r="G32" s="32">
        <v>750</v>
      </c>
      <c r="H32" s="32">
        <v>900</v>
      </c>
      <c r="I32" s="32">
        <v>900</v>
      </c>
      <c r="J32" s="32">
        <v>850</v>
      </c>
      <c r="K32" s="32">
        <v>0</v>
      </c>
      <c r="L32" s="32">
        <v>150</v>
      </c>
      <c r="N32" s="78">
        <f t="shared" si="0"/>
        <v>6270</v>
      </c>
    </row>
    <row r="33" spans="1:14">
      <c r="A33" s="29"/>
      <c r="B33" s="30">
        <v>1241134</v>
      </c>
      <c r="C33" s="32">
        <v>0</v>
      </c>
      <c r="D33" s="32">
        <v>0</v>
      </c>
      <c r="E33" s="32">
        <v>0</v>
      </c>
      <c r="F33" s="32">
        <v>0</v>
      </c>
      <c r="G33" s="32">
        <v>1900</v>
      </c>
      <c r="H33" s="32">
        <v>1100</v>
      </c>
      <c r="I33" s="32">
        <v>600</v>
      </c>
      <c r="J33" s="32">
        <v>0</v>
      </c>
      <c r="K33" s="32">
        <v>0</v>
      </c>
      <c r="L33" s="32">
        <v>0</v>
      </c>
      <c r="N33" s="78">
        <f t="shared" si="0"/>
        <v>3600</v>
      </c>
    </row>
    <row r="34" spans="1:14">
      <c r="A34" s="29"/>
      <c r="B34" s="30">
        <v>1241601</v>
      </c>
      <c r="C34" s="32">
        <v>5456</v>
      </c>
      <c r="D34" s="32">
        <v>9312</v>
      </c>
      <c r="E34" s="32">
        <v>3800</v>
      </c>
      <c r="F34" s="32">
        <v>4200</v>
      </c>
      <c r="G34" s="32">
        <v>4700</v>
      </c>
      <c r="H34" s="32">
        <v>4100</v>
      </c>
      <c r="I34" s="32">
        <v>3800</v>
      </c>
      <c r="J34" s="32">
        <v>4000</v>
      </c>
      <c r="K34" s="32">
        <v>2000</v>
      </c>
      <c r="L34" s="32">
        <v>4800</v>
      </c>
      <c r="N34" s="78">
        <f t="shared" si="0"/>
        <v>40712</v>
      </c>
    </row>
    <row r="35" spans="1:14">
      <c r="N35" s="78"/>
    </row>
    <row r="36" spans="1:14">
      <c r="N36" s="78"/>
    </row>
    <row r="37" spans="1:14">
      <c r="B37" s="5" t="s">
        <v>0</v>
      </c>
      <c r="C37" s="9" t="s">
        <v>731</v>
      </c>
      <c r="D37" s="9" t="s">
        <v>736</v>
      </c>
      <c r="E37" s="9" t="s">
        <v>745</v>
      </c>
      <c r="F37" s="9" t="s">
        <v>754</v>
      </c>
      <c r="G37" s="9" t="s">
        <v>764</v>
      </c>
      <c r="H37" s="9" t="s">
        <v>773</v>
      </c>
      <c r="I37" s="9" t="s">
        <v>796</v>
      </c>
      <c r="J37" s="9" t="s">
        <v>823</v>
      </c>
      <c r="K37" s="9" t="s">
        <v>847</v>
      </c>
      <c r="L37" s="9" t="s">
        <v>876</v>
      </c>
      <c r="N37" s="78"/>
    </row>
    <row r="38" spans="1:14">
      <c r="C38" s="9" t="s">
        <v>732</v>
      </c>
      <c r="D38" s="9" t="s">
        <v>737</v>
      </c>
      <c r="E38" s="9" t="s">
        <v>746</v>
      </c>
      <c r="F38" s="9" t="s">
        <v>755</v>
      </c>
      <c r="G38" s="9" t="s">
        <v>765</v>
      </c>
      <c r="H38" s="9" t="s">
        <v>774</v>
      </c>
      <c r="I38" s="9" t="s">
        <v>797</v>
      </c>
      <c r="J38" s="9" t="s">
        <v>824</v>
      </c>
      <c r="K38" s="9" t="s">
        <v>848</v>
      </c>
      <c r="L38" s="9" t="s">
        <v>877</v>
      </c>
      <c r="N38" s="78"/>
    </row>
    <row r="39" spans="1:14">
      <c r="B39" s="5">
        <v>1216452</v>
      </c>
      <c r="C39" s="9">
        <v>76</v>
      </c>
      <c r="D39" s="9">
        <v>864</v>
      </c>
      <c r="E39" s="9">
        <v>522</v>
      </c>
      <c r="F39" s="9">
        <v>90</v>
      </c>
      <c r="G39" s="9">
        <v>0</v>
      </c>
      <c r="H39" s="9">
        <v>0</v>
      </c>
      <c r="I39" s="9">
        <v>0</v>
      </c>
      <c r="J39" s="9">
        <v>324</v>
      </c>
      <c r="K39" s="9">
        <v>0</v>
      </c>
      <c r="L39" s="9">
        <v>864</v>
      </c>
      <c r="N39" s="78">
        <f t="shared" ref="N39:N50" si="1">SUM(C39:K39)</f>
        <v>1876</v>
      </c>
    </row>
    <row r="40" spans="1:14">
      <c r="B40" s="5">
        <v>1220847</v>
      </c>
      <c r="C40" s="9">
        <v>3150</v>
      </c>
      <c r="D40" s="9">
        <v>2164</v>
      </c>
      <c r="E40" s="9">
        <v>0</v>
      </c>
      <c r="F40" s="9">
        <v>0</v>
      </c>
      <c r="G40" s="9">
        <v>33</v>
      </c>
      <c r="H40" s="9">
        <v>1050</v>
      </c>
      <c r="I40" s="9">
        <v>0</v>
      </c>
      <c r="J40" s="9">
        <v>0</v>
      </c>
      <c r="K40" s="9">
        <v>0</v>
      </c>
      <c r="L40" s="9">
        <v>0</v>
      </c>
      <c r="N40" s="78">
        <f t="shared" si="1"/>
        <v>6397</v>
      </c>
    </row>
    <row r="41" spans="1:14">
      <c r="B41" s="5">
        <v>1221967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205</v>
      </c>
      <c r="K41" s="9">
        <v>0</v>
      </c>
      <c r="L41" s="9">
        <v>0</v>
      </c>
      <c r="N41" s="78">
        <f t="shared" si="1"/>
        <v>205</v>
      </c>
    </row>
    <row r="42" spans="1:14">
      <c r="B42" s="5">
        <v>1225464</v>
      </c>
      <c r="C42" s="9">
        <v>0</v>
      </c>
      <c r="D42" s="9">
        <v>756</v>
      </c>
      <c r="E42" s="9">
        <v>0</v>
      </c>
      <c r="F42" s="9">
        <v>0</v>
      </c>
      <c r="G42" s="9">
        <v>0</v>
      </c>
      <c r="H42" s="9">
        <v>756</v>
      </c>
      <c r="I42" s="9">
        <v>0</v>
      </c>
      <c r="J42" s="9">
        <v>0</v>
      </c>
      <c r="K42" s="9">
        <v>0</v>
      </c>
      <c r="L42" s="9">
        <v>0</v>
      </c>
      <c r="N42" s="78">
        <f t="shared" si="1"/>
        <v>1512</v>
      </c>
    </row>
    <row r="43" spans="1:14">
      <c r="B43" s="5">
        <v>1227306</v>
      </c>
      <c r="C43" s="9">
        <v>0</v>
      </c>
      <c r="D43" s="9">
        <v>300</v>
      </c>
      <c r="E43" s="9">
        <v>500</v>
      </c>
      <c r="F43" s="9">
        <v>300</v>
      </c>
      <c r="G43" s="9">
        <v>200</v>
      </c>
      <c r="H43" s="9">
        <v>700</v>
      </c>
      <c r="I43" s="9">
        <v>750</v>
      </c>
      <c r="J43" s="9">
        <v>200</v>
      </c>
      <c r="K43" s="9">
        <v>200</v>
      </c>
      <c r="L43" s="9">
        <v>400</v>
      </c>
      <c r="N43" s="78">
        <f t="shared" si="1"/>
        <v>3150</v>
      </c>
    </row>
    <row r="44" spans="1:14">
      <c r="B44" s="5">
        <v>1227359</v>
      </c>
      <c r="C44" s="9">
        <v>34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N44" s="78">
        <f t="shared" si="1"/>
        <v>34</v>
      </c>
    </row>
    <row r="45" spans="1:14">
      <c r="B45" s="5">
        <v>1229050</v>
      </c>
      <c r="C45" s="9">
        <v>335</v>
      </c>
      <c r="D45" s="9">
        <v>0</v>
      </c>
      <c r="E45" s="9">
        <v>0</v>
      </c>
      <c r="F45" s="9">
        <v>245</v>
      </c>
      <c r="G45" s="9">
        <v>0</v>
      </c>
      <c r="H45" s="9">
        <v>0</v>
      </c>
      <c r="I45" s="9">
        <v>0</v>
      </c>
      <c r="J45" s="9">
        <v>0</v>
      </c>
      <c r="K45" s="9">
        <v>250</v>
      </c>
      <c r="L45" s="9">
        <v>0</v>
      </c>
      <c r="N45" s="78">
        <f t="shared" si="1"/>
        <v>830</v>
      </c>
    </row>
    <row r="46" spans="1:14">
      <c r="B46" s="5">
        <v>1229088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350</v>
      </c>
      <c r="I46" s="9">
        <v>300</v>
      </c>
      <c r="J46" s="9">
        <v>0</v>
      </c>
      <c r="K46" s="9">
        <v>0</v>
      </c>
      <c r="L46" s="9">
        <v>300</v>
      </c>
      <c r="N46" s="78">
        <f t="shared" si="1"/>
        <v>650</v>
      </c>
    </row>
    <row r="47" spans="1:14">
      <c r="B47" s="5">
        <v>1229776</v>
      </c>
      <c r="C47" s="9">
        <v>0</v>
      </c>
      <c r="D47" s="9">
        <v>0</v>
      </c>
      <c r="E47" s="9">
        <v>0</v>
      </c>
      <c r="F47" s="9">
        <v>200</v>
      </c>
      <c r="G47" s="9">
        <v>0</v>
      </c>
      <c r="H47" s="9">
        <v>0</v>
      </c>
      <c r="I47" s="9">
        <v>200</v>
      </c>
      <c r="J47" s="9">
        <v>0</v>
      </c>
      <c r="K47" s="9">
        <v>0</v>
      </c>
      <c r="L47" s="9">
        <v>0</v>
      </c>
      <c r="N47" s="78">
        <f t="shared" si="1"/>
        <v>400</v>
      </c>
    </row>
    <row r="48" spans="1:14">
      <c r="B48" s="5">
        <v>1230685</v>
      </c>
      <c r="C48" s="9">
        <v>0</v>
      </c>
      <c r="D48" s="9">
        <v>200</v>
      </c>
      <c r="E48" s="9">
        <v>250</v>
      </c>
      <c r="F48" s="9">
        <v>100</v>
      </c>
      <c r="G48" s="9">
        <v>0</v>
      </c>
      <c r="H48" s="9">
        <v>200</v>
      </c>
      <c r="I48" s="9">
        <v>200</v>
      </c>
      <c r="J48" s="9">
        <v>250</v>
      </c>
      <c r="K48" s="9">
        <v>0</v>
      </c>
      <c r="L48" s="9">
        <v>200</v>
      </c>
      <c r="N48" s="78">
        <f t="shared" si="1"/>
        <v>1200</v>
      </c>
    </row>
    <row r="49" spans="2:14">
      <c r="B49" s="5">
        <v>1230692</v>
      </c>
      <c r="C49" s="9">
        <v>0</v>
      </c>
      <c r="D49" s="9">
        <v>0</v>
      </c>
      <c r="E49" s="9">
        <v>150</v>
      </c>
      <c r="F49" s="9">
        <v>0</v>
      </c>
      <c r="G49" s="9">
        <v>0</v>
      </c>
      <c r="H49" s="9">
        <v>100</v>
      </c>
      <c r="I49" s="9">
        <v>0</v>
      </c>
      <c r="J49" s="9">
        <v>0</v>
      </c>
      <c r="K49" s="9">
        <v>0</v>
      </c>
      <c r="L49" s="9">
        <v>0</v>
      </c>
      <c r="N49" s="78">
        <f t="shared" si="1"/>
        <v>250</v>
      </c>
    </row>
    <row r="50" spans="2:14">
      <c r="B50" s="5">
        <v>1230791</v>
      </c>
      <c r="C50" s="9">
        <v>23</v>
      </c>
      <c r="D50" s="9">
        <v>0</v>
      </c>
      <c r="E50" s="9">
        <v>26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N50" s="78">
        <f t="shared" si="1"/>
        <v>49</v>
      </c>
    </row>
    <row r="51" spans="2:14">
      <c r="B51" s="5">
        <v>1231011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90</v>
      </c>
      <c r="I51" s="9">
        <v>210</v>
      </c>
      <c r="J51" s="9">
        <v>0</v>
      </c>
      <c r="K51" s="9">
        <v>0</v>
      </c>
      <c r="L51" s="9">
        <v>0</v>
      </c>
      <c r="N51" s="78">
        <f>SUM(D51:L51)</f>
        <v>300</v>
      </c>
    </row>
    <row r="52" spans="2:14">
      <c r="B52" s="5">
        <v>1231090</v>
      </c>
      <c r="C52" s="9">
        <v>1829</v>
      </c>
      <c r="D52" s="9">
        <v>270</v>
      </c>
      <c r="E52" s="9">
        <v>476</v>
      </c>
      <c r="F52" s="9">
        <v>1380</v>
      </c>
      <c r="G52" s="9">
        <v>0</v>
      </c>
      <c r="H52" s="9">
        <v>540</v>
      </c>
      <c r="I52" s="9">
        <v>200</v>
      </c>
      <c r="J52" s="9">
        <v>0</v>
      </c>
      <c r="K52" s="9">
        <v>980</v>
      </c>
      <c r="L52" s="9">
        <v>0</v>
      </c>
      <c r="N52" s="78">
        <f t="shared" ref="N52:N101" si="2">SUM(D52:L52)</f>
        <v>3846</v>
      </c>
    </row>
    <row r="53" spans="2:14">
      <c r="B53" s="5">
        <v>1231578</v>
      </c>
      <c r="C53" s="9">
        <v>0</v>
      </c>
      <c r="D53" s="9">
        <v>0</v>
      </c>
      <c r="E53" s="9">
        <v>600</v>
      </c>
      <c r="F53" s="9">
        <v>0</v>
      </c>
      <c r="G53" s="9">
        <v>0</v>
      </c>
      <c r="H53" s="9">
        <v>200</v>
      </c>
      <c r="I53" s="9">
        <v>300</v>
      </c>
      <c r="J53" s="9">
        <v>200</v>
      </c>
      <c r="K53" s="9">
        <v>0</v>
      </c>
      <c r="L53" s="9">
        <v>0</v>
      </c>
      <c r="N53" s="78">
        <f t="shared" si="2"/>
        <v>1300</v>
      </c>
    </row>
    <row r="54" spans="2:14">
      <c r="B54" s="5">
        <v>1231797</v>
      </c>
      <c r="C54" s="9">
        <v>0</v>
      </c>
      <c r="D54" s="9">
        <v>0</v>
      </c>
      <c r="E54" s="9">
        <v>139</v>
      </c>
      <c r="F54" s="9">
        <v>0</v>
      </c>
      <c r="G54" s="9">
        <v>0</v>
      </c>
      <c r="H54" s="9">
        <v>0</v>
      </c>
      <c r="I54" s="9">
        <v>0</v>
      </c>
      <c r="J54" s="9">
        <v>154</v>
      </c>
      <c r="K54" s="9">
        <v>0</v>
      </c>
      <c r="L54" s="9">
        <v>0</v>
      </c>
      <c r="N54" s="78">
        <f t="shared" si="2"/>
        <v>293</v>
      </c>
    </row>
    <row r="55" spans="2:14">
      <c r="B55" s="5">
        <v>1231860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100</v>
      </c>
      <c r="L55" s="9">
        <v>0</v>
      </c>
      <c r="N55" s="78">
        <f t="shared" si="2"/>
        <v>100</v>
      </c>
    </row>
    <row r="56" spans="2:14">
      <c r="B56" s="5">
        <v>1232066</v>
      </c>
      <c r="C56" s="9">
        <v>0</v>
      </c>
      <c r="D56" s="9">
        <v>0</v>
      </c>
      <c r="E56" s="9">
        <v>0</v>
      </c>
      <c r="F56" s="9">
        <v>234</v>
      </c>
      <c r="G56" s="9">
        <v>0</v>
      </c>
      <c r="H56" s="9">
        <v>0</v>
      </c>
      <c r="I56" s="9">
        <v>0</v>
      </c>
      <c r="J56" s="9">
        <v>0</v>
      </c>
      <c r="K56" s="9">
        <v>252</v>
      </c>
      <c r="L56" s="9">
        <v>0</v>
      </c>
      <c r="N56" s="78">
        <f t="shared" si="2"/>
        <v>486</v>
      </c>
    </row>
    <row r="57" spans="2:14">
      <c r="B57" s="5">
        <v>1232528</v>
      </c>
      <c r="C57" s="9">
        <v>4073</v>
      </c>
      <c r="D57" s="9">
        <v>5580</v>
      </c>
      <c r="E57" s="9">
        <v>0</v>
      </c>
      <c r="F57" s="9">
        <v>972</v>
      </c>
      <c r="G57" s="9">
        <v>42</v>
      </c>
      <c r="H57" s="9">
        <v>5580</v>
      </c>
      <c r="I57" s="9">
        <v>0</v>
      </c>
      <c r="J57" s="9">
        <v>0</v>
      </c>
      <c r="K57" s="9">
        <v>1458</v>
      </c>
      <c r="L57" s="9">
        <v>0</v>
      </c>
      <c r="N57" s="78">
        <f t="shared" si="2"/>
        <v>13632</v>
      </c>
    </row>
    <row r="58" spans="2:14">
      <c r="B58" s="5">
        <v>1232693</v>
      </c>
      <c r="C58" s="9">
        <v>126</v>
      </c>
      <c r="D58" s="9">
        <v>0</v>
      </c>
      <c r="E58" s="9">
        <v>0</v>
      </c>
      <c r="F58" s="9">
        <v>1260</v>
      </c>
      <c r="G58" s="9">
        <v>0</v>
      </c>
      <c r="H58" s="9">
        <v>0</v>
      </c>
      <c r="I58" s="9">
        <v>0</v>
      </c>
      <c r="J58" s="9">
        <v>0</v>
      </c>
      <c r="K58" s="9">
        <v>1491</v>
      </c>
      <c r="L58" s="9">
        <v>0</v>
      </c>
      <c r="N58" s="78">
        <f t="shared" si="2"/>
        <v>2751</v>
      </c>
    </row>
    <row r="59" spans="2:14">
      <c r="B59" s="5">
        <v>1232775</v>
      </c>
      <c r="C59" s="9">
        <v>293</v>
      </c>
      <c r="D59" s="9">
        <v>921</v>
      </c>
      <c r="E59" s="9">
        <v>1320</v>
      </c>
      <c r="F59" s="9">
        <v>1676</v>
      </c>
      <c r="G59" s="9">
        <v>1854</v>
      </c>
      <c r="H59" s="9">
        <v>2146</v>
      </c>
      <c r="I59" s="9">
        <v>1200</v>
      </c>
      <c r="J59" s="9">
        <v>1810</v>
      </c>
      <c r="K59" s="9">
        <v>795</v>
      </c>
      <c r="L59" s="9">
        <v>0</v>
      </c>
      <c r="N59" s="78">
        <f t="shared" si="2"/>
        <v>11722</v>
      </c>
    </row>
    <row r="60" spans="2:14">
      <c r="B60" s="5">
        <v>1232846</v>
      </c>
      <c r="C60" s="9">
        <v>672</v>
      </c>
      <c r="D60" s="9">
        <v>926</v>
      </c>
      <c r="E60" s="9">
        <v>276</v>
      </c>
      <c r="F60" s="9">
        <v>312</v>
      </c>
      <c r="G60" s="9">
        <v>95</v>
      </c>
      <c r="H60" s="9">
        <v>650</v>
      </c>
      <c r="I60" s="9">
        <v>300</v>
      </c>
      <c r="J60" s="9">
        <v>763</v>
      </c>
      <c r="K60" s="9">
        <v>440</v>
      </c>
      <c r="L60" s="9">
        <v>500</v>
      </c>
      <c r="N60" s="78">
        <f t="shared" si="2"/>
        <v>4262</v>
      </c>
    </row>
    <row r="61" spans="2:14">
      <c r="B61" s="5">
        <v>1232894</v>
      </c>
      <c r="C61" s="9">
        <v>632</v>
      </c>
      <c r="D61" s="9">
        <v>926</v>
      </c>
      <c r="E61" s="9">
        <v>0</v>
      </c>
      <c r="F61" s="9">
        <v>312</v>
      </c>
      <c r="G61" s="9">
        <v>0</v>
      </c>
      <c r="H61" s="9">
        <v>350</v>
      </c>
      <c r="I61" s="9">
        <v>0</v>
      </c>
      <c r="J61" s="9">
        <v>0</v>
      </c>
      <c r="K61" s="9">
        <v>240</v>
      </c>
      <c r="L61" s="9">
        <v>0</v>
      </c>
      <c r="N61" s="78">
        <f t="shared" si="2"/>
        <v>1828</v>
      </c>
    </row>
    <row r="62" spans="2:14">
      <c r="B62" s="5">
        <v>1232895</v>
      </c>
      <c r="C62" s="9">
        <v>40</v>
      </c>
      <c r="D62" s="9">
        <v>0</v>
      </c>
      <c r="E62" s="9">
        <v>276</v>
      </c>
      <c r="F62" s="9">
        <v>0</v>
      </c>
      <c r="G62" s="9">
        <v>95</v>
      </c>
      <c r="H62" s="9">
        <v>300</v>
      </c>
      <c r="I62" s="9">
        <v>300</v>
      </c>
      <c r="J62" s="9">
        <v>763</v>
      </c>
      <c r="K62" s="9">
        <v>200</v>
      </c>
      <c r="L62" s="9">
        <v>500</v>
      </c>
      <c r="N62" s="78">
        <f t="shared" si="2"/>
        <v>2434</v>
      </c>
    </row>
    <row r="63" spans="2:14">
      <c r="B63" s="5">
        <v>1232922</v>
      </c>
      <c r="C63" s="9">
        <v>40</v>
      </c>
      <c r="D63" s="9">
        <v>0</v>
      </c>
      <c r="E63" s="9">
        <v>276</v>
      </c>
      <c r="F63" s="9">
        <v>0</v>
      </c>
      <c r="G63" s="9">
        <v>0</v>
      </c>
      <c r="H63" s="9">
        <v>0</v>
      </c>
      <c r="I63" s="9">
        <v>0</v>
      </c>
      <c r="J63" s="9">
        <v>276</v>
      </c>
      <c r="K63" s="9">
        <v>0</v>
      </c>
      <c r="L63" s="9">
        <v>0</v>
      </c>
      <c r="N63" s="78">
        <f t="shared" si="2"/>
        <v>552</v>
      </c>
    </row>
    <row r="64" spans="2:14">
      <c r="B64" s="5">
        <v>1232982</v>
      </c>
      <c r="C64" s="9">
        <v>400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50</v>
      </c>
      <c r="K64" s="9">
        <v>0</v>
      </c>
      <c r="L64" s="9">
        <v>0</v>
      </c>
      <c r="N64" s="78">
        <f t="shared" si="2"/>
        <v>50</v>
      </c>
    </row>
    <row r="65" spans="2:14">
      <c r="B65" s="5">
        <v>1233025</v>
      </c>
      <c r="C65" s="9">
        <v>126</v>
      </c>
      <c r="D65" s="9">
        <v>0</v>
      </c>
      <c r="E65" s="9">
        <v>0</v>
      </c>
      <c r="F65" s="9">
        <v>1260</v>
      </c>
      <c r="G65" s="9">
        <v>0</v>
      </c>
      <c r="H65" s="9">
        <v>0</v>
      </c>
      <c r="I65" s="9">
        <v>0</v>
      </c>
      <c r="J65" s="9">
        <v>0</v>
      </c>
      <c r="K65" s="9">
        <v>1491</v>
      </c>
      <c r="L65" s="9">
        <v>0</v>
      </c>
      <c r="N65" s="78">
        <f t="shared" si="2"/>
        <v>2751</v>
      </c>
    </row>
    <row r="66" spans="2:14">
      <c r="B66" s="5">
        <v>1233165</v>
      </c>
      <c r="C66" s="9">
        <v>0</v>
      </c>
      <c r="D66" s="9">
        <v>0</v>
      </c>
      <c r="E66" s="9">
        <v>400</v>
      </c>
      <c r="F66" s="9">
        <v>0</v>
      </c>
      <c r="G66" s="9">
        <v>0</v>
      </c>
      <c r="H66" s="9">
        <v>0</v>
      </c>
      <c r="I66" s="9">
        <v>50</v>
      </c>
      <c r="J66" s="9">
        <v>0</v>
      </c>
      <c r="K66" s="9">
        <v>0</v>
      </c>
      <c r="L66" s="9">
        <v>0</v>
      </c>
      <c r="N66" s="78">
        <f t="shared" si="2"/>
        <v>450</v>
      </c>
    </row>
    <row r="67" spans="2:14">
      <c r="B67" s="5">
        <v>1233383</v>
      </c>
      <c r="C67" s="9">
        <v>0</v>
      </c>
      <c r="D67" s="9">
        <v>0</v>
      </c>
      <c r="E67" s="9">
        <v>154</v>
      </c>
      <c r="F67" s="9">
        <v>0</v>
      </c>
      <c r="G67" s="9">
        <v>0</v>
      </c>
      <c r="H67" s="9">
        <v>0</v>
      </c>
      <c r="I67" s="9">
        <v>0</v>
      </c>
      <c r="J67" s="9">
        <v>159</v>
      </c>
      <c r="K67" s="9">
        <v>0</v>
      </c>
      <c r="L67" s="9">
        <v>0</v>
      </c>
      <c r="N67" s="78">
        <f t="shared" si="2"/>
        <v>313</v>
      </c>
    </row>
    <row r="68" spans="2:14">
      <c r="B68" s="5">
        <v>1233384</v>
      </c>
      <c r="C68" s="9">
        <v>0</v>
      </c>
      <c r="D68" s="9">
        <v>0</v>
      </c>
      <c r="E68" s="9">
        <v>0</v>
      </c>
      <c r="F68" s="9">
        <v>0</v>
      </c>
      <c r="G68" s="9">
        <v>95</v>
      </c>
      <c r="H68" s="9">
        <v>300</v>
      </c>
      <c r="I68" s="9">
        <v>300</v>
      </c>
      <c r="J68" s="9">
        <v>300</v>
      </c>
      <c r="K68" s="9">
        <v>200</v>
      </c>
      <c r="L68" s="9">
        <v>500</v>
      </c>
      <c r="N68" s="78">
        <f t="shared" si="2"/>
        <v>1695</v>
      </c>
    </row>
    <row r="69" spans="2:14">
      <c r="B69" s="5">
        <v>1233385</v>
      </c>
      <c r="C69" s="9">
        <v>504</v>
      </c>
      <c r="D69" s="9">
        <v>0</v>
      </c>
      <c r="E69" s="9">
        <v>0</v>
      </c>
      <c r="F69" s="9">
        <v>312</v>
      </c>
      <c r="G69" s="9">
        <v>0</v>
      </c>
      <c r="H69" s="9">
        <v>0</v>
      </c>
      <c r="I69" s="9">
        <v>0</v>
      </c>
      <c r="J69" s="9">
        <v>0</v>
      </c>
      <c r="K69" s="9">
        <v>240</v>
      </c>
      <c r="L69" s="9">
        <v>0</v>
      </c>
      <c r="N69" s="78">
        <f t="shared" si="2"/>
        <v>552</v>
      </c>
    </row>
    <row r="70" spans="2:14">
      <c r="B70" s="5">
        <v>1233386</v>
      </c>
      <c r="C70" s="9">
        <v>0</v>
      </c>
      <c r="D70" s="9">
        <v>350</v>
      </c>
      <c r="E70" s="9">
        <v>0</v>
      </c>
      <c r="F70" s="9">
        <v>0</v>
      </c>
      <c r="G70" s="9">
        <v>0</v>
      </c>
      <c r="H70" s="9">
        <v>350</v>
      </c>
      <c r="I70" s="9">
        <v>0</v>
      </c>
      <c r="J70" s="9">
        <v>0</v>
      </c>
      <c r="K70" s="9">
        <v>0</v>
      </c>
      <c r="L70" s="9">
        <v>0</v>
      </c>
      <c r="N70" s="78">
        <f t="shared" si="2"/>
        <v>700</v>
      </c>
    </row>
    <row r="71" spans="2:14">
      <c r="B71" s="5">
        <v>1233387</v>
      </c>
      <c r="C71" s="9">
        <v>128</v>
      </c>
      <c r="D71" s="9">
        <v>576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187</v>
      </c>
      <c r="K71" s="9">
        <v>0</v>
      </c>
      <c r="L71" s="9">
        <v>0</v>
      </c>
      <c r="N71" s="78">
        <f t="shared" si="2"/>
        <v>763</v>
      </c>
    </row>
    <row r="72" spans="2:14">
      <c r="B72" s="5">
        <v>1233580</v>
      </c>
      <c r="C72" s="9">
        <v>0</v>
      </c>
      <c r="D72" s="9">
        <v>200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50</v>
      </c>
      <c r="K72" s="9">
        <v>0</v>
      </c>
      <c r="L72" s="9">
        <v>0</v>
      </c>
      <c r="N72" s="78">
        <f t="shared" si="2"/>
        <v>250</v>
      </c>
    </row>
    <row r="73" spans="2:14">
      <c r="B73" s="5">
        <v>1233587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10</v>
      </c>
      <c r="K73" s="9">
        <v>0</v>
      </c>
      <c r="L73" s="9">
        <v>0</v>
      </c>
      <c r="N73" s="78">
        <f t="shared" si="2"/>
        <v>10</v>
      </c>
    </row>
    <row r="74" spans="2:14">
      <c r="B74" s="5">
        <v>1234110</v>
      </c>
      <c r="C74" s="9">
        <v>0</v>
      </c>
      <c r="D74" s="9">
        <v>0</v>
      </c>
      <c r="E74" s="9">
        <v>0</v>
      </c>
      <c r="F74" s="9">
        <v>50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N74" s="78">
        <f t="shared" si="2"/>
        <v>50</v>
      </c>
    </row>
    <row r="75" spans="2:14">
      <c r="B75" s="5">
        <v>1234111</v>
      </c>
      <c r="C75" s="9">
        <v>0</v>
      </c>
      <c r="D75" s="9">
        <v>0</v>
      </c>
      <c r="E75" s="9">
        <v>0</v>
      </c>
      <c r="F75" s="9">
        <v>50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N75" s="78">
        <f t="shared" si="2"/>
        <v>50</v>
      </c>
    </row>
    <row r="76" spans="2:14">
      <c r="B76" s="5">
        <v>1234217</v>
      </c>
      <c r="C76" s="9">
        <v>0</v>
      </c>
      <c r="D76" s="9">
        <v>0</v>
      </c>
      <c r="E76" s="9">
        <v>0</v>
      </c>
      <c r="F76" s="9">
        <v>50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N76" s="78">
        <f t="shared" si="2"/>
        <v>50</v>
      </c>
    </row>
    <row r="77" spans="2:14">
      <c r="B77" s="5">
        <v>1234222</v>
      </c>
      <c r="C77" s="9">
        <v>747</v>
      </c>
      <c r="D77" s="9">
        <v>0</v>
      </c>
      <c r="E77" s="9">
        <v>0</v>
      </c>
      <c r="F77" s="9">
        <v>777</v>
      </c>
      <c r="G77" s="9">
        <v>0</v>
      </c>
      <c r="H77" s="9">
        <v>0</v>
      </c>
      <c r="I77" s="9">
        <v>0</v>
      </c>
      <c r="J77" s="9">
        <v>868</v>
      </c>
      <c r="K77" s="9">
        <v>0</v>
      </c>
      <c r="L77" s="9">
        <v>0</v>
      </c>
      <c r="N77" s="78">
        <f t="shared" si="2"/>
        <v>1645</v>
      </c>
    </row>
    <row r="78" spans="2:14">
      <c r="B78" s="5">
        <v>1234614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324</v>
      </c>
      <c r="K78" s="9">
        <v>0</v>
      </c>
      <c r="L78" s="9">
        <v>0</v>
      </c>
      <c r="N78" s="78">
        <f t="shared" si="2"/>
        <v>324</v>
      </c>
    </row>
    <row r="79" spans="2:14">
      <c r="B79" s="5">
        <v>1234905</v>
      </c>
      <c r="C79" s="9">
        <v>150</v>
      </c>
      <c r="D79" s="9">
        <v>556</v>
      </c>
      <c r="E79" s="9">
        <v>500</v>
      </c>
      <c r="F79" s="9">
        <v>605</v>
      </c>
      <c r="G79" s="9">
        <v>1000</v>
      </c>
      <c r="H79" s="9">
        <v>900</v>
      </c>
      <c r="I79" s="9">
        <v>1000</v>
      </c>
      <c r="J79" s="9">
        <v>1000</v>
      </c>
      <c r="K79" s="9">
        <v>602</v>
      </c>
      <c r="L79" s="9">
        <v>0</v>
      </c>
      <c r="N79" s="78">
        <f t="shared" si="2"/>
        <v>6163</v>
      </c>
    </row>
    <row r="80" spans="2:14">
      <c r="B80" s="5">
        <v>1235097</v>
      </c>
      <c r="C80" s="9">
        <v>0</v>
      </c>
      <c r="D80" s="9">
        <v>0</v>
      </c>
      <c r="E80" s="9">
        <v>0</v>
      </c>
      <c r="F80" s="9">
        <v>410</v>
      </c>
      <c r="G80" s="9">
        <v>0</v>
      </c>
      <c r="H80" s="9">
        <v>200</v>
      </c>
      <c r="I80" s="9">
        <v>190</v>
      </c>
      <c r="J80" s="9">
        <v>231</v>
      </c>
      <c r="K80" s="9">
        <v>200</v>
      </c>
      <c r="L80" s="9">
        <v>300</v>
      </c>
      <c r="N80" s="78">
        <f t="shared" si="2"/>
        <v>1531</v>
      </c>
    </row>
    <row r="81" spans="2:14">
      <c r="B81" s="5">
        <v>1235845</v>
      </c>
      <c r="C81" s="9">
        <v>763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514</v>
      </c>
      <c r="K81" s="9">
        <v>0</v>
      </c>
      <c r="L81" s="9">
        <v>0</v>
      </c>
      <c r="N81" s="78">
        <f t="shared" si="2"/>
        <v>514</v>
      </c>
    </row>
    <row r="82" spans="2:14">
      <c r="B82" s="5">
        <v>1236387</v>
      </c>
      <c r="C82" s="9">
        <v>692</v>
      </c>
      <c r="D82" s="9">
        <v>700</v>
      </c>
      <c r="E82" s="9">
        <v>795</v>
      </c>
      <c r="F82" s="9">
        <v>400</v>
      </c>
      <c r="G82" s="9">
        <v>600</v>
      </c>
      <c r="H82" s="9">
        <v>700</v>
      </c>
      <c r="I82" s="9">
        <v>700</v>
      </c>
      <c r="J82" s="9">
        <v>600</v>
      </c>
      <c r="K82" s="9">
        <v>700</v>
      </c>
      <c r="L82" s="9">
        <v>600</v>
      </c>
      <c r="N82" s="78">
        <f t="shared" si="2"/>
        <v>5795</v>
      </c>
    </row>
    <row r="83" spans="2:14">
      <c r="B83" s="5">
        <v>1236600</v>
      </c>
      <c r="C83" s="9">
        <v>0</v>
      </c>
      <c r="D83" s="9">
        <v>0</v>
      </c>
      <c r="E83" s="9">
        <v>878</v>
      </c>
      <c r="F83" s="9">
        <v>0</v>
      </c>
      <c r="G83" s="9">
        <v>0</v>
      </c>
      <c r="H83" s="9">
        <v>0</v>
      </c>
      <c r="I83" s="9">
        <v>0</v>
      </c>
      <c r="J83" s="9">
        <v>935</v>
      </c>
      <c r="K83" s="9">
        <v>0</v>
      </c>
      <c r="L83" s="9">
        <v>0</v>
      </c>
      <c r="N83" s="78">
        <f t="shared" si="2"/>
        <v>1813</v>
      </c>
    </row>
    <row r="84" spans="2:14">
      <c r="B84" s="5">
        <v>1236601</v>
      </c>
      <c r="C84" s="9">
        <v>0</v>
      </c>
      <c r="D84" s="9">
        <v>0</v>
      </c>
      <c r="E84" s="9">
        <v>112</v>
      </c>
      <c r="F84" s="9">
        <v>0</v>
      </c>
      <c r="G84" s="9">
        <v>0</v>
      </c>
      <c r="H84" s="9">
        <v>0</v>
      </c>
      <c r="I84" s="9">
        <v>0</v>
      </c>
      <c r="J84" s="9">
        <v>107</v>
      </c>
      <c r="K84" s="9">
        <v>0</v>
      </c>
      <c r="L84" s="9">
        <v>0</v>
      </c>
      <c r="N84" s="78">
        <f t="shared" si="2"/>
        <v>219</v>
      </c>
    </row>
    <row r="85" spans="2:14">
      <c r="B85" s="5">
        <v>1236619</v>
      </c>
      <c r="C85" s="9">
        <v>198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N85" s="78">
        <f t="shared" si="2"/>
        <v>0</v>
      </c>
    </row>
    <row r="86" spans="2:14">
      <c r="B86" s="5">
        <v>1236930</v>
      </c>
      <c r="C86" s="9">
        <v>1849</v>
      </c>
      <c r="D86" s="9">
        <v>1197</v>
      </c>
      <c r="E86" s="9">
        <v>995</v>
      </c>
      <c r="F86" s="9">
        <v>1832</v>
      </c>
      <c r="G86" s="9">
        <v>1104</v>
      </c>
      <c r="H86" s="9">
        <v>2100</v>
      </c>
      <c r="I86" s="9">
        <v>1150</v>
      </c>
      <c r="J86" s="9">
        <v>800</v>
      </c>
      <c r="K86" s="9">
        <v>1544</v>
      </c>
      <c r="L86" s="9">
        <v>700</v>
      </c>
      <c r="N86" s="78">
        <f t="shared" si="2"/>
        <v>11422</v>
      </c>
    </row>
    <row r="87" spans="2:14">
      <c r="B87" s="5">
        <v>1237386</v>
      </c>
      <c r="C87" s="9">
        <v>45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N87" s="78">
        <f t="shared" si="2"/>
        <v>0</v>
      </c>
    </row>
    <row r="88" spans="2:14">
      <c r="B88" s="5">
        <v>1237457</v>
      </c>
      <c r="C88" s="9">
        <v>54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N88" s="78">
        <f t="shared" si="2"/>
        <v>0</v>
      </c>
    </row>
    <row r="89" spans="2:14">
      <c r="B89" s="5">
        <v>1237468</v>
      </c>
      <c r="C89" s="9">
        <v>192</v>
      </c>
      <c r="D89" s="9">
        <v>0</v>
      </c>
      <c r="E89" s="9">
        <v>278</v>
      </c>
      <c r="F89" s="9">
        <v>0</v>
      </c>
      <c r="G89" s="9">
        <v>0</v>
      </c>
      <c r="H89" s="9">
        <v>0</v>
      </c>
      <c r="I89" s="9">
        <v>0</v>
      </c>
      <c r="J89" s="9">
        <v>183</v>
      </c>
      <c r="K89" s="9">
        <v>0</v>
      </c>
      <c r="L89" s="9">
        <v>0</v>
      </c>
      <c r="N89" s="78">
        <f t="shared" si="2"/>
        <v>461</v>
      </c>
    </row>
    <row r="90" spans="2:14">
      <c r="B90" s="5">
        <v>1238453</v>
      </c>
      <c r="C90" s="9">
        <v>262</v>
      </c>
      <c r="D90" s="9">
        <v>0</v>
      </c>
      <c r="E90" s="9">
        <v>248</v>
      </c>
      <c r="F90" s="9">
        <v>0</v>
      </c>
      <c r="G90" s="9">
        <v>0</v>
      </c>
      <c r="H90" s="9">
        <v>0</v>
      </c>
      <c r="I90" s="9">
        <v>0</v>
      </c>
      <c r="J90" s="9">
        <v>191</v>
      </c>
      <c r="K90" s="9">
        <v>0</v>
      </c>
      <c r="L90" s="9">
        <v>0</v>
      </c>
      <c r="N90" s="78">
        <f t="shared" si="2"/>
        <v>439</v>
      </c>
    </row>
    <row r="91" spans="2:14">
      <c r="B91" s="5">
        <v>1238480</v>
      </c>
      <c r="C91" s="9">
        <v>7557</v>
      </c>
      <c r="D91" s="9">
        <v>7252</v>
      </c>
      <c r="E91" s="9">
        <v>5481</v>
      </c>
      <c r="F91" s="9">
        <v>5843</v>
      </c>
      <c r="G91" s="9">
        <v>5700</v>
      </c>
      <c r="H91" s="9">
        <v>4630</v>
      </c>
      <c r="I91" s="9">
        <v>700</v>
      </c>
      <c r="J91" s="9">
        <v>830</v>
      </c>
      <c r="K91" s="9">
        <v>16386</v>
      </c>
      <c r="L91" s="9">
        <v>700</v>
      </c>
      <c r="N91" s="78">
        <f t="shared" si="2"/>
        <v>47522</v>
      </c>
    </row>
    <row r="92" spans="2:14">
      <c r="B92" s="5">
        <v>1238605</v>
      </c>
      <c r="C92" s="9">
        <v>0</v>
      </c>
      <c r="D92" s="9">
        <v>450</v>
      </c>
      <c r="E92" s="9">
        <v>900</v>
      </c>
      <c r="F92" s="9">
        <v>0</v>
      </c>
      <c r="G92" s="9">
        <v>0</v>
      </c>
      <c r="H92" s="9">
        <v>0</v>
      </c>
      <c r="I92" s="9">
        <v>450</v>
      </c>
      <c r="J92" s="9">
        <v>150</v>
      </c>
      <c r="K92" s="9">
        <v>0</v>
      </c>
      <c r="L92" s="9">
        <v>0</v>
      </c>
      <c r="N92" s="78">
        <f t="shared" si="2"/>
        <v>1950</v>
      </c>
    </row>
    <row r="93" spans="2:14">
      <c r="B93" s="5">
        <v>1240029</v>
      </c>
      <c r="C93" s="9">
        <v>0</v>
      </c>
      <c r="D93" s="9">
        <v>0</v>
      </c>
      <c r="E93" s="9">
        <v>800</v>
      </c>
      <c r="F93" s="9">
        <v>0</v>
      </c>
      <c r="G93" s="9">
        <v>200</v>
      </c>
      <c r="H93" s="9">
        <v>200</v>
      </c>
      <c r="I93" s="9">
        <v>400</v>
      </c>
      <c r="J93" s="9">
        <v>0</v>
      </c>
      <c r="K93" s="9">
        <v>0</v>
      </c>
      <c r="L93" s="9">
        <v>0</v>
      </c>
      <c r="N93" s="78">
        <f t="shared" si="2"/>
        <v>1600</v>
      </c>
    </row>
    <row r="94" spans="2:14">
      <c r="B94" s="5">
        <v>1240032</v>
      </c>
      <c r="C94" s="9">
        <v>0</v>
      </c>
      <c r="D94" s="9">
        <v>0</v>
      </c>
      <c r="E94" s="9">
        <v>800</v>
      </c>
      <c r="F94" s="9">
        <v>0</v>
      </c>
      <c r="G94" s="9">
        <v>200</v>
      </c>
      <c r="H94" s="9">
        <v>200</v>
      </c>
      <c r="I94" s="9">
        <v>400</v>
      </c>
      <c r="J94" s="9">
        <v>0</v>
      </c>
      <c r="K94" s="9">
        <v>0</v>
      </c>
      <c r="L94" s="9">
        <v>0</v>
      </c>
      <c r="N94" s="78">
        <f t="shared" si="2"/>
        <v>1600</v>
      </c>
    </row>
    <row r="95" spans="2:14">
      <c r="B95" s="5">
        <v>1240180</v>
      </c>
      <c r="C95" s="9">
        <v>0</v>
      </c>
      <c r="D95" s="9">
        <v>162</v>
      </c>
      <c r="E95" s="9">
        <v>239</v>
      </c>
      <c r="F95" s="9">
        <v>0</v>
      </c>
      <c r="G95" s="9">
        <v>0</v>
      </c>
      <c r="H95" s="9">
        <v>0</v>
      </c>
      <c r="I95" s="9">
        <v>300</v>
      </c>
      <c r="J95" s="9">
        <v>200</v>
      </c>
      <c r="K95" s="9">
        <v>0</v>
      </c>
      <c r="L95" s="9">
        <v>100</v>
      </c>
      <c r="N95" s="78">
        <f t="shared" si="2"/>
        <v>1001</v>
      </c>
    </row>
    <row r="96" spans="2:14">
      <c r="B96" s="5">
        <v>1240184</v>
      </c>
      <c r="C96" s="9">
        <v>0</v>
      </c>
      <c r="D96" s="9">
        <v>162</v>
      </c>
      <c r="E96" s="9">
        <v>239</v>
      </c>
      <c r="F96" s="9">
        <v>0</v>
      </c>
      <c r="G96" s="9">
        <v>0</v>
      </c>
      <c r="H96" s="9">
        <v>0</v>
      </c>
      <c r="I96" s="9">
        <v>300</v>
      </c>
      <c r="J96" s="9">
        <v>200</v>
      </c>
      <c r="K96" s="9">
        <v>0</v>
      </c>
      <c r="L96" s="9">
        <v>100</v>
      </c>
      <c r="N96" s="78">
        <f t="shared" si="2"/>
        <v>1001</v>
      </c>
    </row>
    <row r="97" spans="2:14">
      <c r="B97" s="5">
        <v>1241343</v>
      </c>
      <c r="C97" s="9">
        <v>0</v>
      </c>
      <c r="D97" s="9">
        <v>0</v>
      </c>
      <c r="E97" s="9">
        <v>0</v>
      </c>
      <c r="F97" s="9">
        <v>20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N97" s="78">
        <f t="shared" si="2"/>
        <v>20</v>
      </c>
    </row>
    <row r="98" spans="2:14">
      <c r="B98" s="5">
        <v>1241347</v>
      </c>
      <c r="C98" s="9">
        <v>0</v>
      </c>
      <c r="D98" s="9">
        <v>0</v>
      </c>
      <c r="E98" s="9">
        <v>0</v>
      </c>
      <c r="F98" s="9">
        <v>20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N98" s="78">
        <f t="shared" si="2"/>
        <v>20</v>
      </c>
    </row>
    <row r="99" spans="2:14">
      <c r="B99" s="5">
        <v>1241387</v>
      </c>
      <c r="C99" s="9">
        <v>0</v>
      </c>
      <c r="D99" s="9">
        <v>0</v>
      </c>
      <c r="E99" s="9">
        <v>0</v>
      </c>
      <c r="F99" s="9">
        <v>151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N99" s="78">
        <f t="shared" si="2"/>
        <v>151</v>
      </c>
    </row>
    <row r="100" spans="2:14">
      <c r="B100" s="5">
        <v>1241474</v>
      </c>
      <c r="C100" s="9">
        <v>0</v>
      </c>
      <c r="D100" s="9">
        <v>0</v>
      </c>
      <c r="E100" s="9">
        <v>0</v>
      </c>
      <c r="F100" s="9">
        <v>37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N100" s="78">
        <f t="shared" si="2"/>
        <v>37</v>
      </c>
    </row>
    <row r="101" spans="2:14">
      <c r="B101" s="5">
        <v>1241480</v>
      </c>
      <c r="C101" s="9">
        <v>0</v>
      </c>
      <c r="D101" s="9">
        <v>0</v>
      </c>
      <c r="E101" s="9">
        <v>0</v>
      </c>
      <c r="F101" s="9">
        <v>26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N101" s="78">
        <f t="shared" si="2"/>
        <v>26</v>
      </c>
    </row>
  </sheetData>
  <mergeCells count="2">
    <mergeCell ref="A1:A2"/>
    <mergeCell ref="B1:B2"/>
  </mergeCells>
  <phoneticPr fontId="1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3D3E-47D4-42E6-9EE9-C69EC4E9A966}">
  <dimension ref="A1:R50"/>
  <sheetViews>
    <sheetView topLeftCell="A11" zoomScale="145" zoomScaleNormal="145" workbookViewId="0">
      <selection activeCell="A30" sqref="A30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16384" width="9.33203125" style="5"/>
  </cols>
  <sheetData>
    <row r="1" spans="1:18">
      <c r="A1" s="5" t="s">
        <v>0</v>
      </c>
      <c r="B1" s="9" t="s">
        <v>819</v>
      </c>
      <c r="C1" s="9" t="s">
        <v>820</v>
      </c>
      <c r="D1" s="9" t="s">
        <v>821</v>
      </c>
      <c r="E1" s="9" t="s">
        <v>822</v>
      </c>
      <c r="F1" s="9" t="s">
        <v>839</v>
      </c>
      <c r="G1" s="9" t="s">
        <v>840</v>
      </c>
      <c r="H1" s="9" t="s">
        <v>841</v>
      </c>
      <c r="I1" s="9" t="s">
        <v>842</v>
      </c>
      <c r="J1" s="9" t="s">
        <v>843</v>
      </c>
      <c r="K1" s="9" t="s">
        <v>844</v>
      </c>
      <c r="L1" s="9" t="s">
        <v>845</v>
      </c>
      <c r="M1" s="9" t="s">
        <v>850</v>
      </c>
      <c r="N1" s="9" t="s">
        <v>851</v>
      </c>
      <c r="O1" s="9" t="s">
        <v>852</v>
      </c>
      <c r="P1" s="9" t="s">
        <v>853</v>
      </c>
      <c r="Q1" s="9" t="s">
        <v>854</v>
      </c>
      <c r="R1" s="9" t="s">
        <v>855</v>
      </c>
    </row>
    <row r="2" spans="1:18">
      <c r="A2" s="5">
        <v>1227431</v>
      </c>
      <c r="B2" s="9">
        <v>96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</row>
    <row r="3" spans="1:18">
      <c r="A3" s="5">
        <v>1227433</v>
      </c>
      <c r="B3" s="9">
        <v>96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</row>
    <row r="4" spans="1:18">
      <c r="A4" s="5">
        <v>1229673</v>
      </c>
      <c r="B4" s="9">
        <v>300</v>
      </c>
      <c r="C4" s="9">
        <v>300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300</v>
      </c>
      <c r="N4" s="9">
        <v>0</v>
      </c>
      <c r="O4" s="9">
        <v>0</v>
      </c>
      <c r="P4" s="9">
        <v>0</v>
      </c>
      <c r="Q4" s="9">
        <v>0</v>
      </c>
      <c r="R4" s="9">
        <v>0</v>
      </c>
    </row>
    <row r="5" spans="1:18">
      <c r="A5" s="5">
        <v>1230854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100</v>
      </c>
      <c r="O5" s="9">
        <v>0</v>
      </c>
      <c r="P5" s="9">
        <v>0</v>
      </c>
      <c r="Q5" s="9">
        <v>0</v>
      </c>
      <c r="R5" s="9">
        <v>0</v>
      </c>
    </row>
    <row r="6" spans="1:18">
      <c r="A6" s="5">
        <v>1237088</v>
      </c>
      <c r="B6" s="9">
        <v>792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1406</v>
      </c>
      <c r="J6" s="18">
        <v>684</v>
      </c>
      <c r="K6" s="9">
        <v>0</v>
      </c>
      <c r="L6" s="9">
        <v>0</v>
      </c>
      <c r="M6" s="9">
        <v>644</v>
      </c>
      <c r="N6" s="9">
        <v>394</v>
      </c>
      <c r="O6" s="9">
        <v>424</v>
      </c>
      <c r="P6" s="9">
        <v>1556</v>
      </c>
      <c r="Q6" s="9">
        <v>1356</v>
      </c>
      <c r="R6" s="9">
        <v>0</v>
      </c>
    </row>
    <row r="7" spans="1:18">
      <c r="A7" s="5">
        <v>1237748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558</v>
      </c>
      <c r="Q7" s="9">
        <v>456</v>
      </c>
      <c r="R7" s="9">
        <v>0</v>
      </c>
    </row>
    <row r="8" spans="1:18">
      <c r="A8" s="5">
        <v>1236091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100</v>
      </c>
      <c r="P8" s="9">
        <v>0</v>
      </c>
      <c r="Q8" s="9">
        <v>0</v>
      </c>
      <c r="R8" s="9">
        <v>0</v>
      </c>
    </row>
    <row r="9" spans="1:18">
      <c r="A9" s="5">
        <v>1238128</v>
      </c>
      <c r="B9" s="9">
        <v>84</v>
      </c>
      <c r="C9" s="9">
        <v>378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378</v>
      </c>
      <c r="J9" s="18">
        <v>378</v>
      </c>
      <c r="K9" s="9">
        <v>0</v>
      </c>
      <c r="L9" s="9">
        <v>0</v>
      </c>
      <c r="M9" s="9">
        <v>378</v>
      </c>
      <c r="N9" s="9">
        <v>490</v>
      </c>
      <c r="O9" s="9">
        <v>698</v>
      </c>
      <c r="P9" s="9">
        <v>529</v>
      </c>
      <c r="Q9" s="9">
        <v>312</v>
      </c>
      <c r="R9" s="9">
        <v>0</v>
      </c>
    </row>
    <row r="10" spans="1:18">
      <c r="A10" s="5">
        <v>1236962</v>
      </c>
      <c r="B10" s="9">
        <v>500</v>
      </c>
      <c r="C10" s="9">
        <v>170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398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>
      <c r="A11" s="5">
        <v>1233761</v>
      </c>
      <c r="B11" s="9">
        <v>0</v>
      </c>
      <c r="C11" s="9">
        <v>350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</row>
    <row r="12" spans="1:18">
      <c r="A12" s="5">
        <v>1239651</v>
      </c>
      <c r="B12" s="9">
        <v>228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500</v>
      </c>
      <c r="O12" s="9">
        <v>0</v>
      </c>
      <c r="P12" s="9">
        <v>0</v>
      </c>
      <c r="Q12" s="9">
        <v>0</v>
      </c>
      <c r="R12" s="9">
        <v>0</v>
      </c>
    </row>
    <row r="13" spans="1:18">
      <c r="A13" s="5">
        <v>1239988</v>
      </c>
      <c r="B13" s="9">
        <v>356</v>
      </c>
      <c r="C13" s="9">
        <v>356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356</v>
      </c>
      <c r="J13" s="18">
        <v>294</v>
      </c>
      <c r="K13" s="9">
        <v>0</v>
      </c>
      <c r="L13" s="9">
        <v>0</v>
      </c>
      <c r="M13" s="9">
        <v>284</v>
      </c>
      <c r="N13" s="9">
        <v>442</v>
      </c>
      <c r="O13" s="9">
        <v>0</v>
      </c>
      <c r="P13" s="9">
        <v>0</v>
      </c>
      <c r="Q13" s="9">
        <v>0</v>
      </c>
      <c r="R13" s="9">
        <v>0</v>
      </c>
    </row>
    <row r="14" spans="1:18">
      <c r="A14" s="5">
        <v>1240180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18">
        <v>34</v>
      </c>
      <c r="K14" s="9">
        <v>0</v>
      </c>
      <c r="L14" s="9">
        <v>0</v>
      </c>
      <c r="M14" s="9">
        <v>68</v>
      </c>
      <c r="N14" s="9">
        <v>358</v>
      </c>
      <c r="O14" s="9">
        <v>224</v>
      </c>
      <c r="P14" s="9">
        <v>0</v>
      </c>
      <c r="Q14" s="9">
        <v>0</v>
      </c>
      <c r="R14" s="9">
        <v>0</v>
      </c>
    </row>
    <row r="15" spans="1:18">
      <c r="A15" s="5">
        <v>1240184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18">
        <v>34</v>
      </c>
      <c r="K15" s="9">
        <v>0</v>
      </c>
      <c r="L15" s="9">
        <v>0</v>
      </c>
      <c r="M15" s="9">
        <v>68</v>
      </c>
      <c r="N15" s="9">
        <v>358</v>
      </c>
      <c r="O15" s="9">
        <v>124</v>
      </c>
      <c r="P15" s="9">
        <v>0</v>
      </c>
      <c r="Q15" s="9">
        <v>0</v>
      </c>
      <c r="R15" s="9">
        <v>0</v>
      </c>
    </row>
    <row r="16" spans="1:18">
      <c r="A16" s="5">
        <v>1240308</v>
      </c>
      <c r="B16" s="9">
        <v>0</v>
      </c>
      <c r="C16" s="9">
        <v>150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18">
        <v>300</v>
      </c>
      <c r="K16" s="9">
        <v>0</v>
      </c>
      <c r="L16" s="9">
        <v>0</v>
      </c>
      <c r="M16" s="9">
        <v>450</v>
      </c>
      <c r="N16" s="9">
        <v>0</v>
      </c>
      <c r="O16" s="9">
        <v>280</v>
      </c>
      <c r="P16" s="9">
        <v>300</v>
      </c>
      <c r="Q16" s="9">
        <v>0</v>
      </c>
      <c r="R16" s="9">
        <v>0</v>
      </c>
    </row>
    <row r="17" spans="1:18">
      <c r="A17" s="5">
        <v>1241601</v>
      </c>
      <c r="B17" s="9">
        <v>804</v>
      </c>
      <c r="C17" s="9">
        <v>420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670</v>
      </c>
      <c r="J17" s="18">
        <v>952</v>
      </c>
      <c r="K17" s="9">
        <v>0</v>
      </c>
      <c r="L17" s="9">
        <v>0</v>
      </c>
      <c r="M17" s="9">
        <v>1000</v>
      </c>
      <c r="N17" s="9">
        <v>764</v>
      </c>
      <c r="O17" s="9">
        <v>566</v>
      </c>
      <c r="P17" s="9">
        <v>1318</v>
      </c>
      <c r="Q17" s="9">
        <v>1014</v>
      </c>
      <c r="R17" s="9">
        <v>0</v>
      </c>
    </row>
    <row r="21" spans="1:18">
      <c r="A21" s="5" t="s">
        <v>0</v>
      </c>
      <c r="B21" s="9" t="s">
        <v>819</v>
      </c>
      <c r="C21" s="9" t="s">
        <v>820</v>
      </c>
      <c r="D21" s="9" t="s">
        <v>821</v>
      </c>
      <c r="E21" s="9" t="s">
        <v>822</v>
      </c>
      <c r="F21" s="9" t="s">
        <v>839</v>
      </c>
      <c r="G21" s="9" t="s">
        <v>840</v>
      </c>
      <c r="H21" s="9" t="s">
        <v>841</v>
      </c>
      <c r="I21" s="9" t="s">
        <v>842</v>
      </c>
      <c r="J21" s="9" t="s">
        <v>843</v>
      </c>
      <c r="K21" s="9" t="s">
        <v>844</v>
      </c>
      <c r="L21" s="9" t="s">
        <v>845</v>
      </c>
      <c r="M21" s="9" t="s">
        <v>850</v>
      </c>
      <c r="N21" s="9" t="s">
        <v>851</v>
      </c>
      <c r="O21" s="9" t="s">
        <v>852</v>
      </c>
      <c r="P21" s="9" t="s">
        <v>853</v>
      </c>
      <c r="Q21" s="9" t="s">
        <v>854</v>
      </c>
      <c r="R21" s="9" t="s">
        <v>855</v>
      </c>
    </row>
    <row r="22" spans="1:18">
      <c r="A22" s="5">
        <v>1232846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289</v>
      </c>
      <c r="N22" s="9">
        <v>352</v>
      </c>
      <c r="O22" s="9">
        <v>79</v>
      </c>
      <c r="P22" s="9">
        <v>0</v>
      </c>
      <c r="Q22" s="9">
        <v>0</v>
      </c>
      <c r="R22" s="9">
        <v>0</v>
      </c>
    </row>
    <row r="23" spans="1:18">
      <c r="A23" s="5">
        <v>1232895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289</v>
      </c>
      <c r="N23" s="9">
        <v>352</v>
      </c>
      <c r="O23" s="9">
        <v>79</v>
      </c>
      <c r="P23" s="9">
        <v>0</v>
      </c>
      <c r="Q23" s="9">
        <v>0</v>
      </c>
      <c r="R23" s="9">
        <v>0</v>
      </c>
    </row>
    <row r="24" spans="1:18">
      <c r="A24" s="5">
        <v>1233384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289</v>
      </c>
      <c r="N24" s="9">
        <v>352</v>
      </c>
      <c r="O24" s="9">
        <v>79</v>
      </c>
      <c r="P24" s="9">
        <v>0</v>
      </c>
      <c r="Q24" s="9">
        <v>0</v>
      </c>
      <c r="R24" s="9">
        <v>0</v>
      </c>
    </row>
    <row r="25" spans="1:18">
      <c r="A25" s="5">
        <v>1232775</v>
      </c>
      <c r="B25" s="98">
        <v>245</v>
      </c>
      <c r="C25" s="98">
        <v>284</v>
      </c>
      <c r="D25" s="98">
        <v>0</v>
      </c>
      <c r="E25" s="98">
        <v>0</v>
      </c>
      <c r="F25" s="98">
        <v>0</v>
      </c>
      <c r="G25" s="98">
        <v>0</v>
      </c>
      <c r="H25" s="98">
        <v>0</v>
      </c>
      <c r="I25" s="98">
        <v>308</v>
      </c>
      <c r="J25" s="98">
        <v>242</v>
      </c>
      <c r="K25" s="9">
        <v>0</v>
      </c>
      <c r="L25" s="9">
        <v>0</v>
      </c>
      <c r="M25" s="9">
        <v>311</v>
      </c>
      <c r="N25" s="9">
        <v>100</v>
      </c>
      <c r="O25" s="9">
        <v>178</v>
      </c>
      <c r="P25" s="9">
        <v>435</v>
      </c>
      <c r="Q25" s="9">
        <v>424</v>
      </c>
      <c r="R25" s="9">
        <v>0</v>
      </c>
    </row>
    <row r="26" spans="1:18">
      <c r="A26" s="5">
        <v>1238605</v>
      </c>
      <c r="B26" s="98">
        <v>185</v>
      </c>
      <c r="C26" s="98">
        <v>122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92</v>
      </c>
      <c r="O26" s="9">
        <v>189</v>
      </c>
      <c r="P26" s="9">
        <v>28</v>
      </c>
      <c r="Q26" s="9">
        <v>0</v>
      </c>
      <c r="R26" s="9">
        <v>0</v>
      </c>
    </row>
    <row r="27" spans="1:18">
      <c r="B27" s="98"/>
      <c r="C27" s="98"/>
    </row>
    <row r="29" spans="1:18">
      <c r="A29" s="5" t="s">
        <v>0</v>
      </c>
      <c r="B29" s="9" t="s">
        <v>819</v>
      </c>
      <c r="C29" s="9" t="s">
        <v>820</v>
      </c>
      <c r="D29" s="9" t="s">
        <v>821</v>
      </c>
      <c r="E29" s="9" t="s">
        <v>822</v>
      </c>
      <c r="F29" s="9" t="s">
        <v>839</v>
      </c>
      <c r="G29" s="9" t="s">
        <v>840</v>
      </c>
      <c r="H29" s="9" t="s">
        <v>841</v>
      </c>
      <c r="I29" s="9" t="s">
        <v>842</v>
      </c>
      <c r="J29" s="9" t="s">
        <v>843</v>
      </c>
      <c r="K29" s="9" t="s">
        <v>844</v>
      </c>
      <c r="L29" s="9" t="s">
        <v>845</v>
      </c>
      <c r="M29" s="9" t="s">
        <v>850</v>
      </c>
      <c r="N29" s="9" t="s">
        <v>851</v>
      </c>
      <c r="O29" s="9" t="s">
        <v>852</v>
      </c>
      <c r="P29" s="9" t="s">
        <v>853</v>
      </c>
      <c r="Q29" s="9" t="s">
        <v>854</v>
      </c>
      <c r="R29" s="9" t="s">
        <v>855</v>
      </c>
    </row>
    <row r="30" spans="1:18">
      <c r="A30" s="5">
        <v>1220847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260</v>
      </c>
      <c r="P30" s="9">
        <v>20</v>
      </c>
      <c r="Q30" s="9">
        <v>0</v>
      </c>
      <c r="R30" s="9">
        <v>0</v>
      </c>
    </row>
    <row r="31" spans="1:18">
      <c r="A31" s="5">
        <v>1227359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18">
        <v>290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</row>
    <row r="32" spans="1:18">
      <c r="A32" s="5">
        <v>1232066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234</v>
      </c>
      <c r="R32" s="9">
        <v>0</v>
      </c>
    </row>
    <row r="33" spans="1:18">
      <c r="A33" s="5">
        <v>1234222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400</v>
      </c>
      <c r="O33" s="9">
        <v>0</v>
      </c>
      <c r="P33" s="9">
        <v>0</v>
      </c>
      <c r="Q33" s="9">
        <v>0</v>
      </c>
      <c r="R33" s="9">
        <v>0</v>
      </c>
    </row>
    <row r="34" spans="1:18">
      <c r="A34" s="5">
        <v>1232528</v>
      </c>
      <c r="B34" s="9">
        <v>554</v>
      </c>
      <c r="C34" s="9">
        <v>539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539</v>
      </c>
      <c r="J34" s="18">
        <v>57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>
      <c r="A35" s="5">
        <v>1229050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185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</row>
    <row r="36" spans="1:18">
      <c r="A36" s="5">
        <v>1231090</v>
      </c>
      <c r="B36" s="9">
        <v>30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80</v>
      </c>
      <c r="P36" s="9">
        <v>0</v>
      </c>
      <c r="Q36" s="9">
        <v>0</v>
      </c>
      <c r="R36" s="9">
        <v>0</v>
      </c>
    </row>
    <row r="37" spans="1:18">
      <c r="A37" s="5">
        <v>1235097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8">
        <v>118</v>
      </c>
      <c r="N37" s="9">
        <v>132</v>
      </c>
      <c r="O37" s="9">
        <v>0</v>
      </c>
      <c r="P37" s="9">
        <v>0</v>
      </c>
      <c r="Q37" s="9">
        <v>0</v>
      </c>
      <c r="R37" s="9">
        <v>0</v>
      </c>
    </row>
    <row r="38" spans="1:18">
      <c r="A38" s="5">
        <v>1235845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137</v>
      </c>
      <c r="R38" s="9">
        <v>0</v>
      </c>
    </row>
    <row r="39" spans="1:18">
      <c r="A39" s="5">
        <v>1236600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419</v>
      </c>
      <c r="P39" s="9">
        <v>426</v>
      </c>
      <c r="Q39" s="9">
        <v>0</v>
      </c>
      <c r="R39" s="9">
        <v>0</v>
      </c>
    </row>
    <row r="40" spans="1:18">
      <c r="A40" s="5">
        <v>1236601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41</v>
      </c>
      <c r="Q40" s="9">
        <v>82</v>
      </c>
      <c r="R40" s="9">
        <v>0</v>
      </c>
    </row>
    <row r="41" spans="1:18">
      <c r="A41" s="5">
        <v>1236930</v>
      </c>
      <c r="B41" s="9">
        <v>440</v>
      </c>
      <c r="C41" s="9">
        <v>120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273</v>
      </c>
      <c r="J41" s="9">
        <v>40</v>
      </c>
      <c r="K41" s="9">
        <v>0</v>
      </c>
      <c r="L41" s="9">
        <v>0</v>
      </c>
      <c r="M41" s="9">
        <v>0</v>
      </c>
      <c r="N41" s="6">
        <v>100</v>
      </c>
      <c r="O41" s="9">
        <v>330</v>
      </c>
      <c r="P41" s="9">
        <v>401</v>
      </c>
      <c r="Q41" s="9">
        <v>180</v>
      </c>
      <c r="R41" s="9">
        <v>0</v>
      </c>
    </row>
    <row r="42" spans="1:18">
      <c r="A42" s="5">
        <v>1237468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64</v>
      </c>
      <c r="Q42" s="9">
        <v>0</v>
      </c>
      <c r="R42" s="9">
        <v>0</v>
      </c>
    </row>
    <row r="43" spans="1:18">
      <c r="A43" s="5">
        <v>1237210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375</v>
      </c>
      <c r="O43" s="9">
        <v>0</v>
      </c>
      <c r="P43" s="9">
        <v>0</v>
      </c>
      <c r="Q43" s="9">
        <v>0</v>
      </c>
      <c r="R43" s="9">
        <v>0</v>
      </c>
    </row>
    <row r="44" spans="1:18">
      <c r="A44" s="5">
        <v>1232775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480</v>
      </c>
      <c r="J44" s="18">
        <v>480</v>
      </c>
      <c r="K44" s="9">
        <v>0</v>
      </c>
      <c r="L44" s="9">
        <v>0</v>
      </c>
      <c r="M44" s="9">
        <v>473</v>
      </c>
      <c r="N44" s="9">
        <v>47</v>
      </c>
      <c r="O44" s="9">
        <v>0</v>
      </c>
      <c r="P44" s="9">
        <v>0</v>
      </c>
      <c r="Q44" s="9">
        <v>0</v>
      </c>
      <c r="R44" s="9">
        <v>0</v>
      </c>
    </row>
    <row r="45" spans="1:18">
      <c r="A45" s="5">
        <v>1234905</v>
      </c>
      <c r="B45" s="9">
        <v>77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300</v>
      </c>
      <c r="J45" s="18">
        <v>311</v>
      </c>
      <c r="K45" s="9">
        <v>0</v>
      </c>
      <c r="L45" s="9">
        <v>0</v>
      </c>
      <c r="M45" s="9">
        <v>311</v>
      </c>
      <c r="N45" s="9">
        <v>24</v>
      </c>
      <c r="O45" s="9">
        <v>0</v>
      </c>
      <c r="P45" s="9">
        <v>0</v>
      </c>
      <c r="Q45" s="9">
        <v>224</v>
      </c>
      <c r="R45" s="9">
        <v>0</v>
      </c>
    </row>
    <row r="46" spans="1:18">
      <c r="A46" s="5">
        <v>1238480</v>
      </c>
      <c r="B46" s="9">
        <v>952</v>
      </c>
      <c r="C46" s="9">
        <v>1182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1019</v>
      </c>
      <c r="J46" s="18">
        <v>1564</v>
      </c>
      <c r="K46" s="9">
        <v>0</v>
      </c>
      <c r="L46" s="9">
        <v>0</v>
      </c>
      <c r="M46" s="9">
        <v>1669</v>
      </c>
      <c r="N46" s="9">
        <v>1538</v>
      </c>
      <c r="O46" s="9">
        <v>603</v>
      </c>
      <c r="P46" s="9">
        <v>772</v>
      </c>
      <c r="Q46" s="9">
        <v>977</v>
      </c>
      <c r="R46" s="9">
        <v>0</v>
      </c>
    </row>
    <row r="47" spans="1:18">
      <c r="A47" s="5">
        <v>1238453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40</v>
      </c>
      <c r="Q47" s="9">
        <v>0</v>
      </c>
      <c r="R47" s="9">
        <v>0</v>
      </c>
    </row>
    <row r="48" spans="1:18">
      <c r="A48" s="5">
        <v>1240180</v>
      </c>
      <c r="B48" s="9">
        <v>0</v>
      </c>
      <c r="C48" s="9">
        <v>211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286</v>
      </c>
      <c r="O48" s="9">
        <v>251</v>
      </c>
      <c r="P48" s="9">
        <v>173</v>
      </c>
      <c r="Q48" s="9">
        <v>0</v>
      </c>
      <c r="R48" s="9">
        <v>0</v>
      </c>
    </row>
    <row r="49" spans="1:18">
      <c r="A49" s="5">
        <v>1240184</v>
      </c>
      <c r="B49" s="9">
        <v>0</v>
      </c>
      <c r="C49" s="9">
        <v>211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286</v>
      </c>
      <c r="O49" s="9">
        <v>251</v>
      </c>
      <c r="P49" s="9">
        <v>173</v>
      </c>
      <c r="Q49" s="9">
        <v>0</v>
      </c>
      <c r="R49" s="9">
        <v>0</v>
      </c>
    </row>
    <row r="50" spans="1:18">
      <c r="A50" s="5">
        <v>1216452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385</v>
      </c>
      <c r="O50" s="9">
        <v>115</v>
      </c>
      <c r="P50" s="9">
        <v>0</v>
      </c>
      <c r="Q50" s="9">
        <v>0</v>
      </c>
      <c r="R50" s="9">
        <v>0</v>
      </c>
    </row>
  </sheetData>
  <autoFilter ref="A1:R17" xr:uid="{62F13D3E-47D4-42E6-9EE9-C69EC4E9A966}"/>
  <phoneticPr fontId="11" type="noConversion"/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3341-4263-44BA-9B6C-6371110225FF}">
  <sheetPr>
    <outlinePr summaryBelow="0"/>
  </sheetPr>
  <dimension ref="A1:O40"/>
  <sheetViews>
    <sheetView zoomScale="145" zoomScaleNormal="145" workbookViewId="0">
      <selection activeCell="L12" sqref="L12"/>
    </sheetView>
  </sheetViews>
  <sheetFormatPr defaultColWidth="9.33203125" defaultRowHeight="12"/>
  <cols>
    <col min="1" max="1" width="9.33203125" style="5"/>
    <col min="2" max="2" width="9.33203125" style="185"/>
    <col min="3" max="14" width="9.33203125" style="185" customWidth="1"/>
    <col min="15" max="15" width="9.33203125" style="185"/>
    <col min="16" max="16384" width="9.33203125" style="5"/>
  </cols>
  <sheetData>
    <row r="1" spans="1:15">
      <c r="A1" s="74" t="s">
        <v>0</v>
      </c>
      <c r="B1" s="188" t="s">
        <v>850</v>
      </c>
      <c r="C1" s="188" t="s">
        <v>851</v>
      </c>
      <c r="D1" s="188" t="s">
        <v>852</v>
      </c>
      <c r="E1" s="188" t="s">
        <v>853</v>
      </c>
      <c r="F1" s="188" t="s">
        <v>854</v>
      </c>
      <c r="G1" s="188" t="s">
        <v>855</v>
      </c>
      <c r="H1" s="187" t="s">
        <v>856</v>
      </c>
      <c r="I1" s="188" t="s">
        <v>878</v>
      </c>
      <c r="J1" s="188" t="s">
        <v>879</v>
      </c>
      <c r="K1" s="188" t="s">
        <v>880</v>
      </c>
      <c r="L1" s="188" t="s">
        <v>884</v>
      </c>
      <c r="M1" s="188" t="s">
        <v>883</v>
      </c>
      <c r="N1" s="188" t="s">
        <v>882</v>
      </c>
      <c r="O1" s="187" t="s">
        <v>881</v>
      </c>
    </row>
    <row r="2" spans="1:15">
      <c r="A2" s="30">
        <v>1220847</v>
      </c>
      <c r="B2" s="186">
        <v>0</v>
      </c>
      <c r="C2" s="186">
        <v>0</v>
      </c>
      <c r="D2" s="186">
        <v>260</v>
      </c>
      <c r="E2" s="186">
        <v>20</v>
      </c>
      <c r="F2" s="186">
        <v>0</v>
      </c>
      <c r="G2" s="186">
        <v>0</v>
      </c>
      <c r="H2" s="186">
        <v>0</v>
      </c>
      <c r="I2" s="186">
        <v>0</v>
      </c>
      <c r="J2" s="186">
        <v>0</v>
      </c>
      <c r="K2" s="186">
        <v>0</v>
      </c>
      <c r="L2" s="186">
        <v>0</v>
      </c>
      <c r="M2" s="186">
        <v>3150</v>
      </c>
      <c r="N2" s="186">
        <v>0</v>
      </c>
      <c r="O2" s="186">
        <v>0</v>
      </c>
    </row>
    <row r="3" spans="1:15">
      <c r="A3" s="30">
        <v>1227306</v>
      </c>
      <c r="B3" s="186">
        <v>0</v>
      </c>
      <c r="C3" s="186">
        <v>0</v>
      </c>
      <c r="D3" s="186">
        <v>0</v>
      </c>
      <c r="E3" s="186">
        <v>0</v>
      </c>
      <c r="F3" s="186">
        <v>0</v>
      </c>
      <c r="G3" s="186">
        <v>0</v>
      </c>
      <c r="H3" s="186">
        <v>0</v>
      </c>
      <c r="I3" s="186">
        <v>0</v>
      </c>
      <c r="J3" s="186">
        <v>0</v>
      </c>
      <c r="K3" s="186">
        <v>1100</v>
      </c>
      <c r="L3" s="186">
        <v>0</v>
      </c>
      <c r="M3" s="186">
        <v>0</v>
      </c>
      <c r="N3" s="186">
        <v>0</v>
      </c>
      <c r="O3" s="186">
        <v>0</v>
      </c>
    </row>
    <row r="4" spans="1:15">
      <c r="A4" s="30">
        <v>1227359</v>
      </c>
      <c r="B4" s="186">
        <v>0</v>
      </c>
      <c r="C4" s="186">
        <v>0</v>
      </c>
      <c r="D4" s="186">
        <v>0</v>
      </c>
      <c r="E4" s="186">
        <v>0</v>
      </c>
      <c r="F4" s="186">
        <v>0</v>
      </c>
      <c r="G4" s="186">
        <v>0</v>
      </c>
      <c r="H4" s="186">
        <v>0</v>
      </c>
      <c r="I4" s="186">
        <v>0</v>
      </c>
      <c r="J4" s="186">
        <v>34</v>
      </c>
      <c r="K4" s="186">
        <v>0</v>
      </c>
      <c r="L4" s="186">
        <v>0</v>
      </c>
      <c r="M4" s="186">
        <v>0</v>
      </c>
      <c r="N4" s="186">
        <v>0</v>
      </c>
      <c r="O4" s="186">
        <v>0</v>
      </c>
    </row>
    <row r="5" spans="1:15">
      <c r="A5" s="30">
        <v>1225464</v>
      </c>
      <c r="B5" s="186">
        <v>0</v>
      </c>
      <c r="C5" s="186">
        <v>0</v>
      </c>
      <c r="D5" s="186">
        <v>0</v>
      </c>
      <c r="E5" s="186">
        <v>0</v>
      </c>
      <c r="F5" s="186">
        <v>0</v>
      </c>
      <c r="G5" s="186">
        <v>0</v>
      </c>
      <c r="H5" s="186">
        <v>0</v>
      </c>
      <c r="I5" s="186">
        <v>0</v>
      </c>
      <c r="J5" s="186">
        <v>0</v>
      </c>
      <c r="K5" s="186">
        <v>0</v>
      </c>
      <c r="L5" s="186">
        <v>0</v>
      </c>
      <c r="M5" s="186">
        <v>756</v>
      </c>
      <c r="N5" s="186">
        <v>0</v>
      </c>
      <c r="O5" s="186">
        <v>0</v>
      </c>
    </row>
    <row r="6" spans="1:15">
      <c r="A6" s="30">
        <v>1232066</v>
      </c>
      <c r="B6" s="186">
        <v>0</v>
      </c>
      <c r="C6" s="186">
        <v>0</v>
      </c>
      <c r="D6" s="186">
        <v>0</v>
      </c>
      <c r="E6" s="186">
        <v>0</v>
      </c>
      <c r="F6" s="186">
        <v>234</v>
      </c>
      <c r="G6" s="186">
        <v>0</v>
      </c>
      <c r="H6" s="186">
        <v>0</v>
      </c>
      <c r="I6" s="186">
        <v>0</v>
      </c>
      <c r="J6" s="186">
        <v>0</v>
      </c>
      <c r="K6" s="186">
        <v>0</v>
      </c>
      <c r="L6" s="186">
        <v>0</v>
      </c>
      <c r="M6" s="186">
        <v>0</v>
      </c>
      <c r="N6" s="186">
        <v>0</v>
      </c>
      <c r="O6" s="186">
        <v>0</v>
      </c>
    </row>
    <row r="7" spans="1:15">
      <c r="A7" s="30">
        <v>1232693</v>
      </c>
      <c r="B7" s="186">
        <v>0</v>
      </c>
      <c r="C7" s="186">
        <v>0</v>
      </c>
      <c r="D7" s="186">
        <v>0</v>
      </c>
      <c r="E7" s="186">
        <v>0</v>
      </c>
      <c r="F7" s="186">
        <v>0</v>
      </c>
      <c r="G7" s="186">
        <v>0</v>
      </c>
      <c r="H7" s="186">
        <v>0</v>
      </c>
      <c r="I7" s="186">
        <v>0</v>
      </c>
      <c r="J7" s="186">
        <v>800</v>
      </c>
      <c r="K7" s="186">
        <v>334</v>
      </c>
      <c r="L7" s="186">
        <v>0</v>
      </c>
      <c r="M7" s="186">
        <v>0</v>
      </c>
      <c r="N7" s="186">
        <v>0</v>
      </c>
      <c r="O7" s="186">
        <v>0</v>
      </c>
    </row>
    <row r="8" spans="1:15">
      <c r="A8" s="30">
        <v>1233025</v>
      </c>
      <c r="B8" s="186">
        <v>0</v>
      </c>
      <c r="C8" s="186">
        <v>0</v>
      </c>
      <c r="D8" s="186">
        <v>0</v>
      </c>
      <c r="E8" s="186">
        <v>0</v>
      </c>
      <c r="F8" s="186">
        <v>0</v>
      </c>
      <c r="G8" s="186">
        <v>0</v>
      </c>
      <c r="H8" s="186">
        <v>0</v>
      </c>
      <c r="I8" s="186">
        <v>0</v>
      </c>
      <c r="J8" s="186">
        <v>800</v>
      </c>
      <c r="K8" s="186">
        <v>334</v>
      </c>
      <c r="L8" s="186">
        <v>0</v>
      </c>
      <c r="M8" s="186">
        <v>0</v>
      </c>
      <c r="N8" s="186">
        <v>0</v>
      </c>
      <c r="O8" s="186">
        <v>0</v>
      </c>
    </row>
    <row r="9" spans="1:15">
      <c r="A9" s="30">
        <v>1234222</v>
      </c>
      <c r="B9" s="186">
        <v>0</v>
      </c>
      <c r="C9" s="186">
        <v>400</v>
      </c>
      <c r="D9" s="186">
        <v>0</v>
      </c>
      <c r="E9" s="186">
        <v>0</v>
      </c>
      <c r="F9" s="186">
        <v>0</v>
      </c>
      <c r="G9" s="186">
        <v>0</v>
      </c>
      <c r="H9" s="186">
        <v>0</v>
      </c>
      <c r="I9" s="186">
        <v>0</v>
      </c>
      <c r="J9" s="186">
        <v>0</v>
      </c>
      <c r="K9" s="186">
        <v>0</v>
      </c>
      <c r="L9" s="186">
        <v>0</v>
      </c>
      <c r="M9" s="186">
        <v>0</v>
      </c>
      <c r="N9" s="186">
        <v>0</v>
      </c>
      <c r="O9" s="186">
        <v>0</v>
      </c>
    </row>
    <row r="10" spans="1:15">
      <c r="A10" s="30">
        <v>1232528</v>
      </c>
      <c r="B10" s="186">
        <v>0</v>
      </c>
      <c r="C10" s="186">
        <v>0</v>
      </c>
      <c r="D10" s="186">
        <v>0</v>
      </c>
      <c r="E10" s="186">
        <v>0</v>
      </c>
      <c r="F10" s="186">
        <v>0</v>
      </c>
      <c r="G10" s="186">
        <v>0</v>
      </c>
      <c r="H10" s="186">
        <v>0</v>
      </c>
      <c r="I10" s="186">
        <v>0</v>
      </c>
      <c r="J10" s="186">
        <v>421</v>
      </c>
      <c r="K10" s="186">
        <v>825</v>
      </c>
      <c r="L10" s="186">
        <v>0</v>
      </c>
      <c r="M10" s="186">
        <v>2160</v>
      </c>
      <c r="N10" s="186">
        <v>0</v>
      </c>
      <c r="O10" s="186">
        <v>0</v>
      </c>
    </row>
    <row r="11" spans="1:15">
      <c r="A11" s="30">
        <v>1232846</v>
      </c>
      <c r="B11" s="186">
        <v>0</v>
      </c>
      <c r="C11" s="186">
        <v>0</v>
      </c>
      <c r="D11" s="186">
        <v>0</v>
      </c>
      <c r="E11" s="186">
        <v>0</v>
      </c>
      <c r="F11" s="186">
        <v>0</v>
      </c>
      <c r="G11" s="186">
        <v>0</v>
      </c>
      <c r="H11" s="186">
        <v>0</v>
      </c>
      <c r="I11" s="186">
        <v>0</v>
      </c>
      <c r="J11" s="186">
        <v>0</v>
      </c>
      <c r="K11" s="186">
        <v>672</v>
      </c>
      <c r="L11" s="186">
        <v>0</v>
      </c>
      <c r="M11" s="186">
        <v>576</v>
      </c>
      <c r="N11" s="186">
        <v>0</v>
      </c>
      <c r="O11" s="186">
        <v>0</v>
      </c>
    </row>
    <row r="12" spans="1:15">
      <c r="A12" s="30">
        <v>1229050</v>
      </c>
      <c r="B12" s="186">
        <v>185</v>
      </c>
      <c r="C12" s="186">
        <v>0</v>
      </c>
      <c r="D12" s="186">
        <v>0</v>
      </c>
      <c r="E12" s="186">
        <v>0</v>
      </c>
      <c r="F12" s="186">
        <v>0</v>
      </c>
      <c r="G12" s="186">
        <v>0</v>
      </c>
      <c r="H12" s="186">
        <v>0</v>
      </c>
      <c r="I12" s="186">
        <v>0</v>
      </c>
      <c r="J12" s="186">
        <v>335</v>
      </c>
      <c r="K12" s="186">
        <v>0</v>
      </c>
      <c r="L12" s="186">
        <v>0</v>
      </c>
      <c r="M12" s="186">
        <v>0</v>
      </c>
      <c r="N12" s="186">
        <v>0</v>
      </c>
      <c r="O12" s="186">
        <v>0</v>
      </c>
    </row>
    <row r="13" spans="1:15">
      <c r="A13" s="30">
        <v>1231090</v>
      </c>
      <c r="B13" s="186">
        <v>0</v>
      </c>
      <c r="C13" s="186">
        <v>0</v>
      </c>
      <c r="D13" s="186">
        <v>80</v>
      </c>
      <c r="E13" s="186">
        <v>0</v>
      </c>
      <c r="F13" s="186">
        <v>0</v>
      </c>
      <c r="G13" s="186">
        <v>0</v>
      </c>
      <c r="H13" s="186">
        <v>0</v>
      </c>
      <c r="I13" s="186">
        <v>0</v>
      </c>
      <c r="J13" s="186">
        <v>0</v>
      </c>
      <c r="K13" s="186">
        <v>0</v>
      </c>
      <c r="L13" s="186">
        <v>0</v>
      </c>
      <c r="M13" s="186">
        <v>810</v>
      </c>
      <c r="N13" s="186">
        <v>0</v>
      </c>
      <c r="O13" s="186">
        <v>0</v>
      </c>
    </row>
    <row r="14" spans="1:15">
      <c r="A14" s="30">
        <v>1234217</v>
      </c>
      <c r="B14" s="186">
        <v>0</v>
      </c>
      <c r="C14" s="186">
        <v>0</v>
      </c>
      <c r="D14" s="186">
        <v>0</v>
      </c>
      <c r="E14" s="186">
        <v>0</v>
      </c>
      <c r="F14" s="186">
        <v>0</v>
      </c>
      <c r="G14" s="186">
        <v>0</v>
      </c>
      <c r="H14" s="186">
        <v>0</v>
      </c>
      <c r="I14" s="186">
        <v>0</v>
      </c>
      <c r="J14" s="186">
        <v>0</v>
      </c>
      <c r="K14" s="186">
        <v>50</v>
      </c>
      <c r="L14" s="186">
        <v>0</v>
      </c>
      <c r="M14" s="186">
        <v>0</v>
      </c>
      <c r="N14" s="186">
        <v>0</v>
      </c>
      <c r="O14" s="186">
        <v>0</v>
      </c>
    </row>
    <row r="15" spans="1:15">
      <c r="A15" s="30">
        <v>1234111</v>
      </c>
      <c r="B15" s="186">
        <v>0</v>
      </c>
      <c r="C15" s="186">
        <v>0</v>
      </c>
      <c r="D15" s="186">
        <v>0</v>
      </c>
      <c r="E15" s="186">
        <v>0</v>
      </c>
      <c r="F15" s="186">
        <v>0</v>
      </c>
      <c r="G15" s="186">
        <v>0</v>
      </c>
      <c r="H15" s="186">
        <v>0</v>
      </c>
      <c r="I15" s="186">
        <v>0</v>
      </c>
      <c r="J15" s="186">
        <v>0</v>
      </c>
      <c r="K15" s="186">
        <v>50</v>
      </c>
      <c r="L15" s="186">
        <v>0</v>
      </c>
      <c r="M15" s="186">
        <v>0</v>
      </c>
      <c r="N15" s="186">
        <v>0</v>
      </c>
      <c r="O15" s="186">
        <v>0</v>
      </c>
    </row>
    <row r="16" spans="1:15">
      <c r="A16" s="30">
        <v>1234110</v>
      </c>
      <c r="B16" s="186">
        <v>0</v>
      </c>
      <c r="C16" s="186">
        <v>0</v>
      </c>
      <c r="D16" s="186">
        <v>0</v>
      </c>
      <c r="E16" s="186">
        <v>0</v>
      </c>
      <c r="F16" s="186">
        <v>0</v>
      </c>
      <c r="G16" s="186">
        <v>0</v>
      </c>
      <c r="H16" s="186">
        <v>0</v>
      </c>
      <c r="I16" s="186">
        <v>0</v>
      </c>
      <c r="J16" s="186">
        <v>0</v>
      </c>
      <c r="K16" s="186">
        <v>50</v>
      </c>
      <c r="L16" s="186">
        <v>0</v>
      </c>
      <c r="M16" s="186">
        <v>0</v>
      </c>
      <c r="N16" s="186">
        <v>0</v>
      </c>
      <c r="O16" s="186">
        <v>0</v>
      </c>
    </row>
    <row r="17" spans="1:15">
      <c r="A17" s="30">
        <v>1235097</v>
      </c>
      <c r="B17" s="186">
        <v>118</v>
      </c>
      <c r="C17" s="186">
        <v>132</v>
      </c>
      <c r="D17" s="186">
        <v>0</v>
      </c>
      <c r="E17" s="186">
        <v>0</v>
      </c>
      <c r="F17" s="186">
        <v>0</v>
      </c>
      <c r="G17" s="186">
        <v>0</v>
      </c>
      <c r="H17" s="186">
        <v>0</v>
      </c>
      <c r="I17" s="186">
        <v>0</v>
      </c>
      <c r="J17" s="186">
        <v>0</v>
      </c>
      <c r="K17" s="186">
        <v>0</v>
      </c>
      <c r="L17" s="186">
        <v>0</v>
      </c>
      <c r="M17" s="186">
        <v>0</v>
      </c>
      <c r="N17" s="186">
        <v>0</v>
      </c>
      <c r="O17" s="186">
        <v>0</v>
      </c>
    </row>
    <row r="18" spans="1:15">
      <c r="A18" s="30">
        <v>1235845</v>
      </c>
      <c r="B18" s="186">
        <v>0</v>
      </c>
      <c r="C18" s="186">
        <v>0</v>
      </c>
      <c r="D18" s="186">
        <v>0</v>
      </c>
      <c r="E18" s="186">
        <v>0</v>
      </c>
      <c r="F18" s="186">
        <v>137</v>
      </c>
      <c r="G18" s="186">
        <v>0</v>
      </c>
      <c r="H18" s="186">
        <v>0</v>
      </c>
      <c r="I18" s="186">
        <v>0</v>
      </c>
      <c r="J18" s="186">
        <v>763</v>
      </c>
      <c r="K18" s="186">
        <v>0</v>
      </c>
      <c r="L18" s="186">
        <v>0</v>
      </c>
      <c r="M18" s="186">
        <v>0</v>
      </c>
      <c r="N18" s="186">
        <v>0</v>
      </c>
      <c r="O18" s="186">
        <v>0</v>
      </c>
    </row>
    <row r="19" spans="1:15">
      <c r="A19" s="30">
        <v>1236600</v>
      </c>
      <c r="B19" s="186">
        <v>0</v>
      </c>
      <c r="C19" s="186">
        <v>0</v>
      </c>
      <c r="D19" s="186">
        <v>419</v>
      </c>
      <c r="E19" s="186">
        <v>426</v>
      </c>
      <c r="F19" s="186">
        <v>0</v>
      </c>
      <c r="G19" s="186">
        <v>0</v>
      </c>
      <c r="H19" s="186">
        <v>0</v>
      </c>
      <c r="I19" s="186">
        <v>0</v>
      </c>
      <c r="J19" s="186">
        <v>0</v>
      </c>
      <c r="K19" s="186">
        <v>0</v>
      </c>
      <c r="L19" s="186">
        <v>0</v>
      </c>
      <c r="M19" s="186">
        <v>0</v>
      </c>
      <c r="N19" s="186">
        <v>0</v>
      </c>
      <c r="O19" s="186">
        <v>0</v>
      </c>
    </row>
    <row r="20" spans="1:15">
      <c r="A20" s="30">
        <v>1236601</v>
      </c>
      <c r="B20" s="186">
        <v>0</v>
      </c>
      <c r="C20" s="186">
        <v>0</v>
      </c>
      <c r="D20" s="186">
        <v>0</v>
      </c>
      <c r="E20" s="186">
        <v>41</v>
      </c>
      <c r="F20" s="186">
        <v>82</v>
      </c>
      <c r="G20" s="186">
        <v>0</v>
      </c>
      <c r="H20" s="186">
        <v>0</v>
      </c>
      <c r="I20" s="186">
        <v>0</v>
      </c>
      <c r="J20" s="186">
        <v>0</v>
      </c>
      <c r="K20" s="186">
        <v>0</v>
      </c>
      <c r="L20" s="186">
        <v>0</v>
      </c>
      <c r="M20" s="186">
        <v>0</v>
      </c>
      <c r="N20" s="186">
        <v>0</v>
      </c>
      <c r="O20" s="186">
        <v>0</v>
      </c>
    </row>
    <row r="21" spans="1:15">
      <c r="A21" s="30">
        <v>1236619</v>
      </c>
      <c r="B21" s="186">
        <v>0</v>
      </c>
      <c r="C21" s="186">
        <v>0</v>
      </c>
      <c r="D21" s="186">
        <v>0</v>
      </c>
      <c r="E21" s="186">
        <v>0</v>
      </c>
      <c r="F21" s="186">
        <v>0</v>
      </c>
      <c r="G21" s="186">
        <v>0</v>
      </c>
      <c r="H21" s="186">
        <v>0</v>
      </c>
      <c r="I21" s="186">
        <v>0</v>
      </c>
      <c r="J21" s="186">
        <v>0</v>
      </c>
      <c r="K21" s="186">
        <v>0</v>
      </c>
      <c r="L21" s="186">
        <v>0</v>
      </c>
      <c r="M21" s="186">
        <v>198</v>
      </c>
      <c r="N21" s="186">
        <v>0</v>
      </c>
      <c r="O21" s="186">
        <v>0</v>
      </c>
    </row>
    <row r="22" spans="1:15">
      <c r="A22" s="30">
        <v>1236930</v>
      </c>
      <c r="B22" s="186">
        <v>0</v>
      </c>
      <c r="C22" s="186">
        <v>100</v>
      </c>
      <c r="D22" s="186">
        <v>330</v>
      </c>
      <c r="E22" s="186">
        <v>401</v>
      </c>
      <c r="F22" s="186">
        <v>180</v>
      </c>
      <c r="G22" s="186">
        <v>0</v>
      </c>
      <c r="H22" s="186">
        <v>0</v>
      </c>
      <c r="I22" s="186">
        <v>0</v>
      </c>
      <c r="J22" s="186">
        <v>894</v>
      </c>
      <c r="K22" s="186">
        <v>500</v>
      </c>
      <c r="L22" s="186">
        <v>600</v>
      </c>
      <c r="M22" s="186">
        <v>1220</v>
      </c>
      <c r="N22" s="186">
        <v>0</v>
      </c>
      <c r="O22" s="186">
        <v>0</v>
      </c>
    </row>
    <row r="23" spans="1:15">
      <c r="A23" s="30">
        <v>1232982</v>
      </c>
      <c r="B23" s="186">
        <v>0</v>
      </c>
      <c r="C23" s="186">
        <v>0</v>
      </c>
      <c r="D23" s="186">
        <v>0</v>
      </c>
      <c r="E23" s="186">
        <v>0</v>
      </c>
      <c r="F23" s="186">
        <v>0</v>
      </c>
      <c r="G23" s="186">
        <v>0</v>
      </c>
      <c r="H23" s="186">
        <v>0</v>
      </c>
      <c r="I23" s="186">
        <v>0</v>
      </c>
      <c r="J23" s="186">
        <v>0</v>
      </c>
      <c r="K23" s="186">
        <v>0</v>
      </c>
      <c r="L23" s="186">
        <v>400</v>
      </c>
      <c r="M23" s="186">
        <v>0</v>
      </c>
      <c r="N23" s="186">
        <v>0</v>
      </c>
      <c r="O23" s="186">
        <v>0</v>
      </c>
    </row>
    <row r="24" spans="1:15">
      <c r="A24" s="30">
        <v>1237468</v>
      </c>
      <c r="B24" s="186">
        <v>0</v>
      </c>
      <c r="C24" s="186">
        <v>0</v>
      </c>
      <c r="D24" s="186">
        <v>0</v>
      </c>
      <c r="E24" s="186">
        <v>64</v>
      </c>
      <c r="F24" s="186">
        <v>0</v>
      </c>
      <c r="G24" s="186">
        <v>0</v>
      </c>
      <c r="H24" s="186">
        <v>0</v>
      </c>
      <c r="I24" s="186">
        <v>0</v>
      </c>
      <c r="J24" s="186">
        <v>0</v>
      </c>
      <c r="K24" s="186">
        <v>0</v>
      </c>
      <c r="L24" s="186">
        <v>0</v>
      </c>
      <c r="M24" s="186">
        <v>0</v>
      </c>
      <c r="N24" s="186">
        <v>0</v>
      </c>
      <c r="O24" s="186">
        <v>0</v>
      </c>
    </row>
    <row r="25" spans="1:15">
      <c r="A25" s="30">
        <v>1237210</v>
      </c>
      <c r="B25" s="186">
        <v>0</v>
      </c>
      <c r="C25" s="186">
        <v>375</v>
      </c>
      <c r="D25" s="186">
        <v>0</v>
      </c>
      <c r="E25" s="186">
        <v>0</v>
      </c>
      <c r="F25" s="186">
        <v>0</v>
      </c>
      <c r="G25" s="186">
        <v>0</v>
      </c>
      <c r="H25" s="186">
        <v>0</v>
      </c>
      <c r="I25" s="186">
        <v>0</v>
      </c>
      <c r="J25" s="186">
        <v>0</v>
      </c>
      <c r="K25" s="186">
        <v>0</v>
      </c>
      <c r="L25" s="186">
        <v>0</v>
      </c>
      <c r="M25" s="186">
        <v>0</v>
      </c>
      <c r="N25" s="186">
        <v>0</v>
      </c>
      <c r="O25" s="186">
        <v>0</v>
      </c>
    </row>
    <row r="26" spans="1:15">
      <c r="A26" s="30">
        <v>1232775</v>
      </c>
      <c r="B26" s="186">
        <v>473</v>
      </c>
      <c r="C26" s="186">
        <v>47</v>
      </c>
      <c r="D26" s="186">
        <v>0</v>
      </c>
      <c r="E26" s="186">
        <v>0</v>
      </c>
      <c r="F26" s="186">
        <v>0</v>
      </c>
      <c r="G26" s="186">
        <v>0</v>
      </c>
      <c r="H26" s="186">
        <v>0</v>
      </c>
      <c r="I26" s="186">
        <v>0</v>
      </c>
      <c r="J26" s="186">
        <v>0</v>
      </c>
      <c r="K26" s="186">
        <v>93</v>
      </c>
      <c r="L26" s="186">
        <v>0</v>
      </c>
      <c r="M26" s="186">
        <v>0</v>
      </c>
      <c r="N26" s="186">
        <v>0</v>
      </c>
      <c r="O26" s="186">
        <v>0</v>
      </c>
    </row>
    <row r="27" spans="1:15">
      <c r="A27" s="30">
        <v>1237457</v>
      </c>
      <c r="B27" s="186">
        <v>0</v>
      </c>
      <c r="C27" s="186">
        <v>0</v>
      </c>
      <c r="D27" s="186">
        <v>0</v>
      </c>
      <c r="E27" s="186">
        <v>0</v>
      </c>
      <c r="F27" s="186">
        <v>0</v>
      </c>
      <c r="G27" s="186">
        <v>0</v>
      </c>
      <c r="H27" s="186">
        <v>0</v>
      </c>
      <c r="I27" s="186">
        <v>0</v>
      </c>
      <c r="J27" s="186">
        <v>0</v>
      </c>
      <c r="K27" s="186">
        <v>0</v>
      </c>
      <c r="L27" s="186">
        <v>0</v>
      </c>
      <c r="M27" s="186">
        <v>54</v>
      </c>
      <c r="N27" s="186">
        <v>0</v>
      </c>
      <c r="O27" s="186">
        <v>0</v>
      </c>
    </row>
    <row r="28" spans="1:15">
      <c r="A28" s="30">
        <v>1237386</v>
      </c>
      <c r="B28" s="186">
        <v>0</v>
      </c>
      <c r="C28" s="186">
        <v>0</v>
      </c>
      <c r="D28" s="186">
        <v>0</v>
      </c>
      <c r="E28" s="186">
        <v>0</v>
      </c>
      <c r="F28" s="186">
        <v>0</v>
      </c>
      <c r="G28" s="186">
        <v>0</v>
      </c>
      <c r="H28" s="186">
        <v>0</v>
      </c>
      <c r="I28" s="186">
        <v>0</v>
      </c>
      <c r="J28" s="186">
        <v>0</v>
      </c>
      <c r="K28" s="186">
        <v>0</v>
      </c>
      <c r="L28" s="186">
        <v>0</v>
      </c>
      <c r="M28" s="186">
        <v>45</v>
      </c>
      <c r="N28" s="186">
        <v>0</v>
      </c>
      <c r="O28" s="186">
        <v>0</v>
      </c>
    </row>
    <row r="29" spans="1:15">
      <c r="A29" s="30">
        <v>1234905</v>
      </c>
      <c r="B29" s="186">
        <v>311</v>
      </c>
      <c r="C29" s="186">
        <v>24</v>
      </c>
      <c r="D29" s="186">
        <v>0</v>
      </c>
      <c r="E29" s="186">
        <v>0</v>
      </c>
      <c r="F29" s="186">
        <v>224</v>
      </c>
      <c r="G29" s="186">
        <v>0</v>
      </c>
      <c r="H29" s="186">
        <v>0</v>
      </c>
      <c r="I29" s="186">
        <v>0</v>
      </c>
      <c r="J29" s="186">
        <v>40</v>
      </c>
      <c r="K29" s="186">
        <v>0</v>
      </c>
      <c r="L29" s="186">
        <v>0</v>
      </c>
      <c r="M29" s="186">
        <v>0</v>
      </c>
      <c r="N29" s="186">
        <v>0</v>
      </c>
      <c r="O29" s="186">
        <v>0</v>
      </c>
    </row>
    <row r="30" spans="1:15">
      <c r="A30" s="30">
        <v>1238480</v>
      </c>
      <c r="B30" s="186">
        <v>1669</v>
      </c>
      <c r="C30" s="186">
        <v>1538</v>
      </c>
      <c r="D30" s="186">
        <v>603</v>
      </c>
      <c r="E30" s="186">
        <v>772</v>
      </c>
      <c r="F30" s="186">
        <v>977</v>
      </c>
      <c r="G30" s="186">
        <v>0</v>
      </c>
      <c r="H30" s="186">
        <v>0</v>
      </c>
      <c r="I30" s="186">
        <v>0</v>
      </c>
      <c r="J30" s="186">
        <v>2502</v>
      </c>
      <c r="K30" s="186">
        <v>1559</v>
      </c>
      <c r="L30" s="186">
        <v>1320</v>
      </c>
      <c r="M30" s="186">
        <v>3756</v>
      </c>
      <c r="N30" s="186">
        <v>0</v>
      </c>
      <c r="O30" s="186">
        <v>0</v>
      </c>
    </row>
    <row r="31" spans="1:15">
      <c r="A31" s="30">
        <v>1238453</v>
      </c>
      <c r="B31" s="186">
        <v>0</v>
      </c>
      <c r="C31" s="186">
        <v>0</v>
      </c>
      <c r="D31" s="186">
        <v>0</v>
      </c>
      <c r="E31" s="186">
        <v>40</v>
      </c>
      <c r="F31" s="186">
        <v>0</v>
      </c>
      <c r="G31" s="186">
        <v>0</v>
      </c>
      <c r="H31" s="186">
        <v>0</v>
      </c>
      <c r="I31" s="186">
        <v>0</v>
      </c>
      <c r="J31" s="186">
        <v>0</v>
      </c>
      <c r="K31" s="186">
        <v>0</v>
      </c>
      <c r="L31" s="186">
        <v>0</v>
      </c>
      <c r="M31" s="186">
        <v>0</v>
      </c>
      <c r="N31" s="186">
        <v>0</v>
      </c>
      <c r="O31" s="186">
        <v>0</v>
      </c>
    </row>
    <row r="32" spans="1:15">
      <c r="A32" s="30">
        <v>1240180</v>
      </c>
      <c r="B32" s="186">
        <v>0</v>
      </c>
      <c r="C32" s="186">
        <v>286</v>
      </c>
      <c r="D32" s="186">
        <v>251</v>
      </c>
      <c r="E32" s="186">
        <v>173</v>
      </c>
      <c r="F32" s="186">
        <v>0</v>
      </c>
      <c r="G32" s="186">
        <v>0</v>
      </c>
      <c r="H32" s="186">
        <v>0</v>
      </c>
      <c r="I32" s="186">
        <v>0</v>
      </c>
      <c r="J32" s="186">
        <v>0</v>
      </c>
      <c r="K32" s="186">
        <v>0</v>
      </c>
      <c r="L32" s="186">
        <v>0</v>
      </c>
      <c r="M32" s="186">
        <v>410</v>
      </c>
      <c r="N32" s="186">
        <v>0</v>
      </c>
      <c r="O32" s="186">
        <v>0</v>
      </c>
    </row>
    <row r="33" spans="1:15">
      <c r="A33" s="30">
        <v>1240184</v>
      </c>
      <c r="B33" s="186">
        <v>0</v>
      </c>
      <c r="C33" s="186">
        <v>286</v>
      </c>
      <c r="D33" s="186">
        <v>251</v>
      </c>
      <c r="E33" s="186">
        <v>173</v>
      </c>
      <c r="F33" s="186">
        <v>0</v>
      </c>
      <c r="G33" s="186">
        <v>0</v>
      </c>
      <c r="H33" s="186">
        <v>0</v>
      </c>
      <c r="I33" s="186">
        <v>0</v>
      </c>
      <c r="J33" s="186">
        <v>0</v>
      </c>
      <c r="K33" s="186">
        <v>0</v>
      </c>
      <c r="L33" s="186">
        <v>0</v>
      </c>
      <c r="M33" s="186">
        <v>410</v>
      </c>
      <c r="N33" s="186">
        <v>0</v>
      </c>
      <c r="O33" s="186">
        <v>0</v>
      </c>
    </row>
    <row r="34" spans="1:15">
      <c r="A34" s="30">
        <v>1216452</v>
      </c>
      <c r="B34" s="186">
        <v>0</v>
      </c>
      <c r="C34" s="186">
        <v>385</v>
      </c>
      <c r="D34" s="186">
        <v>115</v>
      </c>
      <c r="E34" s="186">
        <v>0</v>
      </c>
      <c r="F34" s="186">
        <v>0</v>
      </c>
      <c r="G34" s="186">
        <v>0</v>
      </c>
      <c r="H34" s="186">
        <v>0</v>
      </c>
      <c r="I34" s="186">
        <v>0</v>
      </c>
      <c r="J34" s="186">
        <v>0</v>
      </c>
      <c r="K34" s="186">
        <v>76</v>
      </c>
      <c r="L34" s="186">
        <v>0</v>
      </c>
      <c r="M34" s="186">
        <v>0</v>
      </c>
      <c r="N34" s="186">
        <v>0</v>
      </c>
      <c r="O34" s="186">
        <v>0</v>
      </c>
    </row>
    <row r="35" spans="1:15">
      <c r="A35" s="30">
        <v>1232894</v>
      </c>
      <c r="B35" s="186">
        <v>0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186">
        <v>0</v>
      </c>
      <c r="J35" s="186">
        <v>0</v>
      </c>
      <c r="K35" s="186">
        <v>632</v>
      </c>
      <c r="L35" s="186">
        <v>0</v>
      </c>
      <c r="M35" s="186">
        <v>576</v>
      </c>
      <c r="N35" s="186">
        <v>0</v>
      </c>
      <c r="O35" s="186">
        <v>0</v>
      </c>
    </row>
    <row r="36" spans="1:15">
      <c r="A36" s="30">
        <v>1233387</v>
      </c>
      <c r="B36" s="186">
        <v>0</v>
      </c>
      <c r="C36" s="186">
        <v>0</v>
      </c>
      <c r="D36" s="186">
        <v>0</v>
      </c>
      <c r="E36" s="186">
        <v>0</v>
      </c>
      <c r="F36" s="186">
        <v>0</v>
      </c>
      <c r="G36" s="186">
        <v>0</v>
      </c>
      <c r="H36" s="186">
        <v>0</v>
      </c>
      <c r="I36" s="186">
        <v>0</v>
      </c>
      <c r="J36" s="186">
        <v>0</v>
      </c>
      <c r="K36" s="186">
        <v>128</v>
      </c>
      <c r="L36" s="186">
        <v>0</v>
      </c>
      <c r="M36" s="186">
        <v>576</v>
      </c>
      <c r="N36" s="186">
        <v>0</v>
      </c>
      <c r="O36" s="186">
        <v>0</v>
      </c>
    </row>
    <row r="37" spans="1:15">
      <c r="A37" s="30">
        <v>1233385</v>
      </c>
      <c r="B37" s="186">
        <v>0</v>
      </c>
      <c r="C37" s="186">
        <v>0</v>
      </c>
      <c r="D37" s="186">
        <v>0</v>
      </c>
      <c r="E37" s="186">
        <v>0</v>
      </c>
      <c r="F37" s="186">
        <v>0</v>
      </c>
      <c r="G37" s="186">
        <v>0</v>
      </c>
      <c r="H37" s="186">
        <v>0</v>
      </c>
      <c r="I37" s="186">
        <v>0</v>
      </c>
      <c r="J37" s="186">
        <v>0</v>
      </c>
      <c r="K37" s="186">
        <v>504</v>
      </c>
      <c r="L37" s="186">
        <v>0</v>
      </c>
      <c r="M37" s="186">
        <v>0</v>
      </c>
      <c r="N37" s="186">
        <v>0</v>
      </c>
      <c r="O37" s="186">
        <v>0</v>
      </c>
    </row>
    <row r="38" spans="1:15">
      <c r="A38" s="30">
        <v>1232895</v>
      </c>
      <c r="B38" s="186">
        <v>0</v>
      </c>
      <c r="C38" s="186">
        <v>0</v>
      </c>
      <c r="D38" s="186">
        <v>0</v>
      </c>
      <c r="E38" s="186">
        <v>0</v>
      </c>
      <c r="F38" s="186">
        <v>0</v>
      </c>
      <c r="G38" s="186">
        <v>0</v>
      </c>
      <c r="H38" s="186">
        <v>0</v>
      </c>
      <c r="I38" s="186">
        <v>0</v>
      </c>
      <c r="J38" s="186">
        <v>0</v>
      </c>
      <c r="K38" s="186">
        <v>40</v>
      </c>
      <c r="L38" s="186">
        <v>0</v>
      </c>
      <c r="M38" s="186">
        <v>0</v>
      </c>
      <c r="N38" s="186">
        <v>0</v>
      </c>
      <c r="O38" s="186">
        <v>0</v>
      </c>
    </row>
    <row r="39" spans="1:15">
      <c r="A39" s="30">
        <v>1232922</v>
      </c>
      <c r="B39" s="186">
        <v>0</v>
      </c>
      <c r="C39" s="186">
        <v>0</v>
      </c>
      <c r="D39" s="186">
        <v>0</v>
      </c>
      <c r="E39" s="186">
        <v>0</v>
      </c>
      <c r="F39" s="186">
        <v>0</v>
      </c>
      <c r="G39" s="186">
        <v>0</v>
      </c>
      <c r="H39" s="186">
        <v>0</v>
      </c>
      <c r="I39" s="186">
        <v>0</v>
      </c>
      <c r="J39" s="186">
        <v>0</v>
      </c>
      <c r="K39" s="186">
        <v>40</v>
      </c>
      <c r="L39" s="186">
        <v>0</v>
      </c>
      <c r="M39" s="186">
        <v>0</v>
      </c>
      <c r="N39" s="186">
        <v>0</v>
      </c>
      <c r="O39" s="186">
        <v>0</v>
      </c>
    </row>
    <row r="40" spans="1:15">
      <c r="A40" s="30">
        <v>1233580</v>
      </c>
      <c r="B40" s="186">
        <v>0</v>
      </c>
      <c r="C40" s="186">
        <v>0</v>
      </c>
      <c r="D40" s="186">
        <v>0</v>
      </c>
      <c r="E40" s="186">
        <v>0</v>
      </c>
      <c r="F40" s="186">
        <v>0</v>
      </c>
      <c r="G40" s="186">
        <v>0</v>
      </c>
      <c r="H40" s="186">
        <v>0</v>
      </c>
      <c r="I40" s="186">
        <v>0</v>
      </c>
      <c r="J40" s="186">
        <v>0</v>
      </c>
      <c r="K40" s="186">
        <v>200</v>
      </c>
      <c r="L40" s="186">
        <v>0</v>
      </c>
      <c r="M40" s="186">
        <v>0</v>
      </c>
      <c r="N40" s="186">
        <v>0</v>
      </c>
      <c r="O40" s="186">
        <v>0</v>
      </c>
    </row>
  </sheetData>
  <phoneticPr fontId="1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9A01-343E-4D49-AF57-8041059C8775}">
  <dimension ref="A1:T49"/>
  <sheetViews>
    <sheetView topLeftCell="A10" zoomScale="130" zoomScaleNormal="130" workbookViewId="0">
      <selection activeCell="O23" sqref="O23"/>
    </sheetView>
  </sheetViews>
  <sheetFormatPr defaultRowHeight="11.25"/>
  <cols>
    <col min="1" max="1" width="9.1640625" style="13"/>
    <col min="2" max="2" width="9.1640625" style="14"/>
    <col min="3" max="4" width="9.1640625" style="14" customWidth="1"/>
    <col min="5" max="7" width="9.1640625" style="189" customWidth="1"/>
    <col min="8" max="17" width="9.1640625" style="14" customWidth="1"/>
    <col min="18" max="20" width="9.1640625" style="14"/>
  </cols>
  <sheetData>
    <row r="1" spans="1:18">
      <c r="A1" s="25" t="s">
        <v>0</v>
      </c>
      <c r="B1" s="14" t="s">
        <v>885</v>
      </c>
      <c r="C1" s="14" t="s">
        <v>886</v>
      </c>
      <c r="D1" s="14" t="s">
        <v>887</v>
      </c>
      <c r="E1" s="189" t="s">
        <v>888</v>
      </c>
      <c r="F1" s="189" t="s">
        <v>889</v>
      </c>
      <c r="G1" s="189" t="s">
        <v>890</v>
      </c>
      <c r="H1" s="14" t="s">
        <v>891</v>
      </c>
      <c r="I1" s="14" t="s">
        <v>892</v>
      </c>
      <c r="J1" s="14" t="s">
        <v>893</v>
      </c>
      <c r="K1" s="14" t="s">
        <v>894</v>
      </c>
      <c r="L1" s="14" t="s">
        <v>895</v>
      </c>
      <c r="M1" s="14" t="s">
        <v>896</v>
      </c>
      <c r="N1" s="14" t="s">
        <v>897</v>
      </c>
      <c r="O1" s="14" t="s">
        <v>898</v>
      </c>
      <c r="P1" s="14" t="s">
        <v>899</v>
      </c>
      <c r="Q1" s="14" t="s">
        <v>900</v>
      </c>
      <c r="R1" s="14" t="s">
        <v>901</v>
      </c>
    </row>
    <row r="2" spans="1:18">
      <c r="A2" s="13">
        <v>1229673</v>
      </c>
      <c r="B2" s="14">
        <v>300</v>
      </c>
      <c r="C2" s="14">
        <v>0</v>
      </c>
      <c r="D2" s="14">
        <v>0</v>
      </c>
      <c r="E2" s="189">
        <v>0</v>
      </c>
      <c r="F2" s="189">
        <v>0</v>
      </c>
      <c r="G2" s="189">
        <v>0</v>
      </c>
      <c r="H2" s="14">
        <v>0</v>
      </c>
      <c r="I2" s="14">
        <v>0</v>
      </c>
      <c r="J2" s="14">
        <v>0</v>
      </c>
      <c r="K2" s="14">
        <v>0</v>
      </c>
      <c r="L2" s="16">
        <v>300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</row>
    <row r="3" spans="1:18">
      <c r="A3" s="13">
        <v>1230854</v>
      </c>
      <c r="B3" s="14">
        <v>0</v>
      </c>
      <c r="C3" s="14">
        <v>0</v>
      </c>
      <c r="D3" s="14">
        <v>0</v>
      </c>
      <c r="E3" s="189">
        <v>0</v>
      </c>
      <c r="F3" s="189">
        <v>0</v>
      </c>
      <c r="G3" s="189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100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</row>
    <row r="4" spans="1:18">
      <c r="A4" s="13">
        <v>1237088</v>
      </c>
      <c r="B4" s="14">
        <v>0</v>
      </c>
      <c r="C4" s="14">
        <v>0</v>
      </c>
      <c r="D4" s="14">
        <v>0</v>
      </c>
      <c r="E4" s="189">
        <v>0</v>
      </c>
      <c r="F4" s="189">
        <v>0</v>
      </c>
      <c r="G4" s="189">
        <v>0</v>
      </c>
      <c r="H4" s="14">
        <v>1406</v>
      </c>
      <c r="I4" s="14">
        <v>684</v>
      </c>
      <c r="J4" s="14">
        <v>0</v>
      </c>
      <c r="K4" s="14">
        <v>0</v>
      </c>
      <c r="L4" s="16">
        <v>644</v>
      </c>
      <c r="M4" s="14">
        <v>394</v>
      </c>
      <c r="N4" s="14">
        <v>424</v>
      </c>
      <c r="O4" s="14">
        <v>1556</v>
      </c>
      <c r="P4" s="14">
        <v>1356</v>
      </c>
      <c r="Q4" s="14">
        <v>0</v>
      </c>
      <c r="R4" s="14">
        <v>0</v>
      </c>
    </row>
    <row r="5" spans="1:18">
      <c r="A5" s="13">
        <v>1237748</v>
      </c>
      <c r="B5" s="14">
        <v>0</v>
      </c>
      <c r="C5" s="14">
        <v>0</v>
      </c>
      <c r="D5" s="14">
        <v>0</v>
      </c>
      <c r="E5" s="189">
        <v>0</v>
      </c>
      <c r="F5" s="189">
        <v>0</v>
      </c>
      <c r="G5" s="189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558</v>
      </c>
      <c r="P5" s="14">
        <v>456</v>
      </c>
      <c r="Q5" s="14">
        <v>0</v>
      </c>
      <c r="R5" s="14">
        <v>0</v>
      </c>
    </row>
    <row r="6" spans="1:18">
      <c r="A6" s="13">
        <v>1236091</v>
      </c>
      <c r="B6" s="14">
        <v>0</v>
      </c>
      <c r="C6" s="14">
        <v>0</v>
      </c>
      <c r="D6" s="14">
        <v>0</v>
      </c>
      <c r="E6" s="189">
        <v>0</v>
      </c>
      <c r="F6" s="189">
        <v>0</v>
      </c>
      <c r="G6" s="189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100</v>
      </c>
      <c r="O6" s="14">
        <v>0</v>
      </c>
      <c r="P6" s="14">
        <v>0</v>
      </c>
      <c r="Q6" s="14">
        <v>0</v>
      </c>
      <c r="R6" s="14">
        <v>0</v>
      </c>
    </row>
    <row r="7" spans="1:18">
      <c r="A7" s="13">
        <v>1238128</v>
      </c>
      <c r="B7" s="14">
        <v>378</v>
      </c>
      <c r="C7" s="14">
        <v>0</v>
      </c>
      <c r="D7" s="14">
        <v>0</v>
      </c>
      <c r="E7" s="189">
        <v>0</v>
      </c>
      <c r="F7" s="189">
        <v>0</v>
      </c>
      <c r="G7" s="189">
        <v>0</v>
      </c>
      <c r="H7" s="14">
        <v>378</v>
      </c>
      <c r="I7" s="14">
        <v>378</v>
      </c>
      <c r="J7" s="14">
        <v>0</v>
      </c>
      <c r="K7" s="14">
        <v>0</v>
      </c>
      <c r="L7" s="16">
        <v>378</v>
      </c>
      <c r="M7" s="14">
        <v>490</v>
      </c>
      <c r="N7" s="14">
        <v>698</v>
      </c>
      <c r="O7" s="14">
        <v>529</v>
      </c>
      <c r="P7" s="14">
        <v>312</v>
      </c>
      <c r="Q7" s="14">
        <v>0</v>
      </c>
      <c r="R7" s="14">
        <v>0</v>
      </c>
    </row>
    <row r="8" spans="1:18">
      <c r="A8" s="13">
        <v>1236962</v>
      </c>
      <c r="B8" s="14">
        <v>170</v>
      </c>
      <c r="C8" s="14">
        <v>0</v>
      </c>
      <c r="D8" s="14">
        <v>0</v>
      </c>
      <c r="E8" s="189">
        <v>0</v>
      </c>
      <c r="F8" s="189">
        <v>0</v>
      </c>
      <c r="G8" s="189">
        <v>0</v>
      </c>
      <c r="H8" s="14">
        <v>0</v>
      </c>
      <c r="I8" s="14">
        <v>0</v>
      </c>
      <c r="J8" s="14">
        <v>0</v>
      </c>
      <c r="K8" s="14">
        <v>0</v>
      </c>
      <c r="L8" s="16">
        <v>398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</row>
    <row r="9" spans="1:18">
      <c r="A9" s="13">
        <v>1233761</v>
      </c>
      <c r="B9" s="14">
        <v>350</v>
      </c>
      <c r="C9" s="14">
        <v>0</v>
      </c>
      <c r="D9" s="14">
        <v>0</v>
      </c>
      <c r="E9" s="189">
        <v>0</v>
      </c>
      <c r="F9" s="189">
        <v>0</v>
      </c>
      <c r="G9" s="189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</row>
    <row r="10" spans="1:18">
      <c r="A10" s="13">
        <v>1239651</v>
      </c>
      <c r="B10" s="14">
        <v>0</v>
      </c>
      <c r="C10" s="14">
        <v>0</v>
      </c>
      <c r="D10" s="14">
        <v>0</v>
      </c>
      <c r="E10" s="189">
        <v>0</v>
      </c>
      <c r="F10" s="189">
        <v>0</v>
      </c>
      <c r="G10" s="189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500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</row>
    <row r="11" spans="1:18">
      <c r="A11" s="13">
        <v>1239988</v>
      </c>
      <c r="B11" s="14">
        <v>356</v>
      </c>
      <c r="C11" s="14">
        <v>0</v>
      </c>
      <c r="D11" s="14">
        <v>0</v>
      </c>
      <c r="E11" s="189">
        <v>0</v>
      </c>
      <c r="F11" s="189">
        <v>0</v>
      </c>
      <c r="G11" s="189">
        <v>0</v>
      </c>
      <c r="H11" s="14">
        <v>356</v>
      </c>
      <c r="I11" s="14">
        <v>294</v>
      </c>
      <c r="J11" s="14">
        <v>0</v>
      </c>
      <c r="K11" s="14">
        <v>0</v>
      </c>
      <c r="L11" s="16">
        <v>284</v>
      </c>
      <c r="M11" s="14">
        <v>442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</row>
    <row r="12" spans="1:18">
      <c r="A12" s="13">
        <v>1240180</v>
      </c>
      <c r="B12" s="14">
        <v>0</v>
      </c>
      <c r="C12" s="14">
        <v>0</v>
      </c>
      <c r="D12" s="14">
        <v>0</v>
      </c>
      <c r="E12" s="189">
        <v>0</v>
      </c>
      <c r="F12" s="189">
        <v>0</v>
      </c>
      <c r="G12" s="189">
        <v>0</v>
      </c>
      <c r="H12" s="14">
        <v>0</v>
      </c>
      <c r="I12" s="14">
        <v>34</v>
      </c>
      <c r="J12" s="14">
        <v>0</v>
      </c>
      <c r="K12" s="14">
        <v>0</v>
      </c>
      <c r="L12" s="16">
        <v>68</v>
      </c>
      <c r="M12" s="14">
        <v>358</v>
      </c>
      <c r="N12" s="14">
        <v>224</v>
      </c>
      <c r="O12" s="14">
        <v>0</v>
      </c>
      <c r="P12" s="14">
        <v>0</v>
      </c>
      <c r="Q12" s="14">
        <v>0</v>
      </c>
      <c r="R12" s="14">
        <v>0</v>
      </c>
    </row>
    <row r="13" spans="1:18">
      <c r="A13" s="13">
        <v>1240184</v>
      </c>
      <c r="B13" s="14">
        <v>0</v>
      </c>
      <c r="C13" s="14">
        <v>0</v>
      </c>
      <c r="D13" s="14">
        <v>0</v>
      </c>
      <c r="E13" s="189">
        <v>0</v>
      </c>
      <c r="F13" s="189">
        <v>0</v>
      </c>
      <c r="G13" s="189">
        <v>0</v>
      </c>
      <c r="H13" s="14">
        <v>0</v>
      </c>
      <c r="I13" s="14">
        <v>34</v>
      </c>
      <c r="J13" s="14">
        <v>0</v>
      </c>
      <c r="K13" s="14">
        <v>0</v>
      </c>
      <c r="L13" s="16">
        <v>68</v>
      </c>
      <c r="M13" s="14">
        <v>358</v>
      </c>
      <c r="N13" s="14">
        <v>124</v>
      </c>
      <c r="O13" s="14">
        <v>0</v>
      </c>
      <c r="P13" s="14">
        <v>0</v>
      </c>
      <c r="Q13" s="14">
        <v>0</v>
      </c>
      <c r="R13" s="14">
        <v>0</v>
      </c>
    </row>
    <row r="14" spans="1:18">
      <c r="A14" s="13">
        <v>1240308</v>
      </c>
      <c r="B14" s="14">
        <v>150</v>
      </c>
      <c r="C14" s="14">
        <v>0</v>
      </c>
      <c r="D14" s="14">
        <v>0</v>
      </c>
      <c r="E14" s="189">
        <v>0</v>
      </c>
      <c r="F14" s="189">
        <v>0</v>
      </c>
      <c r="G14" s="189">
        <v>0</v>
      </c>
      <c r="H14" s="14">
        <v>0</v>
      </c>
      <c r="I14" s="14">
        <v>300</v>
      </c>
      <c r="J14" s="14">
        <v>0</v>
      </c>
      <c r="K14" s="14">
        <v>0</v>
      </c>
      <c r="L14" s="16">
        <f>450+300</f>
        <v>750</v>
      </c>
      <c r="M14" s="14">
        <v>0</v>
      </c>
      <c r="N14" s="14">
        <v>280</v>
      </c>
      <c r="O14" s="14">
        <v>300</v>
      </c>
      <c r="P14" s="14">
        <v>0</v>
      </c>
      <c r="Q14" s="14">
        <v>0</v>
      </c>
      <c r="R14" s="14">
        <v>0</v>
      </c>
    </row>
    <row r="15" spans="1:18">
      <c r="A15" s="13">
        <v>1241601</v>
      </c>
      <c r="B15" s="14">
        <v>420</v>
      </c>
      <c r="C15" s="14">
        <v>0</v>
      </c>
      <c r="D15" s="14">
        <v>0</v>
      </c>
      <c r="E15" s="189">
        <v>0</v>
      </c>
      <c r="F15" s="189">
        <v>0</v>
      </c>
      <c r="G15" s="189">
        <v>0</v>
      </c>
      <c r="H15" s="14">
        <v>670</v>
      </c>
      <c r="I15" s="14">
        <v>952</v>
      </c>
      <c r="J15" s="14">
        <v>0</v>
      </c>
      <c r="K15" s="14">
        <v>0</v>
      </c>
      <c r="L15" s="16">
        <v>1000</v>
      </c>
      <c r="M15" s="14">
        <v>764</v>
      </c>
      <c r="N15" s="14">
        <v>566</v>
      </c>
      <c r="O15" s="14">
        <v>1318</v>
      </c>
      <c r="P15" s="14">
        <v>1014</v>
      </c>
      <c r="Q15" s="14">
        <v>0</v>
      </c>
      <c r="R15" s="14">
        <v>0</v>
      </c>
    </row>
    <row r="19" spans="1:18">
      <c r="A19" s="25" t="s">
        <v>0</v>
      </c>
      <c r="B19" s="14" t="s">
        <v>885</v>
      </c>
      <c r="C19" s="14" t="s">
        <v>886</v>
      </c>
      <c r="D19" s="14" t="s">
        <v>887</v>
      </c>
      <c r="E19" s="189" t="s">
        <v>888</v>
      </c>
      <c r="F19" s="189" t="s">
        <v>889</v>
      </c>
      <c r="G19" s="189" t="s">
        <v>890</v>
      </c>
      <c r="H19" s="14" t="s">
        <v>891</v>
      </c>
      <c r="I19" s="14" t="s">
        <v>892</v>
      </c>
      <c r="J19" s="14" t="s">
        <v>893</v>
      </c>
      <c r="K19" s="14" t="s">
        <v>894</v>
      </c>
      <c r="L19" s="14" t="s">
        <v>895</v>
      </c>
      <c r="M19" s="14" t="s">
        <v>896</v>
      </c>
      <c r="N19" s="14" t="s">
        <v>897</v>
      </c>
      <c r="O19" s="14" t="s">
        <v>898</v>
      </c>
      <c r="P19" s="14" t="s">
        <v>899</v>
      </c>
      <c r="Q19" s="14" t="s">
        <v>900</v>
      </c>
      <c r="R19" s="14" t="s">
        <v>901</v>
      </c>
    </row>
    <row r="20" spans="1:18">
      <c r="A20" s="13">
        <v>1232846</v>
      </c>
      <c r="B20" s="14">
        <v>0</v>
      </c>
      <c r="C20" s="14">
        <v>0</v>
      </c>
      <c r="D20" s="14">
        <v>0</v>
      </c>
      <c r="E20" s="189">
        <v>0</v>
      </c>
      <c r="F20" s="189">
        <v>0</v>
      </c>
      <c r="G20" s="189">
        <v>0</v>
      </c>
      <c r="H20" s="14">
        <v>0</v>
      </c>
      <c r="I20" s="14">
        <v>0</v>
      </c>
      <c r="J20" s="14">
        <v>0</v>
      </c>
      <c r="K20" s="14">
        <v>0</v>
      </c>
      <c r="L20" s="16">
        <v>289</v>
      </c>
      <c r="M20" s="16">
        <v>352</v>
      </c>
      <c r="N20" s="16">
        <v>79</v>
      </c>
      <c r="O20" s="14">
        <v>0</v>
      </c>
      <c r="P20" s="14">
        <v>0</v>
      </c>
      <c r="Q20" s="14">
        <v>0</v>
      </c>
      <c r="R20" s="14">
        <v>0</v>
      </c>
    </row>
    <row r="21" spans="1:18">
      <c r="A21" s="13">
        <v>1232895</v>
      </c>
      <c r="B21" s="14">
        <v>0</v>
      </c>
      <c r="C21" s="14">
        <v>0</v>
      </c>
      <c r="D21" s="14">
        <v>0</v>
      </c>
      <c r="E21" s="189">
        <v>0</v>
      </c>
      <c r="F21" s="189">
        <v>0</v>
      </c>
      <c r="G21" s="189">
        <v>0</v>
      </c>
      <c r="H21" s="14">
        <v>0</v>
      </c>
      <c r="I21" s="14">
        <v>0</v>
      </c>
      <c r="J21" s="14">
        <v>0</v>
      </c>
      <c r="K21" s="14">
        <v>0</v>
      </c>
      <c r="L21" s="16">
        <v>289</v>
      </c>
      <c r="M21" s="16">
        <v>352</v>
      </c>
      <c r="N21" s="16">
        <v>79</v>
      </c>
      <c r="O21" s="14">
        <v>0</v>
      </c>
      <c r="P21" s="14">
        <v>0</v>
      </c>
      <c r="Q21" s="14">
        <v>0</v>
      </c>
      <c r="R21" s="14">
        <v>0</v>
      </c>
    </row>
    <row r="22" spans="1:18">
      <c r="A22" s="13">
        <v>1233384</v>
      </c>
      <c r="B22" s="14">
        <v>0</v>
      </c>
      <c r="C22" s="14">
        <v>0</v>
      </c>
      <c r="D22" s="14">
        <v>0</v>
      </c>
      <c r="E22" s="189">
        <v>0</v>
      </c>
      <c r="F22" s="189">
        <v>0</v>
      </c>
      <c r="G22" s="189">
        <v>0</v>
      </c>
      <c r="H22" s="14">
        <v>0</v>
      </c>
      <c r="I22" s="14">
        <v>0</v>
      </c>
      <c r="J22" s="14">
        <v>0</v>
      </c>
      <c r="K22" s="14">
        <v>0</v>
      </c>
      <c r="L22" s="16">
        <v>289</v>
      </c>
      <c r="M22" s="16">
        <v>352</v>
      </c>
      <c r="N22" s="16">
        <v>79</v>
      </c>
      <c r="O22" s="14">
        <v>0</v>
      </c>
      <c r="P22" s="14">
        <v>0</v>
      </c>
      <c r="Q22" s="14">
        <v>0</v>
      </c>
      <c r="R22" s="14">
        <v>0</v>
      </c>
    </row>
    <row r="23" spans="1:18">
      <c r="A23" s="13">
        <v>1232775</v>
      </c>
      <c r="B23" s="14">
        <v>284</v>
      </c>
      <c r="C23" s="14">
        <v>0</v>
      </c>
      <c r="D23" s="14">
        <v>0</v>
      </c>
      <c r="E23" s="189">
        <v>0</v>
      </c>
      <c r="F23" s="189">
        <v>0</v>
      </c>
      <c r="G23" s="189">
        <v>0</v>
      </c>
      <c r="H23" s="14">
        <v>308</v>
      </c>
      <c r="I23" s="14">
        <v>242</v>
      </c>
      <c r="J23" s="14">
        <v>0</v>
      </c>
      <c r="K23" s="14">
        <v>0</v>
      </c>
      <c r="L23" s="16">
        <v>311</v>
      </c>
      <c r="M23" s="14">
        <v>100</v>
      </c>
      <c r="N23" s="14">
        <v>178</v>
      </c>
      <c r="O23" s="14">
        <v>435</v>
      </c>
      <c r="P23" s="14">
        <v>424</v>
      </c>
      <c r="Q23" s="14">
        <v>0</v>
      </c>
      <c r="R23" s="14">
        <v>0</v>
      </c>
    </row>
    <row r="24" spans="1:18">
      <c r="A24" s="13">
        <v>1238605</v>
      </c>
      <c r="B24" s="14">
        <v>122</v>
      </c>
      <c r="C24" s="14">
        <v>0</v>
      </c>
      <c r="D24" s="14">
        <v>0</v>
      </c>
      <c r="E24" s="189">
        <v>0</v>
      </c>
      <c r="F24" s="189">
        <v>0</v>
      </c>
      <c r="G24" s="189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92">
        <v>92</v>
      </c>
      <c r="N24" s="92">
        <v>189</v>
      </c>
      <c r="O24" s="92">
        <v>28</v>
      </c>
      <c r="P24" s="14">
        <v>0</v>
      </c>
      <c r="Q24" s="14">
        <v>0</v>
      </c>
      <c r="R24" s="14">
        <v>0</v>
      </c>
    </row>
    <row r="28" spans="1:18">
      <c r="A28" s="25" t="s">
        <v>0</v>
      </c>
      <c r="B28" s="14" t="s">
        <v>885</v>
      </c>
      <c r="C28" s="14" t="s">
        <v>886</v>
      </c>
      <c r="D28" s="14" t="s">
        <v>887</v>
      </c>
      <c r="E28" s="189" t="s">
        <v>888</v>
      </c>
      <c r="F28" s="189" t="s">
        <v>889</v>
      </c>
      <c r="G28" s="189" t="s">
        <v>890</v>
      </c>
      <c r="H28" s="14" t="s">
        <v>891</v>
      </c>
      <c r="I28" s="14" t="s">
        <v>892</v>
      </c>
      <c r="J28" s="14" t="s">
        <v>893</v>
      </c>
      <c r="K28" s="14" t="s">
        <v>894</v>
      </c>
      <c r="L28" s="14" t="s">
        <v>895</v>
      </c>
      <c r="M28" s="14" t="s">
        <v>896</v>
      </c>
      <c r="N28" s="14" t="s">
        <v>897</v>
      </c>
      <c r="O28" s="14" t="s">
        <v>898</v>
      </c>
      <c r="P28" s="14" t="s">
        <v>899</v>
      </c>
      <c r="Q28" s="14" t="s">
        <v>900</v>
      </c>
      <c r="R28" s="14" t="s">
        <v>901</v>
      </c>
    </row>
    <row r="29" spans="1:18">
      <c r="A29" s="13">
        <v>1220847</v>
      </c>
      <c r="B29" s="14">
        <v>0</v>
      </c>
      <c r="C29" s="14">
        <v>0</v>
      </c>
      <c r="D29" s="14">
        <v>0</v>
      </c>
      <c r="E29" s="189">
        <v>0</v>
      </c>
      <c r="F29" s="189">
        <v>0</v>
      </c>
      <c r="G29" s="189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260</v>
      </c>
      <c r="O29" s="14">
        <v>20</v>
      </c>
      <c r="P29" s="14">
        <v>0</v>
      </c>
      <c r="Q29" s="14">
        <v>0</v>
      </c>
      <c r="R29" s="14">
        <v>0</v>
      </c>
    </row>
    <row r="30" spans="1:18">
      <c r="A30" s="13">
        <v>1227359</v>
      </c>
      <c r="B30" s="14">
        <v>0</v>
      </c>
      <c r="C30" s="14">
        <v>0</v>
      </c>
      <c r="D30" s="14">
        <v>0</v>
      </c>
      <c r="E30" s="189">
        <v>0</v>
      </c>
      <c r="F30" s="189">
        <v>0</v>
      </c>
      <c r="G30" s="189">
        <v>0</v>
      </c>
      <c r="H30" s="14">
        <v>0</v>
      </c>
      <c r="I30" s="14">
        <v>290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</row>
    <row r="31" spans="1:18">
      <c r="A31" s="13">
        <v>1232066</v>
      </c>
      <c r="B31" s="14">
        <v>0</v>
      </c>
      <c r="C31" s="14">
        <v>0</v>
      </c>
      <c r="D31" s="14">
        <v>0</v>
      </c>
      <c r="E31" s="189">
        <v>0</v>
      </c>
      <c r="F31" s="189">
        <v>0</v>
      </c>
      <c r="G31" s="189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234</v>
      </c>
      <c r="Q31" s="14">
        <v>0</v>
      </c>
      <c r="R31" s="14">
        <v>0</v>
      </c>
    </row>
    <row r="32" spans="1:18">
      <c r="A32" s="13">
        <v>1234222</v>
      </c>
      <c r="B32" s="14">
        <v>0</v>
      </c>
      <c r="C32" s="14">
        <v>0</v>
      </c>
      <c r="D32" s="14">
        <v>0</v>
      </c>
      <c r="E32" s="189">
        <v>0</v>
      </c>
      <c r="F32" s="189">
        <v>0</v>
      </c>
      <c r="G32" s="189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306</v>
      </c>
      <c r="N32" s="14">
        <v>94</v>
      </c>
      <c r="O32" s="14">
        <v>0</v>
      </c>
      <c r="P32" s="14">
        <v>0</v>
      </c>
      <c r="Q32" s="14">
        <v>0</v>
      </c>
      <c r="R32" s="14">
        <v>0</v>
      </c>
    </row>
    <row r="33" spans="1:18">
      <c r="A33" s="13">
        <v>1232528</v>
      </c>
      <c r="B33" s="14">
        <v>539</v>
      </c>
      <c r="C33" s="14">
        <v>0</v>
      </c>
      <c r="D33" s="14">
        <v>0</v>
      </c>
      <c r="E33" s="189">
        <v>0</v>
      </c>
      <c r="F33" s="189">
        <v>0</v>
      </c>
      <c r="G33" s="189">
        <v>0</v>
      </c>
      <c r="H33" s="14">
        <v>539</v>
      </c>
      <c r="I33" s="14">
        <v>57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</row>
    <row r="34" spans="1:18">
      <c r="A34" s="13">
        <v>1229050</v>
      </c>
      <c r="B34" s="14">
        <v>0</v>
      </c>
      <c r="C34" s="14">
        <v>0</v>
      </c>
      <c r="D34" s="14">
        <v>0</v>
      </c>
      <c r="E34" s="189">
        <v>0</v>
      </c>
      <c r="F34" s="189">
        <v>0</v>
      </c>
      <c r="G34" s="189">
        <v>0</v>
      </c>
      <c r="H34" s="14">
        <v>0</v>
      </c>
      <c r="I34" s="14">
        <v>0</v>
      </c>
      <c r="J34" s="14">
        <v>0</v>
      </c>
      <c r="K34" s="14">
        <v>0</v>
      </c>
      <c r="L34" s="14">
        <v>185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</row>
    <row r="35" spans="1:18">
      <c r="A35" s="13">
        <v>1231090</v>
      </c>
      <c r="B35" s="14">
        <v>0</v>
      </c>
      <c r="C35" s="14">
        <v>0</v>
      </c>
      <c r="D35" s="14">
        <v>0</v>
      </c>
      <c r="E35" s="189">
        <v>0</v>
      </c>
      <c r="F35" s="189">
        <v>0</v>
      </c>
      <c r="G35" s="189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80</v>
      </c>
      <c r="O35" s="14">
        <v>0</v>
      </c>
      <c r="P35" s="14">
        <v>0</v>
      </c>
      <c r="Q35" s="14">
        <v>0</v>
      </c>
      <c r="R35" s="14">
        <v>0</v>
      </c>
    </row>
    <row r="36" spans="1:18">
      <c r="A36" s="13">
        <v>1235097</v>
      </c>
      <c r="B36" s="14">
        <v>0</v>
      </c>
      <c r="C36" s="14">
        <v>0</v>
      </c>
      <c r="D36" s="14">
        <v>0</v>
      </c>
      <c r="E36" s="189">
        <v>0</v>
      </c>
      <c r="F36" s="189">
        <v>0</v>
      </c>
      <c r="G36" s="189">
        <v>0</v>
      </c>
      <c r="H36" s="14">
        <v>0</v>
      </c>
      <c r="I36" s="14">
        <v>0</v>
      </c>
      <c r="J36" s="14">
        <v>0</v>
      </c>
      <c r="K36" s="14">
        <v>0</v>
      </c>
      <c r="L36" s="14">
        <v>118</v>
      </c>
      <c r="M36" s="14">
        <v>120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</row>
    <row r="37" spans="1:18">
      <c r="A37" s="13">
        <v>1235845</v>
      </c>
      <c r="B37" s="14">
        <v>0</v>
      </c>
      <c r="C37" s="14">
        <v>0</v>
      </c>
      <c r="D37" s="14">
        <v>0</v>
      </c>
      <c r="E37" s="189">
        <v>0</v>
      </c>
      <c r="F37" s="189">
        <v>0</v>
      </c>
      <c r="G37" s="189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137</v>
      </c>
      <c r="Q37" s="14">
        <v>0</v>
      </c>
      <c r="R37" s="14">
        <v>0</v>
      </c>
    </row>
    <row r="38" spans="1:18">
      <c r="A38" s="13">
        <v>1236600</v>
      </c>
      <c r="B38" s="14">
        <v>0</v>
      </c>
      <c r="C38" s="14">
        <v>0</v>
      </c>
      <c r="D38" s="14">
        <v>0</v>
      </c>
      <c r="E38" s="189">
        <v>0</v>
      </c>
      <c r="F38" s="189">
        <v>0</v>
      </c>
      <c r="G38" s="189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419</v>
      </c>
      <c r="O38" s="14">
        <v>426</v>
      </c>
      <c r="P38" s="14">
        <v>0</v>
      </c>
      <c r="Q38" s="14">
        <v>0</v>
      </c>
      <c r="R38" s="14">
        <v>0</v>
      </c>
    </row>
    <row r="39" spans="1:18">
      <c r="A39" s="13">
        <v>1236601</v>
      </c>
      <c r="B39" s="14">
        <v>0</v>
      </c>
      <c r="C39" s="14">
        <v>0</v>
      </c>
      <c r="D39" s="14">
        <v>0</v>
      </c>
      <c r="E39" s="189">
        <v>0</v>
      </c>
      <c r="F39" s="189">
        <v>0</v>
      </c>
      <c r="G39" s="189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41</v>
      </c>
      <c r="P39" s="14">
        <v>82</v>
      </c>
      <c r="Q39" s="14">
        <v>0</v>
      </c>
      <c r="R39" s="14">
        <v>0</v>
      </c>
    </row>
    <row r="40" spans="1:18">
      <c r="A40" s="13">
        <v>1236930</v>
      </c>
      <c r="B40" s="14">
        <v>120</v>
      </c>
      <c r="C40" s="14">
        <v>0</v>
      </c>
      <c r="D40" s="14">
        <v>0</v>
      </c>
      <c r="E40" s="189">
        <v>0</v>
      </c>
      <c r="F40" s="189">
        <v>0</v>
      </c>
      <c r="G40" s="189">
        <v>0</v>
      </c>
      <c r="H40" s="14">
        <v>273</v>
      </c>
      <c r="I40" s="14">
        <v>40</v>
      </c>
      <c r="J40" s="14">
        <v>0</v>
      </c>
      <c r="K40" s="14">
        <v>0</v>
      </c>
      <c r="L40" s="14">
        <v>0</v>
      </c>
      <c r="M40" s="14">
        <v>100</v>
      </c>
      <c r="N40" s="14">
        <v>330</v>
      </c>
      <c r="O40" s="14">
        <v>401</v>
      </c>
      <c r="P40" s="14">
        <v>228</v>
      </c>
      <c r="Q40" s="14">
        <v>0</v>
      </c>
      <c r="R40" s="14">
        <v>0</v>
      </c>
    </row>
    <row r="41" spans="1:18">
      <c r="A41" s="13">
        <v>1237468</v>
      </c>
      <c r="B41" s="14">
        <v>0</v>
      </c>
      <c r="C41" s="14">
        <v>0</v>
      </c>
      <c r="D41" s="14">
        <v>0</v>
      </c>
      <c r="E41" s="189">
        <v>0</v>
      </c>
      <c r="F41" s="189">
        <v>0</v>
      </c>
      <c r="G41" s="189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64</v>
      </c>
      <c r="P41" s="14">
        <v>0</v>
      </c>
      <c r="Q41" s="14">
        <v>0</v>
      </c>
      <c r="R41" s="14">
        <v>0</v>
      </c>
    </row>
    <row r="42" spans="1:18">
      <c r="A42" s="13">
        <v>1237210</v>
      </c>
      <c r="B42" s="14">
        <v>0</v>
      </c>
      <c r="C42" s="14">
        <v>0</v>
      </c>
      <c r="D42" s="14">
        <v>0</v>
      </c>
      <c r="E42" s="189">
        <v>0</v>
      </c>
      <c r="F42" s="189">
        <v>0</v>
      </c>
      <c r="G42" s="189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375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</row>
    <row r="43" spans="1:18">
      <c r="A43" s="13">
        <v>1232775</v>
      </c>
      <c r="B43" s="14">
        <v>0</v>
      </c>
      <c r="C43" s="14">
        <v>0</v>
      </c>
      <c r="D43" s="14">
        <v>0</v>
      </c>
      <c r="E43" s="189">
        <v>0</v>
      </c>
      <c r="F43" s="189">
        <v>0</v>
      </c>
      <c r="G43" s="189">
        <v>0</v>
      </c>
      <c r="H43" s="14">
        <v>480</v>
      </c>
      <c r="I43" s="14">
        <v>480</v>
      </c>
      <c r="J43" s="14">
        <v>0</v>
      </c>
      <c r="K43" s="14">
        <v>0</v>
      </c>
      <c r="L43" s="14">
        <v>473</v>
      </c>
      <c r="M43" s="14">
        <v>47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</row>
    <row r="44" spans="1:18">
      <c r="A44" s="13">
        <v>1234905</v>
      </c>
      <c r="B44" s="14">
        <v>0</v>
      </c>
      <c r="C44" s="14">
        <v>0</v>
      </c>
      <c r="D44" s="14">
        <v>0</v>
      </c>
      <c r="E44" s="189">
        <v>0</v>
      </c>
      <c r="F44" s="189">
        <v>0</v>
      </c>
      <c r="G44" s="189">
        <v>0</v>
      </c>
      <c r="H44" s="14">
        <v>286</v>
      </c>
      <c r="I44" s="14">
        <v>311</v>
      </c>
      <c r="J44" s="14">
        <v>0</v>
      </c>
      <c r="K44" s="14">
        <v>0</v>
      </c>
      <c r="L44" s="14">
        <v>311</v>
      </c>
      <c r="M44" s="14">
        <v>24</v>
      </c>
      <c r="N44" s="14">
        <v>0</v>
      </c>
      <c r="O44" s="14">
        <v>0</v>
      </c>
      <c r="P44" s="14">
        <v>224</v>
      </c>
      <c r="Q44" s="14">
        <v>0</v>
      </c>
      <c r="R44" s="14">
        <v>0</v>
      </c>
    </row>
    <row r="45" spans="1:18">
      <c r="A45" s="13">
        <v>1238480</v>
      </c>
      <c r="B45" s="14">
        <v>1182</v>
      </c>
      <c r="C45" s="14">
        <v>0</v>
      </c>
      <c r="D45" s="14">
        <v>0</v>
      </c>
      <c r="E45" s="189">
        <v>0</v>
      </c>
      <c r="F45" s="189">
        <v>0</v>
      </c>
      <c r="G45" s="189">
        <v>0</v>
      </c>
      <c r="H45" s="14">
        <v>1019</v>
      </c>
      <c r="I45" s="14">
        <v>1564</v>
      </c>
      <c r="J45" s="14">
        <v>0</v>
      </c>
      <c r="K45" s="14">
        <v>0</v>
      </c>
      <c r="L45" s="14">
        <v>1669</v>
      </c>
      <c r="M45" s="14">
        <v>1538</v>
      </c>
      <c r="N45" s="14">
        <v>603</v>
      </c>
      <c r="O45" s="14">
        <v>772</v>
      </c>
      <c r="P45" s="14">
        <v>977</v>
      </c>
      <c r="Q45" s="14">
        <v>0</v>
      </c>
      <c r="R45" s="14">
        <v>0</v>
      </c>
    </row>
    <row r="46" spans="1:18">
      <c r="A46" s="13">
        <v>1238453</v>
      </c>
      <c r="B46" s="14">
        <v>0</v>
      </c>
      <c r="C46" s="14">
        <v>0</v>
      </c>
      <c r="D46" s="14">
        <v>0</v>
      </c>
      <c r="E46" s="189">
        <v>0</v>
      </c>
      <c r="F46" s="189">
        <v>0</v>
      </c>
      <c r="G46" s="189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40</v>
      </c>
      <c r="P46" s="14">
        <v>0</v>
      </c>
      <c r="Q46" s="14">
        <v>0</v>
      </c>
      <c r="R46" s="14">
        <v>0</v>
      </c>
    </row>
    <row r="47" spans="1:18">
      <c r="A47" s="13">
        <v>1240180</v>
      </c>
      <c r="B47" s="14">
        <v>211</v>
      </c>
      <c r="C47" s="14">
        <v>0</v>
      </c>
      <c r="D47" s="14">
        <v>0</v>
      </c>
      <c r="E47" s="189">
        <v>0</v>
      </c>
      <c r="F47" s="189">
        <v>0</v>
      </c>
      <c r="G47" s="189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286</v>
      </c>
      <c r="N47" s="14">
        <v>251</v>
      </c>
      <c r="O47" s="14">
        <v>173</v>
      </c>
      <c r="P47" s="14">
        <v>0</v>
      </c>
      <c r="Q47" s="14">
        <v>0</v>
      </c>
      <c r="R47" s="14">
        <v>0</v>
      </c>
    </row>
    <row r="48" spans="1:18">
      <c r="A48" s="13">
        <v>1240184</v>
      </c>
      <c r="B48" s="14">
        <v>211</v>
      </c>
      <c r="C48" s="14">
        <v>0</v>
      </c>
      <c r="D48" s="14">
        <v>0</v>
      </c>
      <c r="E48" s="189">
        <v>0</v>
      </c>
      <c r="F48" s="189">
        <v>0</v>
      </c>
      <c r="G48" s="189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286</v>
      </c>
      <c r="N48" s="14">
        <v>251</v>
      </c>
      <c r="O48" s="14">
        <v>173</v>
      </c>
      <c r="P48" s="14">
        <v>0</v>
      </c>
      <c r="Q48" s="14">
        <v>0</v>
      </c>
      <c r="R48" s="14">
        <v>0</v>
      </c>
    </row>
    <row r="49" spans="1:18">
      <c r="A49" s="13">
        <v>1216452</v>
      </c>
      <c r="B49" s="14">
        <v>0</v>
      </c>
      <c r="C49" s="14">
        <v>0</v>
      </c>
      <c r="D49" s="14">
        <v>0</v>
      </c>
      <c r="E49" s="189">
        <v>0</v>
      </c>
      <c r="F49" s="189">
        <v>0</v>
      </c>
      <c r="G49" s="189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385</v>
      </c>
      <c r="N49" s="14">
        <v>115</v>
      </c>
      <c r="O49" s="14">
        <v>0</v>
      </c>
      <c r="P49" s="14">
        <v>0</v>
      </c>
      <c r="Q49" s="14">
        <v>0</v>
      </c>
      <c r="R49" s="14">
        <v>0</v>
      </c>
    </row>
  </sheetData>
  <autoFilter ref="A1:R15" xr:uid="{ECBA9A01-343E-4D49-AF57-8041059C8775}"/>
  <phoneticPr fontId="1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2911-077C-43DC-9981-2B2706B775C8}">
  <dimension ref="A1:Y67"/>
  <sheetViews>
    <sheetView topLeftCell="A4" zoomScale="130" zoomScaleNormal="130" workbookViewId="0">
      <selection activeCell="K8" sqref="K8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25" width="9.33203125" style="9"/>
    <col min="26" max="16384" width="9.33203125" style="5"/>
  </cols>
  <sheetData>
    <row r="1" spans="1:19">
      <c r="A1" s="5" t="s">
        <v>0</v>
      </c>
      <c r="B1" s="9" t="s">
        <v>842</v>
      </c>
      <c r="C1" s="9" t="s">
        <v>843</v>
      </c>
      <c r="D1" s="9" t="s">
        <v>844</v>
      </c>
      <c r="E1" s="9" t="s">
        <v>845</v>
      </c>
      <c r="F1" s="9" t="s">
        <v>850</v>
      </c>
      <c r="G1" s="18" t="s">
        <v>851</v>
      </c>
      <c r="H1" s="9" t="s">
        <v>852</v>
      </c>
      <c r="I1" s="9" t="s">
        <v>853</v>
      </c>
      <c r="J1" s="9" t="s">
        <v>854</v>
      </c>
      <c r="K1" s="9" t="s">
        <v>855</v>
      </c>
      <c r="L1" s="9" t="s">
        <v>856</v>
      </c>
      <c r="M1" s="9" t="s">
        <v>878</v>
      </c>
      <c r="N1" s="9" t="s">
        <v>879</v>
      </c>
      <c r="O1" s="9" t="s">
        <v>880</v>
      </c>
      <c r="P1" s="9" t="s">
        <v>884</v>
      </c>
      <c r="Q1" s="9" t="s">
        <v>883</v>
      </c>
      <c r="R1" s="9" t="s">
        <v>882</v>
      </c>
      <c r="S1" s="9" t="s">
        <v>881</v>
      </c>
    </row>
    <row r="2" spans="1:19">
      <c r="A2" s="26">
        <v>1226384</v>
      </c>
      <c r="B2" s="105">
        <v>0</v>
      </c>
      <c r="C2" s="105">
        <v>0</v>
      </c>
      <c r="D2" s="105">
        <v>0</v>
      </c>
      <c r="E2" s="105">
        <v>0</v>
      </c>
      <c r="F2" s="105">
        <v>0</v>
      </c>
      <c r="G2" s="105">
        <v>0</v>
      </c>
      <c r="H2" s="105">
        <v>0</v>
      </c>
      <c r="I2" s="105">
        <v>0</v>
      </c>
      <c r="J2" s="105">
        <v>0</v>
      </c>
      <c r="K2" s="105">
        <v>0</v>
      </c>
      <c r="L2" s="105">
        <v>0</v>
      </c>
      <c r="M2" s="105">
        <v>0</v>
      </c>
      <c r="N2" s="105">
        <v>200</v>
      </c>
      <c r="O2" s="105">
        <v>200</v>
      </c>
      <c r="P2" s="105">
        <v>660</v>
      </c>
      <c r="Q2" s="105">
        <v>0</v>
      </c>
      <c r="R2" s="105">
        <v>0</v>
      </c>
      <c r="S2" s="105">
        <v>0</v>
      </c>
    </row>
    <row r="3" spans="1:19">
      <c r="A3" s="28">
        <v>1226388</v>
      </c>
      <c r="B3" s="105">
        <v>0</v>
      </c>
      <c r="C3" s="105">
        <v>0</v>
      </c>
      <c r="D3" s="105">
        <v>0</v>
      </c>
      <c r="E3" s="105">
        <v>0</v>
      </c>
      <c r="F3" s="105">
        <v>0</v>
      </c>
      <c r="G3" s="105">
        <v>0</v>
      </c>
      <c r="H3" s="105">
        <v>0</v>
      </c>
      <c r="I3" s="105">
        <v>0</v>
      </c>
      <c r="J3" s="105">
        <v>0</v>
      </c>
      <c r="K3" s="105">
        <v>0</v>
      </c>
      <c r="L3" s="105">
        <v>0</v>
      </c>
      <c r="M3" s="105">
        <v>0</v>
      </c>
      <c r="N3" s="105">
        <v>200</v>
      </c>
      <c r="O3" s="105">
        <v>200</v>
      </c>
      <c r="P3" s="105">
        <v>660</v>
      </c>
      <c r="Q3" s="105">
        <v>0</v>
      </c>
      <c r="R3" s="105">
        <v>0</v>
      </c>
      <c r="S3" s="105">
        <v>0</v>
      </c>
    </row>
    <row r="4" spans="1:19">
      <c r="A4" s="28">
        <v>1229673</v>
      </c>
      <c r="B4" s="105">
        <v>0</v>
      </c>
      <c r="C4" s="105">
        <v>0</v>
      </c>
      <c r="D4" s="105">
        <v>0</v>
      </c>
      <c r="E4" s="105">
        <v>0</v>
      </c>
      <c r="F4" s="105">
        <v>300</v>
      </c>
      <c r="G4" s="105">
        <v>0</v>
      </c>
      <c r="H4" s="105">
        <v>0</v>
      </c>
      <c r="I4" s="105">
        <v>0</v>
      </c>
      <c r="J4" s="105">
        <v>0</v>
      </c>
      <c r="K4" s="105">
        <v>0</v>
      </c>
      <c r="L4" s="105">
        <v>0</v>
      </c>
      <c r="M4" s="105">
        <v>0</v>
      </c>
      <c r="N4" s="105">
        <v>300</v>
      </c>
      <c r="O4" s="105">
        <v>200</v>
      </c>
      <c r="P4" s="105">
        <v>200</v>
      </c>
      <c r="Q4" s="105">
        <v>200</v>
      </c>
      <c r="R4" s="105">
        <v>0</v>
      </c>
      <c r="S4" s="105">
        <v>0</v>
      </c>
    </row>
    <row r="5" spans="1:19">
      <c r="A5" s="28">
        <v>1230854</v>
      </c>
      <c r="B5" s="105">
        <v>0</v>
      </c>
      <c r="C5" s="105">
        <v>0</v>
      </c>
      <c r="D5" s="105">
        <v>0</v>
      </c>
      <c r="E5" s="105">
        <v>0</v>
      </c>
      <c r="F5" s="105">
        <v>0</v>
      </c>
      <c r="G5" s="106">
        <v>100</v>
      </c>
      <c r="H5" s="105">
        <v>0</v>
      </c>
      <c r="I5" s="105">
        <v>0</v>
      </c>
      <c r="J5" s="105">
        <v>0</v>
      </c>
      <c r="K5" s="105">
        <v>0</v>
      </c>
      <c r="L5" s="105">
        <v>0</v>
      </c>
      <c r="M5" s="105">
        <v>0</v>
      </c>
      <c r="N5" s="105">
        <v>0</v>
      </c>
      <c r="O5" s="105">
        <v>0</v>
      </c>
      <c r="P5" s="105">
        <v>0</v>
      </c>
      <c r="Q5" s="105">
        <v>0</v>
      </c>
      <c r="R5" s="105">
        <v>0</v>
      </c>
      <c r="S5" s="105">
        <v>0</v>
      </c>
    </row>
    <row r="6" spans="1:19">
      <c r="A6" s="28">
        <v>1237088</v>
      </c>
      <c r="B6" s="105">
        <v>1406</v>
      </c>
      <c r="C6" s="105">
        <v>684</v>
      </c>
      <c r="D6" s="105">
        <v>0</v>
      </c>
      <c r="E6" s="105">
        <v>0</v>
      </c>
      <c r="F6" s="105">
        <v>644</v>
      </c>
      <c r="G6" s="106">
        <v>394</v>
      </c>
      <c r="H6" s="105">
        <v>424</v>
      </c>
      <c r="I6" s="105">
        <v>1556</v>
      </c>
      <c r="J6" s="105">
        <v>1356</v>
      </c>
      <c r="K6" s="105">
        <v>0</v>
      </c>
      <c r="L6" s="105">
        <v>0</v>
      </c>
      <c r="M6" s="105">
        <v>0</v>
      </c>
      <c r="N6" s="105">
        <v>774</v>
      </c>
      <c r="O6" s="105">
        <v>248</v>
      </c>
      <c r="P6" s="105">
        <v>746</v>
      </c>
      <c r="Q6" s="105">
        <v>944</v>
      </c>
      <c r="R6" s="105">
        <v>0</v>
      </c>
      <c r="S6" s="105">
        <v>0</v>
      </c>
    </row>
    <row r="7" spans="1:19">
      <c r="A7" s="28">
        <v>1237748</v>
      </c>
      <c r="B7" s="105">
        <v>0</v>
      </c>
      <c r="C7" s="105">
        <v>0</v>
      </c>
      <c r="D7" s="105">
        <v>0</v>
      </c>
      <c r="E7" s="105">
        <v>0</v>
      </c>
      <c r="F7" s="105">
        <v>0</v>
      </c>
      <c r="G7" s="105">
        <v>0</v>
      </c>
      <c r="H7" s="105">
        <v>0</v>
      </c>
      <c r="I7" s="105">
        <v>558</v>
      </c>
      <c r="J7" s="105">
        <v>456</v>
      </c>
      <c r="K7" s="105">
        <v>0</v>
      </c>
      <c r="L7" s="105">
        <v>0</v>
      </c>
      <c r="M7" s="105">
        <v>0</v>
      </c>
      <c r="N7" s="105">
        <v>78</v>
      </c>
      <c r="O7" s="105">
        <v>0</v>
      </c>
      <c r="P7" s="105">
        <v>0</v>
      </c>
      <c r="Q7" s="105">
        <v>0</v>
      </c>
      <c r="R7" s="105">
        <v>0</v>
      </c>
      <c r="S7" s="105">
        <v>0</v>
      </c>
    </row>
    <row r="8" spans="1:19">
      <c r="A8" s="28">
        <v>1236091</v>
      </c>
      <c r="B8" s="105">
        <v>0</v>
      </c>
      <c r="C8" s="105">
        <v>0</v>
      </c>
      <c r="D8" s="105">
        <v>0</v>
      </c>
      <c r="E8" s="105">
        <v>0</v>
      </c>
      <c r="F8" s="105">
        <v>0</v>
      </c>
      <c r="G8" s="105">
        <v>0</v>
      </c>
      <c r="H8" s="105">
        <v>100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5">
        <v>0</v>
      </c>
      <c r="O8" s="105">
        <v>0</v>
      </c>
      <c r="P8" s="105">
        <v>0</v>
      </c>
      <c r="Q8" s="105">
        <v>0</v>
      </c>
      <c r="R8" s="105">
        <v>0</v>
      </c>
      <c r="S8" s="105">
        <v>0</v>
      </c>
    </row>
    <row r="9" spans="1:19">
      <c r="A9" s="28">
        <v>1238128</v>
      </c>
      <c r="B9" s="105">
        <v>378</v>
      </c>
      <c r="C9" s="105">
        <v>378</v>
      </c>
      <c r="D9" s="105">
        <v>0</v>
      </c>
      <c r="E9" s="105">
        <v>0</v>
      </c>
      <c r="F9" s="105">
        <v>378</v>
      </c>
      <c r="G9" s="106">
        <v>490</v>
      </c>
      <c r="H9" s="105">
        <v>698</v>
      </c>
      <c r="I9" s="105">
        <v>529</v>
      </c>
      <c r="J9" s="105">
        <v>312</v>
      </c>
      <c r="K9" s="105">
        <v>0</v>
      </c>
      <c r="L9" s="105">
        <v>0</v>
      </c>
      <c r="M9" s="105">
        <v>0</v>
      </c>
      <c r="N9" s="105">
        <v>562</v>
      </c>
      <c r="O9" s="105">
        <v>464</v>
      </c>
      <c r="P9" s="105">
        <v>590</v>
      </c>
      <c r="Q9" s="105">
        <v>464</v>
      </c>
      <c r="R9" s="105">
        <v>0</v>
      </c>
      <c r="S9" s="105">
        <v>0</v>
      </c>
    </row>
    <row r="10" spans="1:19">
      <c r="A10" s="28">
        <v>1236962</v>
      </c>
      <c r="B10" s="105">
        <v>0</v>
      </c>
      <c r="C10" s="105">
        <v>0</v>
      </c>
      <c r="D10" s="105">
        <v>0</v>
      </c>
      <c r="E10" s="105">
        <v>0</v>
      </c>
      <c r="F10" s="105">
        <v>398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5">
        <v>0</v>
      </c>
      <c r="O10" s="105">
        <v>300</v>
      </c>
      <c r="P10" s="105">
        <v>200</v>
      </c>
      <c r="Q10" s="105">
        <v>200</v>
      </c>
      <c r="R10" s="105">
        <v>0</v>
      </c>
      <c r="S10" s="105">
        <v>0</v>
      </c>
    </row>
    <row r="11" spans="1:19">
      <c r="A11" s="28">
        <v>1239651</v>
      </c>
      <c r="B11" s="105">
        <v>0</v>
      </c>
      <c r="C11" s="105">
        <v>0</v>
      </c>
      <c r="D11" s="105">
        <v>0</v>
      </c>
      <c r="E11" s="105">
        <v>0</v>
      </c>
      <c r="F11" s="105">
        <v>0</v>
      </c>
      <c r="G11" s="106">
        <v>500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5">
        <v>200</v>
      </c>
      <c r="O11" s="105">
        <v>0</v>
      </c>
      <c r="P11" s="105">
        <v>0</v>
      </c>
      <c r="Q11" s="105">
        <v>0</v>
      </c>
      <c r="R11" s="105">
        <v>0</v>
      </c>
      <c r="S11" s="105">
        <v>0</v>
      </c>
    </row>
    <row r="12" spans="1:19">
      <c r="A12" s="28">
        <v>1239988</v>
      </c>
      <c r="B12" s="105">
        <v>356</v>
      </c>
      <c r="C12" s="105">
        <v>294</v>
      </c>
      <c r="D12" s="105">
        <v>0</v>
      </c>
      <c r="E12" s="105">
        <v>0</v>
      </c>
      <c r="F12" s="105">
        <v>284</v>
      </c>
      <c r="G12" s="106">
        <v>442</v>
      </c>
      <c r="H12" s="105">
        <v>0</v>
      </c>
      <c r="I12" s="105">
        <v>0</v>
      </c>
      <c r="J12" s="105">
        <v>0</v>
      </c>
      <c r="K12" s="105">
        <v>0</v>
      </c>
      <c r="L12" s="105">
        <v>0</v>
      </c>
      <c r="M12" s="105">
        <v>0</v>
      </c>
      <c r="N12" s="105">
        <v>442</v>
      </c>
      <c r="O12" s="105">
        <v>44</v>
      </c>
      <c r="P12" s="105">
        <v>0</v>
      </c>
      <c r="Q12" s="105">
        <v>0</v>
      </c>
      <c r="R12" s="105">
        <v>0</v>
      </c>
      <c r="S12" s="105">
        <v>0</v>
      </c>
    </row>
    <row r="13" spans="1:19">
      <c r="A13" s="28">
        <v>1240180</v>
      </c>
      <c r="B13" s="105">
        <v>0</v>
      </c>
      <c r="C13" s="105">
        <v>34</v>
      </c>
      <c r="D13" s="105">
        <v>0</v>
      </c>
      <c r="E13" s="105">
        <v>0</v>
      </c>
      <c r="F13" s="105">
        <v>68</v>
      </c>
      <c r="G13" s="106">
        <v>358</v>
      </c>
      <c r="H13" s="105">
        <v>224</v>
      </c>
      <c r="I13" s="105">
        <v>0</v>
      </c>
      <c r="J13" s="105">
        <v>0</v>
      </c>
      <c r="K13" s="105">
        <v>0</v>
      </c>
      <c r="L13" s="105">
        <v>0</v>
      </c>
      <c r="M13" s="105">
        <v>0</v>
      </c>
      <c r="N13" s="105">
        <v>0</v>
      </c>
      <c r="O13" s="105">
        <v>270</v>
      </c>
      <c r="P13" s="105">
        <v>410</v>
      </c>
      <c r="Q13" s="105">
        <v>322</v>
      </c>
      <c r="R13" s="105">
        <v>0</v>
      </c>
      <c r="S13" s="105">
        <v>0</v>
      </c>
    </row>
    <row r="14" spans="1:19">
      <c r="A14" s="28">
        <v>1240184</v>
      </c>
      <c r="B14" s="105">
        <v>0</v>
      </c>
      <c r="C14" s="105">
        <v>34</v>
      </c>
      <c r="D14" s="105">
        <v>0</v>
      </c>
      <c r="E14" s="105">
        <v>0</v>
      </c>
      <c r="F14" s="105">
        <v>68</v>
      </c>
      <c r="G14" s="106">
        <v>358</v>
      </c>
      <c r="H14" s="105">
        <v>124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270</v>
      </c>
      <c r="P14" s="105">
        <v>410</v>
      </c>
      <c r="Q14" s="105">
        <v>322</v>
      </c>
      <c r="R14" s="105">
        <v>0</v>
      </c>
      <c r="S14" s="105">
        <v>0</v>
      </c>
    </row>
    <row r="15" spans="1:19">
      <c r="A15" s="28">
        <v>1240308</v>
      </c>
      <c r="B15" s="105">
        <v>0</v>
      </c>
      <c r="C15" s="105">
        <v>300</v>
      </c>
      <c r="D15" s="105">
        <v>0</v>
      </c>
      <c r="E15" s="105">
        <v>0</v>
      </c>
      <c r="F15" s="105">
        <v>450</v>
      </c>
      <c r="G15" s="105">
        <v>0</v>
      </c>
      <c r="H15" s="105">
        <v>280</v>
      </c>
      <c r="I15" s="105">
        <v>300</v>
      </c>
      <c r="J15" s="105">
        <v>0</v>
      </c>
      <c r="K15" s="105">
        <v>0</v>
      </c>
      <c r="L15" s="105">
        <v>0</v>
      </c>
      <c r="M15" s="105">
        <v>0</v>
      </c>
      <c r="N15" s="105">
        <v>150</v>
      </c>
      <c r="O15" s="105">
        <v>300</v>
      </c>
      <c r="P15" s="105">
        <v>0</v>
      </c>
      <c r="Q15" s="105">
        <v>0</v>
      </c>
      <c r="R15" s="105">
        <v>0</v>
      </c>
      <c r="S15" s="105">
        <v>0</v>
      </c>
    </row>
    <row r="16" spans="1:19">
      <c r="A16" s="28">
        <v>1241601</v>
      </c>
      <c r="B16" s="105">
        <v>670</v>
      </c>
      <c r="C16" s="105">
        <v>952</v>
      </c>
      <c r="D16" s="105">
        <v>0</v>
      </c>
      <c r="E16" s="105">
        <v>0</v>
      </c>
      <c r="F16" s="105">
        <v>1000</v>
      </c>
      <c r="G16" s="106">
        <v>764</v>
      </c>
      <c r="H16" s="105">
        <v>566</v>
      </c>
      <c r="I16" s="105">
        <v>1318</v>
      </c>
      <c r="J16" s="105">
        <v>1014</v>
      </c>
      <c r="K16" s="105">
        <v>0</v>
      </c>
      <c r="L16" s="105">
        <v>0</v>
      </c>
      <c r="M16" s="105">
        <v>0</v>
      </c>
      <c r="N16" s="105">
        <v>1528</v>
      </c>
      <c r="O16" s="105">
        <v>1200</v>
      </c>
      <c r="P16" s="105">
        <v>1528</v>
      </c>
      <c r="Q16" s="105">
        <v>1200</v>
      </c>
      <c r="R16" s="105">
        <v>0</v>
      </c>
      <c r="S16" s="105">
        <v>0</v>
      </c>
    </row>
    <row r="19" spans="1:25">
      <c r="A19" s="5" t="s">
        <v>0</v>
      </c>
      <c r="B19" s="9" t="s">
        <v>842</v>
      </c>
      <c r="C19" s="9" t="s">
        <v>843</v>
      </c>
      <c r="D19" s="9" t="s">
        <v>844</v>
      </c>
      <c r="E19" s="9" t="s">
        <v>845</v>
      </c>
      <c r="F19" s="9" t="s">
        <v>850</v>
      </c>
      <c r="G19" s="9" t="s">
        <v>851</v>
      </c>
      <c r="H19" s="9" t="s">
        <v>852</v>
      </c>
      <c r="I19" s="9" t="s">
        <v>853</v>
      </c>
      <c r="J19" s="9" t="s">
        <v>854</v>
      </c>
      <c r="K19" s="9" t="s">
        <v>855</v>
      </c>
      <c r="L19" s="9" t="s">
        <v>856</v>
      </c>
      <c r="M19" s="9" t="s">
        <v>878</v>
      </c>
      <c r="N19" s="9" t="s">
        <v>879</v>
      </c>
      <c r="O19" s="9" t="s">
        <v>880</v>
      </c>
      <c r="P19" s="9" t="s">
        <v>884</v>
      </c>
      <c r="Q19" s="9" t="s">
        <v>883</v>
      </c>
      <c r="R19" s="9" t="s">
        <v>882</v>
      </c>
      <c r="S19" s="9" t="s">
        <v>881</v>
      </c>
    </row>
    <row r="20" spans="1:25">
      <c r="A20" s="5">
        <v>1232846</v>
      </c>
      <c r="B20" s="9">
        <v>0</v>
      </c>
      <c r="C20" s="9">
        <v>0</v>
      </c>
      <c r="D20" s="9">
        <v>0</v>
      </c>
      <c r="E20" s="9">
        <v>0</v>
      </c>
      <c r="F20" s="9">
        <v>289</v>
      </c>
      <c r="G20" s="9">
        <v>352</v>
      </c>
      <c r="H20" s="9">
        <v>79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</row>
    <row r="21" spans="1:25">
      <c r="A21" s="5">
        <v>1232895</v>
      </c>
      <c r="B21" s="9">
        <v>0</v>
      </c>
      <c r="C21" s="9">
        <v>0</v>
      </c>
      <c r="D21" s="9">
        <v>0</v>
      </c>
      <c r="E21" s="9">
        <v>0</v>
      </c>
      <c r="F21" s="98">
        <v>289</v>
      </c>
      <c r="G21" s="98">
        <v>352</v>
      </c>
      <c r="H21" s="98">
        <v>79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</row>
    <row r="22" spans="1:25">
      <c r="A22" s="5">
        <v>1233384</v>
      </c>
      <c r="B22" s="9">
        <v>0</v>
      </c>
      <c r="C22" s="9">
        <v>0</v>
      </c>
      <c r="D22" s="9">
        <v>0</v>
      </c>
      <c r="E22" s="9">
        <v>0</v>
      </c>
      <c r="F22" s="98">
        <v>289</v>
      </c>
      <c r="G22" s="98">
        <v>352</v>
      </c>
      <c r="H22" s="98">
        <v>79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</row>
    <row r="23" spans="1:25">
      <c r="A23" s="5">
        <v>1232775</v>
      </c>
      <c r="B23" s="9">
        <v>308</v>
      </c>
      <c r="C23" s="9">
        <v>242</v>
      </c>
      <c r="D23" s="9">
        <v>0</v>
      </c>
      <c r="E23" s="9">
        <v>0</v>
      </c>
      <c r="F23" s="98">
        <v>311</v>
      </c>
      <c r="G23" s="98">
        <v>100</v>
      </c>
      <c r="H23" s="98">
        <v>178</v>
      </c>
      <c r="I23" s="9">
        <v>435</v>
      </c>
      <c r="J23" s="9">
        <v>424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</row>
    <row r="24" spans="1:25">
      <c r="A24" s="5">
        <v>1238605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8">
        <v>92</v>
      </c>
      <c r="H24" s="98">
        <v>189</v>
      </c>
      <c r="I24" s="98">
        <v>28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</row>
    <row r="28" spans="1:25">
      <c r="A28" s="5" t="s">
        <v>0</v>
      </c>
      <c r="B28" s="9" t="s">
        <v>842</v>
      </c>
      <c r="C28" s="9" t="s">
        <v>843</v>
      </c>
      <c r="D28" s="9" t="s">
        <v>844</v>
      </c>
      <c r="E28" s="9" t="s">
        <v>845</v>
      </c>
      <c r="F28" s="9" t="s">
        <v>850</v>
      </c>
      <c r="G28" s="9" t="s">
        <v>851</v>
      </c>
      <c r="H28" s="9" t="s">
        <v>852</v>
      </c>
      <c r="I28" s="9" t="s">
        <v>853</v>
      </c>
      <c r="J28" s="9" t="s">
        <v>854</v>
      </c>
      <c r="K28" s="9" t="s">
        <v>855</v>
      </c>
      <c r="L28" s="9" t="s">
        <v>856</v>
      </c>
      <c r="M28" s="9" t="s">
        <v>878</v>
      </c>
      <c r="N28" s="9" t="s">
        <v>879</v>
      </c>
      <c r="O28" s="9" t="s">
        <v>880</v>
      </c>
      <c r="P28" s="9" t="s">
        <v>884</v>
      </c>
      <c r="Q28" s="9" t="s">
        <v>883</v>
      </c>
      <c r="R28" s="9" t="s">
        <v>882</v>
      </c>
      <c r="S28" s="9" t="s">
        <v>881</v>
      </c>
    </row>
    <row r="29" spans="1:25" s="20" customFormat="1">
      <c r="A29" s="20">
        <v>1220847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260</v>
      </c>
      <c r="I29" s="10">
        <v>20</v>
      </c>
      <c r="J29" s="10">
        <v>0</v>
      </c>
      <c r="K29" s="10">
        <v>0</v>
      </c>
      <c r="L29" s="10">
        <v>0</v>
      </c>
      <c r="M29" s="10">
        <v>0</v>
      </c>
      <c r="N29" s="10">
        <v>3150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/>
      <c r="U29" s="10"/>
      <c r="V29" s="10"/>
      <c r="W29" s="10"/>
      <c r="X29" s="10"/>
      <c r="Y29" s="10"/>
    </row>
    <row r="30" spans="1:25">
      <c r="A30" s="5">
        <v>1227306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1100</v>
      </c>
      <c r="P30" s="9">
        <v>0</v>
      </c>
      <c r="Q30" s="9">
        <v>0</v>
      </c>
      <c r="R30" s="9">
        <v>0</v>
      </c>
      <c r="S30" s="9">
        <v>0</v>
      </c>
    </row>
    <row r="31" spans="1:25">
      <c r="A31" s="5">
        <v>1227359</v>
      </c>
      <c r="B31" s="9">
        <v>0</v>
      </c>
      <c r="C31" s="9">
        <v>290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34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1:25">
      <c r="A32" s="5">
        <v>1225464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756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</row>
    <row r="33" spans="1:19">
      <c r="A33" s="5">
        <v>1232066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234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</row>
    <row r="34" spans="1:19">
      <c r="A34" s="5">
        <v>1232693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800</v>
      </c>
      <c r="O34" s="9">
        <v>334</v>
      </c>
      <c r="P34" s="9">
        <v>0</v>
      </c>
      <c r="Q34" s="9">
        <v>0</v>
      </c>
      <c r="R34" s="9">
        <v>0</v>
      </c>
      <c r="S34" s="9">
        <v>0</v>
      </c>
    </row>
    <row r="35" spans="1:19">
      <c r="A35" s="5">
        <v>1233025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800</v>
      </c>
      <c r="O35" s="9">
        <v>334</v>
      </c>
      <c r="P35" s="9">
        <v>0</v>
      </c>
      <c r="Q35" s="9">
        <v>0</v>
      </c>
      <c r="R35" s="9">
        <v>0</v>
      </c>
      <c r="S35" s="9">
        <v>0</v>
      </c>
    </row>
    <row r="36" spans="1:19">
      <c r="A36" s="5">
        <v>1234222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306</v>
      </c>
      <c r="H36" s="9">
        <v>94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1:19">
      <c r="A37" s="58">
        <v>1232528</v>
      </c>
      <c r="B37" s="9">
        <v>539</v>
      </c>
      <c r="C37" s="9">
        <v>57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2581</v>
      </c>
      <c r="O37" s="9">
        <v>825</v>
      </c>
      <c r="P37" s="9">
        <v>0</v>
      </c>
      <c r="Q37" s="9">
        <v>0</v>
      </c>
      <c r="R37" s="9">
        <v>0</v>
      </c>
      <c r="S37" s="9">
        <v>0</v>
      </c>
    </row>
    <row r="38" spans="1:19">
      <c r="A38" s="58">
        <v>1232846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576</v>
      </c>
      <c r="O38" s="9">
        <v>672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5">
        <v>1229050</v>
      </c>
      <c r="B39" s="9">
        <v>0</v>
      </c>
      <c r="C39" s="9">
        <v>0</v>
      </c>
      <c r="D39" s="9">
        <v>0</v>
      </c>
      <c r="E39" s="9">
        <v>0</v>
      </c>
      <c r="F39" s="9">
        <v>185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335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5">
        <v>1231090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80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810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5">
        <v>1234217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50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5">
        <v>1234111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50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5">
        <v>1234110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50</v>
      </c>
      <c r="P43" s="9">
        <v>0</v>
      </c>
      <c r="Q43" s="9">
        <v>0</v>
      </c>
      <c r="R43" s="9">
        <v>0</v>
      </c>
      <c r="S43" s="9">
        <v>0</v>
      </c>
    </row>
    <row r="44" spans="1:19">
      <c r="A44" s="5">
        <v>1235097</v>
      </c>
      <c r="B44" s="9">
        <v>0</v>
      </c>
      <c r="C44" s="9">
        <v>0</v>
      </c>
      <c r="D44" s="9">
        <v>0</v>
      </c>
      <c r="E44" s="9">
        <v>0</v>
      </c>
      <c r="F44" s="9">
        <v>118</v>
      </c>
      <c r="G44" s="9">
        <v>120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1:19">
      <c r="A45" s="5">
        <v>1235845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137</v>
      </c>
      <c r="K45" s="9">
        <v>0</v>
      </c>
      <c r="L45" s="9">
        <v>0</v>
      </c>
      <c r="M45" s="9">
        <v>0</v>
      </c>
      <c r="N45" s="9">
        <v>763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5">
        <v>1236600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419</v>
      </c>
      <c r="I46" s="9">
        <v>426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5">
        <v>1236601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41</v>
      </c>
      <c r="J47" s="9">
        <v>82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spans="1:19">
      <c r="A48" s="5">
        <v>1236619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198</v>
      </c>
      <c r="R48" s="9">
        <v>0</v>
      </c>
      <c r="S48" s="9">
        <v>0</v>
      </c>
    </row>
    <row r="49" spans="1:19">
      <c r="A49" s="5">
        <v>1236930</v>
      </c>
      <c r="B49" s="9">
        <v>273</v>
      </c>
      <c r="C49" s="9">
        <v>40</v>
      </c>
      <c r="D49" s="9">
        <v>0</v>
      </c>
      <c r="E49" s="9">
        <v>0</v>
      </c>
      <c r="F49" s="9">
        <v>0</v>
      </c>
      <c r="G49" s="9">
        <v>100</v>
      </c>
      <c r="H49" s="9">
        <v>330</v>
      </c>
      <c r="I49" s="9">
        <v>401</v>
      </c>
      <c r="J49" s="9">
        <v>235</v>
      </c>
      <c r="K49" s="9">
        <v>0</v>
      </c>
      <c r="L49" s="9">
        <v>0</v>
      </c>
      <c r="M49" s="9">
        <v>0</v>
      </c>
      <c r="N49" s="9">
        <v>1306</v>
      </c>
      <c r="O49" s="9">
        <v>400</v>
      </c>
      <c r="P49" s="9">
        <v>600</v>
      </c>
      <c r="Q49" s="9">
        <v>800</v>
      </c>
      <c r="R49" s="9">
        <v>0</v>
      </c>
      <c r="S49" s="9">
        <v>0</v>
      </c>
    </row>
    <row r="50" spans="1:19">
      <c r="A50" s="5">
        <v>1232982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400</v>
      </c>
      <c r="Q50" s="9">
        <v>0</v>
      </c>
      <c r="R50" s="9">
        <v>0</v>
      </c>
      <c r="S50" s="9">
        <v>0</v>
      </c>
    </row>
    <row r="51" spans="1:19">
      <c r="A51" s="5">
        <v>1237468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64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5">
        <v>1237210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375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19">
      <c r="A53" s="5">
        <v>1232775</v>
      </c>
      <c r="B53" s="9">
        <v>480</v>
      </c>
      <c r="C53" s="9">
        <v>480</v>
      </c>
      <c r="D53" s="9">
        <v>0</v>
      </c>
      <c r="E53" s="9">
        <v>0</v>
      </c>
      <c r="F53" s="9">
        <v>473</v>
      </c>
      <c r="G53" s="9">
        <v>47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93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5">
        <v>1237457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54</v>
      </c>
      <c r="R54" s="9">
        <v>0</v>
      </c>
      <c r="S54" s="9">
        <v>0</v>
      </c>
    </row>
    <row r="55" spans="1:19">
      <c r="A55" s="5">
        <v>1237386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45</v>
      </c>
      <c r="R55" s="9">
        <v>0</v>
      </c>
      <c r="S55" s="9">
        <v>0</v>
      </c>
    </row>
    <row r="56" spans="1:19">
      <c r="A56" s="5">
        <v>1234905</v>
      </c>
      <c r="B56" s="9">
        <v>286</v>
      </c>
      <c r="C56" s="9">
        <v>311</v>
      </c>
      <c r="D56" s="9">
        <v>0</v>
      </c>
      <c r="E56" s="9">
        <v>0</v>
      </c>
      <c r="F56" s="9">
        <v>311</v>
      </c>
      <c r="G56" s="9">
        <v>24</v>
      </c>
      <c r="H56" s="9">
        <v>0</v>
      </c>
      <c r="I56" s="9">
        <v>0</v>
      </c>
      <c r="J56" s="9">
        <v>224</v>
      </c>
      <c r="K56" s="9">
        <v>0</v>
      </c>
      <c r="L56" s="9">
        <v>0</v>
      </c>
      <c r="M56" s="9">
        <v>0</v>
      </c>
      <c r="N56" s="9">
        <v>40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19">
      <c r="A57" s="5">
        <v>1238480</v>
      </c>
      <c r="B57" s="9">
        <v>1019</v>
      </c>
      <c r="C57" s="9">
        <v>1564</v>
      </c>
      <c r="D57" s="9">
        <v>0</v>
      </c>
      <c r="E57" s="9">
        <v>0</v>
      </c>
      <c r="F57" s="9">
        <v>1669</v>
      </c>
      <c r="G57" s="9">
        <v>1538</v>
      </c>
      <c r="H57" s="9">
        <v>603</v>
      </c>
      <c r="I57" s="9">
        <v>772</v>
      </c>
      <c r="J57" s="9">
        <v>977</v>
      </c>
      <c r="K57" s="9">
        <v>0</v>
      </c>
      <c r="L57" s="9">
        <v>0</v>
      </c>
      <c r="M57" s="9">
        <v>0</v>
      </c>
      <c r="N57" s="9">
        <v>3132</v>
      </c>
      <c r="O57" s="9">
        <v>1559</v>
      </c>
      <c r="P57" s="9">
        <v>1320</v>
      </c>
      <c r="Q57" s="9">
        <v>3126</v>
      </c>
      <c r="R57" s="9">
        <v>0</v>
      </c>
      <c r="S57" s="9">
        <v>0</v>
      </c>
    </row>
    <row r="58" spans="1:19">
      <c r="A58" s="5">
        <v>1238453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40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</row>
    <row r="59" spans="1:19">
      <c r="A59" s="5">
        <v>1240180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286</v>
      </c>
      <c r="H59" s="9">
        <v>251</v>
      </c>
      <c r="I59" s="9">
        <v>173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410</v>
      </c>
      <c r="R59" s="9">
        <v>0</v>
      </c>
      <c r="S59" s="9">
        <v>0</v>
      </c>
    </row>
    <row r="60" spans="1:19">
      <c r="A60" s="5">
        <v>1240184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286</v>
      </c>
      <c r="H60" s="9">
        <v>251</v>
      </c>
      <c r="I60" s="9">
        <v>173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410</v>
      </c>
      <c r="R60" s="9">
        <v>0</v>
      </c>
      <c r="S60" s="9">
        <v>0</v>
      </c>
    </row>
    <row r="61" spans="1:19">
      <c r="A61" s="5">
        <v>1216452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500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76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5">
        <v>1232894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576</v>
      </c>
      <c r="O62" s="9">
        <v>632</v>
      </c>
      <c r="P62" s="9">
        <v>0</v>
      </c>
      <c r="Q62" s="9">
        <v>0</v>
      </c>
      <c r="R62" s="9">
        <v>0</v>
      </c>
      <c r="S62" s="9">
        <v>0</v>
      </c>
    </row>
    <row r="63" spans="1:19">
      <c r="A63" s="58">
        <v>1233387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576</v>
      </c>
      <c r="O63" s="9">
        <v>128</v>
      </c>
      <c r="P63" s="9">
        <v>0</v>
      </c>
      <c r="Q63" s="9">
        <v>0</v>
      </c>
      <c r="R63" s="9">
        <v>0</v>
      </c>
      <c r="S63" s="9">
        <v>0</v>
      </c>
    </row>
    <row r="64" spans="1:19">
      <c r="A64" s="5">
        <v>1233385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504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5">
        <v>1232895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40</v>
      </c>
      <c r="P65" s="9">
        <v>0</v>
      </c>
      <c r="Q65" s="9">
        <v>0</v>
      </c>
      <c r="R65" s="9">
        <v>0</v>
      </c>
      <c r="S65" s="9">
        <v>0</v>
      </c>
    </row>
    <row r="66" spans="1:19">
      <c r="A66" s="5">
        <v>1232922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40</v>
      </c>
      <c r="P66" s="9">
        <v>0</v>
      </c>
      <c r="Q66" s="9">
        <v>0</v>
      </c>
      <c r="R66" s="9">
        <v>0</v>
      </c>
      <c r="S66" s="9">
        <v>0</v>
      </c>
    </row>
    <row r="67" spans="1:19">
      <c r="A67" s="5">
        <v>1233580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200</v>
      </c>
      <c r="P67" s="9">
        <v>0</v>
      </c>
      <c r="Q67" s="9">
        <v>0</v>
      </c>
      <c r="R67" s="9">
        <v>0</v>
      </c>
      <c r="S67" s="9">
        <v>0</v>
      </c>
    </row>
  </sheetData>
  <autoFilter ref="A1:S14" xr:uid="{D90B2911-077C-43DC-9981-2B2706B775C8}"/>
  <phoneticPr fontId="1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30A5-74FC-4910-840F-465B0CAA1EE5}">
  <sheetPr>
    <tabColor rgb="FFFFFF00"/>
  </sheetPr>
  <dimension ref="B1:N156"/>
  <sheetViews>
    <sheetView zoomScale="130" zoomScaleNormal="13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J51" sqref="J51"/>
    </sheetView>
  </sheetViews>
  <sheetFormatPr defaultColWidth="9.33203125" defaultRowHeight="12"/>
  <cols>
    <col min="1" max="1" width="9.33203125" style="5"/>
    <col min="2" max="2" width="10.1640625" style="19" bestFit="1" customWidth="1"/>
    <col min="3" max="12" width="13" style="9" customWidth="1"/>
    <col min="13" max="16384" width="9.33203125" style="5"/>
  </cols>
  <sheetData>
    <row r="1" spans="2:14" s="8" customFormat="1">
      <c r="B1" s="8" t="s">
        <v>0</v>
      </c>
      <c r="C1" s="102" t="s">
        <v>736</v>
      </c>
      <c r="D1" s="102" t="s">
        <v>745</v>
      </c>
      <c r="E1" s="102" t="s">
        <v>754</v>
      </c>
      <c r="F1" s="102" t="s">
        <v>764</v>
      </c>
      <c r="G1" s="102" t="s">
        <v>773</v>
      </c>
      <c r="H1" s="102" t="s">
        <v>796</v>
      </c>
      <c r="I1" s="102" t="s">
        <v>823</v>
      </c>
      <c r="J1" s="102" t="s">
        <v>847</v>
      </c>
      <c r="K1" s="102" t="s">
        <v>876</v>
      </c>
      <c r="L1" s="102" t="s">
        <v>902</v>
      </c>
    </row>
    <row r="2" spans="2:14" s="8" customFormat="1">
      <c r="C2" s="102" t="s">
        <v>737</v>
      </c>
      <c r="D2" s="102" t="s">
        <v>746</v>
      </c>
      <c r="E2" s="102" t="s">
        <v>755</v>
      </c>
      <c r="F2" s="102" t="s">
        <v>765</v>
      </c>
      <c r="G2" s="102" t="s">
        <v>774</v>
      </c>
      <c r="H2" s="102" t="s">
        <v>797</v>
      </c>
      <c r="I2" s="102" t="s">
        <v>824</v>
      </c>
      <c r="J2" s="102" t="s">
        <v>848</v>
      </c>
      <c r="K2" s="102" t="s">
        <v>877</v>
      </c>
      <c r="L2" s="102" t="s">
        <v>903</v>
      </c>
    </row>
    <row r="3" spans="2:14">
      <c r="B3" s="19">
        <v>1226384</v>
      </c>
      <c r="C3" s="9">
        <v>600</v>
      </c>
      <c r="D3" s="9">
        <v>0</v>
      </c>
      <c r="E3" s="9">
        <v>800</v>
      </c>
      <c r="F3" s="9">
        <v>600</v>
      </c>
      <c r="G3" s="9">
        <v>0</v>
      </c>
      <c r="H3" s="9">
        <v>0</v>
      </c>
      <c r="I3" s="9">
        <v>800</v>
      </c>
      <c r="J3" s="9">
        <v>0</v>
      </c>
      <c r="K3" s="9">
        <v>0</v>
      </c>
      <c r="L3" s="9">
        <v>0</v>
      </c>
      <c r="N3" s="78">
        <f>SUM(C3:L3)</f>
        <v>2800</v>
      </c>
    </row>
    <row r="4" spans="2:14">
      <c r="B4" s="19">
        <v>1226388</v>
      </c>
      <c r="C4" s="9">
        <v>600</v>
      </c>
      <c r="D4" s="9">
        <v>0</v>
      </c>
      <c r="E4" s="9">
        <v>800</v>
      </c>
      <c r="F4" s="9">
        <v>600</v>
      </c>
      <c r="G4" s="9">
        <v>0</v>
      </c>
      <c r="H4" s="9">
        <v>0</v>
      </c>
      <c r="I4" s="9">
        <v>800</v>
      </c>
      <c r="J4" s="9">
        <v>0</v>
      </c>
      <c r="K4" s="9">
        <v>0</v>
      </c>
      <c r="L4" s="9">
        <v>0</v>
      </c>
      <c r="N4" s="78">
        <f t="shared" ref="N4:N50" si="0">SUM(C4:L4)</f>
        <v>2800</v>
      </c>
    </row>
    <row r="5" spans="2:14">
      <c r="B5" s="19">
        <v>1229673</v>
      </c>
      <c r="C5" s="9">
        <v>1000</v>
      </c>
      <c r="D5" s="9">
        <v>1000</v>
      </c>
      <c r="E5" s="9">
        <v>900</v>
      </c>
      <c r="F5" s="9">
        <v>1400</v>
      </c>
      <c r="G5" s="9">
        <v>1000</v>
      </c>
      <c r="H5" s="9">
        <v>1000</v>
      </c>
      <c r="I5" s="9">
        <v>1000</v>
      </c>
      <c r="J5" s="9">
        <v>700</v>
      </c>
      <c r="K5" s="9">
        <v>1000</v>
      </c>
      <c r="L5" s="9">
        <v>800</v>
      </c>
      <c r="N5" s="78">
        <f t="shared" si="0"/>
        <v>9800</v>
      </c>
    </row>
    <row r="6" spans="2:14">
      <c r="B6" s="19">
        <v>1230692</v>
      </c>
      <c r="C6" s="9">
        <v>600</v>
      </c>
      <c r="D6" s="9">
        <v>700</v>
      </c>
      <c r="E6" s="9">
        <v>700</v>
      </c>
      <c r="F6" s="9">
        <v>1400</v>
      </c>
      <c r="G6" s="9">
        <v>800</v>
      </c>
      <c r="H6" s="9">
        <v>800</v>
      </c>
      <c r="I6" s="9">
        <v>900</v>
      </c>
      <c r="J6" s="9">
        <v>600</v>
      </c>
      <c r="K6" s="9">
        <v>800</v>
      </c>
      <c r="L6" s="9">
        <v>900</v>
      </c>
      <c r="N6" s="78">
        <f t="shared" si="0"/>
        <v>8200</v>
      </c>
    </row>
    <row r="7" spans="2:14">
      <c r="B7" s="19">
        <v>1230696</v>
      </c>
      <c r="C7" s="9">
        <v>200</v>
      </c>
      <c r="D7" s="9">
        <v>100</v>
      </c>
      <c r="E7" s="9">
        <v>0</v>
      </c>
      <c r="F7" s="9">
        <v>0</v>
      </c>
      <c r="G7" s="9">
        <v>200</v>
      </c>
      <c r="H7" s="9">
        <v>200</v>
      </c>
      <c r="I7" s="9">
        <v>200</v>
      </c>
      <c r="J7" s="9">
        <v>0</v>
      </c>
      <c r="K7" s="9">
        <v>100</v>
      </c>
      <c r="L7" s="9">
        <v>100</v>
      </c>
      <c r="N7" s="78">
        <f t="shared" si="0"/>
        <v>1100</v>
      </c>
    </row>
    <row r="8" spans="2:14">
      <c r="B8" s="19">
        <v>1230854</v>
      </c>
      <c r="C8" s="9">
        <v>0</v>
      </c>
      <c r="D8" s="9">
        <v>100</v>
      </c>
      <c r="E8" s="9">
        <v>0</v>
      </c>
      <c r="F8" s="9">
        <v>0</v>
      </c>
      <c r="G8" s="9">
        <v>0</v>
      </c>
      <c r="H8" s="9">
        <v>100</v>
      </c>
      <c r="I8" s="9">
        <v>0</v>
      </c>
      <c r="J8" s="9">
        <v>0</v>
      </c>
      <c r="K8" s="9">
        <v>200</v>
      </c>
      <c r="L8" s="9">
        <v>0</v>
      </c>
      <c r="N8" s="78">
        <f t="shared" si="0"/>
        <v>400</v>
      </c>
    </row>
    <row r="9" spans="2:14">
      <c r="B9" s="19">
        <v>1231202</v>
      </c>
      <c r="C9" s="9">
        <v>0</v>
      </c>
      <c r="D9" s="9">
        <v>150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N9" s="78">
        <f t="shared" si="0"/>
        <v>150</v>
      </c>
    </row>
    <row r="10" spans="2:14">
      <c r="B10" s="19">
        <v>1231898</v>
      </c>
      <c r="C10" s="9">
        <v>1792</v>
      </c>
      <c r="D10" s="9">
        <v>1792</v>
      </c>
      <c r="E10" s="9">
        <v>1792</v>
      </c>
      <c r="F10" s="9">
        <v>1792</v>
      </c>
      <c r="G10" s="9">
        <v>2240</v>
      </c>
      <c r="H10" s="9">
        <v>1344</v>
      </c>
      <c r="I10" s="9">
        <v>1344</v>
      </c>
      <c r="J10" s="9">
        <v>0</v>
      </c>
      <c r="K10" s="9">
        <v>2240</v>
      </c>
      <c r="L10" s="9">
        <v>2240</v>
      </c>
      <c r="N10" s="78">
        <f t="shared" si="0"/>
        <v>16576</v>
      </c>
    </row>
    <row r="11" spans="2:14">
      <c r="B11" s="19">
        <v>1233492</v>
      </c>
      <c r="C11" s="9">
        <v>0</v>
      </c>
      <c r="D11" s="9">
        <v>500</v>
      </c>
      <c r="E11" s="9">
        <v>0</v>
      </c>
      <c r="F11" s="9">
        <v>300</v>
      </c>
      <c r="G11" s="9">
        <v>400</v>
      </c>
      <c r="H11" s="9">
        <v>400</v>
      </c>
      <c r="I11" s="9">
        <v>300</v>
      </c>
      <c r="J11" s="9">
        <v>0</v>
      </c>
      <c r="K11" s="9">
        <v>400</v>
      </c>
      <c r="L11" s="9">
        <v>300</v>
      </c>
      <c r="N11" s="78">
        <f t="shared" si="0"/>
        <v>2600</v>
      </c>
    </row>
    <row r="12" spans="2:14">
      <c r="B12" s="19">
        <v>1233498</v>
      </c>
      <c r="C12" s="9">
        <v>0</v>
      </c>
      <c r="D12" s="9">
        <v>500</v>
      </c>
      <c r="E12" s="9">
        <v>0</v>
      </c>
      <c r="F12" s="9">
        <v>300</v>
      </c>
      <c r="G12" s="9">
        <v>400</v>
      </c>
      <c r="H12" s="9">
        <v>400</v>
      </c>
      <c r="I12" s="9">
        <v>300</v>
      </c>
      <c r="J12" s="9">
        <v>0</v>
      </c>
      <c r="K12" s="9">
        <v>400</v>
      </c>
      <c r="L12" s="9">
        <v>300</v>
      </c>
      <c r="N12" s="78">
        <f t="shared" si="0"/>
        <v>2600</v>
      </c>
    </row>
    <row r="13" spans="2:14">
      <c r="B13" s="19">
        <v>1233623</v>
      </c>
      <c r="C13" s="9">
        <v>0</v>
      </c>
      <c r="D13" s="9">
        <v>500</v>
      </c>
      <c r="E13" s="9">
        <v>0</v>
      </c>
      <c r="F13" s="9">
        <v>300</v>
      </c>
      <c r="G13" s="9">
        <v>400</v>
      </c>
      <c r="H13" s="9">
        <v>400</v>
      </c>
      <c r="I13" s="9">
        <v>300</v>
      </c>
      <c r="J13" s="9">
        <v>0</v>
      </c>
      <c r="K13" s="9">
        <v>400</v>
      </c>
      <c r="L13" s="9">
        <v>300</v>
      </c>
      <c r="N13" s="78">
        <f t="shared" si="0"/>
        <v>2600</v>
      </c>
    </row>
    <row r="14" spans="2:14">
      <c r="B14" s="19">
        <v>1233761</v>
      </c>
      <c r="C14" s="9">
        <v>300</v>
      </c>
      <c r="D14" s="9">
        <v>140</v>
      </c>
      <c r="E14" s="9">
        <v>0</v>
      </c>
      <c r="F14" s="9">
        <v>0</v>
      </c>
      <c r="G14" s="9">
        <v>200</v>
      </c>
      <c r="H14" s="9">
        <v>200</v>
      </c>
      <c r="I14" s="9">
        <v>100</v>
      </c>
      <c r="J14" s="9">
        <v>0</v>
      </c>
      <c r="K14" s="9">
        <v>0</v>
      </c>
      <c r="L14" s="9">
        <v>100</v>
      </c>
      <c r="N14" s="78">
        <f t="shared" si="0"/>
        <v>1040</v>
      </c>
    </row>
    <row r="15" spans="2:14">
      <c r="B15" s="19">
        <v>1233877</v>
      </c>
      <c r="C15" s="9">
        <v>0</v>
      </c>
      <c r="D15" s="9">
        <v>0</v>
      </c>
      <c r="E15" s="9">
        <v>0</v>
      </c>
      <c r="F15" s="9">
        <v>120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N15" s="78">
        <f t="shared" si="0"/>
        <v>120</v>
      </c>
    </row>
    <row r="16" spans="2:14">
      <c r="B16" s="19">
        <v>1234614</v>
      </c>
      <c r="C16" s="9">
        <v>400</v>
      </c>
      <c r="D16" s="9">
        <v>400</v>
      </c>
      <c r="E16" s="9">
        <v>0</v>
      </c>
      <c r="F16" s="9">
        <v>300</v>
      </c>
      <c r="G16" s="9">
        <v>300</v>
      </c>
      <c r="H16" s="9">
        <v>300</v>
      </c>
      <c r="I16" s="9">
        <v>0</v>
      </c>
      <c r="J16" s="9">
        <v>0</v>
      </c>
      <c r="K16" s="9">
        <v>300</v>
      </c>
      <c r="L16" s="9">
        <v>200</v>
      </c>
      <c r="N16" s="78">
        <f t="shared" si="0"/>
        <v>2200</v>
      </c>
    </row>
    <row r="17" spans="2:14">
      <c r="B17" s="19">
        <v>1235003</v>
      </c>
      <c r="C17" s="9">
        <v>3425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N17" s="78">
        <f t="shared" si="0"/>
        <v>3425</v>
      </c>
    </row>
    <row r="18" spans="2:14">
      <c r="B18" s="19">
        <v>1235058</v>
      </c>
      <c r="C18" s="9">
        <v>400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N18" s="78">
        <f t="shared" si="0"/>
        <v>400</v>
      </c>
    </row>
    <row r="19" spans="2:14">
      <c r="B19" s="19">
        <v>1235623</v>
      </c>
      <c r="C19" s="9">
        <v>1872</v>
      </c>
      <c r="D19" s="9">
        <v>416</v>
      </c>
      <c r="E19" s="9">
        <v>0</v>
      </c>
      <c r="F19" s="9">
        <v>0</v>
      </c>
      <c r="G19" s="9">
        <v>0</v>
      </c>
      <c r="H19" s="9">
        <v>0</v>
      </c>
      <c r="I19" s="9">
        <v>1872</v>
      </c>
      <c r="J19" s="9">
        <v>0</v>
      </c>
      <c r="K19" s="9">
        <v>0</v>
      </c>
      <c r="L19" s="9">
        <v>0</v>
      </c>
      <c r="N19" s="78">
        <f t="shared" si="0"/>
        <v>4160</v>
      </c>
    </row>
    <row r="20" spans="2:14">
      <c r="B20" s="19">
        <v>1236091</v>
      </c>
      <c r="C20" s="9">
        <v>350</v>
      </c>
      <c r="D20" s="9">
        <v>300</v>
      </c>
      <c r="E20" s="9">
        <v>0</v>
      </c>
      <c r="F20" s="9">
        <v>0</v>
      </c>
      <c r="G20" s="9">
        <v>200</v>
      </c>
      <c r="H20" s="9">
        <v>200</v>
      </c>
      <c r="I20" s="9">
        <v>0</v>
      </c>
      <c r="J20" s="9">
        <v>0</v>
      </c>
      <c r="K20" s="9">
        <v>0</v>
      </c>
      <c r="L20" s="9">
        <v>300</v>
      </c>
      <c r="N20" s="78">
        <f t="shared" si="0"/>
        <v>1350</v>
      </c>
    </row>
    <row r="21" spans="2:14">
      <c r="B21" s="19">
        <v>1236488</v>
      </c>
      <c r="C21" s="9">
        <v>500</v>
      </c>
      <c r="D21" s="9">
        <v>600</v>
      </c>
      <c r="E21" s="9">
        <v>600</v>
      </c>
      <c r="F21" s="9">
        <v>800</v>
      </c>
      <c r="G21" s="9">
        <v>800</v>
      </c>
      <c r="H21" s="9">
        <v>900</v>
      </c>
      <c r="I21" s="9">
        <v>1000</v>
      </c>
      <c r="J21" s="9">
        <v>1000</v>
      </c>
      <c r="K21" s="9">
        <v>1100</v>
      </c>
      <c r="L21" s="9">
        <v>1100</v>
      </c>
      <c r="N21" s="78">
        <f t="shared" si="0"/>
        <v>8400</v>
      </c>
    </row>
    <row r="22" spans="2:14">
      <c r="B22" s="19">
        <v>1236534</v>
      </c>
      <c r="C22" s="9">
        <v>200</v>
      </c>
      <c r="D22" s="9">
        <v>0</v>
      </c>
      <c r="E22" s="9">
        <v>0</v>
      </c>
      <c r="F22" s="9">
        <v>0</v>
      </c>
      <c r="G22" s="9">
        <v>400</v>
      </c>
      <c r="H22" s="9">
        <v>400</v>
      </c>
      <c r="I22" s="9">
        <v>0</v>
      </c>
      <c r="J22" s="9">
        <v>0</v>
      </c>
      <c r="K22" s="9">
        <v>300</v>
      </c>
      <c r="L22" s="9">
        <v>200</v>
      </c>
      <c r="N22" s="78">
        <f t="shared" si="0"/>
        <v>1500</v>
      </c>
    </row>
    <row r="23" spans="2:14">
      <c r="B23" s="19">
        <v>1236962</v>
      </c>
      <c r="C23" s="9">
        <v>900</v>
      </c>
      <c r="D23" s="9">
        <v>900</v>
      </c>
      <c r="E23" s="9">
        <v>900</v>
      </c>
      <c r="F23" s="9">
        <v>1700</v>
      </c>
      <c r="G23" s="9">
        <v>800</v>
      </c>
      <c r="H23" s="9">
        <v>800</v>
      </c>
      <c r="I23" s="9">
        <v>800</v>
      </c>
      <c r="J23" s="9">
        <v>800</v>
      </c>
      <c r="K23" s="9">
        <v>600</v>
      </c>
      <c r="L23" s="9">
        <v>600</v>
      </c>
      <c r="N23" s="78">
        <f t="shared" si="0"/>
        <v>8800</v>
      </c>
    </row>
    <row r="24" spans="2:14">
      <c r="B24" s="19">
        <v>1237088</v>
      </c>
      <c r="C24" s="9">
        <v>4413</v>
      </c>
      <c r="D24" s="9">
        <v>4436</v>
      </c>
      <c r="E24" s="9">
        <v>4186</v>
      </c>
      <c r="F24" s="9">
        <v>6407</v>
      </c>
      <c r="G24" s="9">
        <v>4436</v>
      </c>
      <c r="H24" s="9">
        <v>4436</v>
      </c>
      <c r="I24" s="9">
        <v>4636</v>
      </c>
      <c r="J24" s="9">
        <v>3000</v>
      </c>
      <c r="K24" s="9">
        <v>2600</v>
      </c>
      <c r="L24" s="9">
        <v>3000</v>
      </c>
      <c r="N24" s="78">
        <f t="shared" si="0"/>
        <v>41550</v>
      </c>
    </row>
    <row r="25" spans="2:14">
      <c r="B25" s="19">
        <v>1237586</v>
      </c>
      <c r="C25" s="9">
        <v>1792</v>
      </c>
      <c r="D25" s="9">
        <v>1792</v>
      </c>
      <c r="E25" s="9">
        <v>1792</v>
      </c>
      <c r="F25" s="9">
        <v>1792</v>
      </c>
      <c r="G25" s="9">
        <v>2240</v>
      </c>
      <c r="H25" s="9">
        <v>1344</v>
      </c>
      <c r="I25" s="9">
        <v>1344</v>
      </c>
      <c r="J25" s="9">
        <v>0</v>
      </c>
      <c r="K25" s="9">
        <v>2240</v>
      </c>
      <c r="L25" s="9">
        <v>2240</v>
      </c>
      <c r="N25" s="78">
        <f t="shared" si="0"/>
        <v>16576</v>
      </c>
    </row>
    <row r="26" spans="2:14">
      <c r="B26" s="19">
        <v>1237748</v>
      </c>
      <c r="C26" s="9">
        <v>0</v>
      </c>
      <c r="D26" s="9">
        <v>0</v>
      </c>
      <c r="E26" s="9">
        <v>728</v>
      </c>
      <c r="F26" s="9">
        <v>0</v>
      </c>
      <c r="G26" s="9">
        <v>0</v>
      </c>
      <c r="H26" s="9">
        <v>0</v>
      </c>
      <c r="I26" s="9">
        <v>0</v>
      </c>
      <c r="J26" s="9">
        <v>780</v>
      </c>
      <c r="K26" s="9">
        <v>0</v>
      </c>
      <c r="L26" s="9">
        <v>376</v>
      </c>
      <c r="N26" s="78">
        <f t="shared" si="0"/>
        <v>1884</v>
      </c>
    </row>
    <row r="27" spans="2:14">
      <c r="B27" s="19">
        <v>1238128</v>
      </c>
      <c r="C27" s="9">
        <v>0</v>
      </c>
      <c r="D27" s="9">
        <v>0</v>
      </c>
      <c r="E27" s="9">
        <v>7744</v>
      </c>
      <c r="F27" s="9">
        <v>0</v>
      </c>
      <c r="G27" s="9">
        <v>0</v>
      </c>
      <c r="H27" s="9">
        <v>0</v>
      </c>
      <c r="I27" s="9">
        <v>0</v>
      </c>
      <c r="J27" s="9">
        <v>7840</v>
      </c>
      <c r="K27" s="9">
        <v>0</v>
      </c>
      <c r="L27" s="9">
        <v>0</v>
      </c>
      <c r="N27" s="78">
        <f t="shared" si="0"/>
        <v>15584</v>
      </c>
    </row>
    <row r="28" spans="2:14">
      <c r="B28" s="19">
        <v>1239651</v>
      </c>
      <c r="C28" s="9">
        <v>400</v>
      </c>
      <c r="D28" s="9">
        <v>500</v>
      </c>
      <c r="E28" s="9">
        <v>340</v>
      </c>
      <c r="F28" s="9">
        <v>500</v>
      </c>
      <c r="G28" s="9">
        <v>400</v>
      </c>
      <c r="H28" s="9">
        <v>500</v>
      </c>
      <c r="I28" s="9">
        <v>500</v>
      </c>
      <c r="J28" s="9">
        <v>150</v>
      </c>
      <c r="K28" s="9">
        <v>400</v>
      </c>
      <c r="L28" s="9">
        <v>400</v>
      </c>
      <c r="N28" s="78">
        <f t="shared" si="0"/>
        <v>4090</v>
      </c>
    </row>
    <row r="29" spans="2:14">
      <c r="B29" s="19">
        <v>1239988</v>
      </c>
      <c r="C29" s="9">
        <v>800</v>
      </c>
      <c r="D29" s="9">
        <v>1600</v>
      </c>
      <c r="E29" s="9">
        <v>1000</v>
      </c>
      <c r="F29" s="9">
        <v>1300</v>
      </c>
      <c r="G29" s="9">
        <v>1300</v>
      </c>
      <c r="H29" s="9">
        <v>1450</v>
      </c>
      <c r="I29" s="9">
        <v>1650</v>
      </c>
      <c r="J29" s="9">
        <v>400</v>
      </c>
      <c r="K29" s="9">
        <v>524</v>
      </c>
      <c r="L29" s="9">
        <v>500</v>
      </c>
      <c r="N29" s="78">
        <f t="shared" si="0"/>
        <v>10524</v>
      </c>
    </row>
    <row r="30" spans="2:14">
      <c r="B30" s="19">
        <v>1240180</v>
      </c>
      <c r="C30" s="9">
        <v>1484</v>
      </c>
      <c r="D30" s="9">
        <v>2321</v>
      </c>
      <c r="E30" s="9">
        <v>1796</v>
      </c>
      <c r="F30" s="9">
        <v>1588</v>
      </c>
      <c r="G30" s="9">
        <v>2000</v>
      </c>
      <c r="H30" s="9">
        <v>1800</v>
      </c>
      <c r="I30" s="9">
        <v>934</v>
      </c>
      <c r="J30" s="9">
        <v>1496</v>
      </c>
      <c r="K30" s="9">
        <v>1153</v>
      </c>
      <c r="L30" s="9">
        <v>900</v>
      </c>
      <c r="N30" s="78">
        <f t="shared" si="0"/>
        <v>15472</v>
      </c>
    </row>
    <row r="31" spans="2:14">
      <c r="B31" s="19">
        <v>1240184</v>
      </c>
      <c r="C31" s="9">
        <v>1334</v>
      </c>
      <c r="D31" s="9">
        <v>1921</v>
      </c>
      <c r="E31" s="9">
        <v>1796</v>
      </c>
      <c r="F31" s="9">
        <v>1588</v>
      </c>
      <c r="G31" s="9">
        <v>1700</v>
      </c>
      <c r="H31" s="9">
        <v>1650</v>
      </c>
      <c r="I31" s="9">
        <v>734</v>
      </c>
      <c r="J31" s="9">
        <v>1496</v>
      </c>
      <c r="K31" s="9">
        <v>1153</v>
      </c>
      <c r="L31" s="9">
        <v>900</v>
      </c>
      <c r="N31" s="78">
        <f t="shared" si="0"/>
        <v>14272</v>
      </c>
    </row>
    <row r="32" spans="2:14">
      <c r="B32" s="19">
        <v>1240308</v>
      </c>
      <c r="C32" s="9">
        <v>870</v>
      </c>
      <c r="D32" s="9">
        <v>950</v>
      </c>
      <c r="E32" s="9">
        <v>900</v>
      </c>
      <c r="F32" s="9">
        <v>750</v>
      </c>
      <c r="G32" s="9">
        <v>900</v>
      </c>
      <c r="H32" s="9">
        <v>900</v>
      </c>
      <c r="I32" s="9">
        <v>850</v>
      </c>
      <c r="J32" s="9">
        <v>0</v>
      </c>
      <c r="K32" s="9">
        <v>150</v>
      </c>
      <c r="L32" s="9">
        <v>350</v>
      </c>
      <c r="N32" s="78">
        <f t="shared" si="0"/>
        <v>6620</v>
      </c>
    </row>
    <row r="33" spans="2:14">
      <c r="B33" s="19">
        <v>1241134</v>
      </c>
      <c r="C33" s="9">
        <v>0</v>
      </c>
      <c r="D33" s="9">
        <v>0</v>
      </c>
      <c r="E33" s="9">
        <v>0</v>
      </c>
      <c r="F33" s="9">
        <v>1900</v>
      </c>
      <c r="G33" s="9">
        <v>1100</v>
      </c>
      <c r="H33" s="9">
        <v>600</v>
      </c>
      <c r="I33" s="9">
        <v>0</v>
      </c>
      <c r="J33" s="9">
        <v>0</v>
      </c>
      <c r="K33" s="9">
        <v>0</v>
      </c>
      <c r="L33" s="9">
        <v>0</v>
      </c>
      <c r="N33" s="78">
        <f t="shared" si="0"/>
        <v>3600</v>
      </c>
    </row>
    <row r="34" spans="2:14">
      <c r="B34" s="19">
        <v>1241601</v>
      </c>
      <c r="C34" s="9">
        <v>9312</v>
      </c>
      <c r="D34" s="9">
        <v>3800</v>
      </c>
      <c r="E34" s="9">
        <v>4200</v>
      </c>
      <c r="F34" s="9">
        <v>4700</v>
      </c>
      <c r="G34" s="9">
        <v>4100</v>
      </c>
      <c r="H34" s="9">
        <v>3800</v>
      </c>
      <c r="I34" s="9">
        <v>4000</v>
      </c>
      <c r="J34" s="9">
        <v>2000</v>
      </c>
      <c r="K34" s="9">
        <v>4800</v>
      </c>
      <c r="L34" s="9">
        <v>4100</v>
      </c>
      <c r="N34" s="78">
        <f t="shared" si="0"/>
        <v>44812</v>
      </c>
    </row>
    <row r="35" spans="2:14">
      <c r="N35" s="78"/>
    </row>
    <row r="36" spans="2:14">
      <c r="N36" s="78"/>
    </row>
    <row r="37" spans="2:14" s="8" customFormat="1">
      <c r="B37" s="8" t="s">
        <v>0</v>
      </c>
      <c r="C37" s="102" t="s">
        <v>736</v>
      </c>
      <c r="D37" s="102" t="s">
        <v>745</v>
      </c>
      <c r="E37" s="102" t="s">
        <v>754</v>
      </c>
      <c r="F37" s="102" t="s">
        <v>764</v>
      </c>
      <c r="G37" s="102" t="s">
        <v>773</v>
      </c>
      <c r="H37" s="102" t="s">
        <v>796</v>
      </c>
      <c r="I37" s="102" t="s">
        <v>823</v>
      </c>
      <c r="J37" s="102" t="s">
        <v>847</v>
      </c>
      <c r="K37" s="102" t="s">
        <v>876</v>
      </c>
      <c r="L37" s="102" t="s">
        <v>902</v>
      </c>
      <c r="N37" s="78"/>
    </row>
    <row r="38" spans="2:14" s="8" customFormat="1">
      <c r="C38" s="102" t="s">
        <v>737</v>
      </c>
      <c r="D38" s="102" t="s">
        <v>746</v>
      </c>
      <c r="E38" s="102" t="s">
        <v>755</v>
      </c>
      <c r="F38" s="102" t="s">
        <v>765</v>
      </c>
      <c r="G38" s="102" t="s">
        <v>774</v>
      </c>
      <c r="H38" s="102" t="s">
        <v>797</v>
      </c>
      <c r="I38" s="102" t="s">
        <v>824</v>
      </c>
      <c r="J38" s="102" t="s">
        <v>848</v>
      </c>
      <c r="K38" s="102" t="s">
        <v>877</v>
      </c>
      <c r="L38" s="102" t="s">
        <v>903</v>
      </c>
      <c r="N38" s="78"/>
    </row>
    <row r="39" spans="2:14">
      <c r="B39" s="19">
        <v>1216452</v>
      </c>
      <c r="C39" s="9">
        <v>864</v>
      </c>
      <c r="D39" s="9">
        <v>522</v>
      </c>
      <c r="E39" s="9">
        <v>90</v>
      </c>
      <c r="F39" s="9">
        <v>0</v>
      </c>
      <c r="G39" s="9">
        <v>0</v>
      </c>
      <c r="H39" s="9">
        <v>0</v>
      </c>
      <c r="I39" s="9">
        <v>324</v>
      </c>
      <c r="J39" s="9">
        <v>0</v>
      </c>
      <c r="K39" s="9">
        <v>864</v>
      </c>
      <c r="L39" s="9">
        <v>0</v>
      </c>
      <c r="N39" s="78">
        <f t="shared" si="0"/>
        <v>2664</v>
      </c>
    </row>
    <row r="40" spans="2:14">
      <c r="B40" s="19">
        <v>1220847</v>
      </c>
      <c r="C40" s="9">
        <v>2164</v>
      </c>
      <c r="D40" s="9">
        <v>0</v>
      </c>
      <c r="E40" s="9">
        <v>0</v>
      </c>
      <c r="F40" s="9">
        <v>33</v>
      </c>
      <c r="G40" s="9">
        <v>1050</v>
      </c>
      <c r="H40" s="9">
        <v>0</v>
      </c>
      <c r="I40" s="9">
        <v>0</v>
      </c>
      <c r="J40" s="9">
        <v>0</v>
      </c>
      <c r="K40" s="9">
        <v>0</v>
      </c>
      <c r="L40" s="9">
        <v>779</v>
      </c>
      <c r="N40" s="78">
        <f t="shared" si="0"/>
        <v>4026</v>
      </c>
    </row>
    <row r="41" spans="2:14">
      <c r="B41" s="19">
        <v>1221967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205</v>
      </c>
      <c r="J41" s="9">
        <v>0</v>
      </c>
      <c r="K41" s="9">
        <v>0</v>
      </c>
      <c r="L41" s="9">
        <v>81</v>
      </c>
      <c r="N41" s="78">
        <f t="shared" si="0"/>
        <v>286</v>
      </c>
    </row>
    <row r="42" spans="2:14">
      <c r="B42" s="19">
        <v>1225464</v>
      </c>
      <c r="C42" s="9">
        <v>756</v>
      </c>
      <c r="D42" s="9">
        <v>0</v>
      </c>
      <c r="E42" s="9">
        <v>0</v>
      </c>
      <c r="F42" s="9">
        <v>0</v>
      </c>
      <c r="G42" s="9">
        <v>756</v>
      </c>
      <c r="H42" s="9">
        <v>0</v>
      </c>
      <c r="I42" s="9">
        <v>0</v>
      </c>
      <c r="J42" s="9">
        <v>0</v>
      </c>
      <c r="K42" s="9">
        <v>0</v>
      </c>
      <c r="L42" s="9">
        <v>1575</v>
      </c>
      <c r="N42" s="78">
        <f t="shared" si="0"/>
        <v>3087</v>
      </c>
    </row>
    <row r="43" spans="2:14">
      <c r="B43" s="19">
        <v>1227306</v>
      </c>
      <c r="C43" s="9">
        <v>300</v>
      </c>
      <c r="D43" s="9">
        <v>500</v>
      </c>
      <c r="E43" s="9">
        <v>300</v>
      </c>
      <c r="F43" s="9">
        <v>200</v>
      </c>
      <c r="G43" s="9">
        <v>700</v>
      </c>
      <c r="H43" s="9">
        <v>750</v>
      </c>
      <c r="I43" s="9">
        <v>200</v>
      </c>
      <c r="J43" s="9">
        <v>200</v>
      </c>
      <c r="K43" s="9">
        <v>400</v>
      </c>
      <c r="L43" s="9">
        <v>750</v>
      </c>
      <c r="N43" s="78">
        <f t="shared" si="0"/>
        <v>4300</v>
      </c>
    </row>
    <row r="44" spans="2:14">
      <c r="B44" s="19">
        <v>1229050</v>
      </c>
      <c r="C44" s="9">
        <v>0</v>
      </c>
      <c r="D44" s="9">
        <v>0</v>
      </c>
      <c r="E44" s="9">
        <v>245</v>
      </c>
      <c r="F44" s="9">
        <v>0</v>
      </c>
      <c r="G44" s="9">
        <v>0</v>
      </c>
      <c r="H44" s="9">
        <v>0</v>
      </c>
      <c r="I44" s="9">
        <v>0</v>
      </c>
      <c r="J44" s="9">
        <v>250</v>
      </c>
      <c r="K44" s="9">
        <v>0</v>
      </c>
      <c r="L44" s="9">
        <v>0</v>
      </c>
      <c r="N44" s="78">
        <f t="shared" si="0"/>
        <v>495</v>
      </c>
    </row>
    <row r="45" spans="2:14">
      <c r="B45" s="19">
        <v>1229088</v>
      </c>
      <c r="C45" s="9">
        <v>0</v>
      </c>
      <c r="D45" s="9">
        <v>0</v>
      </c>
      <c r="E45" s="9">
        <v>0</v>
      </c>
      <c r="F45" s="9">
        <v>0</v>
      </c>
      <c r="G45" s="9">
        <v>350</v>
      </c>
      <c r="H45" s="9">
        <v>300</v>
      </c>
      <c r="I45" s="9">
        <v>0</v>
      </c>
      <c r="J45" s="9">
        <v>0</v>
      </c>
      <c r="K45" s="9">
        <v>300</v>
      </c>
      <c r="L45" s="9">
        <v>350</v>
      </c>
      <c r="N45" s="78">
        <f t="shared" si="0"/>
        <v>1300</v>
      </c>
    </row>
    <row r="46" spans="2:14">
      <c r="B46" s="19">
        <v>1229776</v>
      </c>
      <c r="C46" s="9">
        <v>0</v>
      </c>
      <c r="D46" s="9">
        <v>0</v>
      </c>
      <c r="E46" s="9">
        <v>200</v>
      </c>
      <c r="F46" s="9">
        <v>0</v>
      </c>
      <c r="G46" s="9">
        <v>0</v>
      </c>
      <c r="H46" s="9">
        <v>200</v>
      </c>
      <c r="I46" s="9">
        <v>0</v>
      </c>
      <c r="J46" s="9">
        <v>0</v>
      </c>
      <c r="K46" s="9">
        <v>0</v>
      </c>
      <c r="L46" s="9">
        <v>100</v>
      </c>
      <c r="N46" s="78">
        <f t="shared" si="0"/>
        <v>500</v>
      </c>
    </row>
    <row r="47" spans="2:14">
      <c r="B47" s="19">
        <v>1230685</v>
      </c>
      <c r="C47" s="9">
        <v>200</v>
      </c>
      <c r="D47" s="9">
        <v>250</v>
      </c>
      <c r="E47" s="9">
        <v>100</v>
      </c>
      <c r="F47" s="9">
        <v>0</v>
      </c>
      <c r="G47" s="9">
        <v>200</v>
      </c>
      <c r="H47" s="9">
        <v>200</v>
      </c>
      <c r="I47" s="9">
        <v>250</v>
      </c>
      <c r="J47" s="9">
        <v>0</v>
      </c>
      <c r="K47" s="9">
        <v>200</v>
      </c>
      <c r="L47" s="9">
        <v>150</v>
      </c>
      <c r="N47" s="78">
        <f t="shared" si="0"/>
        <v>1550</v>
      </c>
    </row>
    <row r="48" spans="2:14">
      <c r="B48" s="19">
        <v>1230692</v>
      </c>
      <c r="C48" s="9">
        <v>0</v>
      </c>
      <c r="D48" s="9">
        <v>150</v>
      </c>
      <c r="E48" s="9">
        <v>0</v>
      </c>
      <c r="F48" s="9">
        <v>0</v>
      </c>
      <c r="G48" s="9">
        <v>100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N48" s="78">
        <f t="shared" si="0"/>
        <v>250</v>
      </c>
    </row>
    <row r="49" spans="2:14">
      <c r="B49" s="19">
        <v>1230791</v>
      </c>
      <c r="C49" s="9">
        <v>0</v>
      </c>
      <c r="D49" s="9">
        <v>26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421</v>
      </c>
      <c r="N49" s="78">
        <f t="shared" si="0"/>
        <v>447</v>
      </c>
    </row>
    <row r="50" spans="2:14">
      <c r="B50" s="19">
        <v>1231011</v>
      </c>
      <c r="C50" s="9">
        <v>0</v>
      </c>
      <c r="D50" s="9">
        <v>0</v>
      </c>
      <c r="E50" s="9">
        <v>0</v>
      </c>
      <c r="F50" s="9">
        <v>0</v>
      </c>
      <c r="G50" s="9">
        <v>90</v>
      </c>
      <c r="H50" s="9">
        <v>210</v>
      </c>
      <c r="I50" s="9">
        <v>0</v>
      </c>
      <c r="J50" s="9">
        <v>0</v>
      </c>
      <c r="K50" s="9">
        <v>0</v>
      </c>
      <c r="L50" s="9">
        <v>0</v>
      </c>
      <c r="N50" s="78">
        <f t="shared" si="0"/>
        <v>300</v>
      </c>
    </row>
    <row r="51" spans="2:14">
      <c r="B51" s="19">
        <v>1231090</v>
      </c>
      <c r="C51" s="9">
        <v>270</v>
      </c>
      <c r="D51" s="9">
        <v>476</v>
      </c>
      <c r="E51" s="9">
        <v>1380</v>
      </c>
      <c r="F51" s="9">
        <v>0</v>
      </c>
      <c r="G51" s="9">
        <v>540</v>
      </c>
      <c r="H51" s="9">
        <v>200</v>
      </c>
      <c r="I51" s="9">
        <v>0</v>
      </c>
      <c r="J51" s="9">
        <v>980</v>
      </c>
      <c r="K51" s="9">
        <v>0</v>
      </c>
      <c r="L51" s="9">
        <v>370</v>
      </c>
      <c r="N51" s="78">
        <f t="shared" ref="N51:N97" si="1">SUM(C51:L51)</f>
        <v>4216</v>
      </c>
    </row>
    <row r="52" spans="2:14">
      <c r="B52" s="19">
        <v>1231578</v>
      </c>
      <c r="C52" s="9">
        <v>0</v>
      </c>
      <c r="D52" s="9">
        <v>600</v>
      </c>
      <c r="E52" s="9">
        <v>0</v>
      </c>
      <c r="F52" s="9">
        <v>0</v>
      </c>
      <c r="G52" s="9">
        <v>200</v>
      </c>
      <c r="H52" s="9">
        <v>300</v>
      </c>
      <c r="I52" s="9">
        <v>200</v>
      </c>
      <c r="J52" s="9">
        <v>0</v>
      </c>
      <c r="K52" s="9">
        <v>0</v>
      </c>
      <c r="L52" s="9">
        <v>400</v>
      </c>
      <c r="N52" s="78">
        <f t="shared" si="1"/>
        <v>1700</v>
      </c>
    </row>
    <row r="53" spans="2:14">
      <c r="B53" s="19">
        <v>1231797</v>
      </c>
      <c r="C53" s="9">
        <v>0</v>
      </c>
      <c r="D53" s="9">
        <v>139</v>
      </c>
      <c r="E53" s="9">
        <v>0</v>
      </c>
      <c r="F53" s="9">
        <v>0</v>
      </c>
      <c r="G53" s="9">
        <v>0</v>
      </c>
      <c r="H53" s="9">
        <v>0</v>
      </c>
      <c r="I53" s="9">
        <v>154</v>
      </c>
      <c r="J53" s="9">
        <v>0</v>
      </c>
      <c r="K53" s="9">
        <v>0</v>
      </c>
      <c r="L53" s="9">
        <v>0</v>
      </c>
      <c r="N53" s="78">
        <f t="shared" si="1"/>
        <v>293</v>
      </c>
    </row>
    <row r="54" spans="2:14">
      <c r="B54" s="19">
        <v>1231860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100</v>
      </c>
      <c r="K54" s="9">
        <v>0</v>
      </c>
      <c r="L54" s="9">
        <v>0</v>
      </c>
      <c r="N54" s="78">
        <f t="shared" si="1"/>
        <v>100</v>
      </c>
    </row>
    <row r="55" spans="2:14">
      <c r="B55" s="19">
        <v>1232066</v>
      </c>
      <c r="C55" s="9">
        <v>0</v>
      </c>
      <c r="D55" s="9">
        <v>0</v>
      </c>
      <c r="E55" s="9">
        <v>234</v>
      </c>
      <c r="F55" s="9">
        <v>0</v>
      </c>
      <c r="G55" s="9">
        <v>0</v>
      </c>
      <c r="H55" s="9">
        <v>0</v>
      </c>
      <c r="I55" s="9">
        <v>0</v>
      </c>
      <c r="J55" s="9">
        <v>252</v>
      </c>
      <c r="K55" s="9">
        <v>0</v>
      </c>
      <c r="L55" s="9">
        <v>0</v>
      </c>
      <c r="N55" s="78">
        <f t="shared" si="1"/>
        <v>486</v>
      </c>
    </row>
    <row r="56" spans="2:14">
      <c r="B56" s="19">
        <v>1232528</v>
      </c>
      <c r="C56" s="9">
        <v>5580</v>
      </c>
      <c r="D56" s="9">
        <v>0</v>
      </c>
      <c r="E56" s="9">
        <v>972</v>
      </c>
      <c r="F56" s="9">
        <v>42</v>
      </c>
      <c r="G56" s="9">
        <v>5580</v>
      </c>
      <c r="H56" s="9">
        <v>0</v>
      </c>
      <c r="I56" s="9">
        <v>0</v>
      </c>
      <c r="J56" s="9">
        <v>1458</v>
      </c>
      <c r="K56" s="9">
        <v>0</v>
      </c>
      <c r="L56" s="9">
        <v>6404</v>
      </c>
      <c r="N56" s="78">
        <f t="shared" si="1"/>
        <v>20036</v>
      </c>
    </row>
    <row r="57" spans="2:14">
      <c r="B57" s="19">
        <v>1232693</v>
      </c>
      <c r="C57" s="9">
        <v>0</v>
      </c>
      <c r="D57" s="9">
        <v>0</v>
      </c>
      <c r="E57" s="9">
        <v>1260</v>
      </c>
      <c r="F57" s="9">
        <v>0</v>
      </c>
      <c r="G57" s="9">
        <v>0</v>
      </c>
      <c r="H57" s="9">
        <v>0</v>
      </c>
      <c r="I57" s="9">
        <v>0</v>
      </c>
      <c r="J57" s="9">
        <v>1491</v>
      </c>
      <c r="K57" s="9">
        <v>0</v>
      </c>
      <c r="L57" s="9">
        <v>77</v>
      </c>
      <c r="N57" s="78">
        <f t="shared" si="1"/>
        <v>2828</v>
      </c>
    </row>
    <row r="58" spans="2:14">
      <c r="B58" s="19">
        <v>1232775</v>
      </c>
      <c r="C58" s="9">
        <v>921</v>
      </c>
      <c r="D58" s="9">
        <v>1320</v>
      </c>
      <c r="E58" s="9">
        <v>1676</v>
      </c>
      <c r="F58" s="9">
        <v>1854</v>
      </c>
      <c r="G58" s="9">
        <v>2146</v>
      </c>
      <c r="H58" s="9">
        <v>1200</v>
      </c>
      <c r="I58" s="9">
        <v>1810</v>
      </c>
      <c r="J58" s="9">
        <v>795</v>
      </c>
      <c r="K58" s="9">
        <v>0</v>
      </c>
      <c r="L58" s="9">
        <v>265</v>
      </c>
      <c r="N58" s="78">
        <f t="shared" si="1"/>
        <v>11987</v>
      </c>
    </row>
    <row r="59" spans="2:14">
      <c r="B59" s="19">
        <v>1232846</v>
      </c>
      <c r="C59" s="9">
        <v>926</v>
      </c>
      <c r="D59" s="9">
        <v>276</v>
      </c>
      <c r="E59" s="9">
        <v>312</v>
      </c>
      <c r="F59" s="9">
        <v>95</v>
      </c>
      <c r="G59" s="9">
        <v>650</v>
      </c>
      <c r="H59" s="9">
        <v>300</v>
      </c>
      <c r="I59" s="9">
        <v>763</v>
      </c>
      <c r="J59" s="9">
        <v>440</v>
      </c>
      <c r="K59" s="9">
        <v>500</v>
      </c>
      <c r="L59" s="9">
        <v>1199</v>
      </c>
      <c r="N59" s="78">
        <f t="shared" si="1"/>
        <v>5461</v>
      </c>
    </row>
    <row r="60" spans="2:14">
      <c r="B60" s="19">
        <v>1232894</v>
      </c>
      <c r="C60" s="9">
        <v>926</v>
      </c>
      <c r="D60" s="9">
        <v>0</v>
      </c>
      <c r="E60" s="9">
        <v>312</v>
      </c>
      <c r="F60" s="9">
        <v>0</v>
      </c>
      <c r="G60" s="9">
        <v>350</v>
      </c>
      <c r="H60" s="9">
        <v>0</v>
      </c>
      <c r="I60" s="9">
        <v>0</v>
      </c>
      <c r="J60" s="9">
        <v>240</v>
      </c>
      <c r="K60" s="9">
        <v>0</v>
      </c>
      <c r="L60" s="9">
        <v>699</v>
      </c>
      <c r="N60" s="78">
        <f t="shared" si="1"/>
        <v>2527</v>
      </c>
    </row>
    <row r="61" spans="2:14">
      <c r="B61" s="19">
        <v>1232895</v>
      </c>
      <c r="C61" s="9">
        <v>0</v>
      </c>
      <c r="D61" s="9">
        <v>276</v>
      </c>
      <c r="E61" s="9">
        <v>0</v>
      </c>
      <c r="F61" s="9">
        <v>95</v>
      </c>
      <c r="G61" s="9">
        <v>300</v>
      </c>
      <c r="H61" s="9">
        <v>300</v>
      </c>
      <c r="I61" s="9">
        <v>763</v>
      </c>
      <c r="J61" s="9">
        <v>200</v>
      </c>
      <c r="K61" s="9">
        <v>500</v>
      </c>
      <c r="L61" s="9">
        <v>500</v>
      </c>
      <c r="N61" s="78">
        <f t="shared" si="1"/>
        <v>2934</v>
      </c>
    </row>
    <row r="62" spans="2:14">
      <c r="B62" s="19">
        <v>1232922</v>
      </c>
      <c r="C62" s="9">
        <v>0</v>
      </c>
      <c r="D62" s="9">
        <v>276</v>
      </c>
      <c r="E62" s="9">
        <v>0</v>
      </c>
      <c r="F62" s="9">
        <v>0</v>
      </c>
      <c r="G62" s="9">
        <v>0</v>
      </c>
      <c r="H62" s="9">
        <v>0</v>
      </c>
      <c r="I62" s="9">
        <v>276</v>
      </c>
      <c r="J62" s="9">
        <v>0</v>
      </c>
      <c r="K62" s="9">
        <v>0</v>
      </c>
      <c r="L62" s="9">
        <v>0</v>
      </c>
      <c r="N62" s="78">
        <f t="shared" si="1"/>
        <v>552</v>
      </c>
    </row>
    <row r="63" spans="2:14">
      <c r="B63" s="19">
        <v>1232982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50</v>
      </c>
      <c r="J63" s="9">
        <v>0</v>
      </c>
      <c r="K63" s="9">
        <v>0</v>
      </c>
      <c r="L63" s="9">
        <v>0</v>
      </c>
      <c r="N63" s="78">
        <f t="shared" si="1"/>
        <v>50</v>
      </c>
    </row>
    <row r="64" spans="2:14">
      <c r="B64" s="19">
        <v>1233025</v>
      </c>
      <c r="C64" s="9">
        <v>0</v>
      </c>
      <c r="D64" s="9">
        <v>0</v>
      </c>
      <c r="E64" s="9">
        <v>1260</v>
      </c>
      <c r="F64" s="9">
        <v>0</v>
      </c>
      <c r="G64" s="9">
        <v>0</v>
      </c>
      <c r="H64" s="9">
        <v>0</v>
      </c>
      <c r="I64" s="9">
        <v>0</v>
      </c>
      <c r="J64" s="9">
        <v>1491</v>
      </c>
      <c r="K64" s="9">
        <v>0</v>
      </c>
      <c r="L64" s="9">
        <v>77</v>
      </c>
      <c r="N64" s="78">
        <f t="shared" si="1"/>
        <v>2828</v>
      </c>
    </row>
    <row r="65" spans="2:14">
      <c r="B65" s="19">
        <v>1233165</v>
      </c>
      <c r="C65" s="9">
        <v>0</v>
      </c>
      <c r="D65" s="9">
        <v>400</v>
      </c>
      <c r="E65" s="9">
        <v>0</v>
      </c>
      <c r="F65" s="9">
        <v>0</v>
      </c>
      <c r="G65" s="9">
        <v>0</v>
      </c>
      <c r="H65" s="9">
        <v>50</v>
      </c>
      <c r="I65" s="9">
        <v>0</v>
      </c>
      <c r="J65" s="9">
        <v>0</v>
      </c>
      <c r="K65" s="9">
        <v>0</v>
      </c>
      <c r="L65" s="9">
        <v>0</v>
      </c>
      <c r="N65" s="78">
        <f t="shared" si="1"/>
        <v>450</v>
      </c>
    </row>
    <row r="66" spans="2:14">
      <c r="B66" s="19">
        <v>1233383</v>
      </c>
      <c r="C66" s="9">
        <v>0</v>
      </c>
      <c r="D66" s="9">
        <v>154</v>
      </c>
      <c r="E66" s="9">
        <v>0</v>
      </c>
      <c r="F66" s="9">
        <v>0</v>
      </c>
      <c r="G66" s="9">
        <v>0</v>
      </c>
      <c r="H66" s="9">
        <v>0</v>
      </c>
      <c r="I66" s="9">
        <v>159</v>
      </c>
      <c r="J66" s="9">
        <v>0</v>
      </c>
      <c r="K66" s="9">
        <v>0</v>
      </c>
      <c r="L66" s="9">
        <v>0</v>
      </c>
      <c r="N66" s="78">
        <f t="shared" si="1"/>
        <v>313</v>
      </c>
    </row>
    <row r="67" spans="2:14">
      <c r="B67" s="19">
        <v>1233384</v>
      </c>
      <c r="C67" s="9">
        <v>0</v>
      </c>
      <c r="D67" s="9">
        <v>0</v>
      </c>
      <c r="E67" s="9">
        <v>0</v>
      </c>
      <c r="F67" s="9">
        <v>95</v>
      </c>
      <c r="G67" s="9">
        <v>300</v>
      </c>
      <c r="H67" s="9">
        <v>300</v>
      </c>
      <c r="I67" s="9">
        <v>300</v>
      </c>
      <c r="J67" s="9">
        <v>200</v>
      </c>
      <c r="K67" s="9">
        <v>500</v>
      </c>
      <c r="L67" s="9">
        <v>500</v>
      </c>
      <c r="N67" s="78">
        <f t="shared" si="1"/>
        <v>2195</v>
      </c>
    </row>
    <row r="68" spans="2:14">
      <c r="B68" s="19">
        <v>1233385</v>
      </c>
      <c r="C68" s="9">
        <v>0</v>
      </c>
      <c r="D68" s="9">
        <v>0</v>
      </c>
      <c r="E68" s="9">
        <v>312</v>
      </c>
      <c r="F68" s="9">
        <v>0</v>
      </c>
      <c r="G68" s="9">
        <v>0</v>
      </c>
      <c r="H68" s="9">
        <v>0</v>
      </c>
      <c r="I68" s="9">
        <v>0</v>
      </c>
      <c r="J68" s="9">
        <v>240</v>
      </c>
      <c r="K68" s="9">
        <v>0</v>
      </c>
      <c r="L68" s="9">
        <v>0</v>
      </c>
      <c r="N68" s="78">
        <f t="shared" si="1"/>
        <v>552</v>
      </c>
    </row>
    <row r="69" spans="2:14">
      <c r="B69" s="19">
        <v>1233386</v>
      </c>
      <c r="C69" s="9">
        <v>350</v>
      </c>
      <c r="D69" s="9">
        <v>0</v>
      </c>
      <c r="E69" s="9">
        <v>0</v>
      </c>
      <c r="F69" s="9">
        <v>0</v>
      </c>
      <c r="G69" s="9">
        <v>350</v>
      </c>
      <c r="H69" s="9">
        <v>0</v>
      </c>
      <c r="I69" s="9">
        <v>0</v>
      </c>
      <c r="J69" s="9">
        <v>0</v>
      </c>
      <c r="K69" s="9">
        <v>0</v>
      </c>
      <c r="L69" s="9">
        <v>353</v>
      </c>
      <c r="N69" s="78">
        <f t="shared" si="1"/>
        <v>1053</v>
      </c>
    </row>
    <row r="70" spans="2:14">
      <c r="B70" s="19">
        <v>1233387</v>
      </c>
      <c r="C70" s="9">
        <v>576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187</v>
      </c>
      <c r="J70" s="9">
        <v>0</v>
      </c>
      <c r="K70" s="9">
        <v>0</v>
      </c>
      <c r="L70" s="9">
        <v>346</v>
      </c>
      <c r="N70" s="78">
        <f t="shared" si="1"/>
        <v>1109</v>
      </c>
    </row>
    <row r="71" spans="2:14">
      <c r="B71" s="19">
        <v>1233580</v>
      </c>
      <c r="C71" s="9">
        <v>200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50</v>
      </c>
      <c r="J71" s="9">
        <v>0</v>
      </c>
      <c r="K71" s="9">
        <v>0</v>
      </c>
      <c r="L71" s="9">
        <v>0</v>
      </c>
      <c r="N71" s="78">
        <f t="shared" si="1"/>
        <v>250</v>
      </c>
    </row>
    <row r="72" spans="2:14">
      <c r="B72" s="19">
        <v>1233587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10</v>
      </c>
      <c r="J72" s="9">
        <v>0</v>
      </c>
      <c r="K72" s="9">
        <v>0</v>
      </c>
      <c r="L72" s="9">
        <v>0</v>
      </c>
      <c r="N72" s="78">
        <f t="shared" si="1"/>
        <v>10</v>
      </c>
    </row>
    <row r="73" spans="2:14">
      <c r="B73" s="19">
        <v>1234110</v>
      </c>
      <c r="C73" s="9">
        <v>0</v>
      </c>
      <c r="D73" s="9">
        <v>0</v>
      </c>
      <c r="E73" s="9">
        <v>50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N73" s="78">
        <f t="shared" si="1"/>
        <v>50</v>
      </c>
    </row>
    <row r="74" spans="2:14">
      <c r="B74" s="19">
        <v>1234111</v>
      </c>
      <c r="C74" s="9">
        <v>0</v>
      </c>
      <c r="D74" s="9">
        <v>0</v>
      </c>
      <c r="E74" s="9">
        <v>50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N74" s="78">
        <f t="shared" si="1"/>
        <v>50</v>
      </c>
    </row>
    <row r="75" spans="2:14">
      <c r="B75" s="19">
        <v>1234217</v>
      </c>
      <c r="C75" s="9">
        <v>0</v>
      </c>
      <c r="D75" s="9">
        <v>0</v>
      </c>
      <c r="E75" s="9">
        <v>50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N75" s="78">
        <f t="shared" si="1"/>
        <v>50</v>
      </c>
    </row>
    <row r="76" spans="2:14">
      <c r="B76" s="19">
        <v>1234222</v>
      </c>
      <c r="C76" s="9">
        <v>0</v>
      </c>
      <c r="D76" s="9">
        <v>0</v>
      </c>
      <c r="E76" s="9">
        <v>777</v>
      </c>
      <c r="F76" s="9">
        <v>0</v>
      </c>
      <c r="G76" s="9">
        <v>0</v>
      </c>
      <c r="H76" s="9">
        <v>0</v>
      </c>
      <c r="I76" s="9">
        <v>868</v>
      </c>
      <c r="J76" s="9">
        <v>0</v>
      </c>
      <c r="K76" s="9">
        <v>0</v>
      </c>
      <c r="L76" s="9">
        <v>0</v>
      </c>
      <c r="N76" s="78">
        <f t="shared" si="1"/>
        <v>1645</v>
      </c>
    </row>
    <row r="77" spans="2:14">
      <c r="B77" s="19">
        <v>1234614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324</v>
      </c>
      <c r="J77" s="9">
        <v>0</v>
      </c>
      <c r="K77" s="9">
        <v>0</v>
      </c>
      <c r="L77" s="9">
        <v>0</v>
      </c>
      <c r="N77" s="78">
        <f t="shared" si="1"/>
        <v>324</v>
      </c>
    </row>
    <row r="78" spans="2:14">
      <c r="B78" s="19">
        <v>1234905</v>
      </c>
      <c r="C78" s="9">
        <v>556</v>
      </c>
      <c r="D78" s="9">
        <v>500</v>
      </c>
      <c r="E78" s="9">
        <v>605</v>
      </c>
      <c r="F78" s="9">
        <v>1000</v>
      </c>
      <c r="G78" s="9">
        <v>900</v>
      </c>
      <c r="H78" s="9">
        <v>1000</v>
      </c>
      <c r="I78" s="9">
        <v>1000</v>
      </c>
      <c r="J78" s="9">
        <v>602</v>
      </c>
      <c r="K78" s="9">
        <v>0</v>
      </c>
      <c r="L78" s="9">
        <v>0</v>
      </c>
      <c r="N78" s="78">
        <f t="shared" si="1"/>
        <v>6163</v>
      </c>
    </row>
    <row r="79" spans="2:14">
      <c r="B79" s="19">
        <v>1235097</v>
      </c>
      <c r="C79" s="9">
        <v>0</v>
      </c>
      <c r="D79" s="9">
        <v>0</v>
      </c>
      <c r="E79" s="9">
        <v>410</v>
      </c>
      <c r="F79" s="9">
        <v>0</v>
      </c>
      <c r="G79" s="9">
        <v>200</v>
      </c>
      <c r="H79" s="9">
        <v>190</v>
      </c>
      <c r="I79" s="9">
        <v>231</v>
      </c>
      <c r="J79" s="9">
        <v>200</v>
      </c>
      <c r="K79" s="9">
        <v>300</v>
      </c>
      <c r="L79" s="9">
        <v>150</v>
      </c>
      <c r="N79" s="78">
        <f t="shared" si="1"/>
        <v>1681</v>
      </c>
    </row>
    <row r="80" spans="2:14">
      <c r="B80" s="19">
        <v>1235845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514</v>
      </c>
      <c r="J80" s="9">
        <v>0</v>
      </c>
      <c r="K80" s="9">
        <v>0</v>
      </c>
      <c r="L80" s="9">
        <v>0</v>
      </c>
      <c r="N80" s="78">
        <f t="shared" si="1"/>
        <v>514</v>
      </c>
    </row>
    <row r="81" spans="2:14">
      <c r="B81" s="19">
        <v>1236387</v>
      </c>
      <c r="C81" s="9">
        <v>700</v>
      </c>
      <c r="D81" s="9">
        <v>795</v>
      </c>
      <c r="E81" s="9">
        <v>400</v>
      </c>
      <c r="F81" s="9">
        <v>600</v>
      </c>
      <c r="G81" s="9">
        <v>700</v>
      </c>
      <c r="H81" s="9">
        <v>700</v>
      </c>
      <c r="I81" s="9">
        <v>600</v>
      </c>
      <c r="J81" s="9">
        <v>700</v>
      </c>
      <c r="K81" s="9">
        <v>600</v>
      </c>
      <c r="L81" s="9">
        <v>600</v>
      </c>
      <c r="N81" s="78">
        <f t="shared" si="1"/>
        <v>6395</v>
      </c>
    </row>
    <row r="82" spans="2:14">
      <c r="B82" s="19">
        <v>1236600</v>
      </c>
      <c r="C82" s="9">
        <v>0</v>
      </c>
      <c r="D82" s="9">
        <v>878</v>
      </c>
      <c r="E82" s="9">
        <v>0</v>
      </c>
      <c r="F82" s="9">
        <v>0</v>
      </c>
      <c r="G82" s="9">
        <v>0</v>
      </c>
      <c r="H82" s="9">
        <v>0</v>
      </c>
      <c r="I82" s="9">
        <v>935</v>
      </c>
      <c r="J82" s="9">
        <v>0</v>
      </c>
      <c r="K82" s="9">
        <v>0</v>
      </c>
      <c r="L82" s="9">
        <v>0</v>
      </c>
      <c r="N82" s="78">
        <f t="shared" si="1"/>
        <v>1813</v>
      </c>
    </row>
    <row r="83" spans="2:14">
      <c r="B83" s="19">
        <v>1236601</v>
      </c>
      <c r="C83" s="9">
        <v>0</v>
      </c>
      <c r="D83" s="9">
        <v>112</v>
      </c>
      <c r="E83" s="9">
        <v>0</v>
      </c>
      <c r="F83" s="9">
        <v>0</v>
      </c>
      <c r="G83" s="9">
        <v>0</v>
      </c>
      <c r="H83" s="9">
        <v>0</v>
      </c>
      <c r="I83" s="9">
        <v>107</v>
      </c>
      <c r="J83" s="9">
        <v>0</v>
      </c>
      <c r="K83" s="9">
        <v>0</v>
      </c>
      <c r="L83" s="9">
        <v>0</v>
      </c>
      <c r="N83" s="78">
        <f t="shared" si="1"/>
        <v>219</v>
      </c>
    </row>
    <row r="84" spans="2:14">
      <c r="B84" s="19">
        <v>1236930</v>
      </c>
      <c r="C84" s="9">
        <v>1197</v>
      </c>
      <c r="D84" s="9">
        <v>995</v>
      </c>
      <c r="E84" s="9">
        <v>1832</v>
      </c>
      <c r="F84" s="9">
        <v>1104</v>
      </c>
      <c r="G84" s="9">
        <v>2100</v>
      </c>
      <c r="H84" s="9">
        <v>1150</v>
      </c>
      <c r="I84" s="9">
        <v>800</v>
      </c>
      <c r="J84" s="9">
        <v>1544</v>
      </c>
      <c r="K84" s="9">
        <v>700</v>
      </c>
      <c r="L84" s="9">
        <v>2046</v>
      </c>
      <c r="N84" s="78">
        <f t="shared" si="1"/>
        <v>13468</v>
      </c>
    </row>
    <row r="85" spans="2:14">
      <c r="B85" s="19">
        <v>1237468</v>
      </c>
      <c r="C85" s="9">
        <v>0</v>
      </c>
      <c r="D85" s="9">
        <v>278</v>
      </c>
      <c r="E85" s="9">
        <v>0</v>
      </c>
      <c r="F85" s="9">
        <v>0</v>
      </c>
      <c r="G85" s="9">
        <v>0</v>
      </c>
      <c r="H85" s="9">
        <v>0</v>
      </c>
      <c r="I85" s="9">
        <v>183</v>
      </c>
      <c r="J85" s="9">
        <v>0</v>
      </c>
      <c r="K85" s="9">
        <v>0</v>
      </c>
      <c r="L85" s="9">
        <v>0</v>
      </c>
      <c r="N85" s="78">
        <f t="shared" si="1"/>
        <v>461</v>
      </c>
    </row>
    <row r="86" spans="2:14">
      <c r="B86" s="19">
        <v>1238453</v>
      </c>
      <c r="C86" s="9">
        <v>0</v>
      </c>
      <c r="D86" s="9">
        <v>248</v>
      </c>
      <c r="E86" s="9">
        <v>0</v>
      </c>
      <c r="F86" s="9">
        <v>0</v>
      </c>
      <c r="G86" s="9">
        <v>0</v>
      </c>
      <c r="H86" s="9">
        <v>0</v>
      </c>
      <c r="I86" s="9">
        <v>191</v>
      </c>
      <c r="J86" s="9">
        <v>0</v>
      </c>
      <c r="K86" s="9">
        <v>0</v>
      </c>
      <c r="L86" s="9">
        <v>0</v>
      </c>
      <c r="N86" s="78">
        <f t="shared" si="1"/>
        <v>439</v>
      </c>
    </row>
    <row r="87" spans="2:14">
      <c r="B87" s="19">
        <v>1238480</v>
      </c>
      <c r="C87" s="9">
        <v>7252</v>
      </c>
      <c r="D87" s="9">
        <v>5481</v>
      </c>
      <c r="E87" s="9">
        <v>5843</v>
      </c>
      <c r="F87" s="9">
        <v>5700</v>
      </c>
      <c r="G87" s="9">
        <v>4630</v>
      </c>
      <c r="H87" s="9">
        <v>700</v>
      </c>
      <c r="I87" s="9">
        <v>830</v>
      </c>
      <c r="J87" s="9">
        <v>16386</v>
      </c>
      <c r="K87" s="9">
        <v>700</v>
      </c>
      <c r="L87" s="9">
        <v>2624</v>
      </c>
      <c r="N87" s="78">
        <f t="shared" si="1"/>
        <v>50146</v>
      </c>
    </row>
    <row r="88" spans="2:14">
      <c r="B88" s="19">
        <v>1238605</v>
      </c>
      <c r="C88" s="9">
        <v>450</v>
      </c>
      <c r="D88" s="9">
        <v>900</v>
      </c>
      <c r="E88" s="9">
        <v>0</v>
      </c>
      <c r="F88" s="9">
        <v>0</v>
      </c>
      <c r="G88" s="9">
        <v>0</v>
      </c>
      <c r="H88" s="9">
        <v>450</v>
      </c>
      <c r="I88" s="9">
        <v>150</v>
      </c>
      <c r="J88" s="9">
        <v>0</v>
      </c>
      <c r="K88" s="9">
        <v>0</v>
      </c>
      <c r="L88" s="9">
        <v>0</v>
      </c>
      <c r="N88" s="78">
        <f t="shared" si="1"/>
        <v>1950</v>
      </c>
    </row>
    <row r="89" spans="2:14">
      <c r="B89" s="19">
        <v>1240029</v>
      </c>
      <c r="C89" s="9">
        <v>0</v>
      </c>
      <c r="D89" s="9">
        <v>800</v>
      </c>
      <c r="E89" s="9">
        <v>0</v>
      </c>
      <c r="F89" s="9">
        <v>200</v>
      </c>
      <c r="G89" s="9">
        <v>200</v>
      </c>
      <c r="H89" s="9">
        <v>400</v>
      </c>
      <c r="I89" s="9">
        <v>0</v>
      </c>
      <c r="J89" s="9">
        <v>0</v>
      </c>
      <c r="K89" s="9">
        <v>0</v>
      </c>
      <c r="L89" s="9">
        <v>400</v>
      </c>
      <c r="N89" s="78">
        <f t="shared" si="1"/>
        <v>2000</v>
      </c>
    </row>
    <row r="90" spans="2:14">
      <c r="B90" s="19">
        <v>1240032</v>
      </c>
      <c r="C90" s="9">
        <v>0</v>
      </c>
      <c r="D90" s="9">
        <v>800</v>
      </c>
      <c r="E90" s="9">
        <v>0</v>
      </c>
      <c r="F90" s="9">
        <v>200</v>
      </c>
      <c r="G90" s="9">
        <v>200</v>
      </c>
      <c r="H90" s="9">
        <v>400</v>
      </c>
      <c r="I90" s="9">
        <v>0</v>
      </c>
      <c r="J90" s="9">
        <v>0</v>
      </c>
      <c r="K90" s="9">
        <v>0</v>
      </c>
      <c r="L90" s="9">
        <v>400</v>
      </c>
      <c r="N90" s="78">
        <f t="shared" si="1"/>
        <v>2000</v>
      </c>
    </row>
    <row r="91" spans="2:14">
      <c r="B91" s="19">
        <v>1240180</v>
      </c>
      <c r="C91" s="9">
        <v>162</v>
      </c>
      <c r="D91" s="9">
        <v>239</v>
      </c>
      <c r="E91" s="9">
        <v>0</v>
      </c>
      <c r="F91" s="9">
        <v>0</v>
      </c>
      <c r="G91" s="9">
        <v>0</v>
      </c>
      <c r="H91" s="9">
        <v>300</v>
      </c>
      <c r="I91" s="9">
        <v>200</v>
      </c>
      <c r="J91" s="9">
        <v>0</v>
      </c>
      <c r="K91" s="9">
        <v>100</v>
      </c>
      <c r="L91" s="9">
        <v>250</v>
      </c>
      <c r="N91" s="78">
        <f t="shared" si="1"/>
        <v>1251</v>
      </c>
    </row>
    <row r="92" spans="2:14">
      <c r="B92" s="19">
        <v>1240184</v>
      </c>
      <c r="C92" s="9">
        <v>162</v>
      </c>
      <c r="D92" s="9">
        <v>239</v>
      </c>
      <c r="E92" s="9">
        <v>0</v>
      </c>
      <c r="F92" s="9">
        <v>0</v>
      </c>
      <c r="G92" s="9">
        <v>0</v>
      </c>
      <c r="H92" s="9">
        <v>300</v>
      </c>
      <c r="I92" s="9">
        <v>200</v>
      </c>
      <c r="J92" s="9">
        <v>0</v>
      </c>
      <c r="K92" s="9">
        <v>100</v>
      </c>
      <c r="L92" s="9">
        <v>250</v>
      </c>
      <c r="N92" s="78">
        <f t="shared" si="1"/>
        <v>1251</v>
      </c>
    </row>
    <row r="93" spans="2:14">
      <c r="B93" s="19">
        <v>1241343</v>
      </c>
      <c r="C93" s="9">
        <v>0</v>
      </c>
      <c r="D93" s="9">
        <v>0</v>
      </c>
      <c r="E93" s="9">
        <v>20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N93" s="78">
        <f t="shared" si="1"/>
        <v>20</v>
      </c>
    </row>
    <row r="94" spans="2:14">
      <c r="B94" s="19">
        <v>1241347</v>
      </c>
      <c r="C94" s="9">
        <v>0</v>
      </c>
      <c r="D94" s="9">
        <v>0</v>
      </c>
      <c r="E94" s="9">
        <v>20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N94" s="78">
        <f t="shared" si="1"/>
        <v>20</v>
      </c>
    </row>
    <row r="95" spans="2:14">
      <c r="B95" s="19">
        <v>1241387</v>
      </c>
      <c r="C95" s="9">
        <v>0</v>
      </c>
      <c r="D95" s="9">
        <v>0</v>
      </c>
      <c r="E95" s="9">
        <v>151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N95" s="78">
        <f t="shared" si="1"/>
        <v>151</v>
      </c>
    </row>
    <row r="96" spans="2:14">
      <c r="B96" s="19">
        <v>1241474</v>
      </c>
      <c r="C96" s="9">
        <v>0</v>
      </c>
      <c r="D96" s="9">
        <v>0</v>
      </c>
      <c r="E96" s="9">
        <v>37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N96" s="78">
        <f t="shared" si="1"/>
        <v>37</v>
      </c>
    </row>
    <row r="97" spans="2:14">
      <c r="B97" s="19">
        <v>1241480</v>
      </c>
      <c r="C97" s="9">
        <v>0</v>
      </c>
      <c r="D97" s="9">
        <v>0</v>
      </c>
      <c r="E97" s="9">
        <v>26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N97" s="78">
        <f t="shared" si="1"/>
        <v>26</v>
      </c>
    </row>
    <row r="98" spans="2:14">
      <c r="N98" s="78"/>
    </row>
    <row r="99" spans="2:14">
      <c r="N99" s="78"/>
    </row>
    <row r="100" spans="2:14">
      <c r="N100" s="78"/>
    </row>
    <row r="101" spans="2:14">
      <c r="N101" s="78"/>
    </row>
    <row r="102" spans="2:14">
      <c r="N102" s="78"/>
    </row>
    <row r="103" spans="2:14">
      <c r="N103" s="78"/>
    </row>
    <row r="104" spans="2:14">
      <c r="N104" s="78"/>
    </row>
    <row r="105" spans="2:14">
      <c r="N105" s="78"/>
    </row>
    <row r="106" spans="2:14">
      <c r="N106" s="78"/>
    </row>
    <row r="107" spans="2:14">
      <c r="N107" s="78"/>
    </row>
    <row r="108" spans="2:14">
      <c r="N108" s="78"/>
    </row>
    <row r="109" spans="2:14">
      <c r="N109" s="78"/>
    </row>
    <row r="110" spans="2:14">
      <c r="N110" s="78"/>
    </row>
    <row r="111" spans="2:14">
      <c r="N111" s="78"/>
    </row>
    <row r="112" spans="2:14">
      <c r="N112" s="78"/>
    </row>
    <row r="113" spans="14:14">
      <c r="N113" s="78"/>
    </row>
    <row r="114" spans="14:14">
      <c r="N114" s="78"/>
    </row>
    <row r="115" spans="14:14">
      <c r="N115" s="78"/>
    </row>
    <row r="116" spans="14:14">
      <c r="N116" s="78"/>
    </row>
    <row r="117" spans="14:14">
      <c r="N117" s="78"/>
    </row>
    <row r="118" spans="14:14">
      <c r="N118" s="78"/>
    </row>
    <row r="119" spans="14:14">
      <c r="N119" s="78"/>
    </row>
    <row r="120" spans="14:14">
      <c r="N120" s="78"/>
    </row>
    <row r="121" spans="14:14">
      <c r="N121" s="78"/>
    </row>
    <row r="122" spans="14:14">
      <c r="N122" s="78"/>
    </row>
    <row r="123" spans="14:14">
      <c r="N123" s="78"/>
    </row>
    <row r="124" spans="14:14">
      <c r="N124" s="78"/>
    </row>
    <row r="125" spans="14:14">
      <c r="N125" s="78"/>
    </row>
    <row r="126" spans="14:14">
      <c r="N126" s="78"/>
    </row>
    <row r="127" spans="14:14">
      <c r="N127" s="78"/>
    </row>
    <row r="128" spans="14:14">
      <c r="N128" s="78"/>
    </row>
    <row r="129" spans="14:14">
      <c r="N129" s="78"/>
    </row>
    <row r="130" spans="14:14">
      <c r="N130" s="78"/>
    </row>
    <row r="131" spans="14:14">
      <c r="N131" s="78"/>
    </row>
    <row r="132" spans="14:14">
      <c r="N132" s="78"/>
    </row>
    <row r="133" spans="14:14">
      <c r="N133" s="78"/>
    </row>
    <row r="134" spans="14:14">
      <c r="N134" s="78"/>
    </row>
    <row r="135" spans="14:14">
      <c r="N135" s="78"/>
    </row>
    <row r="136" spans="14:14">
      <c r="N136" s="78"/>
    </row>
    <row r="137" spans="14:14">
      <c r="N137" s="78"/>
    </row>
    <row r="138" spans="14:14">
      <c r="N138" s="78"/>
    </row>
    <row r="139" spans="14:14">
      <c r="N139" s="78"/>
    </row>
    <row r="140" spans="14:14">
      <c r="N140" s="78"/>
    </row>
    <row r="141" spans="14:14">
      <c r="N141" s="78"/>
    </row>
    <row r="142" spans="14:14">
      <c r="N142" s="78"/>
    </row>
    <row r="143" spans="14:14">
      <c r="N143" s="78"/>
    </row>
    <row r="144" spans="14:14">
      <c r="N144" s="78"/>
    </row>
    <row r="145" spans="14:14">
      <c r="N145" s="78"/>
    </row>
    <row r="146" spans="14:14">
      <c r="N146" s="78"/>
    </row>
    <row r="147" spans="14:14">
      <c r="N147" s="78"/>
    </row>
    <row r="148" spans="14:14">
      <c r="N148" s="78"/>
    </row>
    <row r="149" spans="14:14">
      <c r="N149" s="78"/>
    </row>
    <row r="150" spans="14:14">
      <c r="N150" s="78"/>
    </row>
    <row r="151" spans="14:14">
      <c r="N151" s="78"/>
    </row>
    <row r="152" spans="14:14">
      <c r="N152" s="78"/>
    </row>
    <row r="153" spans="14:14">
      <c r="N153" s="78"/>
    </row>
    <row r="154" spans="14:14">
      <c r="N154" s="78"/>
    </row>
    <row r="155" spans="14:14">
      <c r="N155" s="78"/>
    </row>
    <row r="156" spans="14:14">
      <c r="N156" s="78"/>
    </row>
  </sheetData>
  <phoneticPr fontId="1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3C60-F631-457B-921F-AB16A78178DA}">
  <dimension ref="A1:R65"/>
  <sheetViews>
    <sheetView zoomScale="130" zoomScaleNormal="130" workbookViewId="0">
      <selection activeCell="E20" sqref="E20:Q26"/>
    </sheetView>
  </sheetViews>
  <sheetFormatPr defaultColWidth="9.33203125" defaultRowHeight="12"/>
  <cols>
    <col min="1" max="1" width="10.1640625" style="5" bestFit="1" customWidth="1"/>
    <col min="2" max="2" width="9.33203125" style="9" bestFit="1"/>
    <col min="3" max="17" width="9.1640625" style="9" customWidth="1"/>
    <col min="18" max="18" width="9.33203125" style="9" bestFit="1"/>
    <col min="19" max="16384" width="9.33203125" style="5"/>
  </cols>
  <sheetData>
    <row r="1" spans="1:18">
      <c r="A1" s="5" t="s">
        <v>0</v>
      </c>
      <c r="B1" s="9" t="s">
        <v>843</v>
      </c>
      <c r="C1" s="9" t="s">
        <v>844</v>
      </c>
      <c r="D1" s="9" t="s">
        <v>845</v>
      </c>
      <c r="E1" s="9" t="s">
        <v>850</v>
      </c>
      <c r="F1" s="9" t="s">
        <v>851</v>
      </c>
      <c r="G1" s="18" t="s">
        <v>852</v>
      </c>
      <c r="H1" s="9" t="s">
        <v>853</v>
      </c>
      <c r="I1" s="9" t="s">
        <v>854</v>
      </c>
      <c r="J1" s="9" t="s">
        <v>855</v>
      </c>
      <c r="K1" s="9" t="s">
        <v>856</v>
      </c>
      <c r="L1" s="9" t="s">
        <v>878</v>
      </c>
      <c r="M1" s="9" t="s">
        <v>879</v>
      </c>
      <c r="N1" s="9" t="s">
        <v>880</v>
      </c>
      <c r="O1" s="9" t="s">
        <v>884</v>
      </c>
      <c r="P1" s="9" t="s">
        <v>883</v>
      </c>
      <c r="Q1" s="9" t="s">
        <v>882</v>
      </c>
      <c r="R1" s="9" t="s">
        <v>881</v>
      </c>
    </row>
    <row r="2" spans="1:18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200</v>
      </c>
      <c r="N2" s="9">
        <v>200</v>
      </c>
      <c r="O2" s="9">
        <v>660</v>
      </c>
      <c r="P2" s="9">
        <v>0</v>
      </c>
      <c r="Q2" s="9">
        <v>0</v>
      </c>
      <c r="R2" s="9">
        <v>0</v>
      </c>
    </row>
    <row r="3" spans="1:18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200</v>
      </c>
      <c r="N3" s="9">
        <v>200</v>
      </c>
      <c r="O3" s="9">
        <v>660</v>
      </c>
      <c r="P3" s="9">
        <v>0</v>
      </c>
      <c r="Q3" s="9">
        <v>0</v>
      </c>
      <c r="R3" s="9">
        <v>0</v>
      </c>
    </row>
    <row r="4" spans="1:18">
      <c r="A4" s="5">
        <v>1229673</v>
      </c>
      <c r="B4" s="9">
        <v>0</v>
      </c>
      <c r="C4" s="9">
        <v>0</v>
      </c>
      <c r="D4" s="9">
        <v>0</v>
      </c>
      <c r="E4" s="9">
        <v>300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300</v>
      </c>
      <c r="N4" s="9">
        <v>200</v>
      </c>
      <c r="O4" s="9">
        <v>200</v>
      </c>
      <c r="P4" s="9">
        <v>200</v>
      </c>
      <c r="Q4" s="9">
        <v>0</v>
      </c>
      <c r="R4" s="9">
        <v>0</v>
      </c>
    </row>
    <row r="5" spans="1:18">
      <c r="A5" s="5">
        <v>1230854</v>
      </c>
      <c r="B5" s="9">
        <v>0</v>
      </c>
      <c r="C5" s="9">
        <v>0</v>
      </c>
      <c r="D5" s="9">
        <v>0</v>
      </c>
      <c r="E5" s="9">
        <v>0</v>
      </c>
      <c r="F5" s="9">
        <v>100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</row>
    <row r="6" spans="1:18">
      <c r="A6" s="5">
        <v>1237088</v>
      </c>
      <c r="B6" s="9">
        <v>684</v>
      </c>
      <c r="C6" s="9">
        <v>0</v>
      </c>
      <c r="D6" s="9">
        <v>0</v>
      </c>
      <c r="E6" s="9">
        <v>644</v>
      </c>
      <c r="F6" s="9">
        <v>394</v>
      </c>
      <c r="G6" s="18">
        <v>424</v>
      </c>
      <c r="H6" s="9">
        <v>1556</v>
      </c>
      <c r="I6" s="9">
        <v>1356</v>
      </c>
      <c r="J6" s="9" t="s">
        <v>904</v>
      </c>
      <c r="K6" s="9">
        <v>0</v>
      </c>
      <c r="L6" s="9">
        <v>0</v>
      </c>
      <c r="M6" s="9">
        <v>860</v>
      </c>
      <c r="N6" s="9">
        <v>248</v>
      </c>
      <c r="O6" s="9">
        <v>746</v>
      </c>
      <c r="P6" s="9">
        <v>944</v>
      </c>
      <c r="Q6" s="9">
        <v>0</v>
      </c>
      <c r="R6" s="9">
        <v>0</v>
      </c>
    </row>
    <row r="7" spans="1:18">
      <c r="A7" s="5">
        <v>1237748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558</v>
      </c>
      <c r="I7" s="9">
        <v>456</v>
      </c>
      <c r="J7" s="9">
        <v>0</v>
      </c>
      <c r="K7" s="9">
        <v>0</v>
      </c>
      <c r="L7" s="9">
        <v>0</v>
      </c>
      <c r="M7" s="9">
        <v>78</v>
      </c>
      <c r="N7" s="9">
        <v>0</v>
      </c>
      <c r="O7" s="9">
        <v>0</v>
      </c>
      <c r="P7" s="9">
        <v>0</v>
      </c>
      <c r="Q7" s="9">
        <v>0</v>
      </c>
      <c r="R7" s="9">
        <v>0</v>
      </c>
    </row>
    <row r="8" spans="1:18">
      <c r="A8" s="5">
        <v>1236091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18">
        <v>100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>
      <c r="A9" s="5">
        <v>1238128</v>
      </c>
      <c r="B9" s="9">
        <v>378</v>
      </c>
      <c r="C9" s="9">
        <v>0</v>
      </c>
      <c r="D9" s="9">
        <v>0</v>
      </c>
      <c r="E9" s="9">
        <v>378</v>
      </c>
      <c r="F9" s="9">
        <v>490</v>
      </c>
      <c r="G9" s="18">
        <v>698</v>
      </c>
      <c r="H9" s="9">
        <v>529</v>
      </c>
      <c r="I9" s="9">
        <v>312</v>
      </c>
      <c r="J9" s="9">
        <v>0</v>
      </c>
      <c r="K9" s="9">
        <v>0</v>
      </c>
      <c r="L9" s="9">
        <v>0</v>
      </c>
      <c r="M9" s="9">
        <v>562</v>
      </c>
      <c r="N9" s="9">
        <v>464</v>
      </c>
      <c r="O9" s="9">
        <v>590</v>
      </c>
      <c r="P9" s="9">
        <v>464</v>
      </c>
      <c r="Q9" s="9">
        <v>0</v>
      </c>
      <c r="R9" s="9">
        <v>0</v>
      </c>
    </row>
    <row r="10" spans="1:18">
      <c r="A10" s="5">
        <v>1236962</v>
      </c>
      <c r="B10" s="9">
        <v>0</v>
      </c>
      <c r="C10" s="9">
        <v>0</v>
      </c>
      <c r="D10" s="9">
        <v>0</v>
      </c>
      <c r="E10" s="9">
        <v>398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300</v>
      </c>
      <c r="O10" s="9">
        <v>200</v>
      </c>
      <c r="P10" s="9">
        <v>200</v>
      </c>
      <c r="Q10" s="9">
        <v>0</v>
      </c>
      <c r="R10" s="9">
        <v>0</v>
      </c>
    </row>
    <row r="11" spans="1:18">
      <c r="A11" s="5">
        <v>1239651</v>
      </c>
      <c r="B11" s="9">
        <v>0</v>
      </c>
      <c r="C11" s="9">
        <v>0</v>
      </c>
      <c r="D11" s="9">
        <v>0</v>
      </c>
      <c r="E11" s="9">
        <v>0</v>
      </c>
      <c r="F11" s="9">
        <v>500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200</v>
      </c>
      <c r="N11" s="9">
        <v>0</v>
      </c>
      <c r="O11" s="9" t="s">
        <v>905</v>
      </c>
      <c r="P11" s="9">
        <v>0</v>
      </c>
      <c r="Q11" s="9">
        <v>0</v>
      </c>
      <c r="R11" s="9">
        <v>0</v>
      </c>
    </row>
    <row r="12" spans="1:18">
      <c r="A12" s="5">
        <v>1239988</v>
      </c>
      <c r="B12" s="9">
        <v>294</v>
      </c>
      <c r="C12" s="9">
        <v>0</v>
      </c>
      <c r="D12" s="9">
        <v>0</v>
      </c>
      <c r="E12" s="9">
        <v>284</v>
      </c>
      <c r="F12" s="9">
        <v>442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442</v>
      </c>
      <c r="N12" s="9">
        <v>44</v>
      </c>
      <c r="O12" s="9">
        <v>0</v>
      </c>
      <c r="P12" s="9">
        <v>0</v>
      </c>
      <c r="Q12" s="9">
        <v>0</v>
      </c>
      <c r="R12" s="9">
        <v>0</v>
      </c>
    </row>
    <row r="13" spans="1:18">
      <c r="A13" s="5">
        <v>1240180</v>
      </c>
      <c r="B13" s="9">
        <v>34</v>
      </c>
      <c r="C13" s="9">
        <v>0</v>
      </c>
      <c r="D13" s="9">
        <v>0</v>
      </c>
      <c r="E13" s="9">
        <v>62</v>
      </c>
      <c r="F13" s="9">
        <v>358</v>
      </c>
      <c r="G13" s="18">
        <v>230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270</v>
      </c>
      <c r="O13" s="9">
        <v>410</v>
      </c>
      <c r="P13" s="9">
        <v>322</v>
      </c>
      <c r="Q13" s="9">
        <v>0</v>
      </c>
      <c r="R13" s="9">
        <v>0</v>
      </c>
    </row>
    <row r="14" spans="1:18">
      <c r="A14" s="5">
        <v>1240184</v>
      </c>
      <c r="B14" s="9">
        <v>34</v>
      </c>
      <c r="C14" s="9">
        <v>0</v>
      </c>
      <c r="D14" s="9">
        <v>0</v>
      </c>
      <c r="E14" s="9">
        <v>62</v>
      </c>
      <c r="F14" s="9">
        <v>358</v>
      </c>
      <c r="G14" s="18">
        <v>130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270</v>
      </c>
      <c r="O14" s="9">
        <v>410</v>
      </c>
      <c r="P14" s="9">
        <v>322</v>
      </c>
      <c r="Q14" s="9">
        <v>0</v>
      </c>
      <c r="R14" s="9">
        <v>0</v>
      </c>
    </row>
    <row r="15" spans="1:18">
      <c r="A15" s="5">
        <v>1240308</v>
      </c>
      <c r="B15" s="9">
        <v>300</v>
      </c>
      <c r="C15" s="9">
        <v>0</v>
      </c>
      <c r="D15" s="9">
        <v>0</v>
      </c>
      <c r="E15" s="9">
        <v>450</v>
      </c>
      <c r="F15" s="9">
        <v>0</v>
      </c>
      <c r="G15" s="18">
        <v>280</v>
      </c>
      <c r="H15" s="9">
        <v>300</v>
      </c>
      <c r="I15" s="9">
        <v>0</v>
      </c>
      <c r="J15" s="9">
        <v>0</v>
      </c>
      <c r="K15" s="9">
        <v>0</v>
      </c>
      <c r="L15" s="9">
        <v>0</v>
      </c>
      <c r="M15" s="9">
        <v>150</v>
      </c>
      <c r="N15" s="9">
        <v>300</v>
      </c>
      <c r="O15" s="9">
        <v>0</v>
      </c>
      <c r="P15" s="9">
        <v>0</v>
      </c>
      <c r="Q15" s="9">
        <v>0</v>
      </c>
      <c r="R15" s="9">
        <v>0</v>
      </c>
    </row>
    <row r="16" spans="1:18">
      <c r="A16" s="5">
        <v>1241601</v>
      </c>
      <c r="B16" s="9">
        <v>952</v>
      </c>
      <c r="C16" s="9">
        <v>0</v>
      </c>
      <c r="D16" s="9">
        <v>0</v>
      </c>
      <c r="E16" s="9">
        <v>986</v>
      </c>
      <c r="F16" s="9">
        <v>746</v>
      </c>
      <c r="G16" s="18">
        <v>554</v>
      </c>
      <c r="H16" s="9">
        <v>838</v>
      </c>
      <c r="I16" s="9">
        <v>982</v>
      </c>
      <c r="J16" s="9">
        <v>0</v>
      </c>
      <c r="K16" s="9">
        <v>0</v>
      </c>
      <c r="L16" s="9">
        <v>0</v>
      </c>
      <c r="M16" s="9">
        <v>1494</v>
      </c>
      <c r="N16" s="9">
        <v>1174</v>
      </c>
      <c r="O16" s="9">
        <v>1494</v>
      </c>
      <c r="P16" s="9">
        <v>1174</v>
      </c>
      <c r="Q16" s="9">
        <v>0</v>
      </c>
      <c r="R16" s="9">
        <v>0</v>
      </c>
    </row>
    <row r="19" spans="1:18">
      <c r="A19" s="5" t="s">
        <v>0</v>
      </c>
      <c r="B19" s="9" t="s">
        <v>843</v>
      </c>
      <c r="C19" s="9" t="s">
        <v>844</v>
      </c>
      <c r="D19" s="9" t="s">
        <v>845</v>
      </c>
      <c r="E19" s="9" t="s">
        <v>850</v>
      </c>
      <c r="F19" s="9" t="s">
        <v>851</v>
      </c>
      <c r="G19" s="9" t="s">
        <v>852</v>
      </c>
      <c r="H19" s="9" t="s">
        <v>853</v>
      </c>
      <c r="I19" s="9" t="s">
        <v>854</v>
      </c>
      <c r="J19" s="9" t="s">
        <v>855</v>
      </c>
      <c r="K19" s="9" t="s">
        <v>856</v>
      </c>
      <c r="L19" s="9" t="s">
        <v>878</v>
      </c>
      <c r="M19" s="9" t="s">
        <v>879</v>
      </c>
      <c r="N19" s="9" t="s">
        <v>880</v>
      </c>
      <c r="O19" s="9" t="s">
        <v>884</v>
      </c>
      <c r="P19" s="9" t="s">
        <v>883</v>
      </c>
      <c r="Q19" s="9" t="s">
        <v>882</v>
      </c>
      <c r="R19" s="9" t="s">
        <v>881</v>
      </c>
    </row>
    <row r="20" spans="1:18">
      <c r="A20" s="5">
        <v>1237608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100</v>
      </c>
      <c r="O20" s="9">
        <v>300</v>
      </c>
      <c r="P20" s="9">
        <v>100</v>
      </c>
      <c r="Q20" s="9">
        <v>0</v>
      </c>
      <c r="R20" s="9">
        <v>0</v>
      </c>
    </row>
    <row r="21" spans="1:18">
      <c r="A21" s="5">
        <v>1232846</v>
      </c>
      <c r="B21" s="9">
        <v>0</v>
      </c>
      <c r="C21" s="9">
        <v>0</v>
      </c>
      <c r="D21" s="9">
        <v>0</v>
      </c>
      <c r="E21" s="9">
        <v>272</v>
      </c>
      <c r="F21" s="9">
        <v>352</v>
      </c>
      <c r="G21" s="9">
        <v>79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</row>
    <row r="22" spans="1:18">
      <c r="A22" s="5">
        <v>1232895</v>
      </c>
      <c r="B22" s="9">
        <v>0</v>
      </c>
      <c r="C22" s="9">
        <v>0</v>
      </c>
      <c r="D22" s="9">
        <v>0</v>
      </c>
      <c r="E22" s="9">
        <v>272</v>
      </c>
      <c r="F22" s="9">
        <v>352</v>
      </c>
      <c r="G22" s="9">
        <v>79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>
      <c r="A23" s="5">
        <v>1233384</v>
      </c>
      <c r="B23" s="9">
        <v>0</v>
      </c>
      <c r="C23" s="9">
        <v>0</v>
      </c>
      <c r="D23" s="9">
        <v>0</v>
      </c>
      <c r="E23" s="9">
        <v>272</v>
      </c>
      <c r="F23" s="9">
        <v>352</v>
      </c>
      <c r="G23" s="9">
        <v>79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</row>
    <row r="24" spans="1:18">
      <c r="A24" s="5">
        <v>1236387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180</v>
      </c>
      <c r="O24" s="9">
        <v>357</v>
      </c>
      <c r="P24" s="9">
        <v>357</v>
      </c>
      <c r="Q24" s="9">
        <v>0</v>
      </c>
      <c r="R24" s="9">
        <v>0</v>
      </c>
    </row>
    <row r="25" spans="1:18">
      <c r="A25" s="5">
        <v>1232775</v>
      </c>
      <c r="B25" s="9">
        <v>242</v>
      </c>
      <c r="C25" s="9">
        <v>0</v>
      </c>
      <c r="D25" s="9">
        <v>0</v>
      </c>
      <c r="E25" s="9">
        <v>311</v>
      </c>
      <c r="F25" s="9">
        <v>100</v>
      </c>
      <c r="G25" s="9">
        <v>178</v>
      </c>
      <c r="H25" s="9">
        <v>435</v>
      </c>
      <c r="I25" s="9">
        <v>424</v>
      </c>
      <c r="J25" s="9">
        <v>0</v>
      </c>
      <c r="K25" s="9">
        <v>0</v>
      </c>
      <c r="L25" s="9">
        <v>0</v>
      </c>
      <c r="M25" s="9">
        <v>618</v>
      </c>
      <c r="N25" s="9">
        <v>340</v>
      </c>
      <c r="O25" s="9">
        <v>242</v>
      </c>
      <c r="P25" s="9">
        <v>245</v>
      </c>
      <c r="Q25" s="9">
        <v>0</v>
      </c>
      <c r="R25" s="9">
        <v>0</v>
      </c>
    </row>
    <row r="26" spans="1:18">
      <c r="A26" s="5">
        <v>1238605</v>
      </c>
      <c r="B26" s="9">
        <v>0</v>
      </c>
      <c r="C26" s="9">
        <v>0</v>
      </c>
      <c r="D26" s="9">
        <v>0</v>
      </c>
      <c r="E26" s="9">
        <v>0</v>
      </c>
      <c r="F26" s="9">
        <v>92</v>
      </c>
      <c r="G26" s="9">
        <v>189</v>
      </c>
      <c r="H26" s="9">
        <v>28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9" spans="1:18">
      <c r="A29" s="5" t="s">
        <v>0</v>
      </c>
      <c r="B29" s="9" t="s">
        <v>843</v>
      </c>
      <c r="C29" s="9" t="s">
        <v>844</v>
      </c>
      <c r="D29" s="9" t="s">
        <v>845</v>
      </c>
      <c r="E29" s="9" t="s">
        <v>850</v>
      </c>
      <c r="F29" s="9" t="s">
        <v>851</v>
      </c>
      <c r="G29" s="9" t="s">
        <v>852</v>
      </c>
      <c r="H29" s="9" t="s">
        <v>853</v>
      </c>
      <c r="I29" s="9" t="s">
        <v>854</v>
      </c>
      <c r="J29" s="9" t="s">
        <v>855</v>
      </c>
      <c r="K29" s="9" t="s">
        <v>856</v>
      </c>
      <c r="L29" s="9" t="s">
        <v>878</v>
      </c>
      <c r="M29" s="9" t="s">
        <v>879</v>
      </c>
      <c r="N29" s="9" t="s">
        <v>880</v>
      </c>
      <c r="O29" s="9" t="s">
        <v>884</v>
      </c>
      <c r="P29" s="9" t="s">
        <v>883</v>
      </c>
      <c r="Q29" s="9" t="s">
        <v>882</v>
      </c>
      <c r="R29" s="9" t="s">
        <v>881</v>
      </c>
    </row>
    <row r="30" spans="1:18">
      <c r="A30" s="5">
        <v>1220847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260</v>
      </c>
      <c r="H30" s="9">
        <v>20</v>
      </c>
      <c r="I30" s="9">
        <v>0</v>
      </c>
      <c r="J30" s="9">
        <v>0</v>
      </c>
      <c r="K30" s="9">
        <v>0</v>
      </c>
      <c r="L30" s="9">
        <v>0</v>
      </c>
      <c r="M30" s="9">
        <v>3150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>
      <c r="A31" s="5">
        <v>1227306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1100</v>
      </c>
      <c r="O31" s="9">
        <v>0</v>
      </c>
      <c r="P31" s="9">
        <v>0</v>
      </c>
      <c r="Q31" s="9">
        <v>0</v>
      </c>
      <c r="R31" s="9">
        <v>0</v>
      </c>
    </row>
    <row r="32" spans="1:18">
      <c r="A32" s="5">
        <v>1227359</v>
      </c>
      <c r="B32" s="9">
        <v>290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34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>
      <c r="A33" s="5">
        <v>1225464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756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</row>
    <row r="34" spans="1:18">
      <c r="A34" s="5">
        <v>1232066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234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>
      <c r="A35" s="5">
        <v>1232693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800</v>
      </c>
      <c r="N35" s="9">
        <v>334</v>
      </c>
      <c r="O35" s="9">
        <v>0</v>
      </c>
      <c r="P35" s="9">
        <v>0</v>
      </c>
      <c r="Q35" s="9">
        <v>0</v>
      </c>
      <c r="R35" s="9">
        <v>0</v>
      </c>
    </row>
    <row r="36" spans="1:18">
      <c r="A36" s="5">
        <v>1233025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800</v>
      </c>
      <c r="N36" s="9">
        <v>334</v>
      </c>
      <c r="O36" s="9">
        <v>0</v>
      </c>
      <c r="P36" s="9">
        <v>0</v>
      </c>
      <c r="Q36" s="9">
        <v>0</v>
      </c>
      <c r="R36" s="9">
        <v>0</v>
      </c>
    </row>
    <row r="37" spans="1:18">
      <c r="A37" s="5">
        <v>1234222</v>
      </c>
      <c r="B37" s="9">
        <v>0</v>
      </c>
      <c r="C37" s="9">
        <v>0</v>
      </c>
      <c r="D37" s="9">
        <v>0</v>
      </c>
      <c r="E37" s="9">
        <v>0</v>
      </c>
      <c r="F37" s="9">
        <v>306</v>
      </c>
      <c r="G37" s="9">
        <v>94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</row>
    <row r="38" spans="1:18">
      <c r="A38" s="5">
        <v>1232528</v>
      </c>
      <c r="B38" s="9">
        <v>57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2581</v>
      </c>
      <c r="N38" s="9">
        <v>825</v>
      </c>
      <c r="O38" s="9">
        <v>0</v>
      </c>
      <c r="P38" s="9">
        <v>0</v>
      </c>
      <c r="Q38" s="9">
        <v>0</v>
      </c>
      <c r="R38" s="9">
        <v>0</v>
      </c>
    </row>
    <row r="39" spans="1:18">
      <c r="A39" s="5">
        <v>1232846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538</v>
      </c>
      <c r="O39" s="9">
        <v>0</v>
      </c>
      <c r="P39" s="9">
        <v>0</v>
      </c>
      <c r="Q39" s="9">
        <v>0</v>
      </c>
      <c r="R39" s="9">
        <v>0</v>
      </c>
    </row>
    <row r="40" spans="1:18">
      <c r="A40" s="5">
        <v>1229050</v>
      </c>
      <c r="B40" s="9">
        <v>0</v>
      </c>
      <c r="C40" s="9">
        <v>0</v>
      </c>
      <c r="D40" s="9">
        <v>0</v>
      </c>
      <c r="E40" s="9">
        <v>185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335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>
      <c r="A41" s="5">
        <v>1231090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80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810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</row>
    <row r="42" spans="1:18">
      <c r="A42" s="5">
        <v>1235097</v>
      </c>
      <c r="B42" s="9">
        <v>0</v>
      </c>
      <c r="C42" s="9">
        <v>0</v>
      </c>
      <c r="D42" s="9">
        <v>0</v>
      </c>
      <c r="E42" s="9">
        <v>67</v>
      </c>
      <c r="F42" s="9">
        <v>120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>
      <c r="A43" s="5">
        <v>1235845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137</v>
      </c>
      <c r="J43" s="9">
        <v>0</v>
      </c>
      <c r="K43" s="9">
        <v>0</v>
      </c>
      <c r="L43" s="9">
        <v>0</v>
      </c>
      <c r="M43" s="9">
        <v>763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>
      <c r="A44" s="5">
        <v>1236600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419</v>
      </c>
      <c r="H44" s="9">
        <v>426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>
      <c r="A45" s="5">
        <v>1236601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41</v>
      </c>
      <c r="I45" s="9">
        <v>82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</row>
    <row r="46" spans="1:18">
      <c r="A46" s="5">
        <v>1236619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198</v>
      </c>
      <c r="Q46" s="9">
        <v>0</v>
      </c>
      <c r="R46" s="9">
        <v>0</v>
      </c>
    </row>
    <row r="47" spans="1:18">
      <c r="A47" s="5">
        <v>1236930</v>
      </c>
      <c r="B47" s="9">
        <v>40</v>
      </c>
      <c r="C47" s="9">
        <v>0</v>
      </c>
      <c r="D47" s="9">
        <v>0</v>
      </c>
      <c r="E47" s="9">
        <v>0</v>
      </c>
      <c r="F47" s="9">
        <v>100</v>
      </c>
      <c r="G47" s="9">
        <v>330</v>
      </c>
      <c r="H47" s="9">
        <v>401</v>
      </c>
      <c r="I47" s="9">
        <v>235</v>
      </c>
      <c r="J47" s="9">
        <v>0</v>
      </c>
      <c r="K47" s="9">
        <v>0</v>
      </c>
      <c r="L47" s="9">
        <v>0</v>
      </c>
      <c r="M47" s="9">
        <v>1306</v>
      </c>
      <c r="N47" s="9">
        <v>400</v>
      </c>
      <c r="O47" s="9">
        <v>600</v>
      </c>
      <c r="P47" s="9">
        <v>800</v>
      </c>
      <c r="Q47" s="9">
        <v>0</v>
      </c>
      <c r="R47" s="9">
        <v>0</v>
      </c>
    </row>
    <row r="48" spans="1:18">
      <c r="A48" s="5">
        <v>1232982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400</v>
      </c>
      <c r="P48" s="9">
        <v>0</v>
      </c>
      <c r="Q48" s="9">
        <v>0</v>
      </c>
      <c r="R48" s="9">
        <v>0</v>
      </c>
    </row>
    <row r="49" spans="1:18">
      <c r="A49" s="5">
        <v>1237468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64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</row>
    <row r="50" spans="1:18">
      <c r="A50" s="5">
        <v>1237210</v>
      </c>
      <c r="B50" s="9">
        <v>0</v>
      </c>
      <c r="C50" s="9">
        <v>0</v>
      </c>
      <c r="D50" s="9">
        <v>0</v>
      </c>
      <c r="E50" s="9">
        <v>0</v>
      </c>
      <c r="F50" s="9">
        <v>375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>
      <c r="A51" s="5">
        <v>1232775</v>
      </c>
      <c r="B51" s="9">
        <v>480</v>
      </c>
      <c r="C51" s="9">
        <v>0</v>
      </c>
      <c r="D51" s="9">
        <v>0</v>
      </c>
      <c r="E51" s="9">
        <v>473</v>
      </c>
      <c r="F51" s="9">
        <v>47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93</v>
      </c>
      <c r="O51" s="9">
        <v>0</v>
      </c>
      <c r="P51" s="9">
        <v>0</v>
      </c>
      <c r="Q51" s="9">
        <v>0</v>
      </c>
      <c r="R51" s="9">
        <v>0</v>
      </c>
    </row>
    <row r="52" spans="1:18">
      <c r="A52" s="5">
        <v>1237457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54</v>
      </c>
      <c r="Q52" s="9">
        <v>0</v>
      </c>
      <c r="R52" s="9">
        <v>0</v>
      </c>
    </row>
    <row r="53" spans="1:18">
      <c r="A53" s="5">
        <v>1237386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45</v>
      </c>
      <c r="Q53" s="9">
        <v>0</v>
      </c>
      <c r="R53" s="9">
        <v>0</v>
      </c>
    </row>
    <row r="54" spans="1:18">
      <c r="A54" s="5">
        <v>1234905</v>
      </c>
      <c r="B54" s="9">
        <v>311</v>
      </c>
      <c r="C54" s="9">
        <v>0</v>
      </c>
      <c r="D54" s="9">
        <v>0</v>
      </c>
      <c r="E54" s="9">
        <v>311</v>
      </c>
      <c r="F54" s="9">
        <v>24</v>
      </c>
      <c r="G54" s="9">
        <v>0</v>
      </c>
      <c r="H54" s="9">
        <v>0</v>
      </c>
      <c r="I54" s="9">
        <v>224</v>
      </c>
      <c r="J54" s="9">
        <v>0</v>
      </c>
      <c r="K54" s="9">
        <v>0</v>
      </c>
      <c r="L54" s="9">
        <v>0</v>
      </c>
      <c r="M54" s="9">
        <v>40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</row>
    <row r="55" spans="1:18">
      <c r="A55" s="5">
        <v>1238480</v>
      </c>
      <c r="B55" s="9">
        <v>1564</v>
      </c>
      <c r="C55" s="9">
        <v>0</v>
      </c>
      <c r="D55" s="9">
        <v>0</v>
      </c>
      <c r="E55" s="9">
        <v>1669</v>
      </c>
      <c r="F55" s="9">
        <v>1538</v>
      </c>
      <c r="G55" s="9">
        <v>603</v>
      </c>
      <c r="H55" s="9">
        <v>772</v>
      </c>
      <c r="I55" s="9">
        <v>977</v>
      </c>
      <c r="J55" s="9">
        <v>0</v>
      </c>
      <c r="K55" s="9">
        <v>0</v>
      </c>
      <c r="L55" s="9">
        <v>0</v>
      </c>
      <c r="M55" s="9">
        <v>2742</v>
      </c>
      <c r="N55" s="9">
        <v>1229</v>
      </c>
      <c r="O55" s="9">
        <v>1320</v>
      </c>
      <c r="P55" s="9">
        <v>3126</v>
      </c>
      <c r="Q55" s="9">
        <v>0</v>
      </c>
      <c r="R55" s="9">
        <v>0</v>
      </c>
    </row>
    <row r="56" spans="1:18">
      <c r="A56" s="5">
        <v>1238453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40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</row>
    <row r="57" spans="1:18">
      <c r="A57" s="5">
        <v>1240180</v>
      </c>
      <c r="B57" s="9">
        <v>0</v>
      </c>
      <c r="C57" s="9">
        <v>0</v>
      </c>
      <c r="D57" s="9">
        <v>0</v>
      </c>
      <c r="E57" s="9">
        <v>0</v>
      </c>
      <c r="F57" s="9">
        <v>286</v>
      </c>
      <c r="G57" s="9">
        <v>251</v>
      </c>
      <c r="H57" s="9">
        <v>173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410</v>
      </c>
      <c r="Q57" s="9">
        <v>0</v>
      </c>
      <c r="R57" s="9">
        <v>0</v>
      </c>
    </row>
    <row r="58" spans="1:18">
      <c r="A58" s="5">
        <v>1240184</v>
      </c>
      <c r="B58" s="9">
        <v>0</v>
      </c>
      <c r="C58" s="9">
        <v>0</v>
      </c>
      <c r="D58" s="9">
        <v>0</v>
      </c>
      <c r="E58" s="9">
        <v>0</v>
      </c>
      <c r="F58" s="9">
        <v>286</v>
      </c>
      <c r="G58" s="9">
        <v>251</v>
      </c>
      <c r="H58" s="9">
        <v>173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410</v>
      </c>
      <c r="Q58" s="9">
        <v>0</v>
      </c>
      <c r="R58" s="9">
        <v>0</v>
      </c>
    </row>
    <row r="59" spans="1:18">
      <c r="A59" s="5">
        <v>1216452</v>
      </c>
      <c r="B59" s="9">
        <v>0</v>
      </c>
      <c r="C59" s="9">
        <v>0</v>
      </c>
      <c r="D59" s="9">
        <v>0</v>
      </c>
      <c r="E59" s="9">
        <v>0</v>
      </c>
      <c r="F59" s="9">
        <v>500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76</v>
      </c>
      <c r="O59" s="9">
        <v>0</v>
      </c>
      <c r="P59" s="9">
        <v>0</v>
      </c>
      <c r="Q59" s="9">
        <v>0</v>
      </c>
      <c r="R59" s="9">
        <v>0</v>
      </c>
    </row>
    <row r="60" spans="1:18">
      <c r="A60" s="5">
        <v>1232894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498</v>
      </c>
      <c r="O60" s="9">
        <v>0</v>
      </c>
      <c r="P60" s="9">
        <v>0</v>
      </c>
      <c r="Q60" s="9">
        <v>0</v>
      </c>
      <c r="R60" s="9">
        <v>0</v>
      </c>
    </row>
    <row r="61" spans="1:18">
      <c r="A61" s="5">
        <v>1233387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128</v>
      </c>
      <c r="O61" s="9">
        <v>0</v>
      </c>
      <c r="P61" s="9">
        <v>0</v>
      </c>
      <c r="Q61" s="9">
        <v>0</v>
      </c>
      <c r="R61" s="9">
        <v>0</v>
      </c>
    </row>
    <row r="62" spans="1:18">
      <c r="A62" s="5">
        <v>1233385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370</v>
      </c>
      <c r="O62" s="9">
        <v>0</v>
      </c>
      <c r="P62" s="9">
        <v>0</v>
      </c>
      <c r="Q62" s="9">
        <v>0</v>
      </c>
      <c r="R62" s="9">
        <v>0</v>
      </c>
    </row>
    <row r="63" spans="1:18">
      <c r="A63" s="5">
        <v>1232895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40</v>
      </c>
      <c r="O63" s="9">
        <v>0</v>
      </c>
      <c r="P63" s="9">
        <v>0</v>
      </c>
      <c r="Q63" s="9">
        <v>0</v>
      </c>
      <c r="R63" s="9">
        <v>0</v>
      </c>
    </row>
    <row r="64" spans="1:18">
      <c r="A64" s="5">
        <v>1232922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40</v>
      </c>
      <c r="O64" s="9">
        <v>0</v>
      </c>
      <c r="P64" s="9">
        <v>0</v>
      </c>
      <c r="Q64" s="9">
        <v>0</v>
      </c>
      <c r="R64" s="9">
        <v>0</v>
      </c>
    </row>
    <row r="65" spans="1:18">
      <c r="A65" s="5">
        <v>1233580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200</v>
      </c>
      <c r="O65" s="9">
        <v>0</v>
      </c>
      <c r="P65" s="9">
        <v>0</v>
      </c>
      <c r="Q65" s="9">
        <v>0</v>
      </c>
      <c r="R65" s="9">
        <v>0</v>
      </c>
    </row>
  </sheetData>
  <autoFilter ref="A1:R16" xr:uid="{82053C60-F631-457B-921F-AB16A78178DA}"/>
  <phoneticPr fontId="1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F6CE-4237-4EB6-A9F7-440F7E32440D}">
  <dimension ref="A1:O65"/>
  <sheetViews>
    <sheetView topLeftCell="A42" zoomScale="160" zoomScaleNormal="160" workbookViewId="0">
      <selection activeCell="A56" sqref="A56"/>
    </sheetView>
  </sheetViews>
  <sheetFormatPr defaultRowHeight="11.25"/>
  <cols>
    <col min="2" max="2" width="9.1640625" style="14"/>
    <col min="3" max="14" width="9.1640625" style="14" customWidth="1"/>
    <col min="15" max="15" width="9.1640625" style="14"/>
  </cols>
  <sheetData>
    <row r="1" spans="1:15">
      <c r="A1" s="2" t="s">
        <v>0</v>
      </c>
      <c r="B1" s="14" t="s">
        <v>906</v>
      </c>
      <c r="C1" s="14" t="s">
        <v>907</v>
      </c>
      <c r="D1" s="14" t="s">
        <v>908</v>
      </c>
      <c r="E1" s="16" t="s">
        <v>909</v>
      </c>
      <c r="F1" s="14" t="s">
        <v>910</v>
      </c>
      <c r="G1" s="14" t="s">
        <v>911</v>
      </c>
      <c r="H1" s="14" t="s">
        <v>912</v>
      </c>
      <c r="I1" s="14" t="s">
        <v>913</v>
      </c>
      <c r="J1" s="14" t="s">
        <v>914</v>
      </c>
      <c r="K1" s="14" t="s">
        <v>915</v>
      </c>
      <c r="L1" s="14" t="s">
        <v>916</v>
      </c>
      <c r="M1" s="14" t="s">
        <v>917</v>
      </c>
      <c r="N1" s="14" t="s">
        <v>918</v>
      </c>
      <c r="O1" s="14" t="s">
        <v>919</v>
      </c>
    </row>
    <row r="2" spans="1:15">
      <c r="A2">
        <v>1226384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200</v>
      </c>
      <c r="K2" s="14">
        <v>200</v>
      </c>
      <c r="L2" s="14">
        <v>660</v>
      </c>
      <c r="M2" s="14">
        <v>0</v>
      </c>
      <c r="N2" s="14">
        <v>0</v>
      </c>
      <c r="O2" s="14">
        <v>0</v>
      </c>
    </row>
    <row r="3" spans="1:15">
      <c r="A3">
        <v>1226388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200</v>
      </c>
      <c r="K3" s="14">
        <v>200</v>
      </c>
      <c r="L3" s="14">
        <v>660</v>
      </c>
      <c r="M3" s="14">
        <v>0</v>
      </c>
      <c r="N3" s="14">
        <v>0</v>
      </c>
      <c r="O3" s="14">
        <v>0</v>
      </c>
    </row>
    <row r="4" spans="1:15">
      <c r="A4">
        <v>1229673</v>
      </c>
      <c r="B4" s="14">
        <v>300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300</v>
      </c>
      <c r="K4" s="14">
        <v>200</v>
      </c>
      <c r="L4" s="14">
        <v>200</v>
      </c>
      <c r="M4" s="14">
        <v>200</v>
      </c>
      <c r="N4" s="14">
        <v>0</v>
      </c>
      <c r="O4" s="14">
        <v>0</v>
      </c>
    </row>
    <row r="5" spans="1:15">
      <c r="A5">
        <v>1230854</v>
      </c>
      <c r="B5" s="14">
        <v>0</v>
      </c>
      <c r="C5" s="14">
        <v>100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</row>
    <row r="6" spans="1:15">
      <c r="A6">
        <v>1237088</v>
      </c>
      <c r="B6" s="14">
        <v>644</v>
      </c>
      <c r="C6" s="14">
        <v>394</v>
      </c>
      <c r="D6" s="14">
        <v>424</v>
      </c>
      <c r="E6" s="16">
        <v>1556</v>
      </c>
      <c r="F6" s="14">
        <v>1356</v>
      </c>
      <c r="G6" s="14">
        <v>0</v>
      </c>
      <c r="H6" s="14">
        <v>0</v>
      </c>
      <c r="I6" s="14">
        <v>0</v>
      </c>
      <c r="J6" s="14">
        <v>860</v>
      </c>
      <c r="K6" s="14">
        <v>248</v>
      </c>
      <c r="L6" s="14">
        <v>746</v>
      </c>
      <c r="M6" s="14">
        <v>944</v>
      </c>
      <c r="N6" s="14">
        <v>0</v>
      </c>
      <c r="O6" s="14">
        <v>0</v>
      </c>
    </row>
    <row r="7" spans="1:15">
      <c r="A7">
        <v>1237748</v>
      </c>
      <c r="B7" s="14">
        <v>0</v>
      </c>
      <c r="C7" s="14">
        <v>0</v>
      </c>
      <c r="D7" s="14">
        <v>0</v>
      </c>
      <c r="E7" s="16">
        <v>558</v>
      </c>
      <c r="F7" s="14">
        <v>456</v>
      </c>
      <c r="G7" s="14">
        <v>0</v>
      </c>
      <c r="H7" s="14">
        <v>0</v>
      </c>
      <c r="I7" s="14">
        <v>0</v>
      </c>
      <c r="J7" s="14">
        <v>78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</row>
    <row r="8" spans="1:15">
      <c r="A8">
        <v>1236091</v>
      </c>
      <c r="B8" s="14">
        <v>0</v>
      </c>
      <c r="C8" s="14">
        <v>0</v>
      </c>
      <c r="D8" s="14">
        <v>100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 spans="1:15">
      <c r="A9">
        <v>1238128</v>
      </c>
      <c r="B9" s="14">
        <v>378</v>
      </c>
      <c r="C9" s="14">
        <v>490</v>
      </c>
      <c r="D9" s="14">
        <v>698</v>
      </c>
      <c r="E9" s="16">
        <v>529</v>
      </c>
      <c r="F9" s="14">
        <v>312</v>
      </c>
      <c r="G9" s="14">
        <v>0</v>
      </c>
      <c r="H9" s="14">
        <v>0</v>
      </c>
      <c r="I9" s="14">
        <v>0</v>
      </c>
      <c r="J9" s="14">
        <v>562</v>
      </c>
      <c r="K9" s="14">
        <v>464</v>
      </c>
      <c r="L9" s="14">
        <v>590</v>
      </c>
      <c r="M9" s="14">
        <v>464</v>
      </c>
      <c r="N9" s="14">
        <v>0</v>
      </c>
      <c r="O9" s="14">
        <v>0</v>
      </c>
    </row>
    <row r="10" spans="1:15">
      <c r="A10">
        <v>1236962</v>
      </c>
      <c r="B10" s="14">
        <v>398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300</v>
      </c>
      <c r="L10" s="14">
        <v>200</v>
      </c>
      <c r="M10" s="14">
        <v>200</v>
      </c>
      <c r="N10" s="14">
        <v>0</v>
      </c>
      <c r="O10" s="14">
        <v>0</v>
      </c>
    </row>
    <row r="11" spans="1:15">
      <c r="A11">
        <v>1239651</v>
      </c>
      <c r="B11" s="14">
        <v>0</v>
      </c>
      <c r="C11" s="14">
        <v>500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200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</row>
    <row r="12" spans="1:15">
      <c r="A12">
        <v>1239988</v>
      </c>
      <c r="B12" s="14">
        <v>284</v>
      </c>
      <c r="C12" s="14">
        <v>442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442</v>
      </c>
      <c r="K12" s="14">
        <v>44</v>
      </c>
      <c r="L12" s="14">
        <v>0</v>
      </c>
      <c r="M12" s="14">
        <v>0</v>
      </c>
      <c r="N12" s="14">
        <v>0</v>
      </c>
      <c r="O12" s="14">
        <v>0</v>
      </c>
    </row>
    <row r="13" spans="1:15">
      <c r="A13">
        <v>1240180</v>
      </c>
      <c r="B13" s="14">
        <v>62</v>
      </c>
      <c r="C13" s="14">
        <v>358</v>
      </c>
      <c r="D13" s="14">
        <v>230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270</v>
      </c>
      <c r="L13" s="14">
        <v>410</v>
      </c>
      <c r="M13" s="14">
        <v>322</v>
      </c>
      <c r="N13" s="14">
        <v>0</v>
      </c>
      <c r="O13" s="14">
        <v>0</v>
      </c>
    </row>
    <row r="14" spans="1:15">
      <c r="A14">
        <v>1240184</v>
      </c>
      <c r="B14" s="14">
        <v>62</v>
      </c>
      <c r="C14" s="14">
        <v>358</v>
      </c>
      <c r="D14" s="14">
        <v>130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270</v>
      </c>
      <c r="L14" s="14">
        <v>410</v>
      </c>
      <c r="M14" s="14">
        <v>322</v>
      </c>
      <c r="N14" s="14">
        <v>0</v>
      </c>
      <c r="O14" s="14">
        <v>0</v>
      </c>
    </row>
    <row r="15" spans="1:15">
      <c r="A15">
        <v>1240308</v>
      </c>
      <c r="B15" s="14">
        <v>450</v>
      </c>
      <c r="C15" s="14">
        <v>0</v>
      </c>
      <c r="D15" s="14">
        <v>280</v>
      </c>
      <c r="E15" s="16">
        <v>300</v>
      </c>
      <c r="F15" s="14">
        <v>0</v>
      </c>
      <c r="G15" s="14">
        <v>0</v>
      </c>
      <c r="H15" s="14">
        <v>0</v>
      </c>
      <c r="I15" s="14">
        <v>0</v>
      </c>
      <c r="J15" s="14">
        <v>150</v>
      </c>
      <c r="K15" s="14">
        <v>300</v>
      </c>
      <c r="L15" s="14">
        <v>0</v>
      </c>
      <c r="M15" s="14">
        <v>0</v>
      </c>
      <c r="N15" s="14">
        <v>0</v>
      </c>
      <c r="O15" s="14">
        <v>0</v>
      </c>
    </row>
    <row r="16" spans="1:15">
      <c r="A16">
        <v>1241601</v>
      </c>
      <c r="B16" s="14">
        <v>750</v>
      </c>
      <c r="C16" s="14">
        <v>250</v>
      </c>
      <c r="D16" s="14">
        <v>554</v>
      </c>
      <c r="E16" s="16">
        <v>838</v>
      </c>
      <c r="F16" s="14">
        <v>982</v>
      </c>
      <c r="G16" s="14">
        <v>0</v>
      </c>
      <c r="H16" s="14">
        <v>0</v>
      </c>
      <c r="I16" s="14">
        <v>0</v>
      </c>
      <c r="J16" s="14">
        <v>1494</v>
      </c>
      <c r="K16" s="14">
        <v>1174</v>
      </c>
      <c r="L16" s="14">
        <v>1494</v>
      </c>
      <c r="M16" s="14">
        <v>1174</v>
      </c>
      <c r="N16" s="14">
        <v>0</v>
      </c>
      <c r="O16" s="14">
        <v>0</v>
      </c>
    </row>
    <row r="19" spans="1:15">
      <c r="A19" s="2" t="s">
        <v>0</v>
      </c>
      <c r="B19" s="14" t="s">
        <v>906</v>
      </c>
      <c r="C19" s="14" t="s">
        <v>907</v>
      </c>
      <c r="D19" s="14" t="s">
        <v>908</v>
      </c>
      <c r="E19" s="14" t="s">
        <v>909</v>
      </c>
      <c r="F19" s="14" t="s">
        <v>910</v>
      </c>
      <c r="G19" s="14" t="s">
        <v>911</v>
      </c>
      <c r="H19" s="14" t="s">
        <v>912</v>
      </c>
      <c r="I19" s="14" t="s">
        <v>913</v>
      </c>
      <c r="J19" s="14" t="s">
        <v>914</v>
      </c>
      <c r="K19" s="14" t="s">
        <v>915</v>
      </c>
      <c r="L19" s="14" t="s">
        <v>916</v>
      </c>
      <c r="M19" s="14" t="s">
        <v>917</v>
      </c>
      <c r="N19" s="14" t="s">
        <v>918</v>
      </c>
      <c r="O19" s="14" t="s">
        <v>919</v>
      </c>
    </row>
    <row r="20" spans="1:15">
      <c r="A20" s="1">
        <v>1237608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100</v>
      </c>
      <c r="L20" s="14">
        <v>300</v>
      </c>
      <c r="M20" s="14">
        <v>300</v>
      </c>
      <c r="N20" s="14">
        <v>0</v>
      </c>
      <c r="O20" s="14">
        <v>0</v>
      </c>
    </row>
    <row r="21" spans="1:15">
      <c r="A21">
        <v>1232846</v>
      </c>
      <c r="B21" s="14">
        <v>272</v>
      </c>
      <c r="C21" s="14">
        <v>352</v>
      </c>
      <c r="D21" s="14">
        <v>79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</row>
    <row r="22" spans="1:15">
      <c r="A22">
        <v>1232895</v>
      </c>
      <c r="B22" s="14">
        <v>272</v>
      </c>
      <c r="C22" s="14">
        <v>352</v>
      </c>
      <c r="D22" s="14">
        <v>79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 spans="1:15">
      <c r="A23">
        <v>1233384</v>
      </c>
      <c r="B23" s="14">
        <v>272</v>
      </c>
      <c r="C23" s="14">
        <v>352</v>
      </c>
      <c r="D23" s="14">
        <v>79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</row>
    <row r="24" spans="1:15">
      <c r="A24">
        <v>1236387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180</v>
      </c>
      <c r="L24" s="14">
        <v>357</v>
      </c>
      <c r="M24" s="14">
        <v>357</v>
      </c>
      <c r="N24" s="14">
        <v>0</v>
      </c>
      <c r="O24" s="14">
        <v>0</v>
      </c>
    </row>
    <row r="25" spans="1:15">
      <c r="A25">
        <v>1232775</v>
      </c>
      <c r="B25" s="14">
        <v>311</v>
      </c>
      <c r="C25" s="14">
        <v>100</v>
      </c>
      <c r="D25" s="14">
        <v>178</v>
      </c>
      <c r="E25" s="14">
        <v>435</v>
      </c>
      <c r="F25" s="14">
        <v>424</v>
      </c>
      <c r="G25" s="14">
        <v>0</v>
      </c>
      <c r="H25" s="14">
        <v>0</v>
      </c>
      <c r="I25" s="14">
        <v>0</v>
      </c>
      <c r="J25" s="14">
        <v>324</v>
      </c>
      <c r="K25" s="14">
        <v>98</v>
      </c>
      <c r="L25" s="14">
        <v>0</v>
      </c>
      <c r="M25" s="14">
        <v>0</v>
      </c>
      <c r="N25" s="14">
        <v>0</v>
      </c>
      <c r="O25" s="14">
        <v>0</v>
      </c>
    </row>
    <row r="26" spans="1:15">
      <c r="A26">
        <v>1238605</v>
      </c>
      <c r="B26" s="14">
        <v>0</v>
      </c>
      <c r="C26" s="14">
        <v>92</v>
      </c>
      <c r="D26" s="14">
        <v>189</v>
      </c>
      <c r="E26" s="14">
        <v>28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9" spans="1:15">
      <c r="A29" s="2" t="s">
        <v>0</v>
      </c>
      <c r="B29" s="14" t="s">
        <v>906</v>
      </c>
      <c r="C29" s="14" t="s">
        <v>907</v>
      </c>
      <c r="D29" s="14" t="s">
        <v>908</v>
      </c>
      <c r="E29" s="14" t="s">
        <v>909</v>
      </c>
      <c r="F29" s="14" t="s">
        <v>910</v>
      </c>
      <c r="G29" s="14" t="s">
        <v>911</v>
      </c>
      <c r="H29" s="14" t="s">
        <v>912</v>
      </c>
      <c r="I29" s="14" t="s">
        <v>913</v>
      </c>
      <c r="J29" s="14" t="s">
        <v>914</v>
      </c>
      <c r="K29" s="14" t="s">
        <v>915</v>
      </c>
      <c r="L29" s="14" t="s">
        <v>916</v>
      </c>
      <c r="M29" s="14" t="s">
        <v>917</v>
      </c>
      <c r="N29" s="14" t="s">
        <v>918</v>
      </c>
      <c r="O29" s="14" t="s">
        <v>919</v>
      </c>
    </row>
    <row r="30" spans="1:15">
      <c r="A30">
        <v>1220847</v>
      </c>
      <c r="B30" s="14">
        <v>0</v>
      </c>
      <c r="C30" s="14">
        <v>0</v>
      </c>
      <c r="D30" s="14">
        <v>260</v>
      </c>
      <c r="E30" s="16">
        <v>20</v>
      </c>
      <c r="F30" s="14">
        <v>0</v>
      </c>
      <c r="G30" s="14">
        <v>0</v>
      </c>
      <c r="H30" s="14">
        <v>0</v>
      </c>
      <c r="I30" s="14">
        <v>0</v>
      </c>
      <c r="J30" s="14">
        <v>3150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 spans="1:15">
      <c r="A31">
        <v>1227306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1100</v>
      </c>
      <c r="L31" s="14">
        <v>0</v>
      </c>
      <c r="M31" s="14">
        <v>0</v>
      </c>
      <c r="N31" s="14">
        <v>0</v>
      </c>
      <c r="O31" s="14">
        <v>0</v>
      </c>
    </row>
    <row r="32" spans="1:15">
      <c r="A32">
        <v>1227359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34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 spans="1:15">
      <c r="A33">
        <v>1225464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756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</row>
    <row r="34" spans="1:15">
      <c r="A34">
        <v>1232066</v>
      </c>
      <c r="B34" s="14">
        <v>0</v>
      </c>
      <c r="C34" s="14">
        <v>0</v>
      </c>
      <c r="D34" s="14">
        <v>0</v>
      </c>
      <c r="E34" s="14">
        <v>0</v>
      </c>
      <c r="F34" s="14">
        <v>234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 spans="1:15">
      <c r="A35">
        <v>1232693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800</v>
      </c>
      <c r="K35" s="14">
        <v>334</v>
      </c>
      <c r="L35" s="14">
        <v>0</v>
      </c>
      <c r="M35" s="14">
        <v>0</v>
      </c>
      <c r="N35" s="14">
        <v>0</v>
      </c>
      <c r="O35" s="14">
        <v>0</v>
      </c>
    </row>
    <row r="36" spans="1:15">
      <c r="A36">
        <v>1233025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800</v>
      </c>
      <c r="K36" s="14">
        <v>334</v>
      </c>
      <c r="L36" s="14">
        <v>0</v>
      </c>
      <c r="M36" s="14">
        <v>0</v>
      </c>
      <c r="N36" s="14">
        <v>0</v>
      </c>
      <c r="O36" s="14">
        <v>0</v>
      </c>
    </row>
    <row r="37" spans="1:15">
      <c r="A37">
        <v>1234222</v>
      </c>
      <c r="B37" s="14">
        <v>0</v>
      </c>
      <c r="C37" s="14">
        <v>306</v>
      </c>
      <c r="D37" s="14">
        <v>94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</row>
    <row r="38" spans="1:15">
      <c r="A38">
        <v>1232528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2581</v>
      </c>
      <c r="K38" s="14">
        <v>825</v>
      </c>
      <c r="L38" s="14">
        <v>0</v>
      </c>
      <c r="M38" s="14">
        <v>0</v>
      </c>
      <c r="N38" s="14">
        <v>0</v>
      </c>
      <c r="O38" s="14">
        <v>0</v>
      </c>
    </row>
    <row r="39" spans="1:15">
      <c r="A39">
        <v>1232846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538</v>
      </c>
      <c r="L39" s="14">
        <v>0</v>
      </c>
      <c r="M39" s="14">
        <v>0</v>
      </c>
      <c r="N39" s="14">
        <v>0</v>
      </c>
      <c r="O39" s="14">
        <v>0</v>
      </c>
    </row>
    <row r="40" spans="1:15">
      <c r="A40">
        <v>1229050</v>
      </c>
      <c r="B40" s="14">
        <v>185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335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 spans="1:15">
      <c r="A41">
        <v>1231090</v>
      </c>
      <c r="B41" s="14">
        <v>0</v>
      </c>
      <c r="C41" s="14">
        <v>0</v>
      </c>
      <c r="D41" s="14">
        <v>80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810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</row>
    <row r="42" spans="1:15">
      <c r="A42">
        <v>1235097</v>
      </c>
      <c r="B42" s="14">
        <v>67</v>
      </c>
      <c r="C42" s="14">
        <v>120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 spans="1:15">
      <c r="A43">
        <v>1235845</v>
      </c>
      <c r="B43" s="14">
        <v>0</v>
      </c>
      <c r="C43" s="14">
        <v>0</v>
      </c>
      <c r="D43" s="14">
        <v>0</v>
      </c>
      <c r="E43" s="14">
        <v>0</v>
      </c>
      <c r="F43" s="14">
        <v>137</v>
      </c>
      <c r="G43" s="14">
        <v>0</v>
      </c>
      <c r="H43" s="14">
        <v>0</v>
      </c>
      <c r="I43" s="14">
        <v>0</v>
      </c>
      <c r="J43" s="14">
        <v>763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</row>
    <row r="44" spans="1:15">
      <c r="A44">
        <v>1236600</v>
      </c>
      <c r="B44" s="14">
        <v>0</v>
      </c>
      <c r="C44" s="14">
        <v>0</v>
      </c>
      <c r="D44" s="14">
        <v>419</v>
      </c>
      <c r="E44" s="16">
        <v>426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 spans="1:15">
      <c r="A45">
        <v>1236601</v>
      </c>
      <c r="B45" s="14">
        <v>0</v>
      </c>
      <c r="C45" s="14">
        <v>0</v>
      </c>
      <c r="D45" s="14">
        <v>0</v>
      </c>
      <c r="E45" s="16">
        <v>41</v>
      </c>
      <c r="F45" s="14">
        <v>82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</row>
    <row r="46" spans="1:15">
      <c r="A46">
        <v>1236619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198</v>
      </c>
      <c r="N46" s="14">
        <v>0</v>
      </c>
      <c r="O46" s="14">
        <v>0</v>
      </c>
    </row>
    <row r="47" spans="1:15">
      <c r="A47">
        <v>1236930</v>
      </c>
      <c r="B47" s="14">
        <v>0</v>
      </c>
      <c r="C47" s="14">
        <v>100</v>
      </c>
      <c r="D47" s="14">
        <v>330</v>
      </c>
      <c r="E47" s="14">
        <v>401</v>
      </c>
      <c r="F47" s="16">
        <v>235</v>
      </c>
      <c r="G47" s="14">
        <v>0</v>
      </c>
      <c r="H47" s="14">
        <v>0</v>
      </c>
      <c r="I47" s="14">
        <v>0</v>
      </c>
      <c r="J47" s="14">
        <v>1234</v>
      </c>
      <c r="K47" s="14">
        <v>400</v>
      </c>
      <c r="L47" s="14">
        <v>600</v>
      </c>
      <c r="M47" s="14">
        <v>800</v>
      </c>
      <c r="N47" s="14">
        <v>0</v>
      </c>
      <c r="O47" s="14">
        <v>0</v>
      </c>
    </row>
    <row r="48" spans="1:15">
      <c r="A48">
        <v>1232982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400</v>
      </c>
      <c r="M48" s="14">
        <v>0</v>
      </c>
      <c r="N48" s="14">
        <v>0</v>
      </c>
      <c r="O48" s="14">
        <v>0</v>
      </c>
    </row>
    <row r="49" spans="1:15">
      <c r="A49">
        <v>1237468</v>
      </c>
      <c r="B49" s="14">
        <v>0</v>
      </c>
      <c r="C49" s="14">
        <v>0</v>
      </c>
      <c r="D49" s="14">
        <v>0</v>
      </c>
      <c r="E49" s="16">
        <v>64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</row>
    <row r="50" spans="1:15">
      <c r="A50">
        <v>1237210</v>
      </c>
      <c r="B50" s="14">
        <v>0</v>
      </c>
      <c r="C50" s="14">
        <v>375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 spans="1:15">
      <c r="A51">
        <v>1232775</v>
      </c>
      <c r="B51" s="14">
        <v>473</v>
      </c>
      <c r="C51" s="14">
        <v>47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93</v>
      </c>
      <c r="L51" s="14">
        <v>0</v>
      </c>
      <c r="M51" s="14">
        <v>0</v>
      </c>
      <c r="N51" s="14">
        <v>0</v>
      </c>
      <c r="O51" s="14">
        <v>0</v>
      </c>
    </row>
    <row r="52" spans="1:15">
      <c r="A52">
        <v>1237457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54</v>
      </c>
      <c r="N52" s="14">
        <v>0</v>
      </c>
      <c r="O52" s="14">
        <v>0</v>
      </c>
    </row>
    <row r="53" spans="1:15">
      <c r="A53">
        <v>1237386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45</v>
      </c>
      <c r="N53" s="14">
        <v>0</v>
      </c>
      <c r="O53" s="14">
        <v>0</v>
      </c>
    </row>
    <row r="54" spans="1:15">
      <c r="A54">
        <v>1234905</v>
      </c>
      <c r="B54" s="14">
        <v>311</v>
      </c>
      <c r="C54" s="14">
        <v>24</v>
      </c>
      <c r="D54" s="14">
        <v>0</v>
      </c>
      <c r="E54" s="14">
        <v>0</v>
      </c>
      <c r="F54" s="16">
        <v>224</v>
      </c>
      <c r="G54" s="14">
        <v>0</v>
      </c>
      <c r="H54" s="14">
        <v>0</v>
      </c>
      <c r="I54" s="14">
        <v>0</v>
      </c>
      <c r="J54" s="14">
        <v>40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 spans="1:15">
      <c r="A55">
        <v>1238480</v>
      </c>
      <c r="B55" s="14">
        <v>1669</v>
      </c>
      <c r="C55" s="14">
        <v>1538</v>
      </c>
      <c r="D55" s="14">
        <v>603</v>
      </c>
      <c r="E55" s="16">
        <v>772</v>
      </c>
      <c r="F55" s="14">
        <v>977</v>
      </c>
      <c r="G55" s="14">
        <v>0</v>
      </c>
      <c r="H55" s="14">
        <v>0</v>
      </c>
      <c r="I55" s="14">
        <v>0</v>
      </c>
      <c r="J55" s="14">
        <v>2742</v>
      </c>
      <c r="K55" s="14">
        <v>1229</v>
      </c>
      <c r="L55" s="14">
        <v>1320</v>
      </c>
      <c r="M55" s="14">
        <v>3126</v>
      </c>
      <c r="N55" s="14">
        <v>0</v>
      </c>
      <c r="O55" s="14">
        <v>0</v>
      </c>
    </row>
    <row r="56" spans="1:15">
      <c r="A56">
        <v>1238453</v>
      </c>
      <c r="B56" s="14">
        <v>0</v>
      </c>
      <c r="C56" s="14">
        <v>0</v>
      </c>
      <c r="D56" s="14">
        <v>0</v>
      </c>
      <c r="E56" s="16">
        <v>40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 spans="1:15">
      <c r="A57">
        <v>1240180</v>
      </c>
      <c r="B57" s="14">
        <v>0</v>
      </c>
      <c r="C57" s="14">
        <v>286</v>
      </c>
      <c r="D57" s="14">
        <v>251</v>
      </c>
      <c r="E57" s="16">
        <v>173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410</v>
      </c>
      <c r="N57" s="14">
        <v>0</v>
      </c>
      <c r="O57" s="14">
        <v>0</v>
      </c>
    </row>
    <row r="58" spans="1:15">
      <c r="A58">
        <v>1240184</v>
      </c>
      <c r="B58" s="14">
        <v>0</v>
      </c>
      <c r="C58" s="14">
        <v>286</v>
      </c>
      <c r="D58" s="14">
        <v>251</v>
      </c>
      <c r="E58" s="16">
        <v>173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410</v>
      </c>
      <c r="N58" s="14">
        <v>0</v>
      </c>
      <c r="O58" s="14">
        <v>0</v>
      </c>
    </row>
    <row r="59" spans="1:15">
      <c r="A59">
        <v>1216452</v>
      </c>
      <c r="B59" s="14">
        <v>0</v>
      </c>
      <c r="C59" s="14">
        <v>500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76</v>
      </c>
      <c r="L59" s="14">
        <v>0</v>
      </c>
      <c r="M59" s="14">
        <v>0</v>
      </c>
      <c r="N59" s="14">
        <v>0</v>
      </c>
      <c r="O59" s="14">
        <v>0</v>
      </c>
    </row>
    <row r="60" spans="1:15">
      <c r="A60">
        <v>1232894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498</v>
      </c>
      <c r="L60" s="14">
        <v>0</v>
      </c>
      <c r="M60" s="14">
        <v>0</v>
      </c>
      <c r="N60" s="14">
        <v>0</v>
      </c>
      <c r="O60" s="14">
        <v>0</v>
      </c>
    </row>
    <row r="61" spans="1:15">
      <c r="A61">
        <v>1233387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128</v>
      </c>
      <c r="L61" s="14">
        <v>0</v>
      </c>
      <c r="M61" s="14">
        <v>0</v>
      </c>
      <c r="N61" s="14">
        <v>0</v>
      </c>
      <c r="O61" s="14">
        <v>0</v>
      </c>
    </row>
    <row r="62" spans="1:15">
      <c r="A62">
        <v>1233385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370</v>
      </c>
      <c r="L62" s="14">
        <v>0</v>
      </c>
      <c r="M62" s="14">
        <v>0</v>
      </c>
      <c r="N62" s="14">
        <v>0</v>
      </c>
      <c r="O62" s="14">
        <v>0</v>
      </c>
    </row>
    <row r="63" spans="1:15">
      <c r="A63">
        <v>1232895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40</v>
      </c>
      <c r="L63" s="14">
        <v>0</v>
      </c>
      <c r="M63" s="14">
        <v>0</v>
      </c>
      <c r="N63" s="14">
        <v>0</v>
      </c>
      <c r="O63" s="14">
        <v>0</v>
      </c>
    </row>
    <row r="64" spans="1:15">
      <c r="A64">
        <v>1232922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40</v>
      </c>
      <c r="L64" s="14">
        <v>0</v>
      </c>
      <c r="M64" s="14">
        <v>0</v>
      </c>
      <c r="N64" s="14">
        <v>0</v>
      </c>
      <c r="O64" s="14">
        <v>0</v>
      </c>
    </row>
    <row r="65" spans="1:15">
      <c r="A65">
        <v>1233580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200</v>
      </c>
      <c r="L65" s="14">
        <v>0</v>
      </c>
      <c r="M65" s="14">
        <v>0</v>
      </c>
      <c r="N65" s="14">
        <v>0</v>
      </c>
      <c r="O65" s="14">
        <v>0</v>
      </c>
    </row>
  </sheetData>
  <autoFilter ref="A1:O16" xr:uid="{6B13F6CE-4237-4EB6-A9F7-440F7E32440D}"/>
  <phoneticPr fontId="1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6079-33E3-42F2-BB0E-958B727809DE}">
  <dimension ref="A1:Y82"/>
  <sheetViews>
    <sheetView topLeftCell="A31" zoomScale="115" zoomScaleNormal="115" workbookViewId="0">
      <selection activeCell="P42" sqref="P42"/>
    </sheetView>
  </sheetViews>
  <sheetFormatPr defaultColWidth="9.33203125" defaultRowHeight="12"/>
  <cols>
    <col min="1" max="1" width="12.1640625" style="19" customWidth="1"/>
    <col min="2" max="21" width="9.5" style="9" bestFit="1" customWidth="1"/>
    <col min="22" max="22" width="9.33203125" style="9"/>
    <col min="23" max="23" width="10.1640625" style="9" bestFit="1" customWidth="1"/>
    <col min="24" max="16384" width="9.33203125" style="5"/>
  </cols>
  <sheetData>
    <row r="1" spans="1:25">
      <c r="A1" s="74" t="s">
        <v>0</v>
      </c>
      <c r="B1" s="69" t="s">
        <v>851</v>
      </c>
      <c r="C1" s="69" t="s">
        <v>852</v>
      </c>
      <c r="D1" s="69" t="s">
        <v>853</v>
      </c>
      <c r="E1" s="190" t="s">
        <v>854</v>
      </c>
      <c r="F1" s="69" t="s">
        <v>855</v>
      </c>
      <c r="G1" s="70" t="s">
        <v>856</v>
      </c>
      <c r="H1" s="69" t="s">
        <v>878</v>
      </c>
      <c r="I1" s="69" t="s">
        <v>879</v>
      </c>
      <c r="J1" s="69" t="s">
        <v>880</v>
      </c>
      <c r="K1" s="69" t="s">
        <v>884</v>
      </c>
      <c r="L1" s="69" t="s">
        <v>883</v>
      </c>
      <c r="M1" s="69" t="s">
        <v>882</v>
      </c>
      <c r="N1" s="70" t="s">
        <v>881</v>
      </c>
      <c r="O1" s="69" t="s">
        <v>920</v>
      </c>
      <c r="P1" s="69" t="s">
        <v>921</v>
      </c>
      <c r="Q1" s="69" t="s">
        <v>922</v>
      </c>
      <c r="R1" s="69" t="s">
        <v>923</v>
      </c>
      <c r="S1" s="69" t="s">
        <v>924</v>
      </c>
      <c r="T1" s="69" t="s">
        <v>925</v>
      </c>
      <c r="U1" s="70" t="s">
        <v>926</v>
      </c>
    </row>
    <row r="2" spans="1:25">
      <c r="A2" s="30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200</v>
      </c>
      <c r="J2" s="32">
        <v>200</v>
      </c>
      <c r="K2" s="32">
        <v>330</v>
      </c>
      <c r="L2" s="32">
        <v>330</v>
      </c>
      <c r="M2" s="32">
        <v>0</v>
      </c>
      <c r="N2" s="32">
        <v>0</v>
      </c>
      <c r="O2" s="32">
        <v>0</v>
      </c>
      <c r="P2" s="32">
        <v>0</v>
      </c>
      <c r="Q2" s="32">
        <v>100</v>
      </c>
      <c r="R2" s="32">
        <v>500</v>
      </c>
      <c r="S2" s="32">
        <v>0</v>
      </c>
      <c r="T2" s="32">
        <v>0</v>
      </c>
      <c r="U2" s="32">
        <v>0</v>
      </c>
      <c r="W2" s="9">
        <f>SUM(B2:U2)</f>
        <v>1660</v>
      </c>
      <c r="X2" s="5">
        <v>1660</v>
      </c>
      <c r="Y2" s="78">
        <f>+W2-X2</f>
        <v>0</v>
      </c>
    </row>
    <row r="3" spans="1:25">
      <c r="A3" s="30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200</v>
      </c>
      <c r="J3" s="32">
        <v>200</v>
      </c>
      <c r="K3" s="32">
        <v>330</v>
      </c>
      <c r="L3" s="32">
        <v>330</v>
      </c>
      <c r="M3" s="32">
        <v>0</v>
      </c>
      <c r="N3" s="32">
        <v>0</v>
      </c>
      <c r="O3" s="32">
        <v>0</v>
      </c>
      <c r="P3" s="32">
        <v>0</v>
      </c>
      <c r="Q3" s="32">
        <v>100</v>
      </c>
      <c r="R3" s="32">
        <v>500</v>
      </c>
      <c r="S3" s="32">
        <v>0</v>
      </c>
      <c r="T3" s="32">
        <v>0</v>
      </c>
      <c r="U3" s="32">
        <v>0</v>
      </c>
      <c r="W3" s="9">
        <f t="shared" ref="W3:W19" si="0">SUM(B3:U3)</f>
        <v>1660</v>
      </c>
      <c r="X3" s="5">
        <v>1660</v>
      </c>
      <c r="Y3" s="78">
        <f t="shared" ref="Y3:Y19" si="1">+W3-X3</f>
        <v>0</v>
      </c>
    </row>
    <row r="4" spans="1:25">
      <c r="A4" s="30">
        <v>1229673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300</v>
      </c>
      <c r="J4" s="32">
        <v>200</v>
      </c>
      <c r="K4" s="32">
        <v>200</v>
      </c>
      <c r="L4" s="32">
        <v>200</v>
      </c>
      <c r="M4" s="32">
        <v>0</v>
      </c>
      <c r="N4" s="32">
        <v>0</v>
      </c>
      <c r="O4" s="32">
        <v>200</v>
      </c>
      <c r="P4" s="32">
        <v>200</v>
      </c>
      <c r="Q4" s="32">
        <v>0</v>
      </c>
      <c r="R4" s="32">
        <v>250</v>
      </c>
      <c r="S4" s="32">
        <v>250</v>
      </c>
      <c r="T4" s="32">
        <v>0</v>
      </c>
      <c r="U4" s="32">
        <v>0</v>
      </c>
      <c r="W4" s="9">
        <f t="shared" si="0"/>
        <v>1800</v>
      </c>
      <c r="X4" s="5">
        <v>1800</v>
      </c>
      <c r="Y4" s="78">
        <f t="shared" si="1"/>
        <v>0</v>
      </c>
    </row>
    <row r="5" spans="1:25">
      <c r="A5" s="30">
        <v>1230854</v>
      </c>
      <c r="B5" s="32">
        <v>100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W5" s="9">
        <f t="shared" si="0"/>
        <v>100</v>
      </c>
      <c r="X5" s="5">
        <v>100</v>
      </c>
      <c r="Y5" s="78">
        <f t="shared" si="1"/>
        <v>0</v>
      </c>
    </row>
    <row r="6" spans="1:25">
      <c r="A6" s="30">
        <v>1235623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132</v>
      </c>
      <c r="P6" s="32">
        <v>284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W6" s="9">
        <f t="shared" si="0"/>
        <v>416</v>
      </c>
      <c r="X6" s="5">
        <v>416</v>
      </c>
      <c r="Y6" s="78">
        <f t="shared" si="1"/>
        <v>0</v>
      </c>
    </row>
    <row r="7" spans="1:25">
      <c r="A7" s="30">
        <v>1237088</v>
      </c>
      <c r="B7" s="32">
        <v>394</v>
      </c>
      <c r="C7" s="32">
        <v>424</v>
      </c>
      <c r="D7" s="32">
        <v>1556</v>
      </c>
      <c r="E7" s="17">
        <v>1356</v>
      </c>
      <c r="F7" s="32">
        <v>0</v>
      </c>
      <c r="G7" s="32">
        <v>0</v>
      </c>
      <c r="H7" s="32">
        <v>0</v>
      </c>
      <c r="I7" s="32">
        <v>860</v>
      </c>
      <c r="J7" s="32">
        <v>248</v>
      </c>
      <c r="K7" s="32">
        <v>1024</v>
      </c>
      <c r="L7" s="32">
        <v>666</v>
      </c>
      <c r="M7" s="32">
        <v>0</v>
      </c>
      <c r="N7" s="32">
        <v>0</v>
      </c>
      <c r="O7" s="32">
        <v>662</v>
      </c>
      <c r="P7" s="32">
        <v>610</v>
      </c>
      <c r="Q7" s="32">
        <v>0</v>
      </c>
      <c r="R7" s="32">
        <v>258</v>
      </c>
      <c r="S7" s="32">
        <v>902</v>
      </c>
      <c r="T7" s="32">
        <v>0</v>
      </c>
      <c r="U7" s="32">
        <v>0</v>
      </c>
      <c r="W7" s="9">
        <f t="shared" si="0"/>
        <v>8960</v>
      </c>
      <c r="X7" s="5">
        <v>8960</v>
      </c>
      <c r="Y7" s="78">
        <f t="shared" si="1"/>
        <v>0</v>
      </c>
    </row>
    <row r="8" spans="1:25">
      <c r="A8" s="30">
        <v>1237748</v>
      </c>
      <c r="B8" s="32">
        <v>0</v>
      </c>
      <c r="C8" s="32">
        <v>0</v>
      </c>
      <c r="D8" s="32">
        <v>558</v>
      </c>
      <c r="E8" s="17">
        <v>456</v>
      </c>
      <c r="F8" s="32">
        <v>0</v>
      </c>
      <c r="G8" s="32">
        <v>0</v>
      </c>
      <c r="H8" s="32">
        <v>0</v>
      </c>
      <c r="I8" s="32">
        <v>78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W8" s="9">
        <f t="shared" si="0"/>
        <v>1092</v>
      </c>
      <c r="X8" s="5">
        <v>1092</v>
      </c>
      <c r="Y8" s="78">
        <f t="shared" si="1"/>
        <v>0</v>
      </c>
    </row>
    <row r="9" spans="1:25">
      <c r="A9" s="30">
        <v>1236091</v>
      </c>
      <c r="B9" s="32">
        <v>0</v>
      </c>
      <c r="C9" s="32">
        <v>100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350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W9" s="9">
        <f t="shared" si="0"/>
        <v>450</v>
      </c>
      <c r="X9" s="5">
        <v>450</v>
      </c>
      <c r="Y9" s="78">
        <f t="shared" si="1"/>
        <v>0</v>
      </c>
    </row>
    <row r="10" spans="1:25">
      <c r="A10" s="30">
        <v>1238128</v>
      </c>
      <c r="B10" s="32">
        <v>490</v>
      </c>
      <c r="C10" s="32">
        <v>698</v>
      </c>
      <c r="D10" s="32">
        <v>529</v>
      </c>
      <c r="E10" s="17">
        <v>312</v>
      </c>
      <c r="F10" s="32">
        <v>0</v>
      </c>
      <c r="G10" s="32">
        <v>0</v>
      </c>
      <c r="H10" s="32">
        <v>0</v>
      </c>
      <c r="I10" s="32">
        <v>562</v>
      </c>
      <c r="J10" s="32">
        <v>692</v>
      </c>
      <c r="K10" s="32">
        <v>1180</v>
      </c>
      <c r="L10" s="32">
        <v>928</v>
      </c>
      <c r="M10" s="32">
        <v>0</v>
      </c>
      <c r="N10" s="32">
        <v>0</v>
      </c>
      <c r="O10" s="32">
        <v>112</v>
      </c>
      <c r="P10" s="32">
        <v>386</v>
      </c>
      <c r="Q10" s="32">
        <v>464</v>
      </c>
      <c r="R10" s="32">
        <v>590</v>
      </c>
      <c r="S10" s="32">
        <v>464</v>
      </c>
      <c r="T10" s="32">
        <v>0</v>
      </c>
      <c r="U10" s="32">
        <v>0</v>
      </c>
      <c r="W10" s="9">
        <f t="shared" si="0"/>
        <v>7407</v>
      </c>
      <c r="X10" s="5">
        <v>7407</v>
      </c>
      <c r="Y10" s="78">
        <f t="shared" si="1"/>
        <v>0</v>
      </c>
    </row>
    <row r="11" spans="1:25">
      <c r="A11" s="30">
        <v>1236962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300</v>
      </c>
      <c r="K11" s="32">
        <v>200</v>
      </c>
      <c r="L11" s="32">
        <v>200</v>
      </c>
      <c r="M11" s="32">
        <v>0</v>
      </c>
      <c r="N11" s="32">
        <v>0</v>
      </c>
      <c r="O11" s="32">
        <v>0</v>
      </c>
      <c r="P11" s="32">
        <v>200</v>
      </c>
      <c r="Q11" s="32">
        <v>214</v>
      </c>
      <c r="R11" s="32">
        <v>200</v>
      </c>
      <c r="S11" s="32">
        <v>200</v>
      </c>
      <c r="T11" s="32">
        <v>0</v>
      </c>
      <c r="U11" s="32">
        <v>0</v>
      </c>
      <c r="W11" s="9">
        <f t="shared" si="0"/>
        <v>1514</v>
      </c>
      <c r="X11" s="5">
        <v>1514</v>
      </c>
      <c r="Y11" s="78">
        <f t="shared" si="1"/>
        <v>0</v>
      </c>
    </row>
    <row r="12" spans="1:25">
      <c r="A12" s="30">
        <v>1233761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300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W12" s="9">
        <f t="shared" si="0"/>
        <v>300</v>
      </c>
      <c r="X12" s="5">
        <v>300</v>
      </c>
      <c r="Y12" s="78">
        <f t="shared" si="1"/>
        <v>0</v>
      </c>
    </row>
    <row r="13" spans="1:25">
      <c r="A13" s="30">
        <v>1239651</v>
      </c>
      <c r="B13" s="32">
        <v>500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200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400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W13" s="9">
        <f t="shared" si="0"/>
        <v>1100</v>
      </c>
      <c r="X13" s="5">
        <v>1100</v>
      </c>
      <c r="Y13" s="78">
        <f t="shared" si="1"/>
        <v>0</v>
      </c>
    </row>
    <row r="14" spans="1:25">
      <c r="A14" s="30">
        <v>1241134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158</v>
      </c>
      <c r="S14" s="32">
        <v>97</v>
      </c>
      <c r="T14" s="32">
        <v>0</v>
      </c>
      <c r="U14" s="32">
        <v>0</v>
      </c>
      <c r="W14" s="78">
        <f t="shared" ref="W14" si="2">SUM(B14:U14)</f>
        <v>255</v>
      </c>
      <c r="X14" s="5">
        <v>255</v>
      </c>
    </row>
    <row r="15" spans="1:25">
      <c r="A15" s="30">
        <v>1239988</v>
      </c>
      <c r="B15" s="32">
        <v>442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442</v>
      </c>
      <c r="J15" s="32">
        <v>44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150</v>
      </c>
      <c r="T15" s="32">
        <v>0</v>
      </c>
      <c r="U15" s="32">
        <v>0</v>
      </c>
      <c r="W15" s="9">
        <f t="shared" si="0"/>
        <v>1078</v>
      </c>
      <c r="X15" s="5">
        <v>1078</v>
      </c>
      <c r="Y15" s="78">
        <f t="shared" si="1"/>
        <v>0</v>
      </c>
    </row>
    <row r="16" spans="1:25">
      <c r="A16" s="30">
        <v>1240180</v>
      </c>
      <c r="B16" s="32">
        <v>358</v>
      </c>
      <c r="C16" s="32">
        <v>230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270</v>
      </c>
      <c r="K16" s="32">
        <v>410</v>
      </c>
      <c r="L16" s="32">
        <v>322</v>
      </c>
      <c r="M16" s="32">
        <v>0</v>
      </c>
      <c r="N16" s="32">
        <v>0</v>
      </c>
      <c r="O16" s="32">
        <v>420</v>
      </c>
      <c r="P16" s="32">
        <v>420</v>
      </c>
      <c r="Q16" s="32">
        <v>436</v>
      </c>
      <c r="R16" s="32">
        <v>778</v>
      </c>
      <c r="S16" s="32">
        <v>476</v>
      </c>
      <c r="T16" s="32">
        <v>0</v>
      </c>
      <c r="U16" s="32">
        <v>0</v>
      </c>
      <c r="W16" s="9">
        <f t="shared" si="0"/>
        <v>4120</v>
      </c>
      <c r="X16" s="5">
        <v>4120</v>
      </c>
      <c r="Y16" s="78">
        <f t="shared" si="1"/>
        <v>0</v>
      </c>
    </row>
    <row r="17" spans="1:25">
      <c r="A17" s="30">
        <v>1240184</v>
      </c>
      <c r="B17" s="32">
        <v>358</v>
      </c>
      <c r="C17" s="32">
        <v>130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270</v>
      </c>
      <c r="K17" s="32">
        <v>410</v>
      </c>
      <c r="L17" s="32">
        <v>322</v>
      </c>
      <c r="M17" s="32">
        <v>0</v>
      </c>
      <c r="N17" s="32">
        <v>0</v>
      </c>
      <c r="O17" s="32">
        <v>420</v>
      </c>
      <c r="P17" s="32">
        <v>420</v>
      </c>
      <c r="Q17" s="32">
        <v>436</v>
      </c>
      <c r="R17" s="32">
        <v>524</v>
      </c>
      <c r="S17" s="32">
        <v>280</v>
      </c>
      <c r="T17" s="32">
        <v>0</v>
      </c>
      <c r="U17" s="32">
        <v>0</v>
      </c>
      <c r="W17" s="9">
        <f t="shared" si="0"/>
        <v>3570</v>
      </c>
      <c r="X17" s="5">
        <v>3570</v>
      </c>
      <c r="Y17" s="78">
        <f t="shared" si="1"/>
        <v>0</v>
      </c>
    </row>
    <row r="18" spans="1:25">
      <c r="A18" s="30">
        <v>1240308</v>
      </c>
      <c r="B18" s="32">
        <v>0</v>
      </c>
      <c r="C18" s="32">
        <v>280</v>
      </c>
      <c r="D18" s="32">
        <v>300</v>
      </c>
      <c r="E18" s="32">
        <v>0</v>
      </c>
      <c r="F18" s="32">
        <v>0</v>
      </c>
      <c r="G18" s="32">
        <v>0</v>
      </c>
      <c r="H18" s="32">
        <v>0</v>
      </c>
      <c r="I18" s="32">
        <v>150</v>
      </c>
      <c r="J18" s="32">
        <v>300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450</v>
      </c>
      <c r="R18" s="32">
        <v>420</v>
      </c>
      <c r="S18" s="32">
        <v>0</v>
      </c>
      <c r="T18" s="32">
        <v>0</v>
      </c>
      <c r="U18" s="32">
        <v>0</v>
      </c>
      <c r="W18" s="9">
        <f t="shared" si="0"/>
        <v>1900</v>
      </c>
      <c r="X18" s="5">
        <v>1900</v>
      </c>
      <c r="Y18" s="78">
        <f t="shared" si="1"/>
        <v>0</v>
      </c>
    </row>
    <row r="19" spans="1:25">
      <c r="A19" s="30">
        <v>1241601</v>
      </c>
      <c r="B19" s="32">
        <v>746</v>
      </c>
      <c r="C19" s="32">
        <v>554</v>
      </c>
      <c r="D19" s="32">
        <v>838</v>
      </c>
      <c r="E19" s="17">
        <v>982</v>
      </c>
      <c r="F19" s="32">
        <v>0</v>
      </c>
      <c r="G19" s="32">
        <v>0</v>
      </c>
      <c r="H19" s="32">
        <v>0</v>
      </c>
      <c r="I19" s="32">
        <v>1494</v>
      </c>
      <c r="J19" s="32">
        <v>870</v>
      </c>
      <c r="K19" s="32">
        <v>764</v>
      </c>
      <c r="L19" s="32">
        <v>600</v>
      </c>
      <c r="M19" s="32">
        <v>0</v>
      </c>
      <c r="N19" s="32">
        <v>0</v>
      </c>
      <c r="O19" s="32">
        <v>930</v>
      </c>
      <c r="P19" s="32">
        <v>1528</v>
      </c>
      <c r="Q19" s="32">
        <v>866</v>
      </c>
      <c r="R19" s="32">
        <v>222</v>
      </c>
      <c r="S19" s="32">
        <v>354</v>
      </c>
      <c r="T19" s="32">
        <v>0</v>
      </c>
      <c r="U19" s="32">
        <v>0</v>
      </c>
      <c r="W19" s="9">
        <f t="shared" si="0"/>
        <v>10748</v>
      </c>
      <c r="X19" s="5">
        <v>10748</v>
      </c>
      <c r="Y19" s="78">
        <f t="shared" si="1"/>
        <v>0</v>
      </c>
    </row>
    <row r="20" spans="1:25">
      <c r="B20" s="9">
        <f>SUM(B2:B19)</f>
        <v>3388</v>
      </c>
      <c r="C20" s="9">
        <f t="shared" ref="C20:U20" si="3">SUM(C2:C19)</f>
        <v>2416</v>
      </c>
      <c r="D20" s="9">
        <f t="shared" si="3"/>
        <v>3781</v>
      </c>
      <c r="E20" s="9">
        <f t="shared" si="3"/>
        <v>3106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4486</v>
      </c>
      <c r="J20" s="9">
        <f t="shared" si="3"/>
        <v>3594</v>
      </c>
      <c r="K20" s="9">
        <f t="shared" si="3"/>
        <v>4848</v>
      </c>
      <c r="L20" s="9">
        <f t="shared" si="3"/>
        <v>3898</v>
      </c>
      <c r="M20" s="9">
        <f t="shared" si="3"/>
        <v>0</v>
      </c>
      <c r="N20" s="9">
        <f t="shared" si="3"/>
        <v>0</v>
      </c>
      <c r="O20" s="9">
        <f t="shared" si="3"/>
        <v>3576</v>
      </c>
      <c r="P20" s="9">
        <f t="shared" si="3"/>
        <v>4398</v>
      </c>
      <c r="Q20" s="9">
        <f t="shared" si="3"/>
        <v>3066</v>
      </c>
      <c r="R20" s="9">
        <f t="shared" si="3"/>
        <v>4400</v>
      </c>
      <c r="S20" s="9">
        <f t="shared" si="3"/>
        <v>3173</v>
      </c>
      <c r="T20" s="9">
        <f t="shared" si="3"/>
        <v>0</v>
      </c>
      <c r="U20" s="9">
        <f t="shared" si="3"/>
        <v>0</v>
      </c>
      <c r="Y20" s="78"/>
    </row>
    <row r="21" spans="1:25">
      <c r="B21" s="9">
        <v>3388</v>
      </c>
      <c r="C21" s="9">
        <v>2416</v>
      </c>
      <c r="D21" s="9">
        <v>3781</v>
      </c>
      <c r="E21" s="9">
        <v>3106</v>
      </c>
      <c r="F21" s="9">
        <v>0</v>
      </c>
      <c r="G21" s="9">
        <v>0</v>
      </c>
      <c r="H21" s="9">
        <v>0</v>
      </c>
      <c r="I21" s="9">
        <v>4486</v>
      </c>
      <c r="J21" s="9">
        <v>3594</v>
      </c>
      <c r="K21" s="9">
        <v>4848</v>
      </c>
      <c r="L21" s="9">
        <v>3898</v>
      </c>
      <c r="M21" s="9">
        <v>0</v>
      </c>
      <c r="N21" s="9">
        <v>0</v>
      </c>
      <c r="O21" s="9">
        <v>3576</v>
      </c>
      <c r="P21" s="9">
        <v>4398</v>
      </c>
      <c r="Q21" s="9">
        <v>3066</v>
      </c>
      <c r="R21" s="9">
        <v>4400</v>
      </c>
      <c r="S21" s="9">
        <v>3173</v>
      </c>
      <c r="T21" s="9">
        <v>0</v>
      </c>
      <c r="U21" s="9">
        <v>0</v>
      </c>
      <c r="Y21" s="78"/>
    </row>
    <row r="23" spans="1:25">
      <c r="A23" s="74" t="s">
        <v>0</v>
      </c>
      <c r="B23" s="69" t="s">
        <v>851</v>
      </c>
      <c r="C23" s="69" t="s">
        <v>852</v>
      </c>
      <c r="D23" s="69" t="s">
        <v>853</v>
      </c>
      <c r="E23" s="69" t="s">
        <v>854</v>
      </c>
      <c r="F23" s="69" t="s">
        <v>855</v>
      </c>
      <c r="G23" s="70" t="s">
        <v>856</v>
      </c>
      <c r="H23" s="69" t="s">
        <v>878</v>
      </c>
      <c r="I23" s="69" t="s">
        <v>879</v>
      </c>
      <c r="J23" s="69" t="s">
        <v>880</v>
      </c>
      <c r="K23" s="69" t="s">
        <v>884</v>
      </c>
      <c r="L23" s="69" t="s">
        <v>883</v>
      </c>
      <c r="M23" s="69" t="s">
        <v>882</v>
      </c>
      <c r="N23" s="70" t="s">
        <v>881</v>
      </c>
      <c r="O23" s="69" t="s">
        <v>920</v>
      </c>
      <c r="P23" s="69" t="s">
        <v>921</v>
      </c>
      <c r="Q23" s="69" t="s">
        <v>922</v>
      </c>
      <c r="R23" s="69" t="s">
        <v>923</v>
      </c>
      <c r="S23" s="69" t="s">
        <v>924</v>
      </c>
      <c r="T23" s="69" t="s">
        <v>925</v>
      </c>
      <c r="U23" s="70" t="s">
        <v>926</v>
      </c>
    </row>
    <row r="24" spans="1:25">
      <c r="A24" s="30">
        <v>1237608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100</v>
      </c>
      <c r="K24" s="32">
        <v>300</v>
      </c>
      <c r="L24" s="32">
        <v>300</v>
      </c>
      <c r="M24" s="32">
        <v>0</v>
      </c>
      <c r="N24" s="32">
        <v>0</v>
      </c>
      <c r="O24" s="32">
        <v>150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W24" s="9">
        <f t="shared" ref="W24:W31" si="4">SUM(B24:U24)</f>
        <v>850</v>
      </c>
    </row>
    <row r="25" spans="1:25">
      <c r="A25" s="30">
        <v>1232846</v>
      </c>
      <c r="B25" s="32">
        <v>352</v>
      </c>
      <c r="C25" s="32">
        <v>79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W25" s="9">
        <f t="shared" si="4"/>
        <v>431</v>
      </c>
    </row>
    <row r="26" spans="1:25">
      <c r="A26" s="30">
        <v>1232895</v>
      </c>
      <c r="B26" s="32">
        <v>352</v>
      </c>
      <c r="C26" s="32">
        <v>79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W26" s="9">
        <f t="shared" si="4"/>
        <v>431</v>
      </c>
    </row>
    <row r="27" spans="1:25">
      <c r="A27" s="30">
        <v>1233384</v>
      </c>
      <c r="B27" s="32">
        <v>352</v>
      </c>
      <c r="C27" s="32">
        <v>79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W27" s="9">
        <f t="shared" si="4"/>
        <v>431</v>
      </c>
    </row>
    <row r="28" spans="1:25">
      <c r="A28" s="30">
        <v>1236110</v>
      </c>
      <c r="B28" s="32">
        <v>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100</v>
      </c>
      <c r="P28" s="32">
        <v>250</v>
      </c>
      <c r="Q28" s="32">
        <v>200</v>
      </c>
      <c r="R28" s="32">
        <v>0</v>
      </c>
      <c r="S28" s="32">
        <v>0</v>
      </c>
      <c r="T28" s="32">
        <v>0</v>
      </c>
      <c r="U28" s="32">
        <v>0</v>
      </c>
      <c r="W28" s="9">
        <f t="shared" si="4"/>
        <v>550</v>
      </c>
    </row>
    <row r="29" spans="1:25">
      <c r="A29" s="30">
        <v>1236387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180</v>
      </c>
      <c r="K29" s="32">
        <v>357</v>
      </c>
      <c r="L29" s="32">
        <v>357</v>
      </c>
      <c r="M29" s="32">
        <v>0</v>
      </c>
      <c r="N29" s="32">
        <v>0</v>
      </c>
      <c r="O29" s="32">
        <v>357</v>
      </c>
      <c r="P29" s="32">
        <v>176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W29" s="9">
        <f t="shared" si="4"/>
        <v>1427</v>
      </c>
    </row>
    <row r="30" spans="1:25">
      <c r="A30" s="30">
        <v>1232775</v>
      </c>
      <c r="B30" s="32">
        <v>100</v>
      </c>
      <c r="C30" s="32">
        <v>178</v>
      </c>
      <c r="D30" s="32">
        <v>435</v>
      </c>
      <c r="E30" s="32">
        <v>424</v>
      </c>
      <c r="F30" s="32">
        <v>0</v>
      </c>
      <c r="G30" s="32">
        <v>0</v>
      </c>
      <c r="H30" s="32">
        <v>0</v>
      </c>
      <c r="I30" s="32">
        <v>324</v>
      </c>
      <c r="J30" s="32">
        <v>98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315</v>
      </c>
      <c r="Q30" s="32">
        <v>487</v>
      </c>
      <c r="R30" s="32">
        <v>487</v>
      </c>
      <c r="S30" s="32">
        <v>487</v>
      </c>
      <c r="T30" s="32">
        <v>0</v>
      </c>
      <c r="U30" s="32">
        <v>0</v>
      </c>
      <c r="W30" s="9">
        <f t="shared" si="4"/>
        <v>3335</v>
      </c>
    </row>
    <row r="31" spans="1:25">
      <c r="A31" s="30">
        <v>1238605</v>
      </c>
      <c r="B31" s="32">
        <v>92</v>
      </c>
      <c r="C31" s="32">
        <v>189</v>
      </c>
      <c r="D31" s="32">
        <v>28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W31" s="9">
        <f t="shared" si="4"/>
        <v>309</v>
      </c>
    </row>
    <row r="35" spans="1:23">
      <c r="A35" s="74" t="s">
        <v>0</v>
      </c>
      <c r="B35" s="69" t="s">
        <v>851</v>
      </c>
      <c r="C35" s="69" t="s">
        <v>852</v>
      </c>
      <c r="D35" s="69" t="s">
        <v>853</v>
      </c>
      <c r="E35" s="69" t="s">
        <v>854</v>
      </c>
      <c r="F35" s="69" t="s">
        <v>855</v>
      </c>
      <c r="G35" s="70" t="s">
        <v>856</v>
      </c>
      <c r="H35" s="69" t="s">
        <v>878</v>
      </c>
      <c r="I35" s="69" t="s">
        <v>879</v>
      </c>
      <c r="J35" s="69" t="s">
        <v>880</v>
      </c>
      <c r="K35" s="69" t="s">
        <v>884</v>
      </c>
      <c r="L35" s="69" t="s">
        <v>883</v>
      </c>
      <c r="M35" s="69" t="s">
        <v>882</v>
      </c>
      <c r="N35" s="70" t="s">
        <v>881</v>
      </c>
      <c r="O35" s="69" t="s">
        <v>920</v>
      </c>
      <c r="P35" s="69" t="s">
        <v>921</v>
      </c>
      <c r="Q35" s="69" t="s">
        <v>922</v>
      </c>
      <c r="R35" s="69" t="s">
        <v>923</v>
      </c>
      <c r="S35" s="69" t="s">
        <v>924</v>
      </c>
      <c r="T35" s="69" t="s">
        <v>925</v>
      </c>
      <c r="U35" s="70" t="s">
        <v>926</v>
      </c>
    </row>
    <row r="36" spans="1:23">
      <c r="A36" s="30">
        <v>1234614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216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W36" s="9">
        <f t="shared" ref="W36:W80" si="5">SUM(B36:U36)</f>
        <v>216</v>
      </c>
    </row>
    <row r="37" spans="1:23">
      <c r="A37" s="30">
        <v>1220847</v>
      </c>
      <c r="B37" s="32">
        <v>0</v>
      </c>
      <c r="C37" s="32">
        <v>260</v>
      </c>
      <c r="D37" s="32">
        <v>20</v>
      </c>
      <c r="E37" s="32">
        <v>0</v>
      </c>
      <c r="F37" s="32">
        <v>0</v>
      </c>
      <c r="G37" s="32">
        <v>0</v>
      </c>
      <c r="H37" s="32">
        <v>0</v>
      </c>
      <c r="I37" s="32">
        <v>532</v>
      </c>
      <c r="J37" s="32">
        <v>213</v>
      </c>
      <c r="K37" s="32">
        <v>542</v>
      </c>
      <c r="L37" s="32">
        <v>426</v>
      </c>
      <c r="M37" s="32">
        <v>0</v>
      </c>
      <c r="N37" s="32">
        <v>0</v>
      </c>
      <c r="O37" s="32">
        <v>542</v>
      </c>
      <c r="P37" s="32">
        <v>542</v>
      </c>
      <c r="Q37" s="32">
        <v>353</v>
      </c>
      <c r="R37" s="32">
        <v>0</v>
      </c>
      <c r="S37" s="32">
        <v>0</v>
      </c>
      <c r="T37" s="32">
        <v>0</v>
      </c>
      <c r="U37" s="32">
        <v>0</v>
      </c>
      <c r="W37" s="9">
        <f t="shared" si="5"/>
        <v>3430</v>
      </c>
    </row>
    <row r="38" spans="1:23">
      <c r="A38" s="30">
        <v>1227306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500</v>
      </c>
      <c r="L38" s="32">
        <v>500</v>
      </c>
      <c r="M38" s="32">
        <v>0</v>
      </c>
      <c r="N38" s="32">
        <v>0</v>
      </c>
      <c r="O38" s="32">
        <v>0</v>
      </c>
      <c r="P38" s="32">
        <v>600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W38" s="9">
        <f t="shared" si="5"/>
        <v>1600</v>
      </c>
    </row>
    <row r="39" spans="1:23">
      <c r="A39" s="30">
        <v>1227359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44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W39" s="9">
        <f t="shared" si="5"/>
        <v>44</v>
      </c>
    </row>
    <row r="40" spans="1:23">
      <c r="A40" s="30">
        <v>1225464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400</v>
      </c>
      <c r="K40" s="32">
        <v>356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W40" s="9">
        <f t="shared" si="5"/>
        <v>756</v>
      </c>
    </row>
    <row r="41" spans="1:23">
      <c r="A41" s="30">
        <v>1231797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130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W41" s="9">
        <f t="shared" si="5"/>
        <v>130</v>
      </c>
    </row>
    <row r="42" spans="1:23">
      <c r="A42" s="30">
        <v>1232066</v>
      </c>
      <c r="B42" s="32">
        <v>0</v>
      </c>
      <c r="C42" s="32">
        <v>0</v>
      </c>
      <c r="D42" s="32">
        <v>0</v>
      </c>
      <c r="E42" s="17">
        <v>234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W42" s="9">
        <f t="shared" si="5"/>
        <v>234</v>
      </c>
    </row>
    <row r="43" spans="1:23">
      <c r="A43" s="30">
        <v>1232693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800</v>
      </c>
      <c r="J43" s="32">
        <v>334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W43" s="9">
        <f t="shared" si="5"/>
        <v>1134</v>
      </c>
    </row>
    <row r="44" spans="1:23">
      <c r="A44" s="30">
        <v>1233025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800</v>
      </c>
      <c r="J44" s="32">
        <v>334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W44" s="9">
        <f t="shared" si="5"/>
        <v>1134</v>
      </c>
    </row>
    <row r="45" spans="1:23">
      <c r="A45" s="30">
        <v>1234222</v>
      </c>
      <c r="B45" s="32">
        <v>306</v>
      </c>
      <c r="C45" s="32">
        <v>94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W45" s="9">
        <f t="shared" si="5"/>
        <v>400</v>
      </c>
    </row>
    <row r="46" spans="1:23">
      <c r="A46" s="30">
        <v>1232528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400</v>
      </c>
      <c r="M46" s="32">
        <v>0</v>
      </c>
      <c r="N46" s="32">
        <v>0</v>
      </c>
      <c r="O46" s="32">
        <v>1372</v>
      </c>
      <c r="P46" s="32">
        <v>861</v>
      </c>
      <c r="Q46" s="32">
        <v>1078</v>
      </c>
      <c r="R46" s="32">
        <v>1347</v>
      </c>
      <c r="S46" s="32">
        <v>1578</v>
      </c>
      <c r="T46" s="32">
        <v>0</v>
      </c>
      <c r="U46" s="32">
        <v>0</v>
      </c>
      <c r="W46" s="9">
        <f t="shared" si="5"/>
        <v>6636</v>
      </c>
    </row>
    <row r="47" spans="1:23">
      <c r="A47" s="30">
        <v>1232846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312</v>
      </c>
      <c r="K47" s="32">
        <v>758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W47" s="9">
        <f t="shared" si="5"/>
        <v>1070</v>
      </c>
    </row>
    <row r="48" spans="1:23">
      <c r="A48" s="30">
        <v>1229050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345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W48" s="9">
        <f t="shared" si="5"/>
        <v>345</v>
      </c>
    </row>
    <row r="49" spans="1:23">
      <c r="A49" s="30">
        <v>1231090</v>
      </c>
      <c r="B49" s="32">
        <v>0</v>
      </c>
      <c r="C49" s="32">
        <v>80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550</v>
      </c>
      <c r="J49" s="32">
        <v>260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1765</v>
      </c>
      <c r="T49" s="32">
        <v>0</v>
      </c>
      <c r="U49" s="32">
        <v>0</v>
      </c>
      <c r="W49" s="9">
        <f t="shared" si="5"/>
        <v>2655</v>
      </c>
    </row>
    <row r="50" spans="1:23">
      <c r="A50" s="30">
        <v>1233383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116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W50" s="9">
        <f t="shared" si="5"/>
        <v>116</v>
      </c>
    </row>
    <row r="51" spans="1:23">
      <c r="A51" s="30">
        <v>1234217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50</v>
      </c>
      <c r="T51" s="32">
        <v>0</v>
      </c>
      <c r="U51" s="32">
        <v>0</v>
      </c>
      <c r="W51" s="9">
        <f t="shared" si="5"/>
        <v>50</v>
      </c>
    </row>
    <row r="52" spans="1:23">
      <c r="A52" s="30">
        <v>1234111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50</v>
      </c>
      <c r="T52" s="32">
        <v>0</v>
      </c>
      <c r="U52" s="32">
        <v>0</v>
      </c>
      <c r="W52" s="9">
        <f t="shared" si="5"/>
        <v>50</v>
      </c>
    </row>
    <row r="53" spans="1:23">
      <c r="A53" s="30">
        <v>1234110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50</v>
      </c>
      <c r="T53" s="32">
        <v>0</v>
      </c>
      <c r="U53" s="32">
        <v>0</v>
      </c>
      <c r="W53" s="9">
        <f t="shared" si="5"/>
        <v>50</v>
      </c>
    </row>
    <row r="54" spans="1:23">
      <c r="A54" s="30">
        <v>1232775</v>
      </c>
      <c r="B54" s="32">
        <v>47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295</v>
      </c>
      <c r="P54" s="32">
        <v>48</v>
      </c>
      <c r="Q54" s="32">
        <v>0</v>
      </c>
      <c r="R54" s="32">
        <v>0</v>
      </c>
      <c r="S54" s="32">
        <v>93</v>
      </c>
      <c r="T54" s="32">
        <v>0</v>
      </c>
      <c r="U54" s="32">
        <v>0</v>
      </c>
      <c r="W54" s="9">
        <f t="shared" si="5"/>
        <v>483</v>
      </c>
    </row>
    <row r="55" spans="1:23">
      <c r="A55" s="30">
        <v>1235097</v>
      </c>
      <c r="B55" s="32">
        <v>120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250</v>
      </c>
      <c r="T55" s="32">
        <v>0</v>
      </c>
      <c r="U55" s="32">
        <v>0</v>
      </c>
      <c r="W55" s="9">
        <f t="shared" si="5"/>
        <v>370</v>
      </c>
    </row>
    <row r="56" spans="1:23">
      <c r="A56" s="30">
        <v>1235845</v>
      </c>
      <c r="B56" s="32">
        <v>0</v>
      </c>
      <c r="C56" s="32">
        <v>0</v>
      </c>
      <c r="D56" s="32">
        <v>0</v>
      </c>
      <c r="E56" s="17">
        <v>137</v>
      </c>
      <c r="F56" s="32">
        <v>0</v>
      </c>
      <c r="G56" s="32">
        <v>0</v>
      </c>
      <c r="H56" s="32">
        <v>0</v>
      </c>
      <c r="I56" s="32">
        <v>763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W56" s="9">
        <f t="shared" si="5"/>
        <v>900</v>
      </c>
    </row>
    <row r="57" spans="1:23">
      <c r="A57" s="30">
        <v>1236600</v>
      </c>
      <c r="B57" s="32">
        <v>0</v>
      </c>
      <c r="C57" s="32">
        <v>419</v>
      </c>
      <c r="D57" s="32">
        <v>426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1155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W57" s="9">
        <f t="shared" si="5"/>
        <v>2000</v>
      </c>
    </row>
    <row r="58" spans="1:23">
      <c r="A58" s="30">
        <v>1236601</v>
      </c>
      <c r="B58" s="32">
        <v>0</v>
      </c>
      <c r="C58" s="32">
        <v>0</v>
      </c>
      <c r="D58" s="32">
        <v>41</v>
      </c>
      <c r="E58" s="17">
        <v>82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W58" s="9">
        <f t="shared" si="5"/>
        <v>123</v>
      </c>
    </row>
    <row r="59" spans="1:23">
      <c r="A59" s="30">
        <v>1236619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198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W59" s="9">
        <f t="shared" si="5"/>
        <v>198</v>
      </c>
    </row>
    <row r="60" spans="1:23">
      <c r="A60" s="30">
        <v>1236930</v>
      </c>
      <c r="B60" s="32">
        <v>100</v>
      </c>
      <c r="C60" s="32">
        <v>330</v>
      </c>
      <c r="D60" s="32">
        <v>401</v>
      </c>
      <c r="E60" s="32">
        <v>235</v>
      </c>
      <c r="F60" s="32">
        <v>0</v>
      </c>
      <c r="G60" s="32">
        <v>0</v>
      </c>
      <c r="H60" s="32">
        <v>0</v>
      </c>
      <c r="I60" s="17">
        <v>1557</v>
      </c>
      <c r="J60" s="32">
        <v>600</v>
      </c>
      <c r="K60" s="32">
        <v>400</v>
      </c>
      <c r="L60" s="32">
        <v>400</v>
      </c>
      <c r="M60" s="32">
        <v>0</v>
      </c>
      <c r="N60" s="32">
        <v>0</v>
      </c>
      <c r="O60" s="32">
        <v>0</v>
      </c>
      <c r="P60" s="32">
        <v>0</v>
      </c>
      <c r="Q60" s="32">
        <v>1086</v>
      </c>
      <c r="R60" s="32">
        <v>1300</v>
      </c>
      <c r="S60" s="32">
        <v>320</v>
      </c>
      <c r="T60" s="32">
        <v>0</v>
      </c>
      <c r="U60" s="32">
        <v>0</v>
      </c>
      <c r="W60" s="9">
        <f t="shared" si="5"/>
        <v>6729</v>
      </c>
    </row>
    <row r="61" spans="1:23">
      <c r="A61" s="30">
        <v>1232982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250</v>
      </c>
      <c r="L61" s="32">
        <v>150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W61" s="9">
        <f t="shared" si="5"/>
        <v>400</v>
      </c>
    </row>
    <row r="62" spans="1:23">
      <c r="A62" s="30">
        <v>1237468</v>
      </c>
      <c r="B62" s="32">
        <v>0</v>
      </c>
      <c r="C62" s="32">
        <v>0</v>
      </c>
      <c r="D62" s="32">
        <v>64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37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W62" s="9">
        <f t="shared" si="5"/>
        <v>101</v>
      </c>
    </row>
    <row r="63" spans="1:23">
      <c r="A63" s="30">
        <v>1237210</v>
      </c>
      <c r="B63" s="32">
        <v>375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W63" s="9">
        <f t="shared" si="5"/>
        <v>375</v>
      </c>
    </row>
    <row r="64" spans="1:23">
      <c r="A64" s="30">
        <v>1237457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54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W64" s="9">
        <f t="shared" si="5"/>
        <v>54</v>
      </c>
    </row>
    <row r="65" spans="1:23">
      <c r="A65" s="30">
        <v>1237386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45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W65" s="9">
        <f t="shared" si="5"/>
        <v>45</v>
      </c>
    </row>
    <row r="66" spans="1:23">
      <c r="A66" s="30">
        <v>1234905</v>
      </c>
      <c r="B66" s="32">
        <v>24</v>
      </c>
      <c r="C66" s="32">
        <v>0</v>
      </c>
      <c r="D66" s="32">
        <v>0</v>
      </c>
      <c r="E66" s="32">
        <v>224</v>
      </c>
      <c r="F66" s="32">
        <v>0</v>
      </c>
      <c r="G66" s="32">
        <v>0</v>
      </c>
      <c r="H66" s="32">
        <v>0</v>
      </c>
      <c r="I66" s="32">
        <v>40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W66" s="9">
        <f t="shared" si="5"/>
        <v>288</v>
      </c>
    </row>
    <row r="67" spans="1:23">
      <c r="A67" s="30">
        <v>1238480</v>
      </c>
      <c r="B67" s="32">
        <v>1538</v>
      </c>
      <c r="C67" s="32">
        <v>603</v>
      </c>
      <c r="D67" s="32">
        <v>772</v>
      </c>
      <c r="E67" s="17">
        <v>977</v>
      </c>
      <c r="F67" s="32">
        <v>0</v>
      </c>
      <c r="G67" s="32">
        <v>0</v>
      </c>
      <c r="H67" s="32">
        <v>0</v>
      </c>
      <c r="I67" s="32">
        <v>1714</v>
      </c>
      <c r="J67" s="32">
        <v>870</v>
      </c>
      <c r="K67" s="32">
        <v>872</v>
      </c>
      <c r="L67" s="32">
        <v>807</v>
      </c>
      <c r="M67" s="32">
        <v>0</v>
      </c>
      <c r="N67" s="32">
        <v>0</v>
      </c>
      <c r="O67" s="32">
        <v>1417</v>
      </c>
      <c r="P67" s="32">
        <v>1252</v>
      </c>
      <c r="Q67" s="32">
        <v>1293</v>
      </c>
      <c r="R67" s="32">
        <v>1477</v>
      </c>
      <c r="S67" s="32">
        <v>950</v>
      </c>
      <c r="T67" s="32">
        <v>0</v>
      </c>
      <c r="U67" s="32">
        <v>0</v>
      </c>
      <c r="W67" s="9">
        <f t="shared" si="5"/>
        <v>14542</v>
      </c>
    </row>
    <row r="68" spans="1:23">
      <c r="A68" s="30">
        <v>1238453</v>
      </c>
      <c r="B68" s="32">
        <v>0</v>
      </c>
      <c r="C68" s="32">
        <v>0</v>
      </c>
      <c r="D68" s="32">
        <v>40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57</v>
      </c>
      <c r="L68" s="32">
        <v>0</v>
      </c>
      <c r="M68" s="32">
        <v>0</v>
      </c>
      <c r="N68" s="32">
        <v>0</v>
      </c>
      <c r="O68" s="32">
        <v>0</v>
      </c>
      <c r="P68" s="32">
        <v>641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W68" s="9">
        <f t="shared" si="5"/>
        <v>738</v>
      </c>
    </row>
    <row r="69" spans="1:23">
      <c r="A69" s="30">
        <v>1240029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400</v>
      </c>
      <c r="S69" s="32">
        <v>300</v>
      </c>
      <c r="T69" s="32">
        <v>0</v>
      </c>
      <c r="U69" s="32">
        <v>0</v>
      </c>
      <c r="W69" s="9">
        <f t="shared" si="5"/>
        <v>700</v>
      </c>
    </row>
    <row r="70" spans="1:23">
      <c r="A70" s="30">
        <v>1240032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400</v>
      </c>
      <c r="S70" s="32">
        <v>300</v>
      </c>
      <c r="T70" s="32">
        <v>0</v>
      </c>
      <c r="U70" s="32">
        <v>0</v>
      </c>
      <c r="W70" s="9">
        <f t="shared" si="5"/>
        <v>700</v>
      </c>
    </row>
    <row r="71" spans="1:23">
      <c r="A71" s="30">
        <v>1240180</v>
      </c>
      <c r="B71" s="32">
        <v>286</v>
      </c>
      <c r="C71" s="32">
        <v>251</v>
      </c>
      <c r="D71" s="32">
        <v>173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410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W71" s="9">
        <f t="shared" si="5"/>
        <v>1120</v>
      </c>
    </row>
    <row r="72" spans="1:23">
      <c r="A72" s="30">
        <v>1240184</v>
      </c>
      <c r="B72" s="32">
        <v>286</v>
      </c>
      <c r="C72" s="32">
        <v>251</v>
      </c>
      <c r="D72" s="32">
        <v>173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410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W72" s="9">
        <f t="shared" si="5"/>
        <v>1120</v>
      </c>
    </row>
    <row r="73" spans="1:23">
      <c r="A73" s="30">
        <v>1216452</v>
      </c>
      <c r="B73" s="32">
        <v>500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76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W73" s="9">
        <f t="shared" si="5"/>
        <v>576</v>
      </c>
    </row>
    <row r="74" spans="1:23">
      <c r="A74" s="30">
        <v>1232894</v>
      </c>
      <c r="B74" s="32">
        <v>0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312</v>
      </c>
      <c r="K74" s="32">
        <v>698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W74" s="9">
        <f t="shared" si="5"/>
        <v>1010</v>
      </c>
    </row>
    <row r="75" spans="1:23">
      <c r="A75" s="30">
        <v>1233386</v>
      </c>
      <c r="B75" s="32">
        <v>0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512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W75" s="9">
        <f t="shared" si="5"/>
        <v>512</v>
      </c>
    </row>
    <row r="76" spans="1:23">
      <c r="A76" s="30">
        <v>1233387</v>
      </c>
      <c r="B76" s="32">
        <v>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128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W76" s="9">
        <f t="shared" si="5"/>
        <v>128</v>
      </c>
    </row>
    <row r="77" spans="1:23">
      <c r="A77" s="30">
        <v>1233385</v>
      </c>
      <c r="B77" s="32">
        <v>0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312</v>
      </c>
      <c r="K77" s="32">
        <v>58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W77" s="9">
        <f t="shared" si="5"/>
        <v>370</v>
      </c>
    </row>
    <row r="78" spans="1:23">
      <c r="A78" s="30">
        <v>1232895</v>
      </c>
      <c r="B78" s="32">
        <v>0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60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W78" s="9">
        <f t="shared" si="5"/>
        <v>60</v>
      </c>
    </row>
    <row r="79" spans="1:23">
      <c r="A79" s="30">
        <v>1232922</v>
      </c>
      <c r="B79" s="32">
        <v>0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60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W79" s="9">
        <f t="shared" si="5"/>
        <v>60</v>
      </c>
    </row>
    <row r="80" spans="1:23">
      <c r="A80" s="30">
        <v>1233580</v>
      </c>
      <c r="B80" s="32">
        <v>0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200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W80" s="9">
        <f t="shared" si="5"/>
        <v>200</v>
      </c>
    </row>
    <row r="82" spans="22:22">
      <c r="V82" s="9">
        <f t="shared" ref="V82" si="6">SUM(V36:V81)</f>
        <v>0</v>
      </c>
    </row>
  </sheetData>
  <autoFilter ref="A1:U19" xr:uid="{B3C96079-33E3-42F2-BB0E-958B727809DE}"/>
  <phoneticPr fontId="1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7318-E4B3-4E96-AD94-99C0D732A2F0}">
  <dimension ref="A1:T70"/>
  <sheetViews>
    <sheetView topLeftCell="A52" zoomScale="145" zoomScaleNormal="145" workbookViewId="0">
      <selection activeCell="A67" sqref="A67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33203125" style="9" customWidth="1"/>
    <col min="21" max="16384" width="9.33203125" style="5"/>
  </cols>
  <sheetData>
    <row r="1" spans="1:20">
      <c r="A1" s="74" t="s">
        <v>0</v>
      </c>
      <c r="B1" s="69" t="s">
        <v>852</v>
      </c>
      <c r="C1" s="69" t="s">
        <v>853</v>
      </c>
      <c r="D1" s="69" t="s">
        <v>854</v>
      </c>
      <c r="E1" s="69" t="s">
        <v>855</v>
      </c>
      <c r="F1" s="70" t="s">
        <v>856</v>
      </c>
      <c r="G1" s="69" t="s">
        <v>878</v>
      </c>
      <c r="H1" s="190" t="s">
        <v>879</v>
      </c>
      <c r="I1" s="69" t="s">
        <v>880</v>
      </c>
      <c r="J1" s="69" t="s">
        <v>884</v>
      </c>
      <c r="K1" s="69" t="s">
        <v>883</v>
      </c>
      <c r="L1" s="69" t="s">
        <v>882</v>
      </c>
      <c r="M1" s="70" t="s">
        <v>881</v>
      </c>
      <c r="N1" s="69" t="s">
        <v>920</v>
      </c>
      <c r="O1" s="69" t="s">
        <v>921</v>
      </c>
      <c r="P1" s="69" t="s">
        <v>922</v>
      </c>
      <c r="Q1" s="69" t="s">
        <v>923</v>
      </c>
      <c r="R1" s="69" t="s">
        <v>924</v>
      </c>
      <c r="S1" s="69" t="s">
        <v>925</v>
      </c>
      <c r="T1" s="70" t="s">
        <v>926</v>
      </c>
    </row>
    <row r="2" spans="1:20">
      <c r="A2" s="30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17">
        <v>200</v>
      </c>
      <c r="I2" s="32">
        <v>200</v>
      </c>
      <c r="J2" s="32">
        <v>330</v>
      </c>
      <c r="K2" s="32">
        <v>330</v>
      </c>
      <c r="L2" s="32">
        <v>0</v>
      </c>
      <c r="M2" s="32">
        <v>0</v>
      </c>
      <c r="N2" s="32">
        <v>0</v>
      </c>
      <c r="O2" s="32">
        <v>0</v>
      </c>
      <c r="P2" s="32">
        <v>100</v>
      </c>
      <c r="Q2" s="32">
        <v>500</v>
      </c>
      <c r="R2" s="32">
        <v>0</v>
      </c>
      <c r="S2" s="32">
        <v>0</v>
      </c>
      <c r="T2" s="32">
        <v>0</v>
      </c>
    </row>
    <row r="3" spans="1:20">
      <c r="A3" s="30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17">
        <v>200</v>
      </c>
      <c r="I3" s="32">
        <v>200</v>
      </c>
      <c r="J3" s="32">
        <v>330</v>
      </c>
      <c r="K3" s="32">
        <v>330</v>
      </c>
      <c r="L3" s="32">
        <v>0</v>
      </c>
      <c r="M3" s="32">
        <v>0</v>
      </c>
      <c r="N3" s="32">
        <v>0</v>
      </c>
      <c r="O3" s="32">
        <v>0</v>
      </c>
      <c r="P3" s="32">
        <v>100</v>
      </c>
      <c r="Q3" s="32">
        <v>500</v>
      </c>
      <c r="R3" s="32">
        <v>0</v>
      </c>
      <c r="S3" s="32">
        <v>0</v>
      </c>
      <c r="T3" s="32">
        <v>0</v>
      </c>
    </row>
    <row r="4" spans="1:20">
      <c r="A4" s="30">
        <v>1229673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17">
        <v>300</v>
      </c>
      <c r="I4" s="32">
        <v>200</v>
      </c>
      <c r="J4" s="32">
        <v>200</v>
      </c>
      <c r="K4" s="32">
        <v>200</v>
      </c>
      <c r="L4" s="32">
        <v>0</v>
      </c>
      <c r="M4" s="32">
        <v>0</v>
      </c>
      <c r="N4" s="32">
        <v>200</v>
      </c>
      <c r="O4" s="32">
        <v>200</v>
      </c>
      <c r="P4" s="32">
        <v>0</v>
      </c>
      <c r="Q4" s="32">
        <v>250</v>
      </c>
      <c r="R4" s="32">
        <v>250</v>
      </c>
      <c r="S4" s="32">
        <v>0</v>
      </c>
      <c r="T4" s="32">
        <v>0</v>
      </c>
    </row>
    <row r="5" spans="1:20">
      <c r="A5" s="30">
        <v>1235623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416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</row>
    <row r="6" spans="1:20">
      <c r="A6" s="30">
        <v>1237088</v>
      </c>
      <c r="B6" s="32">
        <v>424</v>
      </c>
      <c r="C6" s="32">
        <v>1556</v>
      </c>
      <c r="D6" s="32">
        <v>1356</v>
      </c>
      <c r="E6" s="32">
        <v>0</v>
      </c>
      <c r="F6" s="32">
        <v>0</v>
      </c>
      <c r="G6" s="32">
        <v>0</v>
      </c>
      <c r="H6" s="17">
        <v>860</v>
      </c>
      <c r="I6" s="32">
        <v>248</v>
      </c>
      <c r="J6" s="32">
        <v>1024</v>
      </c>
      <c r="K6" s="32">
        <v>666</v>
      </c>
      <c r="L6" s="32">
        <v>0</v>
      </c>
      <c r="M6" s="32">
        <v>0</v>
      </c>
      <c r="N6" s="32">
        <v>848</v>
      </c>
      <c r="O6" s="32">
        <v>610</v>
      </c>
      <c r="P6" s="32">
        <v>0</v>
      </c>
      <c r="Q6" s="32">
        <v>258</v>
      </c>
      <c r="R6" s="32">
        <v>744</v>
      </c>
      <c r="S6" s="32">
        <v>0</v>
      </c>
      <c r="T6" s="32">
        <v>0</v>
      </c>
    </row>
    <row r="7" spans="1:20">
      <c r="A7" s="30">
        <v>1237748</v>
      </c>
      <c r="B7" s="32">
        <v>0</v>
      </c>
      <c r="C7" s="32">
        <v>558</v>
      </c>
      <c r="D7" s="32">
        <v>456</v>
      </c>
      <c r="E7" s="32">
        <v>0</v>
      </c>
      <c r="F7" s="32">
        <v>0</v>
      </c>
      <c r="G7" s="32">
        <v>0</v>
      </c>
      <c r="H7" s="17">
        <v>78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</row>
    <row r="8" spans="1:20">
      <c r="A8" s="30">
        <v>1236091</v>
      </c>
      <c r="B8" s="32">
        <v>100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350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</row>
    <row r="9" spans="1:20">
      <c r="A9" s="30">
        <v>1238128</v>
      </c>
      <c r="B9" s="32">
        <v>698</v>
      </c>
      <c r="C9" s="32">
        <v>529</v>
      </c>
      <c r="D9" s="32">
        <v>312</v>
      </c>
      <c r="E9" s="32">
        <v>0</v>
      </c>
      <c r="F9" s="32">
        <v>0</v>
      </c>
      <c r="G9" s="32">
        <v>0</v>
      </c>
      <c r="H9" s="17">
        <v>562</v>
      </c>
      <c r="I9" s="32">
        <v>692</v>
      </c>
      <c r="J9" s="32">
        <v>1180</v>
      </c>
      <c r="K9" s="32">
        <v>928</v>
      </c>
      <c r="L9" s="32">
        <v>0</v>
      </c>
      <c r="M9" s="32">
        <v>0</v>
      </c>
      <c r="N9" s="32">
        <v>112</v>
      </c>
      <c r="O9" s="32">
        <v>386</v>
      </c>
      <c r="P9" s="32">
        <v>464</v>
      </c>
      <c r="Q9" s="32">
        <v>590</v>
      </c>
      <c r="R9" s="32">
        <v>464</v>
      </c>
      <c r="S9" s="32">
        <v>0</v>
      </c>
      <c r="T9" s="32">
        <v>0</v>
      </c>
    </row>
    <row r="10" spans="1:20">
      <c r="A10" s="30">
        <v>1236962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300</v>
      </c>
      <c r="J10" s="32">
        <v>200</v>
      </c>
      <c r="K10" s="32">
        <v>200</v>
      </c>
      <c r="L10" s="32">
        <v>0</v>
      </c>
      <c r="M10" s="32">
        <v>0</v>
      </c>
      <c r="N10" s="32">
        <v>186</v>
      </c>
      <c r="O10" s="32">
        <v>200</v>
      </c>
      <c r="P10" s="32">
        <v>214</v>
      </c>
      <c r="Q10" s="32">
        <v>200</v>
      </c>
      <c r="R10" s="32">
        <v>0</v>
      </c>
      <c r="S10" s="32">
        <v>0</v>
      </c>
      <c r="T10" s="32">
        <v>0</v>
      </c>
    </row>
    <row r="11" spans="1:20">
      <c r="A11" s="30">
        <v>1233761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300</v>
      </c>
      <c r="S11" s="32">
        <v>0</v>
      </c>
      <c r="T11" s="32">
        <v>0</v>
      </c>
    </row>
    <row r="12" spans="1:20">
      <c r="A12" s="30">
        <v>1239651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17">
        <v>200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400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</row>
    <row r="13" spans="1:20">
      <c r="A13" s="30">
        <v>1241134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182</v>
      </c>
      <c r="R13" s="32">
        <v>97</v>
      </c>
      <c r="S13" s="32">
        <v>0</v>
      </c>
      <c r="T13" s="32">
        <v>0</v>
      </c>
    </row>
    <row r="14" spans="1:20">
      <c r="A14" s="30">
        <v>1239988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17">
        <v>442</v>
      </c>
      <c r="I14" s="32">
        <v>44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150</v>
      </c>
      <c r="S14" s="32">
        <v>0</v>
      </c>
      <c r="T14" s="32">
        <v>0</v>
      </c>
    </row>
    <row r="15" spans="1:20">
      <c r="A15" s="30">
        <v>1240180</v>
      </c>
      <c r="B15" s="32">
        <v>230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270</v>
      </c>
      <c r="J15" s="32">
        <v>410</v>
      </c>
      <c r="K15" s="32">
        <v>322</v>
      </c>
      <c r="L15" s="32">
        <v>0</v>
      </c>
      <c r="M15" s="32">
        <v>0</v>
      </c>
      <c r="N15" s="32">
        <v>420</v>
      </c>
      <c r="O15" s="32">
        <v>420</v>
      </c>
      <c r="P15" s="32">
        <v>436</v>
      </c>
      <c r="Q15" s="32">
        <v>778</v>
      </c>
      <c r="R15" s="32">
        <v>476</v>
      </c>
      <c r="S15" s="32">
        <v>0</v>
      </c>
      <c r="T15" s="32">
        <v>0</v>
      </c>
    </row>
    <row r="16" spans="1:20">
      <c r="A16" s="30">
        <v>1240184</v>
      </c>
      <c r="B16" s="32">
        <v>130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270</v>
      </c>
      <c r="J16" s="32">
        <v>410</v>
      </c>
      <c r="K16" s="32">
        <v>322</v>
      </c>
      <c r="L16" s="32">
        <v>0</v>
      </c>
      <c r="M16" s="32">
        <v>0</v>
      </c>
      <c r="N16" s="32">
        <v>420</v>
      </c>
      <c r="O16" s="32">
        <v>420</v>
      </c>
      <c r="P16" s="32">
        <v>436</v>
      </c>
      <c r="Q16" s="32">
        <v>524</v>
      </c>
      <c r="R16" s="32">
        <v>280</v>
      </c>
      <c r="S16" s="32">
        <v>0</v>
      </c>
      <c r="T16" s="32">
        <v>0</v>
      </c>
    </row>
    <row r="17" spans="1:20">
      <c r="A17" s="30">
        <v>1240308</v>
      </c>
      <c r="B17" s="32">
        <v>280</v>
      </c>
      <c r="C17" s="32">
        <v>300</v>
      </c>
      <c r="D17" s="32">
        <v>0</v>
      </c>
      <c r="E17" s="32">
        <v>0</v>
      </c>
      <c r="F17" s="32">
        <v>0</v>
      </c>
      <c r="G17" s="32">
        <v>0</v>
      </c>
      <c r="H17" s="17">
        <v>150</v>
      </c>
      <c r="I17" s="32">
        <v>300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450</v>
      </c>
      <c r="Q17" s="32">
        <v>420</v>
      </c>
      <c r="R17" s="32">
        <v>0</v>
      </c>
      <c r="S17" s="32">
        <v>0</v>
      </c>
      <c r="T17" s="32">
        <v>0</v>
      </c>
    </row>
    <row r="18" spans="1:20">
      <c r="A18" s="30">
        <v>1241601</v>
      </c>
      <c r="B18" s="32">
        <v>554</v>
      </c>
      <c r="C18" s="32">
        <v>838</v>
      </c>
      <c r="D18" s="32">
        <v>982</v>
      </c>
      <c r="E18" s="32">
        <v>0</v>
      </c>
      <c r="F18" s="32">
        <v>0</v>
      </c>
      <c r="G18" s="32">
        <v>0</v>
      </c>
      <c r="H18" s="17">
        <v>1494</v>
      </c>
      <c r="I18" s="32">
        <v>870</v>
      </c>
      <c r="J18" s="32">
        <v>764</v>
      </c>
      <c r="K18" s="32">
        <v>600</v>
      </c>
      <c r="L18" s="32">
        <v>0</v>
      </c>
      <c r="M18" s="32">
        <v>0</v>
      </c>
      <c r="N18" s="32">
        <v>930</v>
      </c>
      <c r="O18" s="32">
        <v>1528</v>
      </c>
      <c r="P18" s="32">
        <v>866</v>
      </c>
      <c r="Q18" s="32">
        <v>222</v>
      </c>
      <c r="R18" s="32">
        <v>354</v>
      </c>
      <c r="S18" s="32">
        <v>0</v>
      </c>
      <c r="T18" s="32">
        <v>0</v>
      </c>
    </row>
    <row r="22" spans="1:20">
      <c r="A22" s="5" t="s">
        <v>0</v>
      </c>
      <c r="B22" s="9" t="s">
        <v>852</v>
      </c>
      <c r="C22" s="9" t="s">
        <v>853</v>
      </c>
      <c r="D22" s="9" t="s">
        <v>854</v>
      </c>
      <c r="E22" s="9" t="s">
        <v>855</v>
      </c>
      <c r="F22" s="9" t="s">
        <v>856</v>
      </c>
      <c r="G22" s="9" t="s">
        <v>878</v>
      </c>
      <c r="H22" s="9" t="s">
        <v>879</v>
      </c>
      <c r="I22" s="9" t="s">
        <v>880</v>
      </c>
      <c r="J22" s="9" t="s">
        <v>884</v>
      </c>
      <c r="K22" s="9" t="s">
        <v>883</v>
      </c>
      <c r="L22" s="9" t="s">
        <v>882</v>
      </c>
      <c r="M22" s="9" t="s">
        <v>881</v>
      </c>
      <c r="N22" s="9" t="s">
        <v>920</v>
      </c>
      <c r="O22" s="9" t="s">
        <v>921</v>
      </c>
      <c r="P22" s="9" t="s">
        <v>922</v>
      </c>
      <c r="Q22" s="9" t="s">
        <v>923</v>
      </c>
      <c r="R22" s="9" t="s">
        <v>924</v>
      </c>
      <c r="S22" s="9" t="s">
        <v>925</v>
      </c>
      <c r="T22" s="9" t="s">
        <v>926</v>
      </c>
    </row>
    <row r="23" spans="1:20">
      <c r="A23" s="5">
        <v>1237608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8">
        <v>100</v>
      </c>
      <c r="J23" s="18">
        <v>300</v>
      </c>
      <c r="K23" s="11">
        <v>300</v>
      </c>
      <c r="L23" s="9">
        <v>0</v>
      </c>
      <c r="M23" s="9">
        <v>0</v>
      </c>
      <c r="N23" s="9">
        <v>150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</row>
    <row r="24" spans="1:20">
      <c r="A24" s="5">
        <v>1232846</v>
      </c>
      <c r="B24" s="9">
        <v>79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</row>
    <row r="25" spans="1:20">
      <c r="A25" s="5">
        <v>1232895</v>
      </c>
      <c r="B25" s="9">
        <v>79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</row>
    <row r="26" spans="1:20">
      <c r="A26" s="5">
        <v>1233384</v>
      </c>
      <c r="B26" s="9">
        <v>79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</row>
    <row r="27" spans="1:20">
      <c r="A27" s="5">
        <v>1236110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100</v>
      </c>
      <c r="O27" s="9">
        <v>250</v>
      </c>
      <c r="P27" s="9">
        <v>200</v>
      </c>
      <c r="Q27" s="9">
        <v>0</v>
      </c>
      <c r="R27" s="9">
        <v>0</v>
      </c>
      <c r="S27" s="9">
        <v>0</v>
      </c>
      <c r="T27" s="9">
        <v>0</v>
      </c>
    </row>
    <row r="28" spans="1:20">
      <c r="A28" s="5">
        <v>1236387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18">
        <v>180</v>
      </c>
      <c r="J28" s="18">
        <v>357</v>
      </c>
      <c r="K28" s="11">
        <v>357</v>
      </c>
      <c r="L28" s="9">
        <v>0</v>
      </c>
      <c r="M28" s="9">
        <v>0</v>
      </c>
      <c r="N28" s="9">
        <v>357</v>
      </c>
      <c r="O28" s="9">
        <v>176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</row>
    <row r="29" spans="1:20">
      <c r="A29" s="5">
        <v>1232775</v>
      </c>
      <c r="B29" s="9">
        <v>178</v>
      </c>
      <c r="C29" s="9">
        <v>435</v>
      </c>
      <c r="D29" s="9">
        <v>424</v>
      </c>
      <c r="E29" s="9">
        <v>0</v>
      </c>
      <c r="F29" s="9">
        <v>0</v>
      </c>
      <c r="G29" s="9">
        <v>0</v>
      </c>
      <c r="H29" s="18">
        <v>324</v>
      </c>
      <c r="I29" s="18">
        <v>98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315</v>
      </c>
      <c r="P29" s="9">
        <v>487</v>
      </c>
      <c r="Q29" s="9">
        <v>487</v>
      </c>
      <c r="R29" s="9">
        <v>487</v>
      </c>
      <c r="S29" s="9">
        <v>0</v>
      </c>
      <c r="T29" s="9">
        <v>0</v>
      </c>
    </row>
    <row r="30" spans="1:20">
      <c r="A30" s="5">
        <v>1238605</v>
      </c>
      <c r="B30" s="9">
        <v>189</v>
      </c>
      <c r="C30" s="9">
        <v>28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</row>
    <row r="34" spans="1:20">
      <c r="A34" s="5" t="s">
        <v>0</v>
      </c>
      <c r="B34" s="9" t="s">
        <v>852</v>
      </c>
      <c r="C34" s="9" t="s">
        <v>853</v>
      </c>
      <c r="D34" s="9" t="s">
        <v>854</v>
      </c>
      <c r="E34" s="9" t="s">
        <v>855</v>
      </c>
      <c r="F34" s="9" t="s">
        <v>856</v>
      </c>
      <c r="G34" s="9" t="s">
        <v>878</v>
      </c>
      <c r="H34" s="9" t="s">
        <v>879</v>
      </c>
      <c r="I34" s="9" t="s">
        <v>880</v>
      </c>
      <c r="J34" s="9" t="s">
        <v>884</v>
      </c>
      <c r="K34" s="9" t="s">
        <v>883</v>
      </c>
      <c r="L34" s="9" t="s">
        <v>882</v>
      </c>
      <c r="M34" s="9" t="s">
        <v>881</v>
      </c>
      <c r="N34" s="9" t="s">
        <v>920</v>
      </c>
      <c r="O34" s="9" t="s">
        <v>921</v>
      </c>
      <c r="P34" s="9" t="s">
        <v>922</v>
      </c>
      <c r="Q34" s="9" t="s">
        <v>923</v>
      </c>
      <c r="R34" s="9" t="s">
        <v>924</v>
      </c>
      <c r="S34" s="9" t="s">
        <v>925</v>
      </c>
      <c r="T34" s="9" t="s">
        <v>926</v>
      </c>
    </row>
    <row r="35" spans="1:20">
      <c r="A35" s="5">
        <v>1234614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216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</row>
    <row r="36" spans="1:20">
      <c r="A36" s="5">
        <v>1220847</v>
      </c>
      <c r="B36" s="9">
        <v>260</v>
      </c>
      <c r="C36" s="9">
        <v>20</v>
      </c>
      <c r="D36" s="9">
        <v>0</v>
      </c>
      <c r="E36" s="9">
        <v>0</v>
      </c>
      <c r="F36" s="9">
        <v>0</v>
      </c>
      <c r="G36" s="9">
        <v>0</v>
      </c>
      <c r="H36" s="9">
        <v>290</v>
      </c>
      <c r="I36" s="9">
        <v>213</v>
      </c>
      <c r="J36" s="9">
        <v>542</v>
      </c>
      <c r="K36" s="9">
        <v>426</v>
      </c>
      <c r="L36" s="9">
        <v>0</v>
      </c>
      <c r="M36" s="9">
        <v>0</v>
      </c>
      <c r="N36" s="9">
        <v>542</v>
      </c>
      <c r="O36" s="9">
        <v>542</v>
      </c>
      <c r="P36" s="9">
        <v>402</v>
      </c>
      <c r="Q36" s="9">
        <v>243</v>
      </c>
      <c r="R36" s="9">
        <v>450</v>
      </c>
      <c r="S36" s="9">
        <v>0</v>
      </c>
      <c r="T36" s="9">
        <v>0</v>
      </c>
    </row>
    <row r="37" spans="1:20">
      <c r="A37" s="5">
        <v>1227306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178</v>
      </c>
      <c r="L37" s="9">
        <v>0</v>
      </c>
      <c r="M37" s="9">
        <v>0</v>
      </c>
      <c r="N37" s="9">
        <v>250</v>
      </c>
      <c r="O37" s="9">
        <v>0</v>
      </c>
      <c r="P37" s="9">
        <v>0</v>
      </c>
      <c r="Q37" s="9">
        <v>375</v>
      </c>
      <c r="R37" s="9">
        <v>225</v>
      </c>
      <c r="S37" s="9">
        <v>0</v>
      </c>
      <c r="T37" s="9">
        <v>0</v>
      </c>
    </row>
    <row r="38" spans="1:20">
      <c r="A38" s="5">
        <v>1227359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44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</row>
    <row r="39" spans="1:20">
      <c r="A39" s="5">
        <v>1225464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138</v>
      </c>
      <c r="J39" s="9">
        <v>618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</row>
    <row r="40" spans="1:20">
      <c r="A40" s="5">
        <v>1231797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130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</row>
    <row r="41" spans="1:20">
      <c r="A41" s="5">
        <v>1232066</v>
      </c>
      <c r="B41" s="9">
        <v>0</v>
      </c>
      <c r="C41" s="9">
        <v>0</v>
      </c>
      <c r="D41" s="9">
        <v>234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</row>
    <row r="42" spans="1:20">
      <c r="A42" s="5">
        <v>1232693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521</v>
      </c>
      <c r="I42" s="9">
        <v>613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</row>
    <row r="43" spans="1:20">
      <c r="A43" s="5">
        <v>1233025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521</v>
      </c>
      <c r="I43" s="9">
        <v>613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</row>
    <row r="44" spans="1:20">
      <c r="A44" s="5">
        <v>1234222</v>
      </c>
      <c r="B44" s="9">
        <v>94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</row>
    <row r="45" spans="1:20">
      <c r="A45" s="5">
        <v>1232528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490</v>
      </c>
      <c r="J45" s="9">
        <v>686</v>
      </c>
      <c r="K45" s="9">
        <v>539</v>
      </c>
      <c r="L45" s="9">
        <v>0</v>
      </c>
      <c r="M45" s="9">
        <v>0</v>
      </c>
      <c r="N45" s="9">
        <v>674</v>
      </c>
      <c r="O45" s="9">
        <v>539</v>
      </c>
      <c r="P45" s="9">
        <v>539</v>
      </c>
      <c r="Q45" s="9">
        <v>613</v>
      </c>
      <c r="R45" s="9">
        <v>539</v>
      </c>
      <c r="S45" s="9">
        <v>0</v>
      </c>
      <c r="T45" s="9">
        <v>0</v>
      </c>
    </row>
    <row r="46" spans="1:20">
      <c r="A46" s="5">
        <v>1232846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370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0">
      <c r="A47" s="5">
        <v>1229050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220</v>
      </c>
      <c r="K47" s="9">
        <v>125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</row>
    <row r="48" spans="1:20">
      <c r="A48" s="5">
        <v>1231090</v>
      </c>
      <c r="B48" s="9">
        <v>80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280</v>
      </c>
      <c r="I48" s="9">
        <v>230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570</v>
      </c>
      <c r="S48" s="9">
        <v>0</v>
      </c>
      <c r="T48" s="9">
        <v>0</v>
      </c>
    </row>
    <row r="49" spans="1:20">
      <c r="A49" s="5">
        <v>1233383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116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</row>
    <row r="50" spans="1:20">
      <c r="A50" s="5">
        <v>1235097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250</v>
      </c>
      <c r="Q50" s="9">
        <v>0</v>
      </c>
      <c r="R50" s="9">
        <v>0</v>
      </c>
      <c r="S50" s="9">
        <v>0</v>
      </c>
      <c r="T50" s="9">
        <v>0</v>
      </c>
    </row>
    <row r="51" spans="1:20">
      <c r="A51" s="5">
        <v>1235845</v>
      </c>
      <c r="B51" s="9">
        <v>0</v>
      </c>
      <c r="C51" s="9">
        <v>0</v>
      </c>
      <c r="D51" s="9">
        <v>137</v>
      </c>
      <c r="E51" s="9">
        <v>0</v>
      </c>
      <c r="F51" s="9">
        <v>0</v>
      </c>
      <c r="G51" s="9">
        <v>0</v>
      </c>
      <c r="H51" s="9">
        <v>622</v>
      </c>
      <c r="I51" s="9">
        <v>141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</row>
    <row r="52" spans="1:20">
      <c r="A52" s="5">
        <v>1236600</v>
      </c>
      <c r="B52" s="9">
        <v>419</v>
      </c>
      <c r="C52" s="9">
        <v>426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</row>
    <row r="53" spans="1:20">
      <c r="A53" s="5">
        <v>1236601</v>
      </c>
      <c r="B53" s="9">
        <v>0</v>
      </c>
      <c r="C53" s="9">
        <v>41</v>
      </c>
      <c r="D53" s="9">
        <v>82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</row>
    <row r="54" spans="1:20">
      <c r="A54" s="5">
        <v>1236619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198</v>
      </c>
      <c r="R54" s="9">
        <v>0</v>
      </c>
      <c r="S54" s="9">
        <v>0</v>
      </c>
      <c r="T54" s="9">
        <v>0</v>
      </c>
    </row>
    <row r="55" spans="1:20">
      <c r="A55" s="5">
        <v>1236930</v>
      </c>
      <c r="B55" s="9">
        <v>330</v>
      </c>
      <c r="C55" s="9">
        <v>401</v>
      </c>
      <c r="D55" s="9">
        <v>235</v>
      </c>
      <c r="E55" s="9">
        <v>0</v>
      </c>
      <c r="F55" s="9">
        <v>0</v>
      </c>
      <c r="G55" s="9">
        <v>0</v>
      </c>
      <c r="H55" s="9">
        <v>318</v>
      </c>
      <c r="I55" s="9">
        <v>450</v>
      </c>
      <c r="J55" s="9">
        <v>379</v>
      </c>
      <c r="K55" s="9">
        <v>252</v>
      </c>
      <c r="L55" s="9">
        <v>0</v>
      </c>
      <c r="M55" s="9">
        <v>0</v>
      </c>
      <c r="N55" s="9">
        <v>150</v>
      </c>
      <c r="O55" s="9">
        <v>606</v>
      </c>
      <c r="P55" s="9">
        <v>390</v>
      </c>
      <c r="Q55" s="9">
        <v>536</v>
      </c>
      <c r="R55" s="9">
        <v>700</v>
      </c>
      <c r="S55" s="9">
        <v>0</v>
      </c>
      <c r="T55" s="9">
        <v>0</v>
      </c>
    </row>
    <row r="56" spans="1:20">
      <c r="A56" s="5">
        <v>1237468</v>
      </c>
      <c r="B56" s="9">
        <v>0</v>
      </c>
      <c r="C56" s="9">
        <v>64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229</v>
      </c>
      <c r="R56" s="9">
        <v>0</v>
      </c>
      <c r="S56" s="9">
        <v>0</v>
      </c>
      <c r="T56" s="9">
        <v>0</v>
      </c>
    </row>
    <row r="57" spans="1:20">
      <c r="A57" s="5">
        <v>1232775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388</v>
      </c>
      <c r="Q57" s="9">
        <v>0</v>
      </c>
      <c r="R57" s="9">
        <v>0</v>
      </c>
      <c r="S57" s="9">
        <v>0</v>
      </c>
      <c r="T57" s="9">
        <v>0</v>
      </c>
    </row>
    <row r="58" spans="1:20">
      <c r="A58" s="5">
        <v>1237457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54</v>
      </c>
      <c r="R58" s="9">
        <v>0</v>
      </c>
      <c r="S58" s="9">
        <v>0</v>
      </c>
      <c r="T58" s="9">
        <v>0</v>
      </c>
    </row>
    <row r="59" spans="1:20">
      <c r="A59" s="5">
        <v>1237386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45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</row>
    <row r="60" spans="1:20">
      <c r="A60" s="5">
        <v>1234905</v>
      </c>
      <c r="B60" s="9">
        <v>0</v>
      </c>
      <c r="C60" s="9">
        <v>0</v>
      </c>
      <c r="D60" s="9">
        <v>224</v>
      </c>
      <c r="E60" s="9">
        <v>0</v>
      </c>
      <c r="F60" s="9">
        <v>0</v>
      </c>
      <c r="G60" s="9">
        <v>0</v>
      </c>
      <c r="H60" s="9">
        <v>40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</row>
    <row r="61" spans="1:20">
      <c r="A61" s="5">
        <v>1238480</v>
      </c>
      <c r="B61" s="9">
        <v>603</v>
      </c>
      <c r="C61" s="9">
        <v>772</v>
      </c>
      <c r="D61" s="9">
        <v>977</v>
      </c>
      <c r="E61" s="9">
        <v>0</v>
      </c>
      <c r="F61" s="9">
        <v>0</v>
      </c>
      <c r="G61" s="9">
        <v>0</v>
      </c>
      <c r="H61" s="9">
        <v>1225</v>
      </c>
      <c r="I61" s="9">
        <v>1270</v>
      </c>
      <c r="J61" s="9">
        <v>928</v>
      </c>
      <c r="K61" s="9">
        <v>1021</v>
      </c>
      <c r="L61" s="9">
        <v>0</v>
      </c>
      <c r="M61" s="9">
        <v>0</v>
      </c>
      <c r="N61" s="9">
        <v>1308</v>
      </c>
      <c r="O61" s="9">
        <v>1308</v>
      </c>
      <c r="P61" s="9">
        <v>845</v>
      </c>
      <c r="Q61" s="9">
        <v>1308</v>
      </c>
      <c r="R61" s="9">
        <v>850</v>
      </c>
      <c r="S61" s="9">
        <v>0</v>
      </c>
      <c r="T61" s="9">
        <v>0</v>
      </c>
    </row>
    <row r="62" spans="1:20">
      <c r="A62" s="5">
        <v>1238453</v>
      </c>
      <c r="B62" s="9">
        <v>0</v>
      </c>
      <c r="C62" s="9">
        <v>40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57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</row>
    <row r="63" spans="1:20">
      <c r="A63" s="5">
        <v>1240029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400</v>
      </c>
      <c r="R63" s="9">
        <v>300</v>
      </c>
      <c r="S63" s="9">
        <v>0</v>
      </c>
      <c r="T63" s="9">
        <v>0</v>
      </c>
    </row>
    <row r="64" spans="1:20">
      <c r="A64" s="5">
        <v>1240032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400</v>
      </c>
      <c r="R64" s="9">
        <v>300</v>
      </c>
      <c r="S64" s="9">
        <v>0</v>
      </c>
      <c r="T64" s="9">
        <v>0</v>
      </c>
    </row>
    <row r="65" spans="1:20">
      <c r="A65" s="5">
        <v>1240180</v>
      </c>
      <c r="B65" s="9">
        <v>251</v>
      </c>
      <c r="C65" s="9">
        <v>173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310</v>
      </c>
      <c r="O65" s="9">
        <v>100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</row>
    <row r="66" spans="1:20">
      <c r="A66" s="5">
        <v>1240184</v>
      </c>
      <c r="B66" s="9">
        <v>251</v>
      </c>
      <c r="C66" s="9">
        <v>173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310</v>
      </c>
      <c r="O66" s="9">
        <v>100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</row>
    <row r="67" spans="1:20">
      <c r="A67" s="5">
        <v>1216452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76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</row>
    <row r="68" spans="1:20">
      <c r="A68" s="5">
        <v>1232894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370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</row>
    <row r="69" spans="1:20">
      <c r="A69" s="5">
        <v>1233385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370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</row>
    <row r="70" spans="1:20">
      <c r="A70" s="5">
        <v>1233580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200</v>
      </c>
      <c r="R70" s="9">
        <v>0</v>
      </c>
      <c r="S70" s="9">
        <v>0</v>
      </c>
      <c r="T70" s="9">
        <v>0</v>
      </c>
    </row>
  </sheetData>
  <autoFilter ref="A1:T18" xr:uid="{98F47318-E4B3-4E96-AD94-99C0D732A2F0}"/>
  <phoneticPr fontId="1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AE47-40E3-48B4-A68C-1877D04EE531}">
  <sheetPr>
    <tabColor rgb="FFFFFF00"/>
  </sheetPr>
  <dimension ref="A3:AB98"/>
  <sheetViews>
    <sheetView zoomScale="115" zoomScaleNormal="115" workbookViewId="0">
      <pane xSplit="2" ySplit="4" topLeftCell="C33" activePane="bottomRight" state="frozen"/>
      <selection pane="topRight" activeCell="C1" sqref="C1"/>
      <selection pane="bottomLeft" activeCell="A8" sqref="A8"/>
      <selection pane="bottomRight" activeCell="C57" sqref="C57:G57"/>
    </sheetView>
  </sheetViews>
  <sheetFormatPr defaultColWidth="9.33203125" defaultRowHeight="12"/>
  <cols>
    <col min="1" max="1" width="9.6640625" style="5" bestFit="1" customWidth="1"/>
    <col min="2" max="2" width="10.33203125" style="19" bestFit="1" customWidth="1"/>
    <col min="3" max="12" width="14" style="9" customWidth="1"/>
    <col min="13" max="13" width="9.33203125" style="5"/>
    <col min="14" max="14" width="10" style="5" bestFit="1" customWidth="1"/>
    <col min="15" max="16384" width="9.33203125" style="5"/>
  </cols>
  <sheetData>
    <row r="3" spans="1:14" s="33" customFormat="1">
      <c r="A3" s="300"/>
      <c r="B3" s="300" t="s">
        <v>0</v>
      </c>
      <c r="C3" s="114" t="s">
        <v>745</v>
      </c>
      <c r="D3" s="114" t="s">
        <v>754</v>
      </c>
      <c r="E3" s="114" t="s">
        <v>764</v>
      </c>
      <c r="F3" s="114" t="s">
        <v>773</v>
      </c>
      <c r="G3" s="114" t="s">
        <v>796</v>
      </c>
      <c r="H3" s="114" t="s">
        <v>823</v>
      </c>
      <c r="I3" s="114" t="s">
        <v>847</v>
      </c>
      <c r="J3" s="114" t="s">
        <v>876</v>
      </c>
      <c r="K3" s="114" t="s">
        <v>902</v>
      </c>
      <c r="L3" s="114" t="s">
        <v>927</v>
      </c>
    </row>
    <row r="4" spans="1:14" s="33" customFormat="1">
      <c r="A4" s="300"/>
      <c r="B4" s="301"/>
      <c r="C4" s="60" t="s">
        <v>746</v>
      </c>
      <c r="D4" s="60" t="s">
        <v>755</v>
      </c>
      <c r="E4" s="60" t="s">
        <v>765</v>
      </c>
      <c r="F4" s="60" t="s">
        <v>774</v>
      </c>
      <c r="G4" s="60" t="s">
        <v>797</v>
      </c>
      <c r="H4" s="60" t="s">
        <v>824</v>
      </c>
      <c r="I4" s="60" t="s">
        <v>848</v>
      </c>
      <c r="J4" s="60" t="s">
        <v>877</v>
      </c>
      <c r="K4" s="60" t="s">
        <v>903</v>
      </c>
      <c r="L4" s="60" t="s">
        <v>928</v>
      </c>
    </row>
    <row r="5" spans="1:14">
      <c r="A5" s="29"/>
      <c r="B5" s="30">
        <v>1226384</v>
      </c>
      <c r="C5" s="32">
        <v>0</v>
      </c>
      <c r="D5" s="32">
        <v>610</v>
      </c>
      <c r="E5" s="32">
        <v>0</v>
      </c>
      <c r="F5" s="32">
        <v>1043</v>
      </c>
      <c r="G5" s="32">
        <v>0</v>
      </c>
      <c r="H5" s="32">
        <v>0</v>
      </c>
      <c r="I5" s="32">
        <v>718</v>
      </c>
      <c r="J5" s="32">
        <v>0</v>
      </c>
      <c r="K5" s="32">
        <v>0</v>
      </c>
      <c r="L5" s="32">
        <v>0</v>
      </c>
      <c r="N5" s="78">
        <f>SUM(C5:L5)</f>
        <v>2371</v>
      </c>
    </row>
    <row r="6" spans="1:14">
      <c r="A6" s="29"/>
      <c r="B6" s="30">
        <v>1226388</v>
      </c>
      <c r="C6" s="32">
        <v>0</v>
      </c>
      <c r="D6" s="32">
        <v>610</v>
      </c>
      <c r="E6" s="32">
        <v>0</v>
      </c>
      <c r="F6" s="32">
        <v>1043</v>
      </c>
      <c r="G6" s="32">
        <v>0</v>
      </c>
      <c r="H6" s="32">
        <v>0</v>
      </c>
      <c r="I6" s="32">
        <v>718</v>
      </c>
      <c r="J6" s="32">
        <v>0</v>
      </c>
      <c r="K6" s="32">
        <v>0</v>
      </c>
      <c r="L6" s="32">
        <v>0</v>
      </c>
      <c r="N6" s="78">
        <f t="shared" ref="N6:N34" si="0">SUM(C6:L6)</f>
        <v>2371</v>
      </c>
    </row>
    <row r="7" spans="1:14">
      <c r="A7" s="29"/>
      <c r="B7" s="30">
        <v>1229673</v>
      </c>
      <c r="C7" s="32">
        <v>1000</v>
      </c>
      <c r="D7" s="32">
        <v>900</v>
      </c>
      <c r="E7" s="32">
        <v>600</v>
      </c>
      <c r="F7" s="32">
        <v>1000</v>
      </c>
      <c r="G7" s="32">
        <v>1000</v>
      </c>
      <c r="H7" s="32">
        <v>1000</v>
      </c>
      <c r="I7" s="32">
        <v>800</v>
      </c>
      <c r="J7" s="32">
        <v>800</v>
      </c>
      <c r="K7" s="32">
        <v>800</v>
      </c>
      <c r="L7" s="32">
        <v>800</v>
      </c>
      <c r="N7" s="78">
        <f t="shared" si="0"/>
        <v>8700</v>
      </c>
    </row>
    <row r="8" spans="1:14">
      <c r="A8" s="29"/>
      <c r="B8" s="30">
        <v>1230692</v>
      </c>
      <c r="C8" s="32">
        <v>648</v>
      </c>
      <c r="D8" s="32">
        <v>1356</v>
      </c>
      <c r="E8" s="32">
        <v>800</v>
      </c>
      <c r="F8" s="32">
        <v>800</v>
      </c>
      <c r="G8" s="32">
        <v>700</v>
      </c>
      <c r="H8" s="32">
        <v>800</v>
      </c>
      <c r="I8" s="32">
        <v>600</v>
      </c>
      <c r="J8" s="32">
        <v>800</v>
      </c>
      <c r="K8" s="32">
        <v>900</v>
      </c>
      <c r="L8" s="32">
        <v>900</v>
      </c>
      <c r="N8" s="78">
        <f t="shared" si="0"/>
        <v>8304</v>
      </c>
    </row>
    <row r="9" spans="1:14">
      <c r="A9" s="29"/>
      <c r="B9" s="30">
        <v>1230696</v>
      </c>
      <c r="C9" s="32">
        <v>84</v>
      </c>
      <c r="D9" s="32">
        <v>0</v>
      </c>
      <c r="E9" s="32">
        <v>0</v>
      </c>
      <c r="F9" s="32">
        <v>200</v>
      </c>
      <c r="G9" s="32">
        <v>200</v>
      </c>
      <c r="H9" s="32">
        <v>0</v>
      </c>
      <c r="I9" s="32">
        <v>0</v>
      </c>
      <c r="J9" s="32">
        <v>100</v>
      </c>
      <c r="K9" s="32">
        <v>200</v>
      </c>
      <c r="L9" s="32">
        <v>100</v>
      </c>
      <c r="N9" s="78">
        <f t="shared" si="0"/>
        <v>884</v>
      </c>
    </row>
    <row r="10" spans="1:14">
      <c r="A10" s="29"/>
      <c r="B10" s="30">
        <v>1230854</v>
      </c>
      <c r="C10" s="32">
        <v>100</v>
      </c>
      <c r="D10" s="32">
        <v>0</v>
      </c>
      <c r="E10" s="32">
        <v>0</v>
      </c>
      <c r="F10" s="32">
        <v>0</v>
      </c>
      <c r="G10" s="32">
        <v>100</v>
      </c>
      <c r="H10" s="32">
        <v>0</v>
      </c>
      <c r="I10" s="32">
        <v>0</v>
      </c>
      <c r="J10" s="32">
        <v>200</v>
      </c>
      <c r="K10" s="32">
        <v>0</v>
      </c>
      <c r="L10" s="32">
        <v>0</v>
      </c>
      <c r="N10" s="78">
        <f t="shared" si="0"/>
        <v>400</v>
      </c>
    </row>
    <row r="11" spans="1:14">
      <c r="A11" s="29"/>
      <c r="B11" s="30">
        <v>1231202</v>
      </c>
      <c r="C11" s="32">
        <v>150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N11" s="78">
        <f t="shared" si="0"/>
        <v>150</v>
      </c>
    </row>
    <row r="12" spans="1:14">
      <c r="A12" s="29"/>
      <c r="B12" s="30">
        <v>1231898</v>
      </c>
      <c r="C12" s="32">
        <v>1344</v>
      </c>
      <c r="D12" s="32">
        <v>2240</v>
      </c>
      <c r="E12" s="32">
        <v>2200</v>
      </c>
      <c r="F12" s="32">
        <v>2240</v>
      </c>
      <c r="G12" s="32">
        <v>1344</v>
      </c>
      <c r="H12" s="32">
        <v>1344</v>
      </c>
      <c r="I12" s="32">
        <v>0</v>
      </c>
      <c r="J12" s="32">
        <v>2240</v>
      </c>
      <c r="K12" s="32">
        <v>1792</v>
      </c>
      <c r="L12" s="32">
        <v>1792</v>
      </c>
      <c r="N12" s="78">
        <f t="shared" si="0"/>
        <v>16536</v>
      </c>
    </row>
    <row r="13" spans="1:14">
      <c r="A13" s="29"/>
      <c r="B13" s="30">
        <v>1233492</v>
      </c>
      <c r="C13" s="32">
        <v>0</v>
      </c>
      <c r="D13" s="32">
        <v>500</v>
      </c>
      <c r="E13" s="32">
        <v>0</v>
      </c>
      <c r="F13" s="32">
        <v>0</v>
      </c>
      <c r="G13" s="32">
        <v>0</v>
      </c>
      <c r="H13" s="32">
        <v>200</v>
      </c>
      <c r="I13" s="32">
        <v>0</v>
      </c>
      <c r="J13" s="32">
        <v>400</v>
      </c>
      <c r="K13" s="32">
        <v>400</v>
      </c>
      <c r="L13" s="32">
        <v>0</v>
      </c>
      <c r="N13" s="78">
        <f t="shared" si="0"/>
        <v>1500</v>
      </c>
    </row>
    <row r="14" spans="1:14">
      <c r="A14" s="29"/>
      <c r="B14" s="30">
        <v>1233498</v>
      </c>
      <c r="C14" s="32">
        <v>0</v>
      </c>
      <c r="D14" s="32">
        <v>500</v>
      </c>
      <c r="E14" s="32">
        <v>0</v>
      </c>
      <c r="F14" s="32">
        <v>0</v>
      </c>
      <c r="G14" s="32">
        <v>0</v>
      </c>
      <c r="H14" s="32">
        <v>200</v>
      </c>
      <c r="I14" s="32">
        <v>0</v>
      </c>
      <c r="J14" s="32">
        <v>400</v>
      </c>
      <c r="K14" s="32">
        <v>400</v>
      </c>
      <c r="L14" s="32">
        <v>0</v>
      </c>
      <c r="N14" s="78">
        <f t="shared" si="0"/>
        <v>1500</v>
      </c>
    </row>
    <row r="15" spans="1:14">
      <c r="A15" s="29"/>
      <c r="B15" s="30">
        <v>1233623</v>
      </c>
      <c r="C15" s="32">
        <v>0</v>
      </c>
      <c r="D15" s="32">
        <v>500</v>
      </c>
      <c r="E15" s="32">
        <v>0</v>
      </c>
      <c r="F15" s="32">
        <v>0</v>
      </c>
      <c r="G15" s="32">
        <v>0</v>
      </c>
      <c r="H15" s="32">
        <v>200</v>
      </c>
      <c r="I15" s="32">
        <v>0</v>
      </c>
      <c r="J15" s="32">
        <v>400</v>
      </c>
      <c r="K15" s="32">
        <v>400</v>
      </c>
      <c r="L15" s="32">
        <v>0</v>
      </c>
      <c r="N15" s="78">
        <f t="shared" si="0"/>
        <v>1500</v>
      </c>
    </row>
    <row r="16" spans="1:14">
      <c r="A16" s="29"/>
      <c r="B16" s="30">
        <v>1233761</v>
      </c>
      <c r="C16" s="32">
        <v>140</v>
      </c>
      <c r="D16" s="32">
        <v>0</v>
      </c>
      <c r="E16" s="32">
        <v>0</v>
      </c>
      <c r="F16" s="32">
        <v>200</v>
      </c>
      <c r="G16" s="32">
        <v>200</v>
      </c>
      <c r="H16" s="32">
        <v>100</v>
      </c>
      <c r="I16" s="32">
        <v>0</v>
      </c>
      <c r="J16" s="32">
        <v>0</v>
      </c>
      <c r="K16" s="32">
        <v>100</v>
      </c>
      <c r="L16" s="32">
        <v>100</v>
      </c>
      <c r="N16" s="78">
        <f t="shared" si="0"/>
        <v>840</v>
      </c>
    </row>
    <row r="17" spans="1:14">
      <c r="A17" s="29"/>
      <c r="B17" s="30">
        <v>1234614</v>
      </c>
      <c r="C17" s="32">
        <v>500</v>
      </c>
      <c r="D17" s="32">
        <v>0</v>
      </c>
      <c r="E17" s="32">
        <v>300</v>
      </c>
      <c r="F17" s="32">
        <v>300</v>
      </c>
      <c r="G17" s="32">
        <v>300</v>
      </c>
      <c r="H17" s="32">
        <v>0</v>
      </c>
      <c r="I17" s="32">
        <v>0</v>
      </c>
      <c r="J17" s="32">
        <v>300</v>
      </c>
      <c r="K17" s="32">
        <v>300</v>
      </c>
      <c r="L17" s="32">
        <v>300</v>
      </c>
      <c r="N17" s="78">
        <f t="shared" si="0"/>
        <v>2300</v>
      </c>
    </row>
    <row r="18" spans="1:14">
      <c r="A18" s="29"/>
      <c r="B18" s="30">
        <v>1235003</v>
      </c>
      <c r="C18" s="32">
        <v>2039</v>
      </c>
      <c r="D18" s="32">
        <v>996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N18" s="78">
        <f t="shared" si="0"/>
        <v>3035</v>
      </c>
    </row>
    <row r="19" spans="1:14">
      <c r="A19" s="29"/>
      <c r="B19" s="30">
        <v>1235623</v>
      </c>
      <c r="C19" s="32">
        <v>0</v>
      </c>
      <c r="D19" s="32">
        <v>0</v>
      </c>
      <c r="E19" s="32">
        <v>1872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N19" s="78">
        <f t="shared" si="0"/>
        <v>1872</v>
      </c>
    </row>
    <row r="20" spans="1:14">
      <c r="A20" s="29"/>
      <c r="B20" s="30">
        <v>1236091</v>
      </c>
      <c r="C20" s="32">
        <v>300</v>
      </c>
      <c r="D20" s="32">
        <v>0</v>
      </c>
      <c r="E20" s="32">
        <v>0</v>
      </c>
      <c r="F20" s="32">
        <v>200</v>
      </c>
      <c r="G20" s="32">
        <v>200</v>
      </c>
      <c r="H20" s="32">
        <v>0</v>
      </c>
      <c r="I20" s="32">
        <v>0</v>
      </c>
      <c r="J20" s="32">
        <v>300</v>
      </c>
      <c r="K20" s="32">
        <v>300</v>
      </c>
      <c r="L20" s="32">
        <v>0</v>
      </c>
      <c r="N20" s="78">
        <f t="shared" si="0"/>
        <v>1300</v>
      </c>
    </row>
    <row r="21" spans="1:14">
      <c r="A21" s="29"/>
      <c r="B21" s="30">
        <v>1236488</v>
      </c>
      <c r="C21" s="32">
        <v>768</v>
      </c>
      <c r="D21" s="32">
        <v>472</v>
      </c>
      <c r="E21" s="32">
        <v>500</v>
      </c>
      <c r="F21" s="32">
        <v>600</v>
      </c>
      <c r="G21" s="32">
        <v>600</v>
      </c>
      <c r="H21" s="32">
        <v>600</v>
      </c>
      <c r="I21" s="32">
        <v>500</v>
      </c>
      <c r="J21" s="32">
        <v>700</v>
      </c>
      <c r="K21" s="32">
        <v>700</v>
      </c>
      <c r="L21" s="32">
        <v>700</v>
      </c>
      <c r="N21" s="78">
        <f t="shared" si="0"/>
        <v>6140</v>
      </c>
    </row>
    <row r="22" spans="1:14">
      <c r="A22" s="29"/>
      <c r="B22" s="30">
        <v>1236534</v>
      </c>
      <c r="C22" s="32">
        <v>0</v>
      </c>
      <c r="D22" s="32">
        <v>0</v>
      </c>
      <c r="E22" s="32">
        <v>0</v>
      </c>
      <c r="F22" s="32">
        <v>400</v>
      </c>
      <c r="G22" s="32">
        <v>400</v>
      </c>
      <c r="H22" s="32">
        <v>0</v>
      </c>
      <c r="I22" s="32">
        <v>0</v>
      </c>
      <c r="J22" s="32">
        <v>300</v>
      </c>
      <c r="K22" s="32">
        <v>200</v>
      </c>
      <c r="L22" s="32">
        <v>200</v>
      </c>
      <c r="N22" s="78">
        <f t="shared" si="0"/>
        <v>1500</v>
      </c>
    </row>
    <row r="23" spans="1:14">
      <c r="A23" s="29"/>
      <c r="B23" s="30">
        <v>1236962</v>
      </c>
      <c r="C23" s="32">
        <v>800</v>
      </c>
      <c r="D23" s="32">
        <v>800</v>
      </c>
      <c r="E23" s="32">
        <v>800</v>
      </c>
      <c r="F23" s="32">
        <v>800</v>
      </c>
      <c r="G23" s="32">
        <v>800</v>
      </c>
      <c r="H23" s="32">
        <v>800</v>
      </c>
      <c r="I23" s="32">
        <v>400</v>
      </c>
      <c r="J23" s="32">
        <v>600</v>
      </c>
      <c r="K23" s="32">
        <v>600</v>
      </c>
      <c r="L23" s="32">
        <v>500</v>
      </c>
      <c r="N23" s="78">
        <f t="shared" si="0"/>
        <v>6900</v>
      </c>
    </row>
    <row r="24" spans="1:14">
      <c r="A24" s="29"/>
      <c r="B24" s="30">
        <v>1237088</v>
      </c>
      <c r="C24" s="32">
        <v>4944</v>
      </c>
      <c r="D24" s="32">
        <v>3790</v>
      </c>
      <c r="E24" s="32">
        <v>6557</v>
      </c>
      <c r="F24" s="32">
        <v>4336</v>
      </c>
      <c r="G24" s="32">
        <v>4836</v>
      </c>
      <c r="H24" s="32">
        <v>4536</v>
      </c>
      <c r="I24" s="32">
        <v>1200</v>
      </c>
      <c r="J24" s="32">
        <v>2700</v>
      </c>
      <c r="K24" s="32">
        <v>3100</v>
      </c>
      <c r="L24" s="32">
        <v>3200</v>
      </c>
      <c r="N24" s="78">
        <f t="shared" si="0"/>
        <v>39199</v>
      </c>
    </row>
    <row r="25" spans="1:14">
      <c r="A25" s="29"/>
      <c r="B25" s="30">
        <v>1237586</v>
      </c>
      <c r="C25" s="32">
        <v>1344</v>
      </c>
      <c r="D25" s="32">
        <v>2240</v>
      </c>
      <c r="E25" s="32">
        <v>2200</v>
      </c>
      <c r="F25" s="32">
        <v>2240</v>
      </c>
      <c r="G25" s="32">
        <v>1344</v>
      </c>
      <c r="H25" s="32">
        <v>1344</v>
      </c>
      <c r="I25" s="32">
        <v>0</v>
      </c>
      <c r="J25" s="32">
        <v>2240</v>
      </c>
      <c r="K25" s="32">
        <v>1792</v>
      </c>
      <c r="L25" s="32">
        <v>1792</v>
      </c>
      <c r="N25" s="78">
        <f t="shared" si="0"/>
        <v>16536</v>
      </c>
    </row>
    <row r="26" spans="1:14">
      <c r="A26" s="29"/>
      <c r="B26" s="30">
        <v>1237748</v>
      </c>
      <c r="C26" s="32">
        <v>0</v>
      </c>
      <c r="D26" s="32">
        <v>728</v>
      </c>
      <c r="E26" s="32">
        <v>0</v>
      </c>
      <c r="F26" s="32">
        <v>150</v>
      </c>
      <c r="G26" s="32">
        <v>0</v>
      </c>
      <c r="H26" s="32">
        <v>0</v>
      </c>
      <c r="I26" s="32">
        <v>780</v>
      </c>
      <c r="J26" s="32">
        <v>450</v>
      </c>
      <c r="K26" s="32">
        <v>0</v>
      </c>
      <c r="L26" s="32">
        <v>0</v>
      </c>
      <c r="N26" s="78">
        <f t="shared" si="0"/>
        <v>2108</v>
      </c>
    </row>
    <row r="27" spans="1:14">
      <c r="A27" s="29"/>
      <c r="B27" s="30">
        <v>1238128</v>
      </c>
      <c r="C27" s="32">
        <v>200</v>
      </c>
      <c r="D27" s="32">
        <v>1472</v>
      </c>
      <c r="E27" s="32">
        <v>3936</v>
      </c>
      <c r="F27" s="32">
        <v>1736</v>
      </c>
      <c r="G27" s="32">
        <v>600</v>
      </c>
      <c r="H27" s="32">
        <v>0</v>
      </c>
      <c r="I27" s="32">
        <v>2232</v>
      </c>
      <c r="J27" s="32">
        <v>2500</v>
      </c>
      <c r="K27" s="32">
        <v>2108</v>
      </c>
      <c r="L27" s="32">
        <v>2200</v>
      </c>
      <c r="N27" s="78">
        <f t="shared" si="0"/>
        <v>16984</v>
      </c>
    </row>
    <row r="28" spans="1:14">
      <c r="A28" s="29"/>
      <c r="B28" s="30">
        <v>1239651</v>
      </c>
      <c r="C28" s="32">
        <v>500</v>
      </c>
      <c r="D28" s="32">
        <v>340</v>
      </c>
      <c r="E28" s="32">
        <v>500</v>
      </c>
      <c r="F28" s="32">
        <v>400</v>
      </c>
      <c r="G28" s="32">
        <v>500</v>
      </c>
      <c r="H28" s="32">
        <v>450</v>
      </c>
      <c r="I28" s="32">
        <v>150</v>
      </c>
      <c r="J28" s="32">
        <v>400</v>
      </c>
      <c r="K28" s="32">
        <v>400</v>
      </c>
      <c r="L28" s="32">
        <v>650</v>
      </c>
      <c r="N28" s="78">
        <f t="shared" si="0"/>
        <v>4290</v>
      </c>
    </row>
    <row r="29" spans="1:14">
      <c r="A29" s="29"/>
      <c r="B29" s="30">
        <v>1239988</v>
      </c>
      <c r="C29" s="32">
        <v>859</v>
      </c>
      <c r="D29" s="32">
        <v>0</v>
      </c>
      <c r="E29" s="32">
        <v>614</v>
      </c>
      <c r="F29" s="32">
        <v>1500</v>
      </c>
      <c r="G29" s="32">
        <v>1550</v>
      </c>
      <c r="H29" s="32">
        <v>1150</v>
      </c>
      <c r="I29" s="32">
        <v>600</v>
      </c>
      <c r="J29" s="32">
        <v>3100</v>
      </c>
      <c r="K29" s="32">
        <v>1024</v>
      </c>
      <c r="L29" s="32">
        <v>500</v>
      </c>
      <c r="N29" s="78">
        <f t="shared" si="0"/>
        <v>10897</v>
      </c>
    </row>
    <row r="30" spans="1:14">
      <c r="A30" s="29"/>
      <c r="B30" s="30">
        <v>1240180</v>
      </c>
      <c r="C30" s="32">
        <v>738</v>
      </c>
      <c r="D30" s="32">
        <v>1850</v>
      </c>
      <c r="E30" s="32">
        <v>1188</v>
      </c>
      <c r="F30" s="32">
        <v>1950</v>
      </c>
      <c r="G30" s="32">
        <v>1650</v>
      </c>
      <c r="H30" s="32">
        <v>1355</v>
      </c>
      <c r="I30" s="32">
        <v>696</v>
      </c>
      <c r="J30" s="32">
        <v>1606</v>
      </c>
      <c r="K30" s="32">
        <v>1453</v>
      </c>
      <c r="L30" s="32">
        <v>1850</v>
      </c>
      <c r="N30" s="78">
        <f t="shared" si="0"/>
        <v>14336</v>
      </c>
    </row>
    <row r="31" spans="1:14">
      <c r="A31" s="29"/>
      <c r="B31" s="30">
        <v>1240184</v>
      </c>
      <c r="C31" s="32">
        <v>638</v>
      </c>
      <c r="D31" s="32">
        <v>1850</v>
      </c>
      <c r="E31" s="32">
        <v>1188</v>
      </c>
      <c r="F31" s="32">
        <v>1650</v>
      </c>
      <c r="G31" s="32">
        <v>1500</v>
      </c>
      <c r="H31" s="32">
        <v>1155</v>
      </c>
      <c r="I31" s="32">
        <v>696</v>
      </c>
      <c r="J31" s="32">
        <v>1606</v>
      </c>
      <c r="K31" s="32">
        <v>1453</v>
      </c>
      <c r="L31" s="32">
        <v>1650</v>
      </c>
      <c r="N31" s="78">
        <f t="shared" si="0"/>
        <v>13386</v>
      </c>
    </row>
    <row r="32" spans="1:14">
      <c r="A32" s="29"/>
      <c r="B32" s="30">
        <v>1240308</v>
      </c>
      <c r="C32" s="32">
        <v>950</v>
      </c>
      <c r="D32" s="32">
        <v>900</v>
      </c>
      <c r="E32" s="32">
        <v>750</v>
      </c>
      <c r="F32" s="32">
        <v>850</v>
      </c>
      <c r="G32" s="32">
        <v>750</v>
      </c>
      <c r="H32" s="32">
        <v>850</v>
      </c>
      <c r="I32" s="32">
        <v>0</v>
      </c>
      <c r="J32" s="32">
        <v>150</v>
      </c>
      <c r="K32" s="32">
        <v>350</v>
      </c>
      <c r="L32" s="32">
        <v>650</v>
      </c>
      <c r="N32" s="78">
        <f t="shared" si="0"/>
        <v>6200</v>
      </c>
    </row>
    <row r="33" spans="1:14">
      <c r="A33" s="29"/>
      <c r="B33" s="30">
        <v>1241134</v>
      </c>
      <c r="C33" s="32">
        <v>0</v>
      </c>
      <c r="D33" s="32">
        <v>0</v>
      </c>
      <c r="E33" s="32">
        <v>1900</v>
      </c>
      <c r="F33" s="32">
        <v>1100</v>
      </c>
      <c r="G33" s="32">
        <v>600</v>
      </c>
      <c r="H33" s="32">
        <v>0</v>
      </c>
      <c r="I33" s="32">
        <v>0</v>
      </c>
      <c r="J33" s="32">
        <v>600</v>
      </c>
      <c r="K33" s="32">
        <v>200</v>
      </c>
      <c r="L33" s="32">
        <v>900</v>
      </c>
      <c r="N33" s="78">
        <f t="shared" si="0"/>
        <v>5300</v>
      </c>
    </row>
    <row r="34" spans="1:14">
      <c r="A34" s="29"/>
      <c r="B34" s="30">
        <v>1241601</v>
      </c>
      <c r="C34" s="32">
        <v>3700</v>
      </c>
      <c r="D34" s="32">
        <v>3300</v>
      </c>
      <c r="E34" s="32">
        <v>7672</v>
      </c>
      <c r="F34" s="32">
        <v>4100</v>
      </c>
      <c r="G34" s="32">
        <v>4400</v>
      </c>
      <c r="H34" s="32">
        <v>4100</v>
      </c>
      <c r="I34" s="32">
        <v>1400</v>
      </c>
      <c r="J34" s="32">
        <v>3950</v>
      </c>
      <c r="K34" s="32">
        <v>4150</v>
      </c>
      <c r="L34" s="32">
        <v>4150</v>
      </c>
      <c r="N34" s="78">
        <f t="shared" si="0"/>
        <v>40922</v>
      </c>
    </row>
    <row r="38" spans="1:14" s="33" customFormat="1">
      <c r="A38" s="300"/>
      <c r="B38" s="300" t="s">
        <v>0</v>
      </c>
      <c r="C38" s="114" t="s">
        <v>745</v>
      </c>
      <c r="D38" s="114" t="s">
        <v>754</v>
      </c>
      <c r="E38" s="114" t="s">
        <v>764</v>
      </c>
      <c r="F38" s="114" t="s">
        <v>773</v>
      </c>
      <c r="G38" s="114" t="s">
        <v>796</v>
      </c>
      <c r="H38" s="114" t="s">
        <v>823</v>
      </c>
      <c r="I38" s="114" t="s">
        <v>847</v>
      </c>
      <c r="J38" s="114" t="s">
        <v>876</v>
      </c>
      <c r="K38" s="114" t="s">
        <v>902</v>
      </c>
      <c r="L38" s="114" t="s">
        <v>927</v>
      </c>
    </row>
    <row r="39" spans="1:14" s="33" customFormat="1">
      <c r="A39" s="300"/>
      <c r="B39" s="301"/>
      <c r="C39" s="60" t="s">
        <v>746</v>
      </c>
      <c r="D39" s="60" t="s">
        <v>755</v>
      </c>
      <c r="E39" s="60" t="s">
        <v>765</v>
      </c>
      <c r="F39" s="60" t="s">
        <v>774</v>
      </c>
      <c r="G39" s="60" t="s">
        <v>797</v>
      </c>
      <c r="H39" s="60" t="s">
        <v>824</v>
      </c>
      <c r="I39" s="60" t="s">
        <v>848</v>
      </c>
      <c r="J39" s="60" t="s">
        <v>877</v>
      </c>
      <c r="K39" s="60" t="s">
        <v>903</v>
      </c>
      <c r="L39" s="60" t="s">
        <v>928</v>
      </c>
    </row>
    <row r="40" spans="1:14">
      <c r="A40" s="29"/>
      <c r="B40" s="30">
        <v>1216452</v>
      </c>
      <c r="C40" s="32">
        <v>198</v>
      </c>
      <c r="D40" s="32">
        <v>486</v>
      </c>
      <c r="E40" s="32">
        <v>0</v>
      </c>
      <c r="F40" s="32">
        <v>0</v>
      </c>
      <c r="G40" s="32">
        <v>0</v>
      </c>
      <c r="H40" s="32">
        <v>1765</v>
      </c>
      <c r="I40" s="32">
        <v>288</v>
      </c>
      <c r="J40" s="32">
        <v>864</v>
      </c>
      <c r="K40" s="32">
        <v>0</v>
      </c>
      <c r="L40" s="32">
        <v>324</v>
      </c>
      <c r="N40" s="78">
        <f t="shared" ref="N40:N98" si="1">SUM(C40:L40)</f>
        <v>3925</v>
      </c>
    </row>
    <row r="41" spans="1:14">
      <c r="A41" s="29"/>
      <c r="B41" s="30">
        <v>1220847</v>
      </c>
      <c r="C41" s="32">
        <v>1210</v>
      </c>
      <c r="D41" s="32">
        <v>2100</v>
      </c>
      <c r="E41" s="32">
        <v>33</v>
      </c>
      <c r="F41" s="32">
        <v>1050</v>
      </c>
      <c r="G41" s="32">
        <v>0</v>
      </c>
      <c r="H41" s="32">
        <v>0</v>
      </c>
      <c r="I41" s="32">
        <v>0</v>
      </c>
      <c r="J41" s="32">
        <v>0</v>
      </c>
      <c r="K41" s="32">
        <v>779</v>
      </c>
      <c r="L41" s="32">
        <v>0</v>
      </c>
      <c r="N41" s="78">
        <f t="shared" si="1"/>
        <v>5172</v>
      </c>
    </row>
    <row r="42" spans="1:14">
      <c r="A42" s="29"/>
      <c r="B42" s="30">
        <v>1221967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205</v>
      </c>
      <c r="I42" s="32">
        <v>0</v>
      </c>
      <c r="J42" s="32">
        <v>0</v>
      </c>
      <c r="K42" s="32">
        <v>81</v>
      </c>
      <c r="L42" s="32">
        <v>0</v>
      </c>
      <c r="N42" s="78">
        <f t="shared" si="1"/>
        <v>286</v>
      </c>
    </row>
    <row r="43" spans="1:14">
      <c r="A43" s="29"/>
      <c r="B43" s="30">
        <v>1225464</v>
      </c>
      <c r="C43" s="32">
        <v>0</v>
      </c>
      <c r="D43" s="32">
        <v>0</v>
      </c>
      <c r="E43" s="32">
        <v>0</v>
      </c>
      <c r="F43" s="32">
        <v>756</v>
      </c>
      <c r="G43" s="32">
        <v>0</v>
      </c>
      <c r="H43" s="32">
        <v>0</v>
      </c>
      <c r="I43" s="32">
        <v>0</v>
      </c>
      <c r="J43" s="32">
        <v>0</v>
      </c>
      <c r="K43" s="32">
        <v>1575</v>
      </c>
      <c r="L43" s="32">
        <v>0</v>
      </c>
      <c r="N43" s="78">
        <f t="shared" si="1"/>
        <v>2331</v>
      </c>
    </row>
    <row r="44" spans="1:14">
      <c r="A44" s="29"/>
      <c r="B44" s="30">
        <v>1227306</v>
      </c>
      <c r="C44" s="32">
        <v>0</v>
      </c>
      <c r="D44" s="32">
        <v>0</v>
      </c>
      <c r="E44" s="32">
        <v>0</v>
      </c>
      <c r="F44" s="32">
        <v>600</v>
      </c>
      <c r="G44" s="32">
        <v>750</v>
      </c>
      <c r="H44" s="32">
        <v>200</v>
      </c>
      <c r="I44" s="32">
        <v>200</v>
      </c>
      <c r="J44" s="32">
        <v>400</v>
      </c>
      <c r="K44" s="32">
        <v>750</v>
      </c>
      <c r="L44" s="32">
        <v>300</v>
      </c>
      <c r="N44" s="78">
        <f t="shared" si="1"/>
        <v>3200</v>
      </c>
    </row>
    <row r="45" spans="1:14">
      <c r="A45" s="29"/>
      <c r="B45" s="30">
        <v>1229050</v>
      </c>
      <c r="C45" s="32">
        <v>0</v>
      </c>
      <c r="D45" s="32">
        <v>245</v>
      </c>
      <c r="E45" s="32">
        <v>0</v>
      </c>
      <c r="F45" s="32">
        <v>0</v>
      </c>
      <c r="G45" s="32">
        <v>0</v>
      </c>
      <c r="H45" s="32">
        <v>0</v>
      </c>
      <c r="I45" s="32">
        <v>250</v>
      </c>
      <c r="J45" s="32">
        <v>0</v>
      </c>
      <c r="K45" s="32">
        <v>0</v>
      </c>
      <c r="L45" s="32">
        <v>0</v>
      </c>
      <c r="N45" s="78">
        <f t="shared" si="1"/>
        <v>495</v>
      </c>
    </row>
    <row r="46" spans="1:14">
      <c r="A46" s="29"/>
      <c r="B46" s="30">
        <v>1229088</v>
      </c>
      <c r="C46" s="32">
        <v>0</v>
      </c>
      <c r="D46" s="32">
        <v>0</v>
      </c>
      <c r="E46" s="32">
        <v>0</v>
      </c>
      <c r="F46" s="32">
        <v>350</v>
      </c>
      <c r="G46" s="32">
        <v>300</v>
      </c>
      <c r="H46" s="32">
        <v>0</v>
      </c>
      <c r="I46" s="32">
        <v>0</v>
      </c>
      <c r="J46" s="32">
        <v>200</v>
      </c>
      <c r="K46" s="32">
        <v>50</v>
      </c>
      <c r="L46" s="32">
        <v>0</v>
      </c>
      <c r="N46" s="78">
        <f t="shared" si="1"/>
        <v>900</v>
      </c>
    </row>
    <row r="47" spans="1:14">
      <c r="A47" s="29"/>
      <c r="B47" s="30">
        <v>1229776</v>
      </c>
      <c r="C47" s="32">
        <v>90</v>
      </c>
      <c r="D47" s="32">
        <v>200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150</v>
      </c>
      <c r="L47" s="32">
        <v>0</v>
      </c>
      <c r="N47" s="78">
        <f t="shared" si="1"/>
        <v>440</v>
      </c>
    </row>
    <row r="48" spans="1:14">
      <c r="A48" s="29"/>
      <c r="B48" s="30">
        <v>1230685</v>
      </c>
      <c r="C48" s="32">
        <v>550</v>
      </c>
      <c r="D48" s="32">
        <v>0</v>
      </c>
      <c r="E48" s="32">
        <v>0</v>
      </c>
      <c r="F48" s="32">
        <v>200</v>
      </c>
      <c r="G48" s="32">
        <v>200</v>
      </c>
      <c r="H48" s="32">
        <v>100</v>
      </c>
      <c r="I48" s="32">
        <v>0</v>
      </c>
      <c r="J48" s="32">
        <v>0</v>
      </c>
      <c r="K48" s="32">
        <v>250</v>
      </c>
      <c r="L48" s="32">
        <v>150</v>
      </c>
      <c r="N48" s="78">
        <f t="shared" si="1"/>
        <v>1450</v>
      </c>
    </row>
    <row r="49" spans="1:14">
      <c r="A49" s="29"/>
      <c r="B49" s="30">
        <v>1230692</v>
      </c>
      <c r="C49" s="32">
        <v>150</v>
      </c>
      <c r="D49" s="32">
        <v>0</v>
      </c>
      <c r="E49" s="32">
        <v>0</v>
      </c>
      <c r="F49" s="32">
        <v>100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100</v>
      </c>
      <c r="N49" s="78">
        <f t="shared" si="1"/>
        <v>350</v>
      </c>
    </row>
    <row r="50" spans="1:14">
      <c r="A50" s="29"/>
      <c r="B50" s="30">
        <v>1230791</v>
      </c>
      <c r="C50" s="32">
        <v>26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421</v>
      </c>
      <c r="L50" s="32">
        <v>0</v>
      </c>
      <c r="N50" s="78">
        <f t="shared" si="1"/>
        <v>447</v>
      </c>
    </row>
    <row r="51" spans="1:14">
      <c r="A51" s="29"/>
      <c r="B51" s="30">
        <v>1231011</v>
      </c>
      <c r="C51" s="32">
        <v>0</v>
      </c>
      <c r="D51" s="32">
        <v>0</v>
      </c>
      <c r="E51" s="32">
        <v>0</v>
      </c>
      <c r="F51" s="32">
        <v>90</v>
      </c>
      <c r="G51" s="32">
        <v>210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N51" s="78">
        <f t="shared" si="1"/>
        <v>300</v>
      </c>
    </row>
    <row r="52" spans="1:14">
      <c r="A52" s="29"/>
      <c r="B52" s="30">
        <v>1231090</v>
      </c>
      <c r="C52" s="32">
        <v>795</v>
      </c>
      <c r="D52" s="32">
        <v>470</v>
      </c>
      <c r="E52" s="32">
        <v>1180</v>
      </c>
      <c r="F52" s="32">
        <v>540</v>
      </c>
      <c r="G52" s="32">
        <v>0</v>
      </c>
      <c r="H52" s="32">
        <v>0</v>
      </c>
      <c r="I52" s="32">
        <v>980</v>
      </c>
      <c r="J52" s="32">
        <v>0</v>
      </c>
      <c r="K52" s="32">
        <v>420</v>
      </c>
      <c r="L52" s="32">
        <v>0</v>
      </c>
      <c r="N52" s="78">
        <f t="shared" si="1"/>
        <v>4385</v>
      </c>
    </row>
    <row r="53" spans="1:14">
      <c r="A53" s="29"/>
      <c r="B53" s="30">
        <v>1231578</v>
      </c>
      <c r="C53" s="32">
        <v>432</v>
      </c>
      <c r="D53" s="32">
        <v>168</v>
      </c>
      <c r="E53" s="32">
        <v>0</v>
      </c>
      <c r="F53" s="32">
        <v>200</v>
      </c>
      <c r="G53" s="32">
        <v>300</v>
      </c>
      <c r="H53" s="32">
        <v>200</v>
      </c>
      <c r="I53" s="32">
        <v>0</v>
      </c>
      <c r="J53" s="32">
        <v>0</v>
      </c>
      <c r="K53" s="32">
        <v>500</v>
      </c>
      <c r="L53" s="32">
        <v>200</v>
      </c>
      <c r="N53" s="78">
        <f t="shared" si="1"/>
        <v>2000</v>
      </c>
    </row>
    <row r="54" spans="1:14">
      <c r="A54" s="29"/>
      <c r="B54" s="30">
        <v>1231797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154</v>
      </c>
      <c r="I54" s="32">
        <v>0</v>
      </c>
      <c r="J54" s="32">
        <v>0</v>
      </c>
      <c r="K54" s="32">
        <v>0</v>
      </c>
      <c r="L54" s="32">
        <v>154</v>
      </c>
      <c r="N54" s="78">
        <f t="shared" si="1"/>
        <v>308</v>
      </c>
    </row>
    <row r="55" spans="1:14">
      <c r="A55" s="29"/>
      <c r="B55" s="30">
        <v>1231860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100</v>
      </c>
      <c r="J55" s="32">
        <v>0</v>
      </c>
      <c r="K55" s="32">
        <v>0</v>
      </c>
      <c r="L55" s="32">
        <v>0</v>
      </c>
      <c r="N55" s="78">
        <f t="shared" si="1"/>
        <v>100</v>
      </c>
    </row>
    <row r="56" spans="1:14">
      <c r="A56" s="29"/>
      <c r="B56" s="30">
        <v>1232066</v>
      </c>
      <c r="C56" s="32">
        <v>0</v>
      </c>
      <c r="D56" s="32">
        <v>234</v>
      </c>
      <c r="E56" s="32">
        <v>0</v>
      </c>
      <c r="F56" s="32">
        <v>0</v>
      </c>
      <c r="G56" s="32">
        <v>0</v>
      </c>
      <c r="H56" s="32">
        <v>0</v>
      </c>
      <c r="I56" s="32">
        <v>252</v>
      </c>
      <c r="J56" s="32">
        <v>0</v>
      </c>
      <c r="K56" s="32">
        <v>0</v>
      </c>
      <c r="L56" s="32">
        <v>0</v>
      </c>
      <c r="N56" s="78">
        <f t="shared" si="1"/>
        <v>486</v>
      </c>
    </row>
    <row r="57" spans="1:14">
      <c r="A57" s="29"/>
      <c r="B57" s="30">
        <v>1232528</v>
      </c>
      <c r="C57" s="32">
        <v>4152</v>
      </c>
      <c r="D57" s="32">
        <v>5052</v>
      </c>
      <c r="E57" s="32">
        <v>42</v>
      </c>
      <c r="F57" s="32">
        <v>5080</v>
      </c>
      <c r="G57" s="32">
        <v>4500</v>
      </c>
      <c r="H57" s="32">
        <v>0</v>
      </c>
      <c r="I57" s="32">
        <v>1458</v>
      </c>
      <c r="J57" s="32">
        <v>0</v>
      </c>
      <c r="K57" s="32">
        <v>6404</v>
      </c>
      <c r="L57" s="32">
        <v>0</v>
      </c>
      <c r="N57" s="78">
        <f t="shared" si="1"/>
        <v>26688</v>
      </c>
    </row>
    <row r="58" spans="1:14">
      <c r="A58" s="29"/>
      <c r="B58" s="30">
        <v>1232693</v>
      </c>
      <c r="C58" s="32">
        <v>0</v>
      </c>
      <c r="D58" s="32">
        <v>1260</v>
      </c>
      <c r="E58" s="32">
        <v>0</v>
      </c>
      <c r="F58" s="32">
        <v>0</v>
      </c>
      <c r="G58" s="32">
        <v>0</v>
      </c>
      <c r="H58" s="32">
        <v>0</v>
      </c>
      <c r="I58" s="32">
        <v>1491</v>
      </c>
      <c r="J58" s="32">
        <v>0</v>
      </c>
      <c r="K58" s="32">
        <v>77</v>
      </c>
      <c r="L58" s="32">
        <v>0</v>
      </c>
      <c r="N58" s="78">
        <f t="shared" si="1"/>
        <v>2828</v>
      </c>
    </row>
    <row r="59" spans="1:14">
      <c r="A59" s="29"/>
      <c r="B59" s="30">
        <v>1232775</v>
      </c>
      <c r="C59" s="32">
        <v>457</v>
      </c>
      <c r="D59" s="32">
        <v>476</v>
      </c>
      <c r="E59" s="32">
        <v>250</v>
      </c>
      <c r="F59" s="32">
        <v>1892</v>
      </c>
      <c r="G59" s="32">
        <v>950</v>
      </c>
      <c r="H59" s="32">
        <v>970</v>
      </c>
      <c r="I59" s="32">
        <v>445</v>
      </c>
      <c r="J59" s="32">
        <v>374</v>
      </c>
      <c r="K59" s="32">
        <v>1212</v>
      </c>
      <c r="L59" s="32">
        <v>110</v>
      </c>
      <c r="N59" s="78">
        <f t="shared" si="1"/>
        <v>7136</v>
      </c>
    </row>
    <row r="60" spans="1:14">
      <c r="A60" s="29"/>
      <c r="B60" s="30">
        <v>1232846</v>
      </c>
      <c r="C60" s="32">
        <v>276</v>
      </c>
      <c r="D60" s="32">
        <v>312</v>
      </c>
      <c r="E60" s="32">
        <v>97</v>
      </c>
      <c r="F60" s="32">
        <v>650</v>
      </c>
      <c r="G60" s="32">
        <v>300</v>
      </c>
      <c r="H60" s="32">
        <v>763</v>
      </c>
      <c r="I60" s="32">
        <v>440</v>
      </c>
      <c r="J60" s="32">
        <v>500</v>
      </c>
      <c r="K60" s="32">
        <v>1199</v>
      </c>
      <c r="L60" s="32">
        <v>472</v>
      </c>
      <c r="N60" s="78">
        <f t="shared" si="1"/>
        <v>5009</v>
      </c>
    </row>
    <row r="61" spans="1:14">
      <c r="A61" s="29"/>
      <c r="B61" s="30">
        <v>1232894</v>
      </c>
      <c r="C61" s="32">
        <v>0</v>
      </c>
      <c r="D61" s="32">
        <v>312</v>
      </c>
      <c r="E61" s="32">
        <v>0</v>
      </c>
      <c r="F61" s="32">
        <v>350</v>
      </c>
      <c r="G61" s="32">
        <v>0</v>
      </c>
      <c r="H61" s="32">
        <v>0</v>
      </c>
      <c r="I61" s="32">
        <v>240</v>
      </c>
      <c r="J61" s="32">
        <v>0</v>
      </c>
      <c r="K61" s="32">
        <v>699</v>
      </c>
      <c r="L61" s="32">
        <v>0</v>
      </c>
      <c r="N61" s="78">
        <f t="shared" si="1"/>
        <v>1601</v>
      </c>
    </row>
    <row r="62" spans="1:14">
      <c r="A62" s="29"/>
      <c r="B62" s="30">
        <v>1232895</v>
      </c>
      <c r="C62" s="32">
        <v>276</v>
      </c>
      <c r="D62" s="32">
        <v>0</v>
      </c>
      <c r="E62" s="32">
        <v>97</v>
      </c>
      <c r="F62" s="32">
        <v>300</v>
      </c>
      <c r="G62" s="32">
        <v>300</v>
      </c>
      <c r="H62" s="32">
        <v>763</v>
      </c>
      <c r="I62" s="32">
        <v>200</v>
      </c>
      <c r="J62" s="32">
        <v>500</v>
      </c>
      <c r="K62" s="32">
        <v>500</v>
      </c>
      <c r="L62" s="32">
        <v>472</v>
      </c>
      <c r="N62" s="78">
        <f t="shared" si="1"/>
        <v>3408</v>
      </c>
    </row>
    <row r="63" spans="1:14">
      <c r="A63" s="29"/>
      <c r="B63" s="30">
        <v>1232922</v>
      </c>
      <c r="C63" s="32">
        <v>276</v>
      </c>
      <c r="D63" s="32">
        <v>0</v>
      </c>
      <c r="E63" s="32">
        <v>0</v>
      </c>
      <c r="F63" s="32">
        <v>0</v>
      </c>
      <c r="G63" s="32">
        <v>0</v>
      </c>
      <c r="H63" s="32">
        <v>276</v>
      </c>
      <c r="I63" s="32">
        <v>0</v>
      </c>
      <c r="J63" s="32">
        <v>0</v>
      </c>
      <c r="K63" s="32">
        <v>0</v>
      </c>
      <c r="L63" s="32">
        <v>272</v>
      </c>
      <c r="N63" s="78">
        <f t="shared" si="1"/>
        <v>824</v>
      </c>
    </row>
    <row r="64" spans="1:14">
      <c r="A64" s="29"/>
      <c r="B64" s="30">
        <v>1232982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50</v>
      </c>
      <c r="I64" s="32">
        <v>0</v>
      </c>
      <c r="J64" s="32">
        <v>0</v>
      </c>
      <c r="K64" s="32">
        <v>0</v>
      </c>
      <c r="L64" s="32">
        <v>0</v>
      </c>
      <c r="N64" s="78">
        <f t="shared" si="1"/>
        <v>50</v>
      </c>
    </row>
    <row r="65" spans="1:28">
      <c r="A65" s="29"/>
      <c r="B65" s="30">
        <v>1233025</v>
      </c>
      <c r="C65" s="32">
        <v>0</v>
      </c>
      <c r="D65" s="32">
        <v>1260</v>
      </c>
      <c r="E65" s="32">
        <v>0</v>
      </c>
      <c r="F65" s="32">
        <v>0</v>
      </c>
      <c r="G65" s="32">
        <v>0</v>
      </c>
      <c r="H65" s="32">
        <v>0</v>
      </c>
      <c r="I65" s="32">
        <v>1491</v>
      </c>
      <c r="J65" s="32">
        <v>0</v>
      </c>
      <c r="K65" s="32">
        <v>77</v>
      </c>
      <c r="L65" s="32">
        <v>0</v>
      </c>
      <c r="N65" s="78">
        <f t="shared" si="1"/>
        <v>2828</v>
      </c>
    </row>
    <row r="66" spans="1:28">
      <c r="A66" s="29"/>
      <c r="B66" s="30">
        <v>1233165</v>
      </c>
      <c r="C66" s="32">
        <v>400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400</v>
      </c>
      <c r="L66" s="32">
        <v>0</v>
      </c>
      <c r="N66" s="78">
        <f t="shared" si="1"/>
        <v>800</v>
      </c>
    </row>
    <row r="67" spans="1:28">
      <c r="A67" s="29"/>
      <c r="B67" s="30">
        <v>1233383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159</v>
      </c>
      <c r="I67" s="32">
        <v>0</v>
      </c>
      <c r="J67" s="32">
        <v>0</v>
      </c>
      <c r="K67" s="32">
        <v>0</v>
      </c>
      <c r="L67" s="32">
        <v>151</v>
      </c>
      <c r="N67" s="78">
        <f t="shared" si="1"/>
        <v>310</v>
      </c>
    </row>
    <row r="68" spans="1:28">
      <c r="A68" s="29"/>
      <c r="B68" s="30">
        <v>1233384</v>
      </c>
      <c r="C68" s="32">
        <v>0</v>
      </c>
      <c r="D68" s="32">
        <v>0</v>
      </c>
      <c r="E68" s="32">
        <v>97</v>
      </c>
      <c r="F68" s="32">
        <v>300</v>
      </c>
      <c r="G68" s="32">
        <v>300</v>
      </c>
      <c r="H68" s="32">
        <v>300</v>
      </c>
      <c r="I68" s="32">
        <v>200</v>
      </c>
      <c r="J68" s="32">
        <v>500</v>
      </c>
      <c r="K68" s="32">
        <v>500</v>
      </c>
      <c r="L68" s="32">
        <v>200</v>
      </c>
      <c r="N68" s="78">
        <f t="shared" si="1"/>
        <v>2397</v>
      </c>
    </row>
    <row r="69" spans="1:28">
      <c r="A69" s="29"/>
      <c r="B69" s="30">
        <v>1233385</v>
      </c>
      <c r="C69" s="32">
        <v>0</v>
      </c>
      <c r="D69" s="32">
        <v>312</v>
      </c>
      <c r="E69" s="32">
        <v>0</v>
      </c>
      <c r="F69" s="32">
        <v>0</v>
      </c>
      <c r="G69" s="32">
        <v>0</v>
      </c>
      <c r="H69" s="32">
        <v>0</v>
      </c>
      <c r="I69" s="32">
        <v>240</v>
      </c>
      <c r="J69" s="32">
        <v>0</v>
      </c>
      <c r="K69" s="32">
        <v>0</v>
      </c>
      <c r="L69" s="32">
        <v>0</v>
      </c>
      <c r="N69" s="78">
        <f t="shared" si="1"/>
        <v>552</v>
      </c>
    </row>
    <row r="70" spans="1:28">
      <c r="A70" s="29"/>
      <c r="B70" s="30">
        <v>1233386</v>
      </c>
      <c r="C70" s="32">
        <v>0</v>
      </c>
      <c r="D70" s="32">
        <v>0</v>
      </c>
      <c r="E70" s="32">
        <v>0</v>
      </c>
      <c r="F70" s="32">
        <v>350</v>
      </c>
      <c r="G70" s="32">
        <v>0</v>
      </c>
      <c r="H70" s="32">
        <v>0</v>
      </c>
      <c r="I70" s="32">
        <v>0</v>
      </c>
      <c r="J70" s="32">
        <v>0</v>
      </c>
      <c r="K70" s="32">
        <v>353</v>
      </c>
      <c r="L70" s="32">
        <v>0</v>
      </c>
      <c r="N70" s="78">
        <f t="shared" si="1"/>
        <v>703</v>
      </c>
    </row>
    <row r="71" spans="1:28">
      <c r="A71" s="29"/>
      <c r="B71" s="30">
        <v>1233387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187</v>
      </c>
      <c r="I71" s="32">
        <v>0</v>
      </c>
      <c r="J71" s="32">
        <v>0</v>
      </c>
      <c r="K71" s="32">
        <v>346</v>
      </c>
      <c r="L71" s="32">
        <v>0</v>
      </c>
      <c r="N71" s="78">
        <f t="shared" si="1"/>
        <v>533</v>
      </c>
    </row>
    <row r="72" spans="1:28">
      <c r="A72" s="29"/>
      <c r="B72" s="30">
        <v>1233580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50</v>
      </c>
      <c r="I72" s="32">
        <v>0</v>
      </c>
      <c r="J72" s="32">
        <v>0</v>
      </c>
      <c r="K72" s="32">
        <v>0</v>
      </c>
      <c r="L72" s="32">
        <v>0</v>
      </c>
      <c r="N72" s="78">
        <f t="shared" si="1"/>
        <v>50</v>
      </c>
    </row>
    <row r="73" spans="1:28">
      <c r="A73" s="29"/>
      <c r="B73" s="30">
        <v>1233587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10</v>
      </c>
      <c r="I73" s="32">
        <v>0</v>
      </c>
      <c r="J73" s="32">
        <v>0</v>
      </c>
      <c r="K73" s="32">
        <v>0</v>
      </c>
      <c r="L73" s="32">
        <v>0</v>
      </c>
      <c r="N73" s="78">
        <f t="shared" si="1"/>
        <v>10</v>
      </c>
    </row>
    <row r="74" spans="1:28">
      <c r="A74" s="29"/>
      <c r="B74" s="30">
        <v>1234110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50</v>
      </c>
      <c r="L74" s="32">
        <v>0</v>
      </c>
      <c r="N74" s="78">
        <f t="shared" si="1"/>
        <v>50</v>
      </c>
      <c r="P74" s="5">
        <v>1232528</v>
      </c>
      <c r="Q74" s="9">
        <v>2106</v>
      </c>
      <c r="R74" s="9">
        <v>2042</v>
      </c>
      <c r="S74" s="9">
        <v>3080</v>
      </c>
      <c r="T74" s="9">
        <v>5000</v>
      </c>
      <c r="U74" s="9">
        <v>0</v>
      </c>
      <c r="V74" s="9">
        <v>1458</v>
      </c>
      <c r="W74" s="9">
        <v>5063</v>
      </c>
      <c r="X74" s="9">
        <v>540</v>
      </c>
      <c r="Y74" s="9">
        <v>0</v>
      </c>
      <c r="Z74" s="9">
        <v>1422</v>
      </c>
      <c r="AA74" s="9"/>
      <c r="AB74" s="9"/>
    </row>
    <row r="75" spans="1:28">
      <c r="A75" s="29"/>
      <c r="B75" s="30">
        <v>1234111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50</v>
      </c>
      <c r="L75" s="32">
        <v>0</v>
      </c>
      <c r="N75" s="78">
        <f t="shared" si="1"/>
        <v>50</v>
      </c>
    </row>
    <row r="76" spans="1:28">
      <c r="A76" s="29"/>
      <c r="B76" s="30">
        <v>1234217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50</v>
      </c>
      <c r="L76" s="32">
        <v>0</v>
      </c>
      <c r="N76" s="78">
        <f t="shared" si="1"/>
        <v>50</v>
      </c>
    </row>
    <row r="77" spans="1:28">
      <c r="A77" s="29"/>
      <c r="B77" s="30">
        <v>1234222</v>
      </c>
      <c r="C77" s="32">
        <v>0</v>
      </c>
      <c r="D77" s="32">
        <v>777</v>
      </c>
      <c r="E77" s="32">
        <v>0</v>
      </c>
      <c r="F77" s="32">
        <v>0</v>
      </c>
      <c r="G77" s="32">
        <v>0</v>
      </c>
      <c r="H77" s="32">
        <v>868</v>
      </c>
      <c r="I77" s="32">
        <v>0</v>
      </c>
      <c r="J77" s="32">
        <v>0</v>
      </c>
      <c r="K77" s="32">
        <v>0</v>
      </c>
      <c r="L77" s="32">
        <v>0</v>
      </c>
      <c r="N77" s="78">
        <f t="shared" si="1"/>
        <v>1645</v>
      </c>
    </row>
    <row r="78" spans="1:28">
      <c r="A78" s="29"/>
      <c r="B78" s="30">
        <v>1234905</v>
      </c>
      <c r="C78" s="32">
        <v>484</v>
      </c>
      <c r="D78" s="32">
        <v>197</v>
      </c>
      <c r="E78" s="32">
        <v>500</v>
      </c>
      <c r="F78" s="32">
        <v>900</v>
      </c>
      <c r="G78" s="32">
        <v>1000</v>
      </c>
      <c r="H78" s="32">
        <v>1052</v>
      </c>
      <c r="I78" s="32">
        <v>100</v>
      </c>
      <c r="J78" s="32">
        <v>1300</v>
      </c>
      <c r="K78" s="32">
        <v>234</v>
      </c>
      <c r="L78" s="32">
        <v>550</v>
      </c>
      <c r="N78" s="78">
        <f t="shared" si="1"/>
        <v>6317</v>
      </c>
    </row>
    <row r="79" spans="1:28">
      <c r="A79" s="29"/>
      <c r="B79" s="30">
        <v>1235097</v>
      </c>
      <c r="C79" s="32">
        <v>0</v>
      </c>
      <c r="D79" s="32">
        <v>0</v>
      </c>
      <c r="E79" s="32">
        <v>0</v>
      </c>
      <c r="F79" s="32">
        <v>200</v>
      </c>
      <c r="G79" s="32">
        <v>190</v>
      </c>
      <c r="H79" s="32">
        <v>231</v>
      </c>
      <c r="I79" s="32">
        <v>200</v>
      </c>
      <c r="J79" s="32">
        <v>300</v>
      </c>
      <c r="K79" s="32">
        <v>400</v>
      </c>
      <c r="L79" s="32">
        <v>400</v>
      </c>
      <c r="N79" s="78">
        <f t="shared" si="1"/>
        <v>1921</v>
      </c>
    </row>
    <row r="80" spans="1:28">
      <c r="A80" s="29"/>
      <c r="B80" s="30">
        <v>1235845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514</v>
      </c>
      <c r="I80" s="32">
        <v>0</v>
      </c>
      <c r="J80" s="32">
        <v>0</v>
      </c>
      <c r="K80" s="32">
        <v>0</v>
      </c>
      <c r="L80" s="32">
        <v>0</v>
      </c>
      <c r="N80" s="78">
        <f t="shared" si="1"/>
        <v>514</v>
      </c>
    </row>
    <row r="81" spans="1:14">
      <c r="A81" s="29"/>
      <c r="B81" s="30">
        <v>1236387</v>
      </c>
      <c r="C81" s="32">
        <v>750</v>
      </c>
      <c r="D81" s="32">
        <v>0</v>
      </c>
      <c r="E81" s="32">
        <v>369</v>
      </c>
      <c r="F81" s="32">
        <v>498</v>
      </c>
      <c r="G81" s="32">
        <v>0</v>
      </c>
      <c r="H81" s="32">
        <v>700</v>
      </c>
      <c r="I81" s="32">
        <v>0</v>
      </c>
      <c r="J81" s="32">
        <v>700</v>
      </c>
      <c r="K81" s="32">
        <v>600</v>
      </c>
      <c r="L81" s="32">
        <v>0</v>
      </c>
      <c r="N81" s="78">
        <f t="shared" si="1"/>
        <v>3617</v>
      </c>
    </row>
    <row r="82" spans="1:14">
      <c r="A82" s="29"/>
      <c r="B82" s="30">
        <v>1236600</v>
      </c>
      <c r="C82" s="32">
        <v>0</v>
      </c>
      <c r="D82" s="32">
        <v>0</v>
      </c>
      <c r="E82" s="32">
        <v>0</v>
      </c>
      <c r="F82" s="32">
        <v>0</v>
      </c>
      <c r="G82" s="32">
        <v>0</v>
      </c>
      <c r="H82" s="32">
        <v>935</v>
      </c>
      <c r="I82" s="32">
        <v>0</v>
      </c>
      <c r="J82" s="32">
        <v>0</v>
      </c>
      <c r="K82" s="32">
        <v>0</v>
      </c>
      <c r="L82" s="32">
        <v>913</v>
      </c>
      <c r="N82" s="78">
        <f t="shared" si="1"/>
        <v>1848</v>
      </c>
    </row>
    <row r="83" spans="1:14">
      <c r="A83" s="29"/>
      <c r="B83" s="30">
        <v>1236601</v>
      </c>
      <c r="C83" s="32">
        <v>112</v>
      </c>
      <c r="D83" s="32">
        <v>0</v>
      </c>
      <c r="E83" s="32">
        <v>0</v>
      </c>
      <c r="F83" s="32">
        <v>0</v>
      </c>
      <c r="G83" s="32">
        <v>0</v>
      </c>
      <c r="H83" s="32">
        <v>107</v>
      </c>
      <c r="I83" s="32">
        <v>0</v>
      </c>
      <c r="J83" s="32">
        <v>0</v>
      </c>
      <c r="K83" s="32">
        <v>0</v>
      </c>
      <c r="L83" s="32">
        <v>105</v>
      </c>
      <c r="N83" s="78">
        <f t="shared" si="1"/>
        <v>324</v>
      </c>
    </row>
    <row r="84" spans="1:14">
      <c r="A84" s="29"/>
      <c r="B84" s="30">
        <v>1236930</v>
      </c>
      <c r="C84" s="32">
        <v>683</v>
      </c>
      <c r="D84" s="32">
        <v>882</v>
      </c>
      <c r="E84" s="32">
        <v>804</v>
      </c>
      <c r="F84" s="32">
        <v>2099</v>
      </c>
      <c r="G84" s="32">
        <v>1000</v>
      </c>
      <c r="H84" s="32">
        <v>879</v>
      </c>
      <c r="I84" s="32">
        <v>1494</v>
      </c>
      <c r="J84" s="32">
        <v>600</v>
      </c>
      <c r="K84" s="32">
        <v>2546</v>
      </c>
      <c r="L84" s="32">
        <v>950</v>
      </c>
      <c r="N84" s="78">
        <f t="shared" si="1"/>
        <v>11937</v>
      </c>
    </row>
    <row r="85" spans="1:14">
      <c r="A85" s="29"/>
      <c r="B85" s="30">
        <v>1237210</v>
      </c>
      <c r="C85" s="32">
        <v>0</v>
      </c>
      <c r="D85" s="32">
        <v>0</v>
      </c>
      <c r="E85" s="32">
        <v>140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N85" s="78">
        <f t="shared" si="1"/>
        <v>140</v>
      </c>
    </row>
    <row r="86" spans="1:14">
      <c r="A86" s="29"/>
      <c r="B86" s="30">
        <v>1237468</v>
      </c>
      <c r="C86" s="32">
        <v>0</v>
      </c>
      <c r="D86" s="32">
        <v>96</v>
      </c>
      <c r="E86" s="32">
        <v>0</v>
      </c>
      <c r="F86" s="32">
        <v>0</v>
      </c>
      <c r="G86" s="32">
        <v>0</v>
      </c>
      <c r="H86" s="32">
        <v>87</v>
      </c>
      <c r="I86" s="32">
        <v>0</v>
      </c>
      <c r="J86" s="32">
        <v>0</v>
      </c>
      <c r="K86" s="32">
        <v>0</v>
      </c>
      <c r="L86" s="32">
        <v>82</v>
      </c>
      <c r="N86" s="78">
        <f t="shared" si="1"/>
        <v>265</v>
      </c>
    </row>
    <row r="87" spans="1:14">
      <c r="A87" s="29"/>
      <c r="B87" s="30">
        <v>1238453</v>
      </c>
      <c r="C87" s="32">
        <v>0</v>
      </c>
      <c r="D87" s="32">
        <v>0</v>
      </c>
      <c r="E87" s="32">
        <v>426</v>
      </c>
      <c r="F87" s="32">
        <v>0</v>
      </c>
      <c r="G87" s="32">
        <v>0</v>
      </c>
      <c r="H87" s="32">
        <v>191</v>
      </c>
      <c r="I87" s="32">
        <v>0</v>
      </c>
      <c r="J87" s="32">
        <v>0</v>
      </c>
      <c r="K87" s="32">
        <v>0</v>
      </c>
      <c r="L87" s="32">
        <v>190</v>
      </c>
      <c r="N87" s="78">
        <f t="shared" si="1"/>
        <v>807</v>
      </c>
    </row>
    <row r="88" spans="1:14">
      <c r="A88" s="29"/>
      <c r="B88" s="30">
        <v>1238480</v>
      </c>
      <c r="C88" s="32">
        <v>5792</v>
      </c>
      <c r="D88" s="32">
        <v>5739</v>
      </c>
      <c r="E88" s="32">
        <v>5700</v>
      </c>
      <c r="F88" s="32">
        <v>4630</v>
      </c>
      <c r="G88" s="32">
        <v>700</v>
      </c>
      <c r="H88" s="32">
        <v>930</v>
      </c>
      <c r="I88" s="32">
        <v>16386</v>
      </c>
      <c r="J88" s="32">
        <v>600</v>
      </c>
      <c r="K88" s="32">
        <v>2624</v>
      </c>
      <c r="L88" s="32">
        <v>700</v>
      </c>
      <c r="N88" s="78">
        <f t="shared" si="1"/>
        <v>43801</v>
      </c>
    </row>
    <row r="89" spans="1:14">
      <c r="A89" s="29"/>
      <c r="B89" s="30">
        <v>1238605</v>
      </c>
      <c r="C89" s="32">
        <v>350</v>
      </c>
      <c r="D89" s="32">
        <v>1000</v>
      </c>
      <c r="E89" s="32">
        <v>0</v>
      </c>
      <c r="F89" s="32">
        <v>0</v>
      </c>
      <c r="G89" s="32">
        <v>750</v>
      </c>
      <c r="H89" s="32">
        <v>150</v>
      </c>
      <c r="I89" s="32">
        <v>0</v>
      </c>
      <c r="J89" s="32">
        <v>0</v>
      </c>
      <c r="K89" s="32">
        <v>0</v>
      </c>
      <c r="L89" s="32">
        <v>0</v>
      </c>
      <c r="N89" s="78">
        <f t="shared" si="1"/>
        <v>2250</v>
      </c>
    </row>
    <row r="90" spans="1:14">
      <c r="A90" s="29"/>
      <c r="B90" s="30">
        <v>1240029</v>
      </c>
      <c r="C90" s="32">
        <v>0</v>
      </c>
      <c r="D90" s="32">
        <v>0</v>
      </c>
      <c r="E90" s="32">
        <v>200</v>
      </c>
      <c r="F90" s="32">
        <v>200</v>
      </c>
      <c r="G90" s="32">
        <v>400</v>
      </c>
      <c r="H90" s="32">
        <v>0</v>
      </c>
      <c r="I90" s="32">
        <v>0</v>
      </c>
      <c r="J90" s="32">
        <v>0</v>
      </c>
      <c r="K90" s="32">
        <v>400</v>
      </c>
      <c r="L90" s="32">
        <v>0</v>
      </c>
      <c r="N90" s="78">
        <f t="shared" si="1"/>
        <v>1200</v>
      </c>
    </row>
    <row r="91" spans="1:14">
      <c r="A91" s="29"/>
      <c r="B91" s="30">
        <v>1240032</v>
      </c>
      <c r="C91" s="32">
        <v>0</v>
      </c>
      <c r="D91" s="32">
        <v>0</v>
      </c>
      <c r="E91" s="32">
        <v>200</v>
      </c>
      <c r="F91" s="32">
        <v>200</v>
      </c>
      <c r="G91" s="32">
        <v>400</v>
      </c>
      <c r="H91" s="32">
        <v>0</v>
      </c>
      <c r="I91" s="32">
        <v>0</v>
      </c>
      <c r="J91" s="32">
        <v>0</v>
      </c>
      <c r="K91" s="32">
        <v>400</v>
      </c>
      <c r="L91" s="32">
        <v>0</v>
      </c>
      <c r="N91" s="78">
        <f t="shared" si="1"/>
        <v>1200</v>
      </c>
    </row>
    <row r="92" spans="1:14">
      <c r="A92" s="29"/>
      <c r="B92" s="30">
        <v>1240180</v>
      </c>
      <c r="C92" s="32">
        <v>0</v>
      </c>
      <c r="D92" s="32">
        <v>0</v>
      </c>
      <c r="E92" s="32">
        <v>0</v>
      </c>
      <c r="F92" s="32">
        <v>0</v>
      </c>
      <c r="G92" s="32">
        <v>250</v>
      </c>
      <c r="H92" s="32">
        <v>0</v>
      </c>
      <c r="I92" s="32">
        <v>0</v>
      </c>
      <c r="J92" s="32">
        <v>300</v>
      </c>
      <c r="K92" s="32">
        <v>100</v>
      </c>
      <c r="L92" s="32">
        <v>202</v>
      </c>
      <c r="N92" s="78">
        <f t="shared" si="1"/>
        <v>852</v>
      </c>
    </row>
    <row r="93" spans="1:14">
      <c r="A93" s="29"/>
      <c r="B93" s="30">
        <v>1240184</v>
      </c>
      <c r="C93" s="32">
        <v>0</v>
      </c>
      <c r="D93" s="32">
        <v>0</v>
      </c>
      <c r="E93" s="32">
        <v>0</v>
      </c>
      <c r="F93" s="32">
        <v>0</v>
      </c>
      <c r="G93" s="32">
        <v>250</v>
      </c>
      <c r="H93" s="32">
        <v>0</v>
      </c>
      <c r="I93" s="32">
        <v>0</v>
      </c>
      <c r="J93" s="32">
        <v>300</v>
      </c>
      <c r="K93" s="32">
        <v>100</v>
      </c>
      <c r="L93" s="32">
        <v>202</v>
      </c>
      <c r="N93" s="78">
        <f t="shared" si="1"/>
        <v>852</v>
      </c>
    </row>
    <row r="94" spans="1:14">
      <c r="A94" s="29"/>
      <c r="B94" s="30">
        <v>1241343</v>
      </c>
      <c r="C94" s="32">
        <v>0</v>
      </c>
      <c r="D94" s="32">
        <v>20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N94" s="78">
        <f t="shared" si="1"/>
        <v>20</v>
      </c>
    </row>
    <row r="95" spans="1:14">
      <c r="A95" s="29"/>
      <c r="B95" s="30">
        <v>1241347</v>
      </c>
      <c r="C95" s="32">
        <v>0</v>
      </c>
      <c r="D95" s="32">
        <v>20</v>
      </c>
      <c r="E95" s="32">
        <v>0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  <c r="N95" s="78">
        <f t="shared" si="1"/>
        <v>20</v>
      </c>
    </row>
    <row r="96" spans="1:14">
      <c r="A96" s="29"/>
      <c r="B96" s="30">
        <v>1241387</v>
      </c>
      <c r="C96" s="32">
        <v>0</v>
      </c>
      <c r="D96" s="32">
        <v>151</v>
      </c>
      <c r="E96" s="32">
        <v>0</v>
      </c>
      <c r="F96" s="32">
        <v>0</v>
      </c>
      <c r="G96" s="32">
        <v>0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N96" s="78">
        <f t="shared" si="1"/>
        <v>151</v>
      </c>
    </row>
    <row r="97" spans="1:14">
      <c r="A97" s="29"/>
      <c r="B97" s="30">
        <v>1241474</v>
      </c>
      <c r="C97" s="32">
        <v>0</v>
      </c>
      <c r="D97" s="32">
        <v>37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N97" s="78">
        <f t="shared" si="1"/>
        <v>37</v>
      </c>
    </row>
    <row r="98" spans="1:14">
      <c r="A98" s="29"/>
      <c r="B98" s="30">
        <v>1241480</v>
      </c>
      <c r="C98" s="32">
        <v>0</v>
      </c>
      <c r="D98" s="32">
        <v>26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0</v>
      </c>
      <c r="L98" s="32">
        <v>0</v>
      </c>
      <c r="N98" s="78">
        <f t="shared" si="1"/>
        <v>26</v>
      </c>
    </row>
  </sheetData>
  <mergeCells count="4">
    <mergeCell ref="A38:A39"/>
    <mergeCell ref="B38:B39"/>
    <mergeCell ref="A3:A4"/>
    <mergeCell ref="B3:B4"/>
  </mergeCells>
  <phoneticPr fontId="1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4274-007C-47F8-AD62-F268F5BFC4BF}">
  <dimension ref="A1:AC68"/>
  <sheetViews>
    <sheetView topLeftCell="A17" zoomScale="145" zoomScaleNormal="145" workbookViewId="0">
      <selection activeCell="A32" sqref="A32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29" width="9.33203125" style="9"/>
    <col min="30" max="16384" width="9.33203125" style="5"/>
  </cols>
  <sheetData>
    <row r="1" spans="1:19">
      <c r="A1" s="74" t="s">
        <v>0</v>
      </c>
      <c r="B1" s="69" t="s">
        <v>853</v>
      </c>
      <c r="C1" s="69" t="s">
        <v>854</v>
      </c>
      <c r="D1" s="69" t="s">
        <v>855</v>
      </c>
      <c r="E1" s="70" t="s">
        <v>856</v>
      </c>
      <c r="F1" s="69" t="s">
        <v>878</v>
      </c>
      <c r="G1" s="69" t="s">
        <v>879</v>
      </c>
      <c r="H1" s="190" t="s">
        <v>880</v>
      </c>
      <c r="I1" s="69" t="s">
        <v>884</v>
      </c>
      <c r="J1" s="69" t="s">
        <v>883</v>
      </c>
      <c r="K1" s="69" t="s">
        <v>882</v>
      </c>
      <c r="L1" s="70" t="s">
        <v>881</v>
      </c>
      <c r="M1" s="69" t="s">
        <v>920</v>
      </c>
      <c r="N1" s="69" t="s">
        <v>921</v>
      </c>
      <c r="O1" s="69" t="s">
        <v>922</v>
      </c>
      <c r="P1" s="69" t="s">
        <v>923</v>
      </c>
      <c r="Q1" s="69" t="s">
        <v>924</v>
      </c>
      <c r="R1" s="69" t="s">
        <v>925</v>
      </c>
      <c r="S1" s="70" t="s">
        <v>926</v>
      </c>
    </row>
    <row r="2" spans="1:19">
      <c r="A2" s="30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200</v>
      </c>
      <c r="H2" s="17">
        <v>200</v>
      </c>
      <c r="I2" s="32">
        <v>330</v>
      </c>
      <c r="J2" s="32">
        <v>330</v>
      </c>
      <c r="K2" s="32">
        <v>0</v>
      </c>
      <c r="L2" s="32">
        <v>0</v>
      </c>
      <c r="M2" s="32">
        <v>0</v>
      </c>
      <c r="N2" s="32">
        <v>0</v>
      </c>
      <c r="O2" s="32">
        <v>100</v>
      </c>
      <c r="P2" s="32">
        <v>500</v>
      </c>
      <c r="Q2" s="32">
        <v>0</v>
      </c>
      <c r="R2" s="32">
        <v>0</v>
      </c>
      <c r="S2" s="32">
        <v>0</v>
      </c>
    </row>
    <row r="3" spans="1:19">
      <c r="A3" s="30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200</v>
      </c>
      <c r="H3" s="17">
        <v>200</v>
      </c>
      <c r="I3" s="32">
        <v>330</v>
      </c>
      <c r="J3" s="32">
        <v>330</v>
      </c>
      <c r="K3" s="32">
        <v>0</v>
      </c>
      <c r="L3" s="32">
        <v>0</v>
      </c>
      <c r="M3" s="32">
        <v>0</v>
      </c>
      <c r="N3" s="32">
        <v>0</v>
      </c>
      <c r="O3" s="32">
        <v>100</v>
      </c>
      <c r="P3" s="32">
        <v>500</v>
      </c>
      <c r="Q3" s="32">
        <v>0</v>
      </c>
      <c r="R3" s="32">
        <v>0</v>
      </c>
      <c r="S3" s="32">
        <v>0</v>
      </c>
    </row>
    <row r="4" spans="1:19">
      <c r="A4" s="30">
        <v>1229673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300</v>
      </c>
      <c r="H4" s="17">
        <v>200</v>
      </c>
      <c r="I4" s="32">
        <v>200</v>
      </c>
      <c r="J4" s="32">
        <v>200</v>
      </c>
      <c r="K4" s="32">
        <v>0</v>
      </c>
      <c r="L4" s="32">
        <v>0</v>
      </c>
      <c r="M4" s="32">
        <v>200</v>
      </c>
      <c r="N4" s="32">
        <v>200</v>
      </c>
      <c r="O4" s="32">
        <v>0</v>
      </c>
      <c r="P4" s="32">
        <v>250</v>
      </c>
      <c r="Q4" s="32">
        <v>250</v>
      </c>
      <c r="R4" s="32">
        <v>0</v>
      </c>
      <c r="S4" s="32">
        <v>0</v>
      </c>
    </row>
    <row r="5" spans="1:19">
      <c r="A5" s="30">
        <v>1235623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416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</row>
    <row r="6" spans="1:19">
      <c r="A6" s="30">
        <v>1237088</v>
      </c>
      <c r="B6" s="32">
        <v>1556</v>
      </c>
      <c r="C6" s="32">
        <v>1356</v>
      </c>
      <c r="D6" s="32">
        <v>0</v>
      </c>
      <c r="E6" s="32">
        <v>0</v>
      </c>
      <c r="F6" s="32">
        <v>0</v>
      </c>
      <c r="G6" s="32">
        <v>860</v>
      </c>
      <c r="H6" s="17">
        <v>248</v>
      </c>
      <c r="I6" s="32">
        <v>1024</v>
      </c>
      <c r="J6" s="32">
        <v>666</v>
      </c>
      <c r="K6" s="32">
        <v>0</v>
      </c>
      <c r="L6" s="32">
        <v>0</v>
      </c>
      <c r="M6" s="32">
        <v>848</v>
      </c>
      <c r="N6" s="32">
        <v>610</v>
      </c>
      <c r="O6" s="32">
        <v>0</v>
      </c>
      <c r="P6" s="32">
        <v>258</v>
      </c>
      <c r="Q6" s="32">
        <v>744</v>
      </c>
      <c r="R6" s="32">
        <v>0</v>
      </c>
      <c r="S6" s="32">
        <v>0</v>
      </c>
    </row>
    <row r="7" spans="1:19">
      <c r="A7" s="30">
        <v>1237748</v>
      </c>
      <c r="B7" s="32">
        <v>558</v>
      </c>
      <c r="C7" s="32">
        <v>456</v>
      </c>
      <c r="D7" s="32">
        <v>0</v>
      </c>
      <c r="E7" s="32">
        <v>0</v>
      </c>
      <c r="F7" s="32">
        <v>0</v>
      </c>
      <c r="G7" s="32">
        <v>78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</row>
    <row r="8" spans="1:19">
      <c r="A8" s="30">
        <v>1236091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350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</row>
    <row r="9" spans="1:19">
      <c r="A9" s="30">
        <v>1238128</v>
      </c>
      <c r="B9" s="32">
        <v>529</v>
      </c>
      <c r="C9" s="32">
        <v>312</v>
      </c>
      <c r="D9" s="32">
        <v>0</v>
      </c>
      <c r="E9" s="32">
        <v>0</v>
      </c>
      <c r="F9" s="32">
        <v>0</v>
      </c>
      <c r="G9" s="32">
        <v>562</v>
      </c>
      <c r="H9" s="17">
        <v>692</v>
      </c>
      <c r="I9" s="32">
        <v>1180</v>
      </c>
      <c r="J9" s="32">
        <v>928</v>
      </c>
      <c r="K9" s="32">
        <v>0</v>
      </c>
      <c r="L9" s="32">
        <v>0</v>
      </c>
      <c r="M9" s="32">
        <v>112</v>
      </c>
      <c r="N9" s="32">
        <v>386</v>
      </c>
      <c r="O9" s="32">
        <v>464</v>
      </c>
      <c r="P9" s="32">
        <v>590</v>
      </c>
      <c r="Q9" s="32">
        <v>464</v>
      </c>
      <c r="R9" s="32">
        <v>0</v>
      </c>
      <c r="S9" s="32">
        <v>0</v>
      </c>
    </row>
    <row r="10" spans="1:19">
      <c r="A10" s="30">
        <v>1236962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17">
        <v>300</v>
      </c>
      <c r="I10" s="32">
        <v>200</v>
      </c>
      <c r="J10" s="32">
        <v>200</v>
      </c>
      <c r="K10" s="32">
        <v>0</v>
      </c>
      <c r="L10" s="32">
        <v>0</v>
      </c>
      <c r="M10" s="32">
        <v>186</v>
      </c>
      <c r="N10" s="32">
        <v>200</v>
      </c>
      <c r="O10" s="32">
        <v>214</v>
      </c>
      <c r="P10" s="32">
        <v>200</v>
      </c>
      <c r="Q10" s="32">
        <v>0</v>
      </c>
      <c r="R10" s="32">
        <v>0</v>
      </c>
      <c r="S10" s="32">
        <v>0</v>
      </c>
    </row>
    <row r="11" spans="1:19">
      <c r="A11" s="30">
        <v>1233761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300</v>
      </c>
      <c r="R11" s="32">
        <v>0</v>
      </c>
      <c r="S11" s="32">
        <v>0</v>
      </c>
    </row>
    <row r="12" spans="1:19">
      <c r="A12" s="30">
        <v>1239651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200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400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</row>
    <row r="13" spans="1:19">
      <c r="A13" s="30">
        <v>1239988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442</v>
      </c>
      <c r="H13" s="17">
        <v>44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150</v>
      </c>
      <c r="R13" s="32">
        <v>0</v>
      </c>
      <c r="S13" s="32">
        <v>0</v>
      </c>
    </row>
    <row r="14" spans="1:19">
      <c r="A14" s="30">
        <v>1240180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17">
        <v>270</v>
      </c>
      <c r="I14" s="32">
        <v>410</v>
      </c>
      <c r="J14" s="32">
        <v>322</v>
      </c>
      <c r="K14" s="32">
        <v>0</v>
      </c>
      <c r="L14" s="32">
        <v>0</v>
      </c>
      <c r="M14" s="32">
        <v>420</v>
      </c>
      <c r="N14" s="32">
        <v>420</v>
      </c>
      <c r="O14" s="32">
        <v>436</v>
      </c>
      <c r="P14" s="32">
        <v>778</v>
      </c>
      <c r="Q14" s="32">
        <v>476</v>
      </c>
      <c r="R14" s="32">
        <v>0</v>
      </c>
      <c r="S14" s="32">
        <v>0</v>
      </c>
    </row>
    <row r="15" spans="1:19">
      <c r="A15" s="30">
        <v>1240184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17">
        <v>270</v>
      </c>
      <c r="I15" s="32">
        <v>410</v>
      </c>
      <c r="J15" s="32">
        <v>322</v>
      </c>
      <c r="K15" s="32">
        <v>0</v>
      </c>
      <c r="L15" s="32">
        <v>0</v>
      </c>
      <c r="M15" s="32">
        <v>420</v>
      </c>
      <c r="N15" s="32">
        <v>420</v>
      </c>
      <c r="O15" s="32">
        <v>436</v>
      </c>
      <c r="P15" s="32">
        <v>524</v>
      </c>
      <c r="Q15" s="32">
        <v>280</v>
      </c>
      <c r="R15" s="32">
        <v>0</v>
      </c>
      <c r="S15" s="32">
        <v>0</v>
      </c>
    </row>
    <row r="16" spans="1:19">
      <c r="A16" s="30">
        <v>1240308</v>
      </c>
      <c r="B16" s="32">
        <v>300</v>
      </c>
      <c r="C16" s="32">
        <v>0</v>
      </c>
      <c r="D16" s="32">
        <v>0</v>
      </c>
      <c r="E16" s="32">
        <v>0</v>
      </c>
      <c r="F16" s="32">
        <v>0</v>
      </c>
      <c r="G16" s="32">
        <v>150</v>
      </c>
      <c r="H16" s="17">
        <v>300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450</v>
      </c>
      <c r="P16" s="32">
        <v>420</v>
      </c>
      <c r="Q16" s="32">
        <v>0</v>
      </c>
      <c r="R16" s="32">
        <v>0</v>
      </c>
      <c r="S16" s="32">
        <v>0</v>
      </c>
    </row>
    <row r="17" spans="1:19">
      <c r="A17" s="30">
        <v>1241601</v>
      </c>
      <c r="B17" s="32">
        <v>838</v>
      </c>
      <c r="C17" s="32">
        <v>982</v>
      </c>
      <c r="D17" s="32">
        <v>0</v>
      </c>
      <c r="E17" s="32">
        <v>0</v>
      </c>
      <c r="F17" s="32">
        <v>0</v>
      </c>
      <c r="G17" s="32">
        <v>1494</v>
      </c>
      <c r="H17" s="17">
        <v>870</v>
      </c>
      <c r="I17" s="32">
        <v>764</v>
      </c>
      <c r="J17" s="32">
        <v>600</v>
      </c>
      <c r="K17" s="32">
        <v>0</v>
      </c>
      <c r="L17" s="32">
        <v>0</v>
      </c>
      <c r="M17" s="32">
        <v>930</v>
      </c>
      <c r="N17" s="32">
        <v>1528</v>
      </c>
      <c r="O17" s="32">
        <v>866</v>
      </c>
      <c r="P17" s="32">
        <v>222</v>
      </c>
      <c r="Q17" s="32">
        <v>354</v>
      </c>
      <c r="R17" s="32">
        <v>0</v>
      </c>
      <c r="S17" s="32">
        <v>0</v>
      </c>
    </row>
    <row r="22" spans="1:19">
      <c r="A22" s="5" t="s">
        <v>0</v>
      </c>
      <c r="B22" s="9" t="s">
        <v>853</v>
      </c>
      <c r="C22" s="9" t="s">
        <v>854</v>
      </c>
      <c r="D22" s="9" t="s">
        <v>855</v>
      </c>
      <c r="E22" s="9" t="s">
        <v>856</v>
      </c>
      <c r="F22" s="9" t="s">
        <v>878</v>
      </c>
      <c r="G22" s="9" t="s">
        <v>879</v>
      </c>
      <c r="H22" s="9" t="s">
        <v>880</v>
      </c>
      <c r="I22" s="9" t="s">
        <v>884</v>
      </c>
      <c r="J22" s="9" t="s">
        <v>883</v>
      </c>
      <c r="K22" s="9" t="s">
        <v>882</v>
      </c>
      <c r="L22" s="9" t="s">
        <v>881</v>
      </c>
      <c r="M22" s="9" t="s">
        <v>920</v>
      </c>
      <c r="N22" s="9" t="s">
        <v>921</v>
      </c>
      <c r="O22" s="9" t="s">
        <v>922</v>
      </c>
      <c r="P22" s="9" t="s">
        <v>923</v>
      </c>
      <c r="Q22" s="9" t="s">
        <v>924</v>
      </c>
      <c r="R22" s="9" t="s">
        <v>925</v>
      </c>
      <c r="S22" s="9" t="s">
        <v>926</v>
      </c>
    </row>
    <row r="23" spans="1:19">
      <c r="A23" s="5">
        <v>1237608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8">
        <v>100</v>
      </c>
      <c r="I23" s="98">
        <v>300</v>
      </c>
      <c r="J23" s="9">
        <v>300</v>
      </c>
      <c r="K23" s="9">
        <v>0</v>
      </c>
      <c r="L23" s="9">
        <v>0</v>
      </c>
      <c r="M23" s="9">
        <v>150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</row>
    <row r="24" spans="1:19">
      <c r="A24" s="5">
        <v>1236110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100</v>
      </c>
      <c r="N24" s="9">
        <v>250</v>
      </c>
      <c r="O24" s="9">
        <v>200</v>
      </c>
      <c r="P24" s="9">
        <v>0</v>
      </c>
      <c r="Q24" s="9">
        <v>0</v>
      </c>
      <c r="R24" s="9">
        <v>0</v>
      </c>
      <c r="S24" s="9">
        <v>0</v>
      </c>
    </row>
    <row r="25" spans="1:19">
      <c r="A25" s="5">
        <v>1236387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8">
        <v>0</v>
      </c>
      <c r="H25" s="98">
        <v>180</v>
      </c>
      <c r="I25" s="98">
        <v>357</v>
      </c>
      <c r="J25" s="9">
        <v>357</v>
      </c>
      <c r="K25" s="9">
        <v>0</v>
      </c>
      <c r="L25" s="9">
        <v>0</v>
      </c>
      <c r="M25" s="9">
        <v>357</v>
      </c>
      <c r="N25" s="9">
        <v>176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</row>
    <row r="26" spans="1:19">
      <c r="A26" s="5">
        <v>1232775</v>
      </c>
      <c r="B26" s="9">
        <v>435</v>
      </c>
      <c r="C26" s="9">
        <v>424</v>
      </c>
      <c r="D26" s="9">
        <v>0</v>
      </c>
      <c r="E26" s="9">
        <v>0</v>
      </c>
      <c r="F26" s="9">
        <v>0</v>
      </c>
      <c r="G26" s="98">
        <v>324</v>
      </c>
      <c r="H26" s="98">
        <v>98</v>
      </c>
      <c r="I26" s="98">
        <v>0</v>
      </c>
      <c r="J26" s="9">
        <v>0</v>
      </c>
      <c r="K26" s="9">
        <v>0</v>
      </c>
      <c r="L26" s="9">
        <v>0</v>
      </c>
      <c r="M26" s="9">
        <v>0</v>
      </c>
      <c r="N26" s="9">
        <v>315</v>
      </c>
      <c r="O26" s="9">
        <v>487</v>
      </c>
      <c r="P26" s="9">
        <v>487</v>
      </c>
      <c r="Q26" s="9">
        <v>487</v>
      </c>
      <c r="R26" s="9">
        <v>0</v>
      </c>
      <c r="S26" s="9">
        <v>0</v>
      </c>
    </row>
    <row r="27" spans="1:19">
      <c r="A27" s="5">
        <v>1238605</v>
      </c>
      <c r="B27" s="9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</row>
    <row r="31" spans="1:19">
      <c r="A31" s="5" t="s">
        <v>0</v>
      </c>
      <c r="B31" s="9" t="s">
        <v>853</v>
      </c>
      <c r="C31" s="9" t="s">
        <v>854</v>
      </c>
      <c r="D31" s="9" t="s">
        <v>855</v>
      </c>
      <c r="E31" s="9" t="s">
        <v>856</v>
      </c>
      <c r="F31" s="9" t="s">
        <v>878</v>
      </c>
      <c r="G31" s="9" t="s">
        <v>879</v>
      </c>
      <c r="H31" s="9" t="s">
        <v>880</v>
      </c>
      <c r="I31" s="9" t="s">
        <v>884</v>
      </c>
      <c r="J31" s="9" t="s">
        <v>883</v>
      </c>
      <c r="K31" s="9" t="s">
        <v>882</v>
      </c>
      <c r="L31" s="9" t="s">
        <v>881</v>
      </c>
      <c r="M31" s="9" t="s">
        <v>920</v>
      </c>
      <c r="N31" s="9" t="s">
        <v>921</v>
      </c>
      <c r="O31" s="9" t="s">
        <v>922</v>
      </c>
      <c r="P31" s="9" t="s">
        <v>923</v>
      </c>
      <c r="Q31" s="9" t="s">
        <v>924</v>
      </c>
      <c r="R31" s="9" t="s">
        <v>925</v>
      </c>
      <c r="S31" s="9" t="s">
        <v>926</v>
      </c>
    </row>
    <row r="32" spans="1:19">
      <c r="A32" s="5">
        <v>1234614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216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</row>
    <row r="33" spans="1:19">
      <c r="A33" s="5">
        <v>1220847</v>
      </c>
      <c r="B33" s="9">
        <v>20</v>
      </c>
      <c r="C33" s="9">
        <v>0</v>
      </c>
      <c r="D33" s="9">
        <v>0</v>
      </c>
      <c r="E33" s="9">
        <v>0</v>
      </c>
      <c r="F33" s="9">
        <v>0</v>
      </c>
      <c r="G33" s="9">
        <v>290</v>
      </c>
      <c r="H33" s="18">
        <v>213</v>
      </c>
      <c r="I33" s="9">
        <v>542</v>
      </c>
      <c r="J33" s="9">
        <v>426</v>
      </c>
      <c r="K33" s="9">
        <v>0</v>
      </c>
      <c r="L33" s="9">
        <v>0</v>
      </c>
      <c r="M33" s="9">
        <v>542</v>
      </c>
      <c r="N33" s="9">
        <v>542</v>
      </c>
      <c r="O33" s="9">
        <v>402</v>
      </c>
      <c r="P33" s="9">
        <v>243</v>
      </c>
      <c r="Q33" s="9">
        <v>450</v>
      </c>
      <c r="R33" s="9">
        <v>0</v>
      </c>
      <c r="S33" s="9">
        <v>0</v>
      </c>
    </row>
    <row r="34" spans="1:19">
      <c r="A34" s="5">
        <v>1227306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18">
        <v>180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375</v>
      </c>
      <c r="Q34" s="9">
        <v>225</v>
      </c>
      <c r="R34" s="9">
        <v>0</v>
      </c>
      <c r="S34" s="9">
        <v>0</v>
      </c>
    </row>
    <row r="35" spans="1:19">
      <c r="A35" s="5">
        <v>1227359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44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spans="1:19">
      <c r="A36" s="5">
        <v>1225464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472</v>
      </c>
      <c r="J36" s="9">
        <v>284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1:19">
      <c r="A37" s="5">
        <v>1231797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130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1:19">
      <c r="A38" s="5">
        <v>1232066</v>
      </c>
      <c r="B38" s="9">
        <v>0</v>
      </c>
      <c r="C38" s="9">
        <v>234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5">
        <v>1232693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521</v>
      </c>
      <c r="H39" s="18">
        <v>613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5">
        <v>1233025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521</v>
      </c>
      <c r="H40" s="18">
        <v>613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5">
        <v>1232528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18">
        <v>490</v>
      </c>
      <c r="I41" s="9">
        <v>686</v>
      </c>
      <c r="J41" s="9">
        <v>539</v>
      </c>
      <c r="K41" s="9">
        <v>0</v>
      </c>
      <c r="L41" s="9">
        <v>0</v>
      </c>
      <c r="M41" s="9">
        <v>674</v>
      </c>
      <c r="N41" s="9">
        <v>539</v>
      </c>
      <c r="O41" s="9">
        <v>539</v>
      </c>
      <c r="P41" s="9">
        <v>613</v>
      </c>
      <c r="Q41" s="9">
        <v>539</v>
      </c>
      <c r="R41" s="9">
        <v>0</v>
      </c>
      <c r="S41" s="9">
        <v>0</v>
      </c>
    </row>
    <row r="42" spans="1:19">
      <c r="A42" s="5">
        <v>1232846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8">
        <v>361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5">
        <v>1229050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18">
        <v>315</v>
      </c>
      <c r="I43" s="9">
        <v>30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>
      <c r="A44" s="5">
        <v>1231090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280</v>
      </c>
      <c r="H44" s="18">
        <v>230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570</v>
      </c>
      <c r="R44" s="9">
        <v>0</v>
      </c>
      <c r="S44" s="9">
        <v>0</v>
      </c>
    </row>
    <row r="45" spans="1:19">
      <c r="A45" s="5">
        <v>1233383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18">
        <v>116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5">
        <v>1235097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250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5">
        <v>1235845</v>
      </c>
      <c r="B47" s="9">
        <v>0</v>
      </c>
      <c r="C47" s="9">
        <v>137</v>
      </c>
      <c r="D47" s="9">
        <v>0</v>
      </c>
      <c r="E47" s="9">
        <v>0</v>
      </c>
      <c r="F47" s="9">
        <v>0</v>
      </c>
      <c r="G47" s="9">
        <v>622</v>
      </c>
      <c r="H47" s="18">
        <v>141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spans="1:19">
      <c r="A48" s="5">
        <v>1236600</v>
      </c>
      <c r="B48" s="9">
        <v>426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</row>
    <row r="49" spans="1:19">
      <c r="A49" s="5">
        <v>1236601</v>
      </c>
      <c r="B49" s="9">
        <v>41</v>
      </c>
      <c r="C49" s="9">
        <v>82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19">
      <c r="A50" s="5">
        <v>1236619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198</v>
      </c>
      <c r="Q50" s="9">
        <v>0</v>
      </c>
      <c r="R50" s="9">
        <v>0</v>
      </c>
      <c r="S50" s="9">
        <v>0</v>
      </c>
    </row>
    <row r="51" spans="1:19">
      <c r="A51" s="5">
        <v>1236930</v>
      </c>
      <c r="B51" s="9">
        <v>401</v>
      </c>
      <c r="C51" s="9">
        <v>235</v>
      </c>
      <c r="D51" s="9">
        <v>0</v>
      </c>
      <c r="E51" s="9">
        <v>0</v>
      </c>
      <c r="F51" s="9">
        <v>0</v>
      </c>
      <c r="G51" s="9">
        <v>573</v>
      </c>
      <c r="H51" s="9">
        <v>295</v>
      </c>
      <c r="I51" s="9">
        <v>329</v>
      </c>
      <c r="J51" s="9">
        <v>252</v>
      </c>
      <c r="K51" s="9">
        <v>0</v>
      </c>
      <c r="L51" s="9">
        <v>0</v>
      </c>
      <c r="M51" s="9">
        <v>300</v>
      </c>
      <c r="N51" s="9">
        <v>606</v>
      </c>
      <c r="O51" s="9">
        <v>240</v>
      </c>
      <c r="P51" s="9">
        <v>536</v>
      </c>
      <c r="Q51" s="9">
        <v>700</v>
      </c>
      <c r="R51" s="9">
        <v>0</v>
      </c>
      <c r="S51" s="9">
        <v>0</v>
      </c>
    </row>
    <row r="52" spans="1:19">
      <c r="A52" s="5">
        <v>1237468</v>
      </c>
      <c r="B52" s="9">
        <v>64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192</v>
      </c>
      <c r="N52" s="9">
        <v>0</v>
      </c>
      <c r="O52" s="9">
        <v>0</v>
      </c>
      <c r="P52" s="9">
        <v>37</v>
      </c>
      <c r="Q52" s="9">
        <v>0</v>
      </c>
      <c r="R52" s="9">
        <v>0</v>
      </c>
      <c r="S52" s="9">
        <v>0</v>
      </c>
    </row>
    <row r="53" spans="1:19">
      <c r="A53" s="5">
        <v>1232775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295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5">
        <v>1237457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54</v>
      </c>
      <c r="Q54" s="9">
        <v>0</v>
      </c>
      <c r="R54" s="9">
        <v>0</v>
      </c>
      <c r="S54" s="9">
        <v>0</v>
      </c>
    </row>
    <row r="55" spans="1:19">
      <c r="A55" s="5">
        <v>1237386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45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</row>
    <row r="56" spans="1:19">
      <c r="A56" s="5">
        <v>1234905</v>
      </c>
      <c r="B56" s="9">
        <v>0</v>
      </c>
      <c r="C56" s="9">
        <v>224</v>
      </c>
      <c r="D56" s="9">
        <v>0</v>
      </c>
      <c r="E56" s="9">
        <v>0</v>
      </c>
      <c r="F56" s="9">
        <v>0</v>
      </c>
      <c r="G56" s="9">
        <v>40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19">
      <c r="A57" s="5">
        <v>1238480</v>
      </c>
      <c r="B57" s="9">
        <v>772</v>
      </c>
      <c r="C57" s="9">
        <v>977</v>
      </c>
      <c r="D57" s="9">
        <v>0</v>
      </c>
      <c r="E57" s="9">
        <v>0</v>
      </c>
      <c r="F57" s="9">
        <v>0</v>
      </c>
      <c r="G57" s="18">
        <v>1525</v>
      </c>
      <c r="H57" s="9">
        <v>1270</v>
      </c>
      <c r="I57" s="9">
        <v>1136</v>
      </c>
      <c r="J57" s="9">
        <v>791</v>
      </c>
      <c r="K57" s="9">
        <v>0</v>
      </c>
      <c r="L57" s="9">
        <v>0</v>
      </c>
      <c r="M57" s="9">
        <v>1308</v>
      </c>
      <c r="N57" s="9">
        <v>1640</v>
      </c>
      <c r="O57" s="9">
        <v>845</v>
      </c>
      <c r="P57" s="9">
        <v>1308</v>
      </c>
      <c r="Q57" s="9">
        <v>850</v>
      </c>
      <c r="R57" s="9">
        <v>0</v>
      </c>
      <c r="S57" s="9">
        <v>0</v>
      </c>
    </row>
    <row r="58" spans="1:19">
      <c r="A58" s="5">
        <v>1238453</v>
      </c>
      <c r="B58" s="9">
        <v>40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57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</row>
    <row r="59" spans="1:19">
      <c r="A59" s="5">
        <v>1240029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400</v>
      </c>
      <c r="Q59" s="9">
        <v>300</v>
      </c>
      <c r="R59" s="9">
        <v>0</v>
      </c>
      <c r="S59" s="9">
        <v>0</v>
      </c>
    </row>
    <row r="60" spans="1:19">
      <c r="A60" s="5">
        <v>1240032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400</v>
      </c>
      <c r="Q60" s="9">
        <v>300</v>
      </c>
      <c r="R60" s="9">
        <v>0</v>
      </c>
      <c r="S60" s="9">
        <v>0</v>
      </c>
    </row>
    <row r="61" spans="1:19">
      <c r="A61" s="5">
        <v>1240180</v>
      </c>
      <c r="B61" s="9">
        <v>173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310</v>
      </c>
      <c r="N61" s="9">
        <v>100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5">
        <v>1240184</v>
      </c>
      <c r="B62" s="9">
        <v>173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310</v>
      </c>
      <c r="N62" s="9">
        <v>100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 spans="1:19">
      <c r="A63" s="5">
        <v>1216452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76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>
      <c r="A64" s="5">
        <v>1232894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301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5">
        <v>1233385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301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1:19">
      <c r="A66" s="5">
        <v>1232895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60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>
      <c r="A67" s="5">
        <v>1232922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60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>
      <c r="A68" s="5">
        <v>1233580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200</v>
      </c>
      <c r="Q68" s="9">
        <v>0</v>
      </c>
      <c r="R68" s="9">
        <v>0</v>
      </c>
      <c r="S68" s="9">
        <v>0</v>
      </c>
    </row>
  </sheetData>
  <autoFilter ref="A1:S17" xr:uid="{22834274-007C-47F8-AD62-F268F5BFC4BF}"/>
  <phoneticPr fontId="1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245F-7BFB-4725-890E-33D9649A85A3}">
  <dimension ref="A1:V69"/>
  <sheetViews>
    <sheetView zoomScaleNormal="100" workbookViewId="0">
      <selection activeCell="A30" sqref="A30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20" width="9.33203125" style="5"/>
    <col min="21" max="21" width="9.83203125" style="5" bestFit="1" customWidth="1"/>
    <col min="22" max="16384" width="9.33203125" style="5"/>
  </cols>
  <sheetData>
    <row r="1" spans="1:18">
      <c r="A1" s="74" t="s">
        <v>0</v>
      </c>
      <c r="B1" s="69" t="s">
        <v>854</v>
      </c>
      <c r="C1" s="69" t="s">
        <v>855</v>
      </c>
      <c r="D1" s="70" t="s">
        <v>856</v>
      </c>
      <c r="E1" s="69" t="s">
        <v>878</v>
      </c>
      <c r="F1" s="69" t="s">
        <v>879</v>
      </c>
      <c r="G1" s="69" t="s">
        <v>880</v>
      </c>
      <c r="H1" s="190" t="s">
        <v>884</v>
      </c>
      <c r="I1" s="69" t="s">
        <v>883</v>
      </c>
      <c r="J1" s="69" t="s">
        <v>882</v>
      </c>
      <c r="K1" s="70" t="s">
        <v>881</v>
      </c>
      <c r="L1" s="69" t="s">
        <v>920</v>
      </c>
      <c r="M1" s="69" t="s">
        <v>921</v>
      </c>
      <c r="N1" s="69" t="s">
        <v>922</v>
      </c>
      <c r="O1" s="69" t="s">
        <v>923</v>
      </c>
      <c r="P1" s="69" t="s">
        <v>924</v>
      </c>
      <c r="Q1" s="69" t="s">
        <v>925</v>
      </c>
      <c r="R1" s="70" t="s">
        <v>926</v>
      </c>
    </row>
    <row r="2" spans="1:18">
      <c r="A2" s="30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200</v>
      </c>
      <c r="G2" s="32">
        <v>200</v>
      </c>
      <c r="H2" s="17">
        <v>330</v>
      </c>
      <c r="I2" s="32">
        <v>330</v>
      </c>
      <c r="J2" s="32">
        <v>0</v>
      </c>
      <c r="K2" s="32">
        <v>0</v>
      </c>
      <c r="L2" s="32">
        <v>0</v>
      </c>
      <c r="M2" s="32">
        <v>0</v>
      </c>
      <c r="N2" s="32">
        <v>100</v>
      </c>
      <c r="O2" s="32">
        <v>500</v>
      </c>
      <c r="P2" s="32">
        <v>0</v>
      </c>
      <c r="Q2" s="32">
        <v>0</v>
      </c>
      <c r="R2" s="32">
        <v>0</v>
      </c>
    </row>
    <row r="3" spans="1:18">
      <c r="A3" s="30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200</v>
      </c>
      <c r="G3" s="32">
        <v>200</v>
      </c>
      <c r="H3" s="17">
        <v>330</v>
      </c>
      <c r="I3" s="32">
        <v>330</v>
      </c>
      <c r="J3" s="32">
        <v>0</v>
      </c>
      <c r="K3" s="32">
        <v>0</v>
      </c>
      <c r="L3" s="32">
        <v>0</v>
      </c>
      <c r="M3" s="32">
        <v>0</v>
      </c>
      <c r="N3" s="32">
        <v>100</v>
      </c>
      <c r="O3" s="32">
        <v>500</v>
      </c>
      <c r="P3" s="32">
        <v>0</v>
      </c>
      <c r="Q3" s="32">
        <v>0</v>
      </c>
      <c r="R3" s="32">
        <v>0</v>
      </c>
    </row>
    <row r="4" spans="1:18">
      <c r="A4" s="30">
        <v>1229673</v>
      </c>
      <c r="B4" s="32">
        <v>0</v>
      </c>
      <c r="C4" s="32">
        <v>0</v>
      </c>
      <c r="D4" s="32">
        <v>0</v>
      </c>
      <c r="E4" s="32">
        <v>0</v>
      </c>
      <c r="F4" s="32">
        <v>300</v>
      </c>
      <c r="G4" s="32">
        <v>200</v>
      </c>
      <c r="H4" s="17">
        <v>200</v>
      </c>
      <c r="I4" s="32">
        <v>200</v>
      </c>
      <c r="J4" s="32">
        <v>0</v>
      </c>
      <c r="K4" s="32">
        <v>0</v>
      </c>
      <c r="L4" s="32">
        <v>200</v>
      </c>
      <c r="M4" s="32">
        <v>200</v>
      </c>
      <c r="N4" s="32">
        <v>0</v>
      </c>
      <c r="O4" s="32">
        <v>250</v>
      </c>
      <c r="P4" s="32">
        <v>250</v>
      </c>
      <c r="Q4" s="32">
        <v>0</v>
      </c>
      <c r="R4" s="32">
        <v>0</v>
      </c>
    </row>
    <row r="5" spans="1:18">
      <c r="A5" s="30">
        <v>1235623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416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</row>
    <row r="6" spans="1:18">
      <c r="A6" s="30">
        <v>1237088</v>
      </c>
      <c r="B6" s="32">
        <v>1356</v>
      </c>
      <c r="C6" s="32">
        <v>0</v>
      </c>
      <c r="D6" s="32">
        <v>0</v>
      </c>
      <c r="E6" s="32">
        <v>0</v>
      </c>
      <c r="F6" s="32">
        <v>860</v>
      </c>
      <c r="G6" s="32">
        <v>248</v>
      </c>
      <c r="H6" s="17">
        <v>1024</v>
      </c>
      <c r="I6" s="32">
        <v>666</v>
      </c>
      <c r="J6" s="32">
        <v>0</v>
      </c>
      <c r="K6" s="32">
        <v>0</v>
      </c>
      <c r="L6" s="32">
        <v>848</v>
      </c>
      <c r="M6" s="32">
        <v>610</v>
      </c>
      <c r="N6" s="32">
        <v>0</v>
      </c>
      <c r="O6" s="32">
        <v>258</v>
      </c>
      <c r="P6" s="32">
        <v>744</v>
      </c>
      <c r="Q6" s="32">
        <v>0</v>
      </c>
      <c r="R6" s="32">
        <v>0</v>
      </c>
    </row>
    <row r="7" spans="1:18">
      <c r="A7" s="30">
        <v>1237748</v>
      </c>
      <c r="B7" s="32">
        <v>456</v>
      </c>
      <c r="C7" s="32">
        <v>0</v>
      </c>
      <c r="D7" s="32">
        <v>0</v>
      </c>
      <c r="E7" s="32">
        <v>0</v>
      </c>
      <c r="F7" s="32">
        <v>78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</row>
    <row r="8" spans="1:18">
      <c r="A8" s="30">
        <v>1236091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350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</row>
    <row r="9" spans="1:18">
      <c r="A9" s="30">
        <v>1238128</v>
      </c>
      <c r="B9" s="32">
        <v>312</v>
      </c>
      <c r="C9" s="32">
        <v>0</v>
      </c>
      <c r="D9" s="32">
        <v>0</v>
      </c>
      <c r="E9" s="32">
        <v>0</v>
      </c>
      <c r="F9" s="32">
        <v>562</v>
      </c>
      <c r="G9" s="32">
        <v>692</v>
      </c>
      <c r="H9" s="17">
        <v>1180</v>
      </c>
      <c r="I9" s="32">
        <v>928</v>
      </c>
      <c r="J9" s="32">
        <v>0</v>
      </c>
      <c r="K9" s="32">
        <v>0</v>
      </c>
      <c r="L9" s="32">
        <v>112</v>
      </c>
      <c r="M9" s="32">
        <v>386</v>
      </c>
      <c r="N9" s="32">
        <v>464</v>
      </c>
      <c r="O9" s="32">
        <v>590</v>
      </c>
      <c r="P9" s="32">
        <v>464</v>
      </c>
      <c r="Q9" s="32">
        <v>0</v>
      </c>
      <c r="R9" s="32">
        <v>0</v>
      </c>
    </row>
    <row r="10" spans="1:18">
      <c r="A10" s="30">
        <v>1236962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300</v>
      </c>
      <c r="H10" s="17">
        <v>200</v>
      </c>
      <c r="I10" s="32">
        <v>200</v>
      </c>
      <c r="J10" s="32">
        <v>0</v>
      </c>
      <c r="K10" s="32">
        <v>0</v>
      </c>
      <c r="L10" s="32">
        <v>186</v>
      </c>
      <c r="M10" s="32">
        <v>200</v>
      </c>
      <c r="N10" s="32">
        <v>214</v>
      </c>
      <c r="O10" s="32">
        <v>200</v>
      </c>
      <c r="P10" s="32">
        <v>0</v>
      </c>
      <c r="Q10" s="32">
        <v>0</v>
      </c>
      <c r="R10" s="32">
        <v>0</v>
      </c>
    </row>
    <row r="11" spans="1:18">
      <c r="A11" s="30">
        <v>1233761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300</v>
      </c>
      <c r="Q11" s="32">
        <v>0</v>
      </c>
      <c r="R11" s="32">
        <v>0</v>
      </c>
    </row>
    <row r="12" spans="1:18">
      <c r="A12" s="30">
        <v>1239651</v>
      </c>
      <c r="B12" s="32">
        <v>0</v>
      </c>
      <c r="C12" s="32">
        <v>0</v>
      </c>
      <c r="D12" s="32">
        <v>0</v>
      </c>
      <c r="E12" s="32">
        <v>0</v>
      </c>
      <c r="F12" s="32">
        <v>200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400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</row>
    <row r="13" spans="1:18">
      <c r="A13" s="30">
        <v>1241134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182</v>
      </c>
      <c r="P13" s="32">
        <v>97</v>
      </c>
      <c r="Q13" s="32">
        <v>0</v>
      </c>
      <c r="R13" s="32">
        <v>0</v>
      </c>
    </row>
    <row r="14" spans="1:18">
      <c r="A14" s="30">
        <v>1239988</v>
      </c>
      <c r="B14" s="32">
        <v>0</v>
      </c>
      <c r="C14" s="32">
        <v>0</v>
      </c>
      <c r="D14" s="32">
        <v>0</v>
      </c>
      <c r="E14" s="32">
        <v>0</v>
      </c>
      <c r="F14" s="32">
        <v>442</v>
      </c>
      <c r="G14" s="32">
        <v>44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150</v>
      </c>
      <c r="Q14" s="32">
        <v>0</v>
      </c>
      <c r="R14" s="32">
        <v>0</v>
      </c>
    </row>
    <row r="15" spans="1:18">
      <c r="A15" s="30">
        <v>1240180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270</v>
      </c>
      <c r="H15" s="17">
        <v>410</v>
      </c>
      <c r="I15" s="32">
        <v>322</v>
      </c>
      <c r="J15" s="32">
        <v>0</v>
      </c>
      <c r="K15" s="32">
        <v>0</v>
      </c>
      <c r="L15" s="32">
        <v>420</v>
      </c>
      <c r="M15" s="32">
        <v>420</v>
      </c>
      <c r="N15" s="32">
        <v>436</v>
      </c>
      <c r="O15" s="32">
        <v>778</v>
      </c>
      <c r="P15" s="32">
        <v>476</v>
      </c>
      <c r="Q15" s="32">
        <v>0</v>
      </c>
      <c r="R15" s="32">
        <v>0</v>
      </c>
    </row>
    <row r="16" spans="1:18">
      <c r="A16" s="30">
        <v>1240184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270</v>
      </c>
      <c r="H16" s="17">
        <v>410</v>
      </c>
      <c r="I16" s="32">
        <v>322</v>
      </c>
      <c r="J16" s="32">
        <v>0</v>
      </c>
      <c r="K16" s="32">
        <v>0</v>
      </c>
      <c r="L16" s="32">
        <v>420</v>
      </c>
      <c r="M16" s="32">
        <v>420</v>
      </c>
      <c r="N16" s="32">
        <v>436</v>
      </c>
      <c r="O16" s="32">
        <v>524</v>
      </c>
      <c r="P16" s="32">
        <v>280</v>
      </c>
      <c r="Q16" s="32">
        <v>0</v>
      </c>
      <c r="R16" s="32">
        <v>0</v>
      </c>
    </row>
    <row r="17" spans="1:22">
      <c r="A17" s="30">
        <v>1240308</v>
      </c>
      <c r="B17" s="32">
        <v>0</v>
      </c>
      <c r="C17" s="32">
        <v>0</v>
      </c>
      <c r="D17" s="32">
        <v>0</v>
      </c>
      <c r="E17" s="32">
        <v>0</v>
      </c>
      <c r="F17" s="32">
        <v>150</v>
      </c>
      <c r="G17" s="32">
        <v>300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450</v>
      </c>
      <c r="O17" s="32">
        <v>420</v>
      </c>
      <c r="P17" s="32">
        <v>0</v>
      </c>
      <c r="Q17" s="32">
        <v>0</v>
      </c>
      <c r="R17" s="32">
        <v>0</v>
      </c>
    </row>
    <row r="18" spans="1:22">
      <c r="A18" s="30">
        <v>1241601</v>
      </c>
      <c r="B18" s="32">
        <v>982</v>
      </c>
      <c r="C18" s="32">
        <v>0</v>
      </c>
      <c r="D18" s="32">
        <v>0</v>
      </c>
      <c r="E18" s="32">
        <v>0</v>
      </c>
      <c r="F18" s="32">
        <v>1494</v>
      </c>
      <c r="G18" s="32">
        <v>870</v>
      </c>
      <c r="H18" s="17">
        <v>764</v>
      </c>
      <c r="I18" s="32">
        <v>600</v>
      </c>
      <c r="J18" s="32">
        <v>0</v>
      </c>
      <c r="K18" s="32">
        <v>0</v>
      </c>
      <c r="L18" s="32">
        <v>930</v>
      </c>
      <c r="M18" s="32">
        <v>1528</v>
      </c>
      <c r="N18" s="32">
        <v>866</v>
      </c>
      <c r="O18" s="32">
        <v>222</v>
      </c>
      <c r="P18" s="32">
        <v>354</v>
      </c>
      <c r="Q18" s="32">
        <v>0</v>
      </c>
      <c r="R18" s="32">
        <v>0</v>
      </c>
    </row>
    <row r="21" spans="1:22">
      <c r="A21" s="5" t="s">
        <v>0</v>
      </c>
      <c r="B21" s="9" t="s">
        <v>854</v>
      </c>
      <c r="C21" s="9" t="s">
        <v>855</v>
      </c>
      <c r="D21" s="9" t="s">
        <v>856</v>
      </c>
      <c r="E21" s="9" t="s">
        <v>878</v>
      </c>
      <c r="F21" s="9" t="s">
        <v>879</v>
      </c>
      <c r="G21" s="9" t="s">
        <v>880</v>
      </c>
      <c r="H21" s="9" t="s">
        <v>884</v>
      </c>
      <c r="I21" s="9" t="s">
        <v>883</v>
      </c>
      <c r="J21" s="9" t="s">
        <v>882</v>
      </c>
      <c r="K21" s="9" t="s">
        <v>881</v>
      </c>
      <c r="L21" s="9" t="s">
        <v>920</v>
      </c>
      <c r="M21" s="9" t="s">
        <v>921</v>
      </c>
      <c r="N21" s="9" t="s">
        <v>922</v>
      </c>
      <c r="O21" s="9" t="s">
        <v>923</v>
      </c>
      <c r="P21" s="9" t="s">
        <v>924</v>
      </c>
      <c r="Q21" s="9" t="s">
        <v>925</v>
      </c>
      <c r="R21" s="9" t="s">
        <v>926</v>
      </c>
    </row>
    <row r="22" spans="1:22">
      <c r="A22" s="5">
        <v>1237608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100</v>
      </c>
      <c r="H22" s="9">
        <v>300</v>
      </c>
      <c r="I22" s="9">
        <v>300</v>
      </c>
      <c r="J22" s="9">
        <v>0</v>
      </c>
      <c r="K22" s="9">
        <v>0</v>
      </c>
      <c r="L22" s="9">
        <v>150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22">
      <c r="A23" s="5">
        <v>1236110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100</v>
      </c>
      <c r="M23" s="9">
        <v>250</v>
      </c>
      <c r="N23" s="9">
        <v>200</v>
      </c>
      <c r="O23" s="9">
        <v>0</v>
      </c>
      <c r="P23" s="9">
        <v>0</v>
      </c>
      <c r="Q23" s="9">
        <v>0</v>
      </c>
      <c r="R23" s="9">
        <v>0</v>
      </c>
    </row>
    <row r="24" spans="1:22">
      <c r="A24" s="5">
        <v>1236387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180</v>
      </c>
      <c r="H24" s="9">
        <v>357</v>
      </c>
      <c r="I24" s="9">
        <v>357</v>
      </c>
      <c r="J24" s="9">
        <v>0</v>
      </c>
      <c r="K24" s="9">
        <v>0</v>
      </c>
      <c r="L24" s="9">
        <v>357</v>
      </c>
      <c r="M24" s="9">
        <v>176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22">
      <c r="A25" s="5">
        <v>1232775</v>
      </c>
      <c r="B25" s="9">
        <v>424</v>
      </c>
      <c r="C25" s="9">
        <v>0</v>
      </c>
      <c r="D25" s="9">
        <v>0</v>
      </c>
      <c r="E25" s="9">
        <v>0</v>
      </c>
      <c r="F25" s="9">
        <v>324</v>
      </c>
      <c r="G25" s="9">
        <v>98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315</v>
      </c>
      <c r="N25" s="9">
        <v>487</v>
      </c>
      <c r="O25" s="9">
        <v>487</v>
      </c>
      <c r="P25" s="9">
        <v>487</v>
      </c>
      <c r="Q25" s="9">
        <v>0</v>
      </c>
      <c r="R25" s="9">
        <v>0</v>
      </c>
    </row>
    <row r="29" spans="1:22" s="19" customFormat="1">
      <c r="A29" s="74" t="s">
        <v>0</v>
      </c>
      <c r="B29" s="69" t="s">
        <v>854</v>
      </c>
      <c r="C29" s="69" t="s">
        <v>855</v>
      </c>
      <c r="D29" s="70" t="s">
        <v>856</v>
      </c>
      <c r="E29" s="69" t="s">
        <v>878</v>
      </c>
      <c r="F29" s="69" t="s">
        <v>879</v>
      </c>
      <c r="G29" s="69" t="s">
        <v>880</v>
      </c>
      <c r="H29" s="69" t="s">
        <v>884</v>
      </c>
      <c r="I29" s="69" t="s">
        <v>883</v>
      </c>
      <c r="J29" s="69" t="s">
        <v>882</v>
      </c>
      <c r="K29" s="70" t="s">
        <v>881</v>
      </c>
      <c r="L29" s="69" t="s">
        <v>920</v>
      </c>
      <c r="M29" s="69" t="s">
        <v>921</v>
      </c>
      <c r="N29" s="69" t="s">
        <v>922</v>
      </c>
      <c r="O29" s="69" t="s">
        <v>923</v>
      </c>
      <c r="P29" s="69" t="s">
        <v>924</v>
      </c>
      <c r="Q29" s="69" t="s">
        <v>925</v>
      </c>
      <c r="R29" s="70" t="s">
        <v>926</v>
      </c>
      <c r="T29" s="19" t="s">
        <v>931</v>
      </c>
      <c r="U29" s="19" t="s">
        <v>929</v>
      </c>
      <c r="V29" s="19" t="s">
        <v>930</v>
      </c>
    </row>
    <row r="30" spans="1:22">
      <c r="A30" s="30">
        <v>1234614</v>
      </c>
      <c r="B30" s="32">
        <v>0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216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T30" s="78">
        <f>SUM(B30:R30)</f>
        <v>216</v>
      </c>
      <c r="U30" s="5">
        <f>VLOOKUP(A30,[5]sheet1!$A$2:$T$38,20,0)</f>
        <v>216</v>
      </c>
      <c r="V30" s="78">
        <f>+U30-T30</f>
        <v>0</v>
      </c>
    </row>
    <row r="31" spans="1:22" s="4" customFormat="1">
      <c r="A31" s="89">
        <v>1220847</v>
      </c>
      <c r="B31" s="91">
        <v>0</v>
      </c>
      <c r="C31" s="91">
        <v>0</v>
      </c>
      <c r="D31" s="91">
        <v>0</v>
      </c>
      <c r="E31" s="91">
        <v>0</v>
      </c>
      <c r="F31" s="91">
        <v>290</v>
      </c>
      <c r="G31" s="91">
        <v>213</v>
      </c>
      <c r="H31" s="91">
        <v>542</v>
      </c>
      <c r="I31" s="91">
        <v>426</v>
      </c>
      <c r="J31" s="91">
        <v>0</v>
      </c>
      <c r="K31" s="91">
        <v>0</v>
      </c>
      <c r="L31" s="91">
        <v>542</v>
      </c>
      <c r="M31" s="91">
        <v>542</v>
      </c>
      <c r="N31" s="91">
        <v>402</v>
      </c>
      <c r="O31" s="91">
        <v>243</v>
      </c>
      <c r="P31" s="91">
        <v>450</v>
      </c>
      <c r="Q31" s="91">
        <v>0</v>
      </c>
      <c r="R31" s="91">
        <v>0</v>
      </c>
      <c r="T31" s="182">
        <f t="shared" ref="T31:T65" si="0">SUM(B31:R31)</f>
        <v>3650</v>
      </c>
      <c r="U31" s="4">
        <f>VLOOKUP(A31,[5]sheet1!$A$2:$T$38,20,0)</f>
        <v>5250</v>
      </c>
      <c r="V31" s="182">
        <f t="shared" ref="V31:V65" si="1">+U31-T31</f>
        <v>1600</v>
      </c>
    </row>
    <row r="32" spans="1:22">
      <c r="A32" s="30">
        <v>1227306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180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375</v>
      </c>
      <c r="P32" s="32">
        <v>225</v>
      </c>
      <c r="Q32" s="32">
        <v>0</v>
      </c>
      <c r="R32" s="32">
        <v>0</v>
      </c>
      <c r="T32" s="78">
        <f t="shared" si="0"/>
        <v>780</v>
      </c>
      <c r="U32" s="5">
        <f>VLOOKUP(A32,[5]sheet1!$A$2:$T$38,20,0)</f>
        <v>780</v>
      </c>
      <c r="V32" s="78">
        <f t="shared" si="1"/>
        <v>0</v>
      </c>
    </row>
    <row r="33" spans="1:22">
      <c r="A33" s="30">
        <v>1227359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17">
        <v>44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T33" s="78">
        <f t="shared" si="0"/>
        <v>44</v>
      </c>
      <c r="U33" s="5">
        <f>VLOOKUP(A33,[5]sheet1!$A$2:$T$38,20,0)</f>
        <v>44</v>
      </c>
      <c r="V33" s="78">
        <f t="shared" si="1"/>
        <v>0</v>
      </c>
    </row>
    <row r="34" spans="1:22">
      <c r="A34" s="30">
        <v>1225464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17">
        <v>472</v>
      </c>
      <c r="I34" s="32">
        <v>284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T34" s="78">
        <f t="shared" si="0"/>
        <v>756</v>
      </c>
      <c r="U34" s="5">
        <f>VLOOKUP(A34,[5]sheet1!$A$2:$T$38,20,0)</f>
        <v>756</v>
      </c>
      <c r="V34" s="78">
        <f t="shared" si="1"/>
        <v>0</v>
      </c>
    </row>
    <row r="35" spans="1:22">
      <c r="A35" s="30">
        <v>1231797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130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T35" s="78">
        <f t="shared" si="0"/>
        <v>130</v>
      </c>
      <c r="U35" s="5">
        <f>VLOOKUP(A35,[5]sheet1!$A$2:$T$38,20,0)</f>
        <v>130</v>
      </c>
      <c r="V35" s="78">
        <f t="shared" si="1"/>
        <v>0</v>
      </c>
    </row>
    <row r="36" spans="1:22">
      <c r="A36" s="30">
        <v>1232066</v>
      </c>
      <c r="B36" s="32">
        <v>234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T36" s="78">
        <f t="shared" si="0"/>
        <v>234</v>
      </c>
      <c r="U36" s="5">
        <f>VLOOKUP(A36,[5]sheet1!$A$2:$T$38,20,0)</f>
        <v>234</v>
      </c>
      <c r="V36" s="78">
        <f t="shared" si="1"/>
        <v>0</v>
      </c>
    </row>
    <row r="37" spans="1:22">
      <c r="A37" s="30">
        <v>1232693</v>
      </c>
      <c r="B37" s="32">
        <v>0</v>
      </c>
      <c r="C37" s="32">
        <v>0</v>
      </c>
      <c r="D37" s="32">
        <v>0</v>
      </c>
      <c r="E37" s="32">
        <v>0</v>
      </c>
      <c r="F37" s="32">
        <v>521</v>
      </c>
      <c r="G37" s="32">
        <v>613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T37" s="78">
        <f t="shared" si="0"/>
        <v>1134</v>
      </c>
      <c r="U37" s="5">
        <f>VLOOKUP(A37,[5]sheet1!$A$2:$T$38,20,0)</f>
        <v>1134</v>
      </c>
      <c r="V37" s="78">
        <f t="shared" si="1"/>
        <v>0</v>
      </c>
    </row>
    <row r="38" spans="1:22">
      <c r="A38" s="30">
        <v>1233025</v>
      </c>
      <c r="B38" s="32">
        <v>0</v>
      </c>
      <c r="C38" s="32">
        <v>0</v>
      </c>
      <c r="D38" s="32">
        <v>0</v>
      </c>
      <c r="E38" s="32">
        <v>0</v>
      </c>
      <c r="F38" s="32">
        <v>521</v>
      </c>
      <c r="G38" s="32">
        <v>613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T38" s="78">
        <f t="shared" si="0"/>
        <v>1134</v>
      </c>
      <c r="U38" s="5">
        <f>VLOOKUP(A38,[5]sheet1!$A$2:$T$38,20,0)</f>
        <v>1134</v>
      </c>
      <c r="V38" s="78">
        <f t="shared" si="1"/>
        <v>0</v>
      </c>
    </row>
    <row r="39" spans="1:22" s="4" customFormat="1">
      <c r="A39" s="89">
        <v>1232528</v>
      </c>
      <c r="B39" s="91">
        <v>0</v>
      </c>
      <c r="C39" s="91">
        <v>0</v>
      </c>
      <c r="D39" s="91">
        <v>0</v>
      </c>
      <c r="E39" s="91">
        <v>0</v>
      </c>
      <c r="F39" s="91">
        <v>0</v>
      </c>
      <c r="G39" s="91">
        <v>490</v>
      </c>
      <c r="H39" s="91">
        <v>686</v>
      </c>
      <c r="I39" s="91">
        <v>539</v>
      </c>
      <c r="J39" s="91">
        <v>0</v>
      </c>
      <c r="K39" s="91">
        <v>0</v>
      </c>
      <c r="L39" s="91">
        <v>674</v>
      </c>
      <c r="M39" s="91">
        <v>539</v>
      </c>
      <c r="N39" s="91">
        <v>539</v>
      </c>
      <c r="O39" s="91">
        <v>613</v>
      </c>
      <c r="P39" s="91">
        <v>539</v>
      </c>
      <c r="Q39" s="91">
        <v>0</v>
      </c>
      <c r="R39" s="91">
        <v>0</v>
      </c>
      <c r="T39" s="182">
        <f t="shared" si="0"/>
        <v>4619</v>
      </c>
      <c r="U39" s="4">
        <f>VLOOKUP(A39,[5]sheet1!$A$2:$T$38,20,0)</f>
        <v>5699</v>
      </c>
      <c r="V39" s="182">
        <f t="shared" si="1"/>
        <v>1080</v>
      </c>
    </row>
    <row r="40" spans="1:22" s="4" customFormat="1">
      <c r="A40" s="89">
        <v>1232846</v>
      </c>
      <c r="B40" s="91">
        <v>0</v>
      </c>
      <c r="C40" s="91">
        <v>0</v>
      </c>
      <c r="D40" s="91">
        <v>0</v>
      </c>
      <c r="E40" s="91">
        <v>0</v>
      </c>
      <c r="F40" s="91">
        <v>0</v>
      </c>
      <c r="G40" s="91">
        <v>0</v>
      </c>
      <c r="H40" s="91">
        <v>361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T40" s="182">
        <f t="shared" si="0"/>
        <v>361</v>
      </c>
      <c r="U40" s="4">
        <f>VLOOKUP(A40,[5]sheet1!$A$2:$T$38,20,0)</f>
        <v>937</v>
      </c>
      <c r="V40" s="182">
        <f t="shared" si="1"/>
        <v>576</v>
      </c>
    </row>
    <row r="41" spans="1:22">
      <c r="A41" s="30">
        <v>1229050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315</v>
      </c>
      <c r="H41" s="17">
        <v>30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T41" s="78">
        <f t="shared" si="0"/>
        <v>345</v>
      </c>
      <c r="U41" s="5">
        <f>VLOOKUP(A41,[5]sheet1!$A$2:$T$38,20,0)</f>
        <v>345</v>
      </c>
      <c r="V41" s="78">
        <f t="shared" si="1"/>
        <v>0</v>
      </c>
    </row>
    <row r="42" spans="1:22">
      <c r="A42" s="30">
        <v>1231090</v>
      </c>
      <c r="B42" s="32">
        <v>0</v>
      </c>
      <c r="C42" s="32">
        <v>0</v>
      </c>
      <c r="D42" s="32">
        <v>0</v>
      </c>
      <c r="E42" s="32">
        <v>0</v>
      </c>
      <c r="F42" s="32">
        <v>280</v>
      </c>
      <c r="G42" s="32">
        <v>230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570</v>
      </c>
      <c r="Q42" s="32">
        <v>0</v>
      </c>
      <c r="R42" s="32">
        <v>0</v>
      </c>
      <c r="T42" s="78">
        <f t="shared" si="0"/>
        <v>1080</v>
      </c>
      <c r="U42" s="5">
        <f>VLOOKUP(A42,[5]sheet1!$A$2:$T$38,20,0)</f>
        <v>1080</v>
      </c>
      <c r="V42" s="78">
        <f t="shared" si="1"/>
        <v>0</v>
      </c>
    </row>
    <row r="43" spans="1:22">
      <c r="A43" s="30">
        <v>1233383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116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T43" s="78">
        <f t="shared" si="0"/>
        <v>116</v>
      </c>
      <c r="U43" s="5">
        <f>VLOOKUP(A43,[5]sheet1!$A$2:$T$38,20,0)</f>
        <v>116</v>
      </c>
      <c r="V43" s="78">
        <f t="shared" si="1"/>
        <v>0</v>
      </c>
    </row>
    <row r="44" spans="1:22">
      <c r="A44" s="30">
        <v>1235097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250</v>
      </c>
      <c r="O44" s="32">
        <v>0</v>
      </c>
      <c r="P44" s="32">
        <v>0</v>
      </c>
      <c r="Q44" s="32">
        <v>0</v>
      </c>
      <c r="R44" s="32">
        <v>0</v>
      </c>
      <c r="T44" s="78">
        <f t="shared" si="0"/>
        <v>250</v>
      </c>
      <c r="U44" s="5">
        <f>VLOOKUP(A44,[5]sheet1!$A$2:$T$38,20,0)</f>
        <v>250</v>
      </c>
      <c r="V44" s="78">
        <f t="shared" si="1"/>
        <v>0</v>
      </c>
    </row>
    <row r="45" spans="1:22">
      <c r="A45" s="30">
        <v>1235845</v>
      </c>
      <c r="B45" s="32">
        <v>93</v>
      </c>
      <c r="C45" s="32">
        <v>0</v>
      </c>
      <c r="D45" s="32">
        <v>0</v>
      </c>
      <c r="E45" s="32">
        <v>0</v>
      </c>
      <c r="F45" s="32">
        <v>622</v>
      </c>
      <c r="G45" s="32">
        <v>185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T45" s="78">
        <f t="shared" si="0"/>
        <v>900</v>
      </c>
      <c r="U45" s="5">
        <f>VLOOKUP(A45,[5]sheet1!$A$2:$T$38,20,0)</f>
        <v>900</v>
      </c>
      <c r="V45" s="78">
        <f t="shared" si="1"/>
        <v>0</v>
      </c>
    </row>
    <row r="46" spans="1:22">
      <c r="A46" s="30">
        <v>1236601</v>
      </c>
      <c r="B46" s="32">
        <v>82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T46" s="78">
        <f t="shared" si="0"/>
        <v>82</v>
      </c>
      <c r="U46" s="5">
        <f>VLOOKUP(A46,[5]sheet1!$A$2:$T$38,20,0)</f>
        <v>82</v>
      </c>
      <c r="V46" s="78">
        <f t="shared" si="1"/>
        <v>0</v>
      </c>
    </row>
    <row r="47" spans="1:22">
      <c r="A47" s="30">
        <v>1236619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56</v>
      </c>
      <c r="M47" s="32">
        <v>0</v>
      </c>
      <c r="N47" s="32">
        <v>0</v>
      </c>
      <c r="O47" s="32">
        <v>198</v>
      </c>
      <c r="P47" s="32">
        <v>0</v>
      </c>
      <c r="Q47" s="32">
        <v>0</v>
      </c>
      <c r="R47" s="32">
        <v>0</v>
      </c>
      <c r="T47" s="78">
        <f t="shared" si="0"/>
        <v>254</v>
      </c>
      <c r="U47" s="5">
        <f>VLOOKUP(A47,[5]sheet1!$A$2:$T$38,20,0)</f>
        <v>254</v>
      </c>
      <c r="V47" s="78">
        <f t="shared" si="1"/>
        <v>0</v>
      </c>
    </row>
    <row r="48" spans="1:22">
      <c r="A48" s="30">
        <v>1236930</v>
      </c>
      <c r="B48" s="32">
        <v>235</v>
      </c>
      <c r="C48" s="32">
        <v>0</v>
      </c>
      <c r="D48" s="32">
        <v>0</v>
      </c>
      <c r="E48" s="32">
        <v>0</v>
      </c>
      <c r="F48" s="32">
        <v>573</v>
      </c>
      <c r="G48" s="32">
        <v>295</v>
      </c>
      <c r="H48" s="32">
        <v>329</v>
      </c>
      <c r="I48" s="32">
        <v>252</v>
      </c>
      <c r="J48" s="32">
        <v>0</v>
      </c>
      <c r="K48" s="32">
        <v>0</v>
      </c>
      <c r="L48" s="32">
        <v>300</v>
      </c>
      <c r="M48" s="32">
        <v>606</v>
      </c>
      <c r="N48" s="32">
        <v>240</v>
      </c>
      <c r="O48" s="32">
        <v>536</v>
      </c>
      <c r="P48" s="32">
        <v>700</v>
      </c>
      <c r="Q48" s="32">
        <v>0</v>
      </c>
      <c r="R48" s="32">
        <v>0</v>
      </c>
      <c r="T48" s="78">
        <f t="shared" si="0"/>
        <v>4066</v>
      </c>
      <c r="U48" s="5">
        <f>VLOOKUP(A48,[5]sheet1!$A$2:$T$38,20,0)</f>
        <v>4066</v>
      </c>
      <c r="V48" s="78">
        <f t="shared" si="1"/>
        <v>0</v>
      </c>
    </row>
    <row r="49" spans="1:22">
      <c r="A49" s="30">
        <v>1237468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192</v>
      </c>
      <c r="M49" s="32">
        <v>0</v>
      </c>
      <c r="N49" s="32">
        <v>0</v>
      </c>
      <c r="O49" s="32">
        <v>37</v>
      </c>
      <c r="P49" s="32">
        <v>0</v>
      </c>
      <c r="Q49" s="32">
        <v>0</v>
      </c>
      <c r="R49" s="32">
        <v>0</v>
      </c>
      <c r="T49" s="78">
        <f t="shared" si="0"/>
        <v>229</v>
      </c>
      <c r="U49" s="5">
        <f>VLOOKUP(A49,[5]sheet1!$A$2:$T$38,20,0)</f>
        <v>229</v>
      </c>
      <c r="V49" s="78">
        <f t="shared" si="1"/>
        <v>0</v>
      </c>
    </row>
    <row r="50" spans="1:22">
      <c r="A50" s="30">
        <v>1232775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295</v>
      </c>
      <c r="O50" s="32">
        <v>0</v>
      </c>
      <c r="P50" s="32">
        <v>0</v>
      </c>
      <c r="Q50" s="32">
        <v>0</v>
      </c>
      <c r="R50" s="32">
        <v>0</v>
      </c>
      <c r="T50" s="78">
        <f t="shared" si="0"/>
        <v>295</v>
      </c>
      <c r="U50" s="5">
        <f>VLOOKUP(A50,[5]sheet1!$A$2:$T$38,20,0)</f>
        <v>295</v>
      </c>
      <c r="V50" s="78">
        <f t="shared" si="1"/>
        <v>0</v>
      </c>
    </row>
    <row r="51" spans="1:22">
      <c r="A51" s="30">
        <v>1237457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54</v>
      </c>
      <c r="P51" s="32">
        <v>0</v>
      </c>
      <c r="Q51" s="32">
        <v>0</v>
      </c>
      <c r="R51" s="32">
        <v>0</v>
      </c>
      <c r="T51" s="78">
        <f t="shared" si="0"/>
        <v>54</v>
      </c>
      <c r="U51" s="5">
        <f>VLOOKUP(A51,[5]sheet1!$A$2:$T$38,20,0)</f>
        <v>54</v>
      </c>
      <c r="V51" s="78">
        <f t="shared" si="1"/>
        <v>0</v>
      </c>
    </row>
    <row r="52" spans="1:22">
      <c r="A52" s="30">
        <v>1237386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45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T52" s="78">
        <f t="shared" si="0"/>
        <v>45</v>
      </c>
      <c r="U52" s="5">
        <f>VLOOKUP(A52,[5]sheet1!$A$2:$T$38,20,0)</f>
        <v>45</v>
      </c>
      <c r="V52" s="78">
        <f t="shared" si="1"/>
        <v>0</v>
      </c>
    </row>
    <row r="53" spans="1:22">
      <c r="A53" s="30">
        <v>1234905</v>
      </c>
      <c r="B53" s="32">
        <v>224</v>
      </c>
      <c r="C53" s="32">
        <v>0</v>
      </c>
      <c r="D53" s="32">
        <v>0</v>
      </c>
      <c r="E53" s="32">
        <v>0</v>
      </c>
      <c r="F53" s="32">
        <v>40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T53" s="78">
        <f t="shared" si="0"/>
        <v>264</v>
      </c>
      <c r="U53" s="5">
        <f>VLOOKUP(A53,[5]sheet1!$A$2:$T$38,20,0)</f>
        <v>264</v>
      </c>
      <c r="V53" s="78">
        <f t="shared" si="1"/>
        <v>0</v>
      </c>
    </row>
    <row r="54" spans="1:22" s="4" customFormat="1">
      <c r="A54" s="89">
        <v>1238480</v>
      </c>
      <c r="B54" s="91">
        <v>977</v>
      </c>
      <c r="C54" s="91">
        <v>0</v>
      </c>
      <c r="D54" s="91">
        <v>0</v>
      </c>
      <c r="E54" s="91">
        <v>0</v>
      </c>
      <c r="F54" s="91">
        <v>1525</v>
      </c>
      <c r="G54" s="91">
        <v>1270</v>
      </c>
      <c r="H54" s="91">
        <v>1136</v>
      </c>
      <c r="I54" s="91">
        <v>760</v>
      </c>
      <c r="J54" s="91">
        <v>0</v>
      </c>
      <c r="K54" s="91">
        <v>0</v>
      </c>
      <c r="L54" s="91">
        <v>1308</v>
      </c>
      <c r="M54" s="91">
        <v>1640</v>
      </c>
      <c r="N54" s="91">
        <v>876</v>
      </c>
      <c r="O54" s="91">
        <v>1308</v>
      </c>
      <c r="P54" s="91">
        <v>1002</v>
      </c>
      <c r="Q54" s="91">
        <v>0</v>
      </c>
      <c r="R54" s="91">
        <v>0</v>
      </c>
      <c r="T54" s="182">
        <f t="shared" si="0"/>
        <v>11802</v>
      </c>
      <c r="U54" s="4">
        <f>VLOOKUP(A54,[5]sheet1!$A$2:$T$38,20,0)</f>
        <v>12784</v>
      </c>
      <c r="V54" s="182">
        <f t="shared" si="1"/>
        <v>982</v>
      </c>
    </row>
    <row r="55" spans="1:22">
      <c r="A55" s="30">
        <v>1238453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17">
        <v>57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T55" s="78">
        <f t="shared" si="0"/>
        <v>57</v>
      </c>
      <c r="U55" s="5">
        <f>VLOOKUP(A55,[5]sheet1!$A$2:$T$38,20,0)</f>
        <v>57</v>
      </c>
      <c r="V55" s="78">
        <f t="shared" si="1"/>
        <v>0</v>
      </c>
    </row>
    <row r="56" spans="1:22">
      <c r="A56" s="30">
        <v>1240029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400</v>
      </c>
      <c r="P56" s="32">
        <v>300</v>
      </c>
      <c r="Q56" s="32">
        <v>0</v>
      </c>
      <c r="R56" s="32">
        <v>0</v>
      </c>
      <c r="T56" s="78">
        <f t="shared" si="0"/>
        <v>700</v>
      </c>
      <c r="U56" s="5">
        <f>VLOOKUP(A56,[5]sheet1!$A$2:$T$38,20,0)</f>
        <v>700</v>
      </c>
      <c r="V56" s="78">
        <f t="shared" si="1"/>
        <v>0</v>
      </c>
    </row>
    <row r="57" spans="1:22">
      <c r="A57" s="30">
        <v>1240032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400</v>
      </c>
      <c r="P57" s="32">
        <v>300</v>
      </c>
      <c r="Q57" s="32">
        <v>0</v>
      </c>
      <c r="R57" s="32">
        <v>0</v>
      </c>
      <c r="T57" s="78">
        <f t="shared" si="0"/>
        <v>700</v>
      </c>
      <c r="U57" s="5">
        <f>VLOOKUP(A57,[5]sheet1!$A$2:$T$38,20,0)</f>
        <v>700</v>
      </c>
      <c r="V57" s="78">
        <f t="shared" si="1"/>
        <v>0</v>
      </c>
    </row>
    <row r="58" spans="1:22">
      <c r="A58" s="30">
        <v>1240180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310</v>
      </c>
      <c r="M58" s="32">
        <v>100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T58" s="78">
        <f t="shared" si="0"/>
        <v>410</v>
      </c>
      <c r="U58" s="5">
        <f>VLOOKUP(A58,[5]sheet1!$A$2:$T$38,20,0)</f>
        <v>410</v>
      </c>
      <c r="V58" s="78">
        <f t="shared" si="1"/>
        <v>0</v>
      </c>
    </row>
    <row r="59" spans="1:22">
      <c r="A59" s="30">
        <v>1240184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310</v>
      </c>
      <c r="M59" s="32">
        <v>100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T59" s="78">
        <f t="shared" si="0"/>
        <v>410</v>
      </c>
      <c r="U59" s="5">
        <f>VLOOKUP(A59,[5]sheet1!$A$2:$T$38,20,0)</f>
        <v>410</v>
      </c>
      <c r="V59" s="78">
        <f t="shared" si="1"/>
        <v>0</v>
      </c>
    </row>
    <row r="60" spans="1:22">
      <c r="A60" s="30">
        <v>1216452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76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T60" s="78">
        <f t="shared" si="0"/>
        <v>76</v>
      </c>
      <c r="U60" s="5">
        <f>VLOOKUP(A60,[5]sheet1!$A$2:$T$38,20,0)</f>
        <v>76</v>
      </c>
      <c r="V60" s="78">
        <f t="shared" si="1"/>
        <v>0</v>
      </c>
    </row>
    <row r="61" spans="1:22" s="4" customFormat="1">
      <c r="A61" s="89">
        <v>1232894</v>
      </c>
      <c r="B61" s="91">
        <v>0</v>
      </c>
      <c r="C61" s="91">
        <v>0</v>
      </c>
      <c r="D61" s="91">
        <v>0</v>
      </c>
      <c r="E61" s="91">
        <v>0</v>
      </c>
      <c r="F61" s="91">
        <v>0</v>
      </c>
      <c r="G61" s="91">
        <v>0</v>
      </c>
      <c r="H61" s="91">
        <v>301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T61" s="182">
        <f t="shared" si="0"/>
        <v>301</v>
      </c>
      <c r="U61" s="4">
        <f>VLOOKUP(A61,[5]sheet1!$A$2:$T$38,20,0)</f>
        <v>877</v>
      </c>
      <c r="V61" s="182">
        <f t="shared" si="1"/>
        <v>576</v>
      </c>
    </row>
    <row r="62" spans="1:22">
      <c r="A62" s="30">
        <v>1233385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17">
        <v>301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T62" s="78">
        <f t="shared" si="0"/>
        <v>301</v>
      </c>
      <c r="U62" s="5">
        <f>VLOOKUP(A62,[5]sheet1!$A$2:$T$38,20,0)</f>
        <v>301</v>
      </c>
      <c r="V62" s="78">
        <f t="shared" si="1"/>
        <v>0</v>
      </c>
    </row>
    <row r="63" spans="1:22">
      <c r="A63" s="30">
        <v>1232895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17">
        <v>60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T63" s="78">
        <f t="shared" si="0"/>
        <v>60</v>
      </c>
      <c r="U63" s="5">
        <f>VLOOKUP(A63,[5]sheet1!$A$2:$T$38,20,0)</f>
        <v>60</v>
      </c>
      <c r="V63" s="78">
        <f t="shared" si="1"/>
        <v>0</v>
      </c>
    </row>
    <row r="64" spans="1:22">
      <c r="A64" s="30">
        <v>1232922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17">
        <v>60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T64" s="78">
        <f t="shared" si="0"/>
        <v>60</v>
      </c>
      <c r="U64" s="5">
        <f>VLOOKUP(A64,[5]sheet1!$A$2:$T$38,20,0)</f>
        <v>60</v>
      </c>
      <c r="V64" s="78">
        <f t="shared" si="1"/>
        <v>0</v>
      </c>
    </row>
    <row r="65" spans="1:22">
      <c r="A65" s="30">
        <v>1233580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200</v>
      </c>
      <c r="P65" s="32">
        <v>0</v>
      </c>
      <c r="Q65" s="32">
        <v>0</v>
      </c>
      <c r="R65" s="32">
        <v>0</v>
      </c>
      <c r="T65" s="78">
        <f t="shared" si="0"/>
        <v>200</v>
      </c>
      <c r="U65" s="5">
        <f>VLOOKUP(A65,[5]sheet1!$A$2:$T$38,20,0)</f>
        <v>200</v>
      </c>
      <c r="V65" s="78">
        <f t="shared" si="1"/>
        <v>0</v>
      </c>
    </row>
    <row r="67" spans="1:22">
      <c r="B67" s="9">
        <f>SUM(B30:B66)</f>
        <v>1845</v>
      </c>
      <c r="C67" s="9">
        <f t="shared" ref="C67:R67" si="2">SUM(C30:C66)</f>
        <v>0</v>
      </c>
      <c r="D67" s="9">
        <f t="shared" si="2"/>
        <v>0</v>
      </c>
      <c r="E67" s="9">
        <f t="shared" si="2"/>
        <v>0</v>
      </c>
      <c r="F67" s="9">
        <f t="shared" si="2"/>
        <v>4372</v>
      </c>
      <c r="G67" s="9">
        <f t="shared" si="2"/>
        <v>4340</v>
      </c>
      <c r="H67" s="9">
        <f t="shared" si="2"/>
        <v>4635</v>
      </c>
      <c r="I67" s="9">
        <f t="shared" si="2"/>
        <v>2261</v>
      </c>
      <c r="J67" s="9">
        <f t="shared" si="2"/>
        <v>0</v>
      </c>
      <c r="K67" s="9">
        <f t="shared" si="2"/>
        <v>0</v>
      </c>
      <c r="L67" s="9">
        <f t="shared" si="2"/>
        <v>3822</v>
      </c>
      <c r="M67" s="9">
        <f t="shared" si="2"/>
        <v>3788</v>
      </c>
      <c r="N67" s="9">
        <f t="shared" si="2"/>
        <v>2602</v>
      </c>
      <c r="O67" s="9">
        <f t="shared" si="2"/>
        <v>4364</v>
      </c>
      <c r="P67" s="9">
        <f t="shared" si="2"/>
        <v>4086</v>
      </c>
      <c r="Q67" s="9">
        <f t="shared" si="2"/>
        <v>0</v>
      </c>
      <c r="R67" s="9">
        <f t="shared" si="2"/>
        <v>0</v>
      </c>
    </row>
    <row r="68" spans="1:22">
      <c r="B68" s="9">
        <v>1845</v>
      </c>
      <c r="C68" s="9">
        <v>0</v>
      </c>
      <c r="D68" s="9">
        <v>0</v>
      </c>
      <c r="E68" s="9">
        <v>0</v>
      </c>
      <c r="F68" s="9">
        <v>3585</v>
      </c>
      <c r="G68" s="9">
        <v>2994</v>
      </c>
      <c r="H68" s="9">
        <v>3794</v>
      </c>
      <c r="I68" s="9">
        <v>2176</v>
      </c>
      <c r="J68" s="9">
        <v>0</v>
      </c>
      <c r="K68" s="9">
        <v>0</v>
      </c>
      <c r="L68" s="9">
        <v>6938</v>
      </c>
      <c r="M68" s="9">
        <v>3246</v>
      </c>
      <c r="N68" s="9">
        <v>2050</v>
      </c>
      <c r="O68" s="9">
        <v>3785</v>
      </c>
      <c r="P68" s="9">
        <v>11092</v>
      </c>
      <c r="Q68" s="9">
        <v>0</v>
      </c>
      <c r="R68" s="9">
        <v>0</v>
      </c>
    </row>
    <row r="69" spans="1:22">
      <c r="B69" s="9">
        <f>+B67-B68</f>
        <v>0</v>
      </c>
      <c r="C69" s="9">
        <f t="shared" ref="C69:R69" si="3">+C67-C68</f>
        <v>0</v>
      </c>
      <c r="D69" s="9">
        <f t="shared" si="3"/>
        <v>0</v>
      </c>
      <c r="E69" s="9">
        <f t="shared" si="3"/>
        <v>0</v>
      </c>
      <c r="F69" s="9">
        <f t="shared" si="3"/>
        <v>787</v>
      </c>
      <c r="G69" s="9">
        <f t="shared" si="3"/>
        <v>1346</v>
      </c>
      <c r="H69" s="9">
        <f t="shared" si="3"/>
        <v>841</v>
      </c>
      <c r="I69" s="9">
        <f t="shared" si="3"/>
        <v>85</v>
      </c>
      <c r="J69" s="9">
        <f t="shared" si="3"/>
        <v>0</v>
      </c>
      <c r="K69" s="9">
        <f t="shared" si="3"/>
        <v>0</v>
      </c>
      <c r="L69" s="9">
        <f t="shared" si="3"/>
        <v>-3116</v>
      </c>
      <c r="M69" s="9">
        <f t="shared" si="3"/>
        <v>542</v>
      </c>
      <c r="N69" s="9">
        <f t="shared" si="3"/>
        <v>552</v>
      </c>
      <c r="O69" s="9">
        <f t="shared" si="3"/>
        <v>579</v>
      </c>
      <c r="P69" s="9">
        <f t="shared" si="3"/>
        <v>-7006</v>
      </c>
      <c r="Q69" s="9">
        <f t="shared" si="3"/>
        <v>0</v>
      </c>
      <c r="R69" s="9">
        <f t="shared" si="3"/>
        <v>0</v>
      </c>
    </row>
  </sheetData>
  <autoFilter ref="A1:R18" xr:uid="{EA76245F-7BFB-4725-890E-33D9649A85A3}"/>
  <phoneticPr fontId="1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5DB8-6CD0-4ACA-852C-49FFFBE0551D}">
  <dimension ref="A1:Y80"/>
  <sheetViews>
    <sheetView topLeftCell="A28" zoomScaleNormal="100" workbookViewId="0">
      <selection activeCell="I28" sqref="I1:I1048576"/>
    </sheetView>
  </sheetViews>
  <sheetFormatPr defaultColWidth="9.33203125" defaultRowHeight="12"/>
  <cols>
    <col min="1" max="1" width="13.33203125" style="19" bestFit="1" customWidth="1"/>
    <col min="2" max="2" width="9.6640625" style="9" bestFit="1" customWidth="1"/>
    <col min="3" max="20" width="9.5" style="9" customWidth="1"/>
    <col min="21" max="21" width="9.6640625" style="9" bestFit="1" customWidth="1"/>
    <col min="22" max="16384" width="9.33203125" style="5"/>
  </cols>
  <sheetData>
    <row r="1" spans="1:25">
      <c r="A1" s="19" t="s">
        <v>0</v>
      </c>
      <c r="B1" s="9" t="s">
        <v>879</v>
      </c>
      <c r="C1" s="9" t="s">
        <v>880</v>
      </c>
      <c r="D1" s="9" t="s">
        <v>884</v>
      </c>
      <c r="E1" s="18" t="s">
        <v>883</v>
      </c>
      <c r="F1" s="9" t="s">
        <v>882</v>
      </c>
      <c r="G1" s="9" t="s">
        <v>881</v>
      </c>
      <c r="H1" s="9" t="s">
        <v>920</v>
      </c>
      <c r="I1" s="9" t="s">
        <v>921</v>
      </c>
      <c r="J1" s="9" t="s">
        <v>922</v>
      </c>
      <c r="K1" s="9" t="s">
        <v>923</v>
      </c>
      <c r="L1" s="9" t="s">
        <v>924</v>
      </c>
      <c r="M1" s="9" t="s">
        <v>925</v>
      </c>
      <c r="N1" s="9" t="s">
        <v>926</v>
      </c>
      <c r="O1" s="9" t="s">
        <v>932</v>
      </c>
      <c r="P1" s="9" t="s">
        <v>933</v>
      </c>
      <c r="Q1" s="9" t="s">
        <v>934</v>
      </c>
      <c r="R1" s="9" t="s">
        <v>935</v>
      </c>
      <c r="S1" s="9" t="s">
        <v>936</v>
      </c>
      <c r="T1" s="9" t="s">
        <v>937</v>
      </c>
      <c r="U1" s="9" t="s">
        <v>938</v>
      </c>
    </row>
    <row r="2" spans="1:25">
      <c r="A2" s="30">
        <v>1234614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384</v>
      </c>
      <c r="P2" s="32">
        <v>116</v>
      </c>
      <c r="Q2" s="32">
        <v>0</v>
      </c>
      <c r="R2" s="32">
        <v>0</v>
      </c>
      <c r="S2" s="32">
        <v>0</v>
      </c>
      <c r="T2" s="32">
        <v>0</v>
      </c>
      <c r="U2" s="32">
        <v>0</v>
      </c>
      <c r="V2" s="78"/>
      <c r="W2" s="78">
        <f>SUM(B2:U2)</f>
        <v>500</v>
      </c>
      <c r="X2" s="78">
        <v>500</v>
      </c>
      <c r="Y2" s="78">
        <f>+W2-X2</f>
        <v>0</v>
      </c>
    </row>
    <row r="3" spans="1:25">
      <c r="A3" s="30">
        <v>1226384</v>
      </c>
      <c r="B3" s="32">
        <v>200</v>
      </c>
      <c r="C3" s="32">
        <v>200</v>
      </c>
      <c r="D3" s="32">
        <v>330</v>
      </c>
      <c r="E3" s="17">
        <v>330</v>
      </c>
      <c r="F3" s="32">
        <v>0</v>
      </c>
      <c r="G3" s="32">
        <v>0</v>
      </c>
      <c r="H3" s="32">
        <v>0</v>
      </c>
      <c r="I3" s="32">
        <v>0</v>
      </c>
      <c r="J3" s="32">
        <v>100</v>
      </c>
      <c r="K3" s="32">
        <v>500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  <c r="V3" s="78"/>
      <c r="W3" s="78">
        <f t="shared" ref="W3:W20" si="0">SUM(B3:U3)</f>
        <v>1660</v>
      </c>
      <c r="X3" s="78">
        <v>1660</v>
      </c>
      <c r="Y3" s="78">
        <f t="shared" ref="Y3:Y20" si="1">+W3-X3</f>
        <v>0</v>
      </c>
    </row>
    <row r="4" spans="1:25">
      <c r="A4" s="30">
        <v>1226388</v>
      </c>
      <c r="B4" s="32">
        <v>200</v>
      </c>
      <c r="C4" s="32">
        <v>200</v>
      </c>
      <c r="D4" s="32">
        <v>330</v>
      </c>
      <c r="E4" s="17">
        <v>330</v>
      </c>
      <c r="F4" s="32">
        <v>0</v>
      </c>
      <c r="G4" s="32">
        <v>0</v>
      </c>
      <c r="H4" s="32">
        <v>0</v>
      </c>
      <c r="I4" s="32">
        <v>0</v>
      </c>
      <c r="J4" s="32">
        <v>100</v>
      </c>
      <c r="K4" s="32">
        <v>500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  <c r="V4" s="78"/>
      <c r="W4" s="78">
        <f t="shared" si="0"/>
        <v>1660</v>
      </c>
      <c r="X4" s="78">
        <v>1660</v>
      </c>
      <c r="Y4" s="78">
        <f t="shared" si="1"/>
        <v>0</v>
      </c>
    </row>
    <row r="5" spans="1:25">
      <c r="A5" s="30">
        <v>1229673</v>
      </c>
      <c r="B5" s="32">
        <v>300</v>
      </c>
      <c r="C5" s="32">
        <v>200</v>
      </c>
      <c r="D5" s="32">
        <v>200</v>
      </c>
      <c r="E5" s="17">
        <v>200</v>
      </c>
      <c r="F5" s="32">
        <v>0</v>
      </c>
      <c r="G5" s="32">
        <v>0</v>
      </c>
      <c r="H5" s="32">
        <v>200</v>
      </c>
      <c r="I5" s="32">
        <v>200</v>
      </c>
      <c r="J5" s="32">
        <v>0</v>
      </c>
      <c r="K5" s="32">
        <v>250</v>
      </c>
      <c r="L5" s="32">
        <v>250</v>
      </c>
      <c r="M5" s="32">
        <v>0</v>
      </c>
      <c r="N5" s="32">
        <v>0</v>
      </c>
      <c r="O5" s="32">
        <v>200</v>
      </c>
      <c r="P5" s="32">
        <v>200</v>
      </c>
      <c r="Q5" s="32">
        <v>222</v>
      </c>
      <c r="R5" s="32">
        <v>200</v>
      </c>
      <c r="S5" s="32">
        <v>0</v>
      </c>
      <c r="T5" s="32">
        <v>0</v>
      </c>
      <c r="U5" s="32">
        <v>0</v>
      </c>
      <c r="V5" s="78"/>
      <c r="W5" s="78">
        <f t="shared" si="0"/>
        <v>2622</v>
      </c>
      <c r="X5" s="78">
        <v>2622</v>
      </c>
      <c r="Y5" s="78">
        <f t="shared" si="1"/>
        <v>0</v>
      </c>
    </row>
    <row r="6" spans="1:25">
      <c r="A6" s="30">
        <v>1230854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100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78"/>
      <c r="W6" s="78">
        <f t="shared" si="0"/>
        <v>100</v>
      </c>
      <c r="X6" s="78">
        <v>100</v>
      </c>
      <c r="Y6" s="78">
        <f t="shared" si="1"/>
        <v>0</v>
      </c>
    </row>
    <row r="7" spans="1:25">
      <c r="A7" s="30">
        <v>1235623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416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78"/>
      <c r="W7" s="78">
        <f t="shared" si="0"/>
        <v>416</v>
      </c>
      <c r="X7" s="78">
        <v>416</v>
      </c>
      <c r="Y7" s="78">
        <f t="shared" si="1"/>
        <v>0</v>
      </c>
    </row>
    <row r="8" spans="1:25">
      <c r="A8" s="30">
        <v>1237088</v>
      </c>
      <c r="B8" s="32">
        <v>860</v>
      </c>
      <c r="C8" s="32">
        <v>248</v>
      </c>
      <c r="D8" s="32">
        <v>1024</v>
      </c>
      <c r="E8" s="17">
        <v>666</v>
      </c>
      <c r="F8" s="32">
        <v>0</v>
      </c>
      <c r="G8" s="32">
        <v>0</v>
      </c>
      <c r="H8" s="32">
        <v>848</v>
      </c>
      <c r="I8" s="32">
        <v>610</v>
      </c>
      <c r="J8" s="32">
        <v>0</v>
      </c>
      <c r="K8" s="32">
        <v>258</v>
      </c>
      <c r="L8" s="32">
        <v>744</v>
      </c>
      <c r="M8" s="32">
        <v>0</v>
      </c>
      <c r="N8" s="32">
        <v>0</v>
      </c>
      <c r="O8" s="32">
        <v>920</v>
      </c>
      <c r="P8" s="32">
        <v>960</v>
      </c>
      <c r="Q8" s="32">
        <v>0</v>
      </c>
      <c r="R8" s="32">
        <v>300</v>
      </c>
      <c r="S8" s="32">
        <v>0</v>
      </c>
      <c r="T8" s="32">
        <v>0</v>
      </c>
      <c r="U8" s="32">
        <v>0</v>
      </c>
      <c r="V8" s="78"/>
      <c r="W8" s="78">
        <f t="shared" si="0"/>
        <v>7438</v>
      </c>
      <c r="X8" s="78">
        <v>7438</v>
      </c>
      <c r="Y8" s="78">
        <f t="shared" si="1"/>
        <v>0</v>
      </c>
    </row>
    <row r="9" spans="1:25">
      <c r="A9" s="30">
        <v>1237748</v>
      </c>
      <c r="B9" s="32">
        <v>78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522</v>
      </c>
      <c r="S9" s="32">
        <v>50</v>
      </c>
      <c r="T9" s="32">
        <v>0</v>
      </c>
      <c r="U9" s="32">
        <v>0</v>
      </c>
      <c r="V9" s="78"/>
      <c r="W9" s="78">
        <f t="shared" si="0"/>
        <v>650</v>
      </c>
      <c r="X9" s="78">
        <v>650</v>
      </c>
      <c r="Y9" s="78">
        <f t="shared" si="1"/>
        <v>0</v>
      </c>
    </row>
    <row r="10" spans="1:25">
      <c r="A10" s="30">
        <v>1236091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350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300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78"/>
      <c r="W10" s="78">
        <f t="shared" si="0"/>
        <v>650</v>
      </c>
      <c r="X10" s="78">
        <v>650</v>
      </c>
      <c r="Y10" s="78">
        <f t="shared" si="1"/>
        <v>0</v>
      </c>
    </row>
    <row r="11" spans="1:25">
      <c r="A11" s="30">
        <v>1238128</v>
      </c>
      <c r="B11" s="32">
        <v>562</v>
      </c>
      <c r="C11" s="32">
        <v>692</v>
      </c>
      <c r="D11" s="32">
        <v>1180</v>
      </c>
      <c r="E11" s="17">
        <v>928</v>
      </c>
      <c r="F11" s="32">
        <v>0</v>
      </c>
      <c r="G11" s="32">
        <v>0</v>
      </c>
      <c r="H11" s="32">
        <v>112</v>
      </c>
      <c r="I11" s="32">
        <v>386</v>
      </c>
      <c r="J11" s="32">
        <v>464</v>
      </c>
      <c r="K11" s="32">
        <v>590</v>
      </c>
      <c r="L11" s="32">
        <v>464</v>
      </c>
      <c r="M11" s="32">
        <v>0</v>
      </c>
      <c r="N11" s="32">
        <v>0</v>
      </c>
      <c r="O11" s="32">
        <v>200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78"/>
      <c r="W11" s="78">
        <f t="shared" si="0"/>
        <v>5578</v>
      </c>
      <c r="X11" s="78">
        <v>5578</v>
      </c>
      <c r="Y11" s="78">
        <f t="shared" si="1"/>
        <v>0</v>
      </c>
    </row>
    <row r="12" spans="1:25">
      <c r="A12" s="30">
        <v>1236962</v>
      </c>
      <c r="B12" s="32">
        <v>0</v>
      </c>
      <c r="C12" s="32">
        <v>300</v>
      </c>
      <c r="D12" s="32">
        <v>200</v>
      </c>
      <c r="E12" s="17">
        <v>200</v>
      </c>
      <c r="F12" s="32">
        <v>0</v>
      </c>
      <c r="G12" s="32">
        <v>0</v>
      </c>
      <c r="H12" s="32">
        <v>186</v>
      </c>
      <c r="I12" s="32">
        <v>200</v>
      </c>
      <c r="J12" s="32">
        <v>214</v>
      </c>
      <c r="K12" s="32">
        <v>200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300</v>
      </c>
      <c r="R12" s="32">
        <v>300</v>
      </c>
      <c r="S12" s="32">
        <v>230</v>
      </c>
      <c r="T12" s="32">
        <v>0</v>
      </c>
      <c r="U12" s="32">
        <v>0</v>
      </c>
      <c r="V12" s="78"/>
      <c r="W12" s="78">
        <f t="shared" si="0"/>
        <v>2330</v>
      </c>
      <c r="X12" s="78">
        <v>2330</v>
      </c>
      <c r="Y12" s="78">
        <f t="shared" si="1"/>
        <v>0</v>
      </c>
    </row>
    <row r="13" spans="1:25">
      <c r="A13" s="30">
        <v>1233761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300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140</v>
      </c>
      <c r="T13" s="32">
        <v>0</v>
      </c>
      <c r="U13" s="32">
        <v>0</v>
      </c>
      <c r="V13" s="78"/>
      <c r="W13" s="78">
        <f t="shared" si="0"/>
        <v>440</v>
      </c>
      <c r="X13" s="78">
        <v>440</v>
      </c>
      <c r="Y13" s="78">
        <f t="shared" si="1"/>
        <v>0</v>
      </c>
    </row>
    <row r="14" spans="1:25">
      <c r="A14" s="30">
        <v>1239651</v>
      </c>
      <c r="B14" s="32">
        <v>200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400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500</v>
      </c>
      <c r="R14" s="32">
        <v>0</v>
      </c>
      <c r="S14" s="32">
        <v>0</v>
      </c>
      <c r="T14" s="32">
        <v>0</v>
      </c>
      <c r="U14" s="32">
        <v>0</v>
      </c>
      <c r="V14" s="78"/>
      <c r="W14" s="78">
        <f t="shared" si="0"/>
        <v>1100</v>
      </c>
      <c r="X14" s="78">
        <v>1100</v>
      </c>
      <c r="Y14" s="78">
        <f t="shared" si="1"/>
        <v>0</v>
      </c>
    </row>
    <row r="15" spans="1:25">
      <c r="A15" s="30">
        <v>1241134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182</v>
      </c>
      <c r="L15" s="32">
        <v>97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78"/>
      <c r="W15" s="78">
        <f t="shared" si="0"/>
        <v>279</v>
      </c>
      <c r="X15" s="78">
        <v>279</v>
      </c>
      <c r="Y15" s="78">
        <f t="shared" si="1"/>
        <v>0</v>
      </c>
    </row>
    <row r="16" spans="1:25">
      <c r="A16" s="30">
        <v>1239988</v>
      </c>
      <c r="B16" s="32">
        <v>442</v>
      </c>
      <c r="C16" s="32">
        <v>44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150</v>
      </c>
      <c r="M16" s="32">
        <v>0</v>
      </c>
      <c r="N16" s="32">
        <v>0</v>
      </c>
      <c r="O16" s="32">
        <v>501</v>
      </c>
      <c r="P16" s="32">
        <v>502</v>
      </c>
      <c r="Q16" s="32">
        <v>394</v>
      </c>
      <c r="R16" s="32">
        <v>502</v>
      </c>
      <c r="S16" s="32">
        <v>394</v>
      </c>
      <c r="T16" s="32">
        <v>0</v>
      </c>
      <c r="U16" s="32">
        <v>0</v>
      </c>
      <c r="V16" s="78"/>
      <c r="W16" s="78">
        <f t="shared" si="0"/>
        <v>2929</v>
      </c>
      <c r="X16" s="78">
        <v>2929</v>
      </c>
      <c r="Y16" s="78">
        <f t="shared" si="1"/>
        <v>0</v>
      </c>
    </row>
    <row r="17" spans="1:25">
      <c r="A17" s="111">
        <v>1240180</v>
      </c>
      <c r="B17" s="32">
        <v>0</v>
      </c>
      <c r="C17" s="32">
        <v>270</v>
      </c>
      <c r="D17" s="32">
        <v>410</v>
      </c>
      <c r="E17" s="17">
        <v>322</v>
      </c>
      <c r="F17" s="32">
        <v>0</v>
      </c>
      <c r="G17" s="32">
        <v>0</v>
      </c>
      <c r="H17" s="32">
        <v>420</v>
      </c>
      <c r="I17" s="32">
        <v>588</v>
      </c>
      <c r="J17" s="32">
        <v>656</v>
      </c>
      <c r="K17" s="32">
        <v>670</v>
      </c>
      <c r="L17" s="32">
        <v>268</v>
      </c>
      <c r="M17" s="32">
        <v>0</v>
      </c>
      <c r="N17" s="32">
        <v>0</v>
      </c>
      <c r="O17" s="32">
        <v>396</v>
      </c>
      <c r="P17" s="32">
        <v>396</v>
      </c>
      <c r="Q17" s="32">
        <v>310</v>
      </c>
      <c r="R17" s="32">
        <v>396</v>
      </c>
      <c r="S17" s="32">
        <v>310</v>
      </c>
      <c r="T17" s="32">
        <v>0</v>
      </c>
      <c r="U17" s="32">
        <v>0</v>
      </c>
      <c r="V17" s="78"/>
      <c r="W17" s="78">
        <f t="shared" si="0"/>
        <v>5412</v>
      </c>
      <c r="X17" s="78">
        <v>5412</v>
      </c>
      <c r="Y17" s="78">
        <f t="shared" si="1"/>
        <v>0</v>
      </c>
    </row>
    <row r="18" spans="1:25">
      <c r="A18" s="111">
        <v>1240184</v>
      </c>
      <c r="B18" s="32">
        <v>0</v>
      </c>
      <c r="C18" s="32">
        <v>270</v>
      </c>
      <c r="D18" s="32">
        <v>410</v>
      </c>
      <c r="E18" s="17">
        <v>322</v>
      </c>
      <c r="F18" s="32">
        <v>0</v>
      </c>
      <c r="G18" s="32">
        <v>0</v>
      </c>
      <c r="H18" s="32">
        <v>420</v>
      </c>
      <c r="I18" s="32">
        <v>588</v>
      </c>
      <c r="J18" s="32">
        <v>656</v>
      </c>
      <c r="K18" s="32">
        <v>416</v>
      </c>
      <c r="L18" s="32">
        <v>72</v>
      </c>
      <c r="M18" s="32">
        <v>0</v>
      </c>
      <c r="N18" s="32">
        <v>0</v>
      </c>
      <c r="O18" s="32">
        <v>396</v>
      </c>
      <c r="P18" s="32">
        <v>396</v>
      </c>
      <c r="Q18" s="32">
        <v>310</v>
      </c>
      <c r="R18" s="32">
        <v>396</v>
      </c>
      <c r="S18" s="32">
        <v>226</v>
      </c>
      <c r="T18" s="32">
        <v>0</v>
      </c>
      <c r="U18" s="32">
        <v>0</v>
      </c>
      <c r="V18" s="78"/>
      <c r="W18" s="78">
        <f t="shared" si="0"/>
        <v>4878</v>
      </c>
      <c r="X18" s="5">
        <v>4878</v>
      </c>
      <c r="Y18" s="78">
        <f t="shared" si="1"/>
        <v>0</v>
      </c>
    </row>
    <row r="19" spans="1:25">
      <c r="A19" s="111">
        <v>1240308</v>
      </c>
      <c r="B19" s="32">
        <v>150</v>
      </c>
      <c r="C19" s="32">
        <v>300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450</v>
      </c>
      <c r="K19" s="32">
        <v>420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450</v>
      </c>
      <c r="S19" s="32">
        <v>376</v>
      </c>
      <c r="T19" s="32">
        <v>0</v>
      </c>
      <c r="U19" s="32">
        <v>0</v>
      </c>
      <c r="W19" s="78">
        <f t="shared" si="0"/>
        <v>2146</v>
      </c>
      <c r="X19" s="5">
        <v>2146</v>
      </c>
      <c r="Y19" s="78">
        <f t="shared" si="1"/>
        <v>0</v>
      </c>
    </row>
    <row r="20" spans="1:25">
      <c r="A20" s="30">
        <v>1241601</v>
      </c>
      <c r="B20" s="32">
        <v>1494</v>
      </c>
      <c r="C20" s="32">
        <v>870</v>
      </c>
      <c r="D20" s="32">
        <v>764</v>
      </c>
      <c r="E20" s="17">
        <v>600</v>
      </c>
      <c r="F20" s="32">
        <v>0</v>
      </c>
      <c r="G20" s="32">
        <v>0</v>
      </c>
      <c r="H20" s="32">
        <v>930</v>
      </c>
      <c r="I20" s="32">
        <v>1182</v>
      </c>
      <c r="J20" s="32">
        <v>614</v>
      </c>
      <c r="K20" s="32">
        <v>508</v>
      </c>
      <c r="L20" s="32">
        <v>678</v>
      </c>
      <c r="M20" s="32">
        <v>0</v>
      </c>
      <c r="N20" s="32">
        <v>0</v>
      </c>
      <c r="O20" s="32">
        <v>782</v>
      </c>
      <c r="P20" s="32">
        <v>618</v>
      </c>
      <c r="Q20" s="32">
        <v>0</v>
      </c>
      <c r="R20" s="32">
        <v>760</v>
      </c>
      <c r="S20" s="32">
        <v>614</v>
      </c>
      <c r="T20" s="32">
        <v>0</v>
      </c>
      <c r="U20" s="32">
        <v>0</v>
      </c>
      <c r="W20" s="78">
        <f t="shared" si="0"/>
        <v>10414</v>
      </c>
      <c r="X20" s="5">
        <v>10414</v>
      </c>
      <c r="Y20" s="78">
        <f t="shared" si="1"/>
        <v>0</v>
      </c>
    </row>
    <row r="22" spans="1:25">
      <c r="B22" s="9">
        <f>SUM(B2:B21)</f>
        <v>4486</v>
      </c>
      <c r="C22" s="9">
        <f t="shared" ref="C22:U22" si="2">SUM(C2:C21)</f>
        <v>3594</v>
      </c>
      <c r="D22" s="9">
        <f t="shared" si="2"/>
        <v>4848</v>
      </c>
      <c r="E22" s="9">
        <f t="shared" si="2"/>
        <v>3898</v>
      </c>
      <c r="F22" s="9">
        <f t="shared" si="2"/>
        <v>0</v>
      </c>
      <c r="G22" s="9">
        <f t="shared" si="2"/>
        <v>0</v>
      </c>
      <c r="H22" s="9">
        <f t="shared" si="2"/>
        <v>3932</v>
      </c>
      <c r="I22" s="9">
        <f t="shared" si="2"/>
        <v>4104</v>
      </c>
      <c r="J22" s="9">
        <f t="shared" si="2"/>
        <v>3254</v>
      </c>
      <c r="K22" s="9">
        <f t="shared" si="2"/>
        <v>4494</v>
      </c>
      <c r="L22" s="9">
        <f t="shared" si="2"/>
        <v>3023</v>
      </c>
      <c r="M22" s="9">
        <f t="shared" si="2"/>
        <v>0</v>
      </c>
      <c r="N22" s="9">
        <f t="shared" si="2"/>
        <v>0</v>
      </c>
      <c r="O22" s="9">
        <f t="shared" si="2"/>
        <v>4179</v>
      </c>
      <c r="P22" s="9">
        <f t="shared" si="2"/>
        <v>3188</v>
      </c>
      <c r="Q22" s="9">
        <f t="shared" si="2"/>
        <v>2036</v>
      </c>
      <c r="R22" s="9">
        <f t="shared" si="2"/>
        <v>3826</v>
      </c>
      <c r="S22" s="9">
        <f t="shared" si="2"/>
        <v>2340</v>
      </c>
      <c r="T22" s="9">
        <f t="shared" si="2"/>
        <v>0</v>
      </c>
      <c r="U22" s="9">
        <f t="shared" si="2"/>
        <v>0</v>
      </c>
    </row>
    <row r="23" spans="1:25">
      <c r="B23" s="9">
        <v>4486</v>
      </c>
      <c r="C23" s="9">
        <v>3594</v>
      </c>
      <c r="D23" s="9">
        <v>4848</v>
      </c>
      <c r="E23" s="9">
        <v>3898</v>
      </c>
      <c r="F23" s="9">
        <v>0</v>
      </c>
      <c r="G23" s="9">
        <v>0</v>
      </c>
      <c r="H23" s="9">
        <v>3932</v>
      </c>
      <c r="I23" s="9">
        <v>4104</v>
      </c>
      <c r="J23" s="9">
        <v>3254</v>
      </c>
      <c r="K23" s="9">
        <v>4494</v>
      </c>
      <c r="L23" s="9">
        <v>3023</v>
      </c>
      <c r="M23" s="9">
        <v>0</v>
      </c>
      <c r="N23" s="9">
        <v>0</v>
      </c>
      <c r="O23" s="9">
        <v>4179</v>
      </c>
      <c r="P23" s="9">
        <v>3188</v>
      </c>
      <c r="Q23" s="9">
        <v>2036</v>
      </c>
      <c r="R23" s="9">
        <v>3826</v>
      </c>
      <c r="S23" s="9">
        <v>2340</v>
      </c>
      <c r="T23" s="9">
        <v>0</v>
      </c>
      <c r="U23" s="9">
        <v>0</v>
      </c>
    </row>
    <row r="24" spans="1:25">
      <c r="B24" s="9">
        <f>+B22-B23</f>
        <v>0</v>
      </c>
      <c r="C24" s="9">
        <f t="shared" ref="C24:U24" si="3">+C22-C23</f>
        <v>0</v>
      </c>
      <c r="D24" s="9">
        <f t="shared" si="3"/>
        <v>0</v>
      </c>
      <c r="E24" s="9">
        <f t="shared" si="3"/>
        <v>0</v>
      </c>
      <c r="F24" s="9">
        <f t="shared" si="3"/>
        <v>0</v>
      </c>
      <c r="G24" s="9">
        <f t="shared" si="3"/>
        <v>0</v>
      </c>
      <c r="H24" s="9">
        <f t="shared" si="3"/>
        <v>0</v>
      </c>
      <c r="I24" s="9">
        <f t="shared" si="3"/>
        <v>0</v>
      </c>
      <c r="J24" s="9">
        <f t="shared" si="3"/>
        <v>0</v>
      </c>
      <c r="K24" s="9">
        <f t="shared" si="3"/>
        <v>0</v>
      </c>
      <c r="L24" s="9">
        <f t="shared" si="3"/>
        <v>0</v>
      </c>
      <c r="M24" s="9">
        <f t="shared" si="3"/>
        <v>0</v>
      </c>
      <c r="N24" s="9">
        <f t="shared" si="3"/>
        <v>0</v>
      </c>
      <c r="O24" s="9">
        <f t="shared" si="3"/>
        <v>0</v>
      </c>
      <c r="P24" s="9">
        <f t="shared" si="3"/>
        <v>0</v>
      </c>
      <c r="Q24" s="9">
        <f t="shared" si="3"/>
        <v>0</v>
      </c>
      <c r="R24" s="9">
        <f t="shared" si="3"/>
        <v>0</v>
      </c>
      <c r="S24" s="9">
        <f t="shared" si="3"/>
        <v>0</v>
      </c>
      <c r="T24" s="9">
        <f t="shared" si="3"/>
        <v>0</v>
      </c>
      <c r="U24" s="9">
        <f t="shared" si="3"/>
        <v>0</v>
      </c>
    </row>
    <row r="27" spans="1:25">
      <c r="A27" s="19" t="s">
        <v>0</v>
      </c>
      <c r="B27" s="9" t="s">
        <v>879</v>
      </c>
      <c r="C27" s="9" t="s">
        <v>880</v>
      </c>
      <c r="D27" s="9" t="s">
        <v>884</v>
      </c>
      <c r="E27" s="9" t="s">
        <v>883</v>
      </c>
      <c r="F27" s="9" t="s">
        <v>882</v>
      </c>
      <c r="G27" s="9" t="s">
        <v>881</v>
      </c>
      <c r="H27" s="9" t="s">
        <v>920</v>
      </c>
      <c r="I27" s="9" t="s">
        <v>921</v>
      </c>
      <c r="J27" s="9" t="s">
        <v>922</v>
      </c>
      <c r="K27" s="9" t="s">
        <v>923</v>
      </c>
      <c r="L27" s="9" t="s">
        <v>924</v>
      </c>
      <c r="M27" s="9" t="s">
        <v>925</v>
      </c>
      <c r="N27" s="9" t="s">
        <v>926</v>
      </c>
      <c r="O27" s="9" t="s">
        <v>932</v>
      </c>
      <c r="P27" s="9" t="s">
        <v>933</v>
      </c>
      <c r="Q27" s="9" t="s">
        <v>934</v>
      </c>
      <c r="R27" s="9" t="s">
        <v>935</v>
      </c>
      <c r="S27" s="9" t="s">
        <v>936</v>
      </c>
      <c r="T27" s="9" t="s">
        <v>937</v>
      </c>
      <c r="U27" s="9" t="s">
        <v>938</v>
      </c>
    </row>
    <row r="28" spans="1:25">
      <c r="A28" s="191">
        <v>1237608</v>
      </c>
      <c r="B28" s="32">
        <v>0</v>
      </c>
      <c r="C28" s="32">
        <v>100</v>
      </c>
      <c r="D28" s="32">
        <v>300</v>
      </c>
      <c r="E28" s="32">
        <v>300</v>
      </c>
      <c r="F28" s="32">
        <v>0</v>
      </c>
      <c r="G28" s="32">
        <v>0</v>
      </c>
      <c r="H28" s="32">
        <v>150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</row>
    <row r="29" spans="1:25">
      <c r="A29" s="191">
        <v>1236110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100</v>
      </c>
      <c r="I29" s="32">
        <v>250</v>
      </c>
      <c r="J29" s="32">
        <v>200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</row>
    <row r="30" spans="1:25">
      <c r="A30" s="191">
        <v>1236387</v>
      </c>
      <c r="B30" s="32">
        <v>0</v>
      </c>
      <c r="C30" s="32">
        <v>180</v>
      </c>
      <c r="D30" s="32">
        <v>357</v>
      </c>
      <c r="E30" s="32">
        <v>357</v>
      </c>
      <c r="F30" s="32">
        <v>0</v>
      </c>
      <c r="G30" s="32">
        <v>0</v>
      </c>
      <c r="H30" s="32">
        <v>357</v>
      </c>
      <c r="I30" s="32">
        <v>176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176</v>
      </c>
      <c r="P30" s="32">
        <v>357</v>
      </c>
      <c r="Q30" s="32">
        <v>163</v>
      </c>
      <c r="R30" s="32">
        <v>104</v>
      </c>
      <c r="S30" s="32">
        <v>0</v>
      </c>
      <c r="T30" s="32">
        <v>0</v>
      </c>
      <c r="U30" s="32">
        <v>0</v>
      </c>
    </row>
    <row r="31" spans="1:25">
      <c r="A31" s="191">
        <v>1232775</v>
      </c>
      <c r="B31" s="32">
        <v>324</v>
      </c>
      <c r="C31" s="32">
        <v>98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315</v>
      </c>
      <c r="J31" s="32">
        <v>487</v>
      </c>
      <c r="K31" s="32">
        <v>487</v>
      </c>
      <c r="L31" s="32">
        <v>487</v>
      </c>
      <c r="M31" s="32">
        <v>0</v>
      </c>
      <c r="N31" s="32">
        <v>0</v>
      </c>
      <c r="O31" s="32">
        <v>342</v>
      </c>
      <c r="P31" s="32">
        <v>245</v>
      </c>
      <c r="Q31" s="32">
        <v>109</v>
      </c>
      <c r="R31" s="32">
        <v>200</v>
      </c>
      <c r="S31" s="32">
        <v>0</v>
      </c>
      <c r="T31" s="32">
        <v>0</v>
      </c>
      <c r="U31" s="32">
        <v>0</v>
      </c>
    </row>
    <row r="32" spans="1:25">
      <c r="A32" s="191">
        <v>1230685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220</v>
      </c>
      <c r="S32" s="32">
        <v>330</v>
      </c>
      <c r="T32" s="32">
        <v>0</v>
      </c>
      <c r="U32" s="32">
        <v>0</v>
      </c>
    </row>
    <row r="35" spans="1:21">
      <c r="A35" s="19" t="s">
        <v>0</v>
      </c>
      <c r="B35" s="9" t="s">
        <v>879</v>
      </c>
      <c r="C35" s="9" t="s">
        <v>880</v>
      </c>
      <c r="D35" s="9" t="s">
        <v>884</v>
      </c>
      <c r="E35" s="9" t="s">
        <v>883</v>
      </c>
      <c r="F35" s="9" t="s">
        <v>882</v>
      </c>
      <c r="G35" s="9" t="s">
        <v>881</v>
      </c>
      <c r="H35" s="9" t="s">
        <v>920</v>
      </c>
      <c r="I35" s="9" t="s">
        <v>921</v>
      </c>
      <c r="J35" s="9" t="s">
        <v>922</v>
      </c>
      <c r="K35" s="9" t="s">
        <v>923</v>
      </c>
      <c r="L35" s="9" t="s">
        <v>924</v>
      </c>
      <c r="M35" s="9" t="s">
        <v>925</v>
      </c>
      <c r="N35" s="9" t="s">
        <v>926</v>
      </c>
      <c r="O35" s="9" t="s">
        <v>932</v>
      </c>
      <c r="P35" s="9" t="s">
        <v>933</v>
      </c>
      <c r="Q35" s="9" t="s">
        <v>934</v>
      </c>
      <c r="R35" s="9" t="s">
        <v>935</v>
      </c>
      <c r="S35" s="9" t="s">
        <v>936</v>
      </c>
      <c r="T35" s="9" t="s">
        <v>937</v>
      </c>
      <c r="U35" s="9" t="s">
        <v>938</v>
      </c>
    </row>
    <row r="36" spans="1:21">
      <c r="A36" s="19">
        <v>1234614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216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19">
        <v>1230692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300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38" spans="1:21">
      <c r="A38" s="19">
        <v>1227306</v>
      </c>
      <c r="B38" s="9">
        <v>0</v>
      </c>
      <c r="C38" s="9">
        <v>0</v>
      </c>
      <c r="D38" s="9">
        <v>180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375</v>
      </c>
      <c r="L38" s="9">
        <v>225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39" spans="1:21">
      <c r="A39" s="19">
        <v>1227359</v>
      </c>
      <c r="B39" s="9">
        <v>0</v>
      </c>
      <c r="C39" s="9">
        <v>0</v>
      </c>
      <c r="D39" s="9">
        <v>44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1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</row>
    <row r="40" spans="1:21">
      <c r="A40" s="19">
        <v>1225464</v>
      </c>
      <c r="B40" s="9">
        <v>0</v>
      </c>
      <c r="C40" s="9">
        <v>0</v>
      </c>
      <c r="D40" s="9">
        <v>472</v>
      </c>
      <c r="E40" s="9">
        <v>284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>
      <c r="A41" s="19">
        <v>1231797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130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</row>
    <row r="42" spans="1:21">
      <c r="A42" s="19">
        <v>1229776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90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</row>
    <row r="43" spans="1:21">
      <c r="A43" s="19">
        <v>1231090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510</v>
      </c>
      <c r="I43" s="9">
        <v>0</v>
      </c>
      <c r="J43" s="9">
        <v>510</v>
      </c>
      <c r="K43" s="9">
        <v>0</v>
      </c>
      <c r="L43" s="9">
        <v>570</v>
      </c>
      <c r="M43" s="9">
        <v>0</v>
      </c>
      <c r="N43" s="9">
        <v>0</v>
      </c>
      <c r="O43" s="9">
        <v>90</v>
      </c>
      <c r="P43" s="9">
        <v>0</v>
      </c>
      <c r="Q43" s="9">
        <v>0</v>
      </c>
      <c r="R43" s="9">
        <v>0</v>
      </c>
      <c r="S43" s="9">
        <v>1495</v>
      </c>
      <c r="T43" s="9">
        <v>0</v>
      </c>
      <c r="U43" s="9">
        <v>0</v>
      </c>
    </row>
    <row r="44" spans="1:21">
      <c r="A44" s="19">
        <v>1232693</v>
      </c>
      <c r="B44" s="9">
        <v>521</v>
      </c>
      <c r="C44" s="9">
        <v>613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19">
        <v>1233025</v>
      </c>
      <c r="B45" s="9">
        <v>521</v>
      </c>
      <c r="C45" s="9">
        <v>613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</row>
    <row r="46" spans="1:21">
      <c r="A46" s="19">
        <v>1234222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220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>
      <c r="A47" s="19">
        <v>1232528</v>
      </c>
      <c r="B47" s="9">
        <v>0</v>
      </c>
      <c r="C47" s="9">
        <v>0</v>
      </c>
      <c r="D47" s="9">
        <v>0</v>
      </c>
      <c r="E47" s="9">
        <v>539</v>
      </c>
      <c r="F47" s="9">
        <v>0</v>
      </c>
      <c r="G47" s="9">
        <v>0</v>
      </c>
      <c r="H47" s="9">
        <v>485</v>
      </c>
      <c r="I47" s="9">
        <v>490</v>
      </c>
      <c r="J47" s="9">
        <v>239</v>
      </c>
      <c r="K47" s="9">
        <v>686</v>
      </c>
      <c r="L47" s="9">
        <v>3334</v>
      </c>
      <c r="M47" s="9">
        <v>0</v>
      </c>
      <c r="N47" s="9">
        <v>0</v>
      </c>
      <c r="O47" s="9">
        <v>1225</v>
      </c>
      <c r="P47" s="9">
        <v>1221</v>
      </c>
      <c r="Q47" s="9">
        <v>600</v>
      </c>
      <c r="R47" s="9">
        <v>600</v>
      </c>
      <c r="S47" s="9">
        <v>600</v>
      </c>
      <c r="T47" s="9">
        <v>0</v>
      </c>
      <c r="U47" s="9">
        <v>0</v>
      </c>
    </row>
    <row r="48" spans="1:21">
      <c r="A48" s="19">
        <v>1232846</v>
      </c>
      <c r="B48" s="9">
        <v>0</v>
      </c>
      <c r="C48" s="9">
        <v>0</v>
      </c>
      <c r="D48" s="9">
        <v>361</v>
      </c>
      <c r="E48" s="9">
        <v>0</v>
      </c>
      <c r="F48" s="9">
        <v>0</v>
      </c>
      <c r="G48" s="9">
        <v>0</v>
      </c>
      <c r="H48" s="9">
        <v>576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843</v>
      </c>
      <c r="T48" s="9">
        <v>0</v>
      </c>
      <c r="U48" s="9">
        <v>0</v>
      </c>
    </row>
    <row r="49" spans="1:21">
      <c r="A49" s="19">
        <v>1229050</v>
      </c>
      <c r="B49" s="9">
        <v>0</v>
      </c>
      <c r="C49" s="9">
        <v>315</v>
      </c>
      <c r="D49" s="9">
        <v>30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1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>
      <c r="A50" s="19">
        <v>1233383</v>
      </c>
      <c r="B50" s="9">
        <v>0</v>
      </c>
      <c r="C50" s="9">
        <v>116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100">
        <v>1220847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920</v>
      </c>
      <c r="I51" s="9">
        <v>0</v>
      </c>
      <c r="J51" s="9">
        <v>0</v>
      </c>
      <c r="K51" s="9">
        <v>0</v>
      </c>
      <c r="L51" s="9">
        <v>4330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19">
        <v>1234217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50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19">
        <v>1234111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50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19">
        <v>1234110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50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19">
        <v>1232775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295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141</v>
      </c>
      <c r="T55" s="9">
        <v>0</v>
      </c>
      <c r="U55" s="9">
        <v>0</v>
      </c>
    </row>
    <row r="56" spans="1:21">
      <c r="A56" s="19">
        <v>1235097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250</v>
      </c>
      <c r="K56" s="9">
        <v>0</v>
      </c>
      <c r="L56" s="9">
        <v>0</v>
      </c>
      <c r="M56" s="9">
        <v>0</v>
      </c>
      <c r="N56" s="9">
        <v>0</v>
      </c>
      <c r="O56" s="9">
        <v>400</v>
      </c>
      <c r="P56" s="9">
        <v>0</v>
      </c>
      <c r="Q56" s="9">
        <v>0</v>
      </c>
      <c r="R56" s="9">
        <v>200</v>
      </c>
      <c r="S56" s="9">
        <v>200</v>
      </c>
      <c r="T56" s="9">
        <v>0</v>
      </c>
      <c r="U56" s="9">
        <v>0</v>
      </c>
    </row>
    <row r="57" spans="1:21">
      <c r="A57" s="19">
        <v>1235958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1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19">
        <v>1235845</v>
      </c>
      <c r="B58" s="9">
        <v>622</v>
      </c>
      <c r="C58" s="9">
        <v>185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100">
        <v>1236600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454</v>
      </c>
      <c r="Q59" s="9">
        <v>400</v>
      </c>
      <c r="R59" s="9">
        <v>301</v>
      </c>
      <c r="S59" s="9">
        <v>0</v>
      </c>
      <c r="T59" s="9">
        <v>0</v>
      </c>
      <c r="U59" s="9">
        <v>0</v>
      </c>
    </row>
    <row r="60" spans="1:21">
      <c r="A60" s="100">
        <v>1236619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56</v>
      </c>
      <c r="I60" s="9">
        <v>0</v>
      </c>
      <c r="J60" s="9">
        <v>0</v>
      </c>
      <c r="K60" s="9">
        <v>198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>
      <c r="A61" s="19">
        <v>1236930</v>
      </c>
      <c r="B61" s="9">
        <v>573</v>
      </c>
      <c r="C61" s="9">
        <v>295</v>
      </c>
      <c r="D61" s="9">
        <v>330</v>
      </c>
      <c r="E61" s="9">
        <v>267</v>
      </c>
      <c r="F61" s="9">
        <v>0</v>
      </c>
      <c r="G61" s="9">
        <v>0</v>
      </c>
      <c r="H61" s="9">
        <v>350</v>
      </c>
      <c r="I61" s="9">
        <v>606</v>
      </c>
      <c r="J61" s="9">
        <v>290</v>
      </c>
      <c r="K61" s="9">
        <v>300</v>
      </c>
      <c r="L61" s="9">
        <v>720</v>
      </c>
      <c r="M61" s="9">
        <v>0</v>
      </c>
      <c r="N61" s="9">
        <v>0</v>
      </c>
      <c r="O61" s="9">
        <v>750</v>
      </c>
      <c r="P61" s="9">
        <v>750</v>
      </c>
      <c r="Q61" s="9">
        <v>0</v>
      </c>
      <c r="R61" s="9">
        <v>200</v>
      </c>
      <c r="S61" s="9">
        <v>1120</v>
      </c>
      <c r="T61" s="9">
        <v>0</v>
      </c>
      <c r="U61" s="9">
        <v>0</v>
      </c>
    </row>
    <row r="62" spans="1:21">
      <c r="A62" s="19">
        <v>1232982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400</v>
      </c>
      <c r="S62" s="9">
        <v>0</v>
      </c>
      <c r="T62" s="9">
        <v>0</v>
      </c>
      <c r="U62" s="9">
        <v>0</v>
      </c>
    </row>
    <row r="63" spans="1:21">
      <c r="A63" s="19">
        <v>1237468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6</v>
      </c>
      <c r="I63" s="9">
        <v>0</v>
      </c>
      <c r="J63" s="9">
        <v>0</v>
      </c>
      <c r="K63" s="9">
        <v>37</v>
      </c>
      <c r="L63" s="9">
        <v>186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19">
        <v>1237457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54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>
      <c r="A65" s="19">
        <v>1237386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45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19">
        <v>1234905</v>
      </c>
      <c r="B66" s="9">
        <v>40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380</v>
      </c>
      <c r="R66" s="9">
        <v>400</v>
      </c>
      <c r="S66" s="9">
        <v>0</v>
      </c>
      <c r="T66" s="9">
        <v>0</v>
      </c>
      <c r="U66" s="9">
        <v>0</v>
      </c>
    </row>
    <row r="67" spans="1:21">
      <c r="A67" s="19">
        <v>1238480</v>
      </c>
      <c r="B67" s="9">
        <v>1308</v>
      </c>
      <c r="C67" s="9">
        <v>857</v>
      </c>
      <c r="D67" s="9">
        <v>1522</v>
      </c>
      <c r="E67" s="9">
        <v>1086</v>
      </c>
      <c r="F67" s="9">
        <v>0</v>
      </c>
      <c r="G67" s="9">
        <v>0</v>
      </c>
      <c r="H67" s="9">
        <v>2198</v>
      </c>
      <c r="I67" s="9">
        <v>1804</v>
      </c>
      <c r="J67" s="9">
        <v>1093</v>
      </c>
      <c r="K67" s="9">
        <v>1272</v>
      </c>
      <c r="L67" s="9">
        <v>1503</v>
      </c>
      <c r="M67" s="9">
        <v>0</v>
      </c>
      <c r="N67" s="9">
        <v>0</v>
      </c>
      <c r="O67" s="9">
        <v>869</v>
      </c>
      <c r="P67" s="9">
        <v>599</v>
      </c>
      <c r="Q67" s="9">
        <v>1430</v>
      </c>
      <c r="R67" s="9">
        <v>800</v>
      </c>
      <c r="S67" s="9">
        <v>800</v>
      </c>
      <c r="T67" s="9">
        <v>0</v>
      </c>
      <c r="U67" s="9">
        <v>0</v>
      </c>
    </row>
    <row r="68" spans="1:21">
      <c r="A68" s="19">
        <v>1238453</v>
      </c>
      <c r="B68" s="9">
        <v>0</v>
      </c>
      <c r="C68" s="9">
        <v>0</v>
      </c>
      <c r="D68" s="9">
        <v>57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641</v>
      </c>
      <c r="T68" s="9">
        <v>0</v>
      </c>
      <c r="U68" s="9">
        <v>0</v>
      </c>
    </row>
    <row r="69" spans="1:21">
      <c r="A69" s="19">
        <v>1240029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400</v>
      </c>
      <c r="L69" s="9">
        <v>300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19">
        <v>1240032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400</v>
      </c>
      <c r="L70" s="9">
        <v>300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</row>
    <row r="71" spans="1:21">
      <c r="A71" s="19">
        <v>1240180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310</v>
      </c>
      <c r="I71" s="9">
        <v>100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</row>
    <row r="72" spans="1:21">
      <c r="A72" s="19">
        <v>1240184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310</v>
      </c>
      <c r="I72" s="9">
        <v>100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</row>
    <row r="73" spans="1:21">
      <c r="A73" s="100">
        <v>1216452</v>
      </c>
      <c r="B73" s="9">
        <v>0</v>
      </c>
      <c r="C73" s="9">
        <v>0</v>
      </c>
      <c r="D73" s="9">
        <v>76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840</v>
      </c>
      <c r="P73" s="9">
        <v>855</v>
      </c>
      <c r="Q73" s="9">
        <v>600</v>
      </c>
      <c r="R73" s="9">
        <v>154</v>
      </c>
      <c r="S73" s="9">
        <v>288</v>
      </c>
      <c r="T73" s="9">
        <v>0</v>
      </c>
      <c r="U73" s="9">
        <v>0</v>
      </c>
    </row>
    <row r="74" spans="1:21">
      <c r="A74" s="192">
        <v>1232894</v>
      </c>
      <c r="B74" s="9">
        <v>0</v>
      </c>
      <c r="C74" s="9">
        <v>0</v>
      </c>
      <c r="D74" s="9">
        <v>301</v>
      </c>
      <c r="E74" s="9">
        <v>0</v>
      </c>
      <c r="F74" s="9">
        <v>0</v>
      </c>
      <c r="G74" s="9">
        <v>0</v>
      </c>
      <c r="H74" s="9">
        <v>576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843</v>
      </c>
      <c r="U74" s="9">
        <v>0</v>
      </c>
    </row>
    <row r="75" spans="1:21">
      <c r="A75" s="19">
        <v>1233386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512</v>
      </c>
      <c r="U75" s="9">
        <v>0</v>
      </c>
    </row>
    <row r="76" spans="1:21">
      <c r="A76" s="100">
        <v>1233387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576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128</v>
      </c>
      <c r="U76" s="9">
        <v>0</v>
      </c>
    </row>
    <row r="77" spans="1:21">
      <c r="A77" s="19">
        <v>1233385</v>
      </c>
      <c r="B77" s="9">
        <v>0</v>
      </c>
      <c r="C77" s="9">
        <v>0</v>
      </c>
      <c r="D77" s="9">
        <v>301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203</v>
      </c>
      <c r="U77" s="9">
        <v>0</v>
      </c>
    </row>
    <row r="78" spans="1:21">
      <c r="A78" s="19">
        <v>1232895</v>
      </c>
      <c r="B78" s="9">
        <v>0</v>
      </c>
      <c r="C78" s="9">
        <v>0</v>
      </c>
      <c r="D78" s="9">
        <v>60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</row>
    <row r="79" spans="1:21">
      <c r="A79" s="19">
        <v>1232922</v>
      </c>
      <c r="B79" s="9">
        <v>0</v>
      </c>
      <c r="C79" s="9">
        <v>0</v>
      </c>
      <c r="D79" s="9">
        <v>60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</row>
    <row r="80" spans="1:21">
      <c r="A80" s="19">
        <v>1233580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200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</row>
  </sheetData>
  <phoneticPr fontId="1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AEF3-FCB4-4F77-8648-AB6DC9CB96DD}">
  <dimension ref="A1:T75"/>
  <sheetViews>
    <sheetView topLeftCell="A42" zoomScale="115" zoomScaleNormal="115" workbookViewId="0">
      <selection activeCell="A61" sqref="A61:XFD61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9" width="9.5" style="9" customWidth="1"/>
    <col min="20" max="20" width="9.5" style="9" bestFit="1" customWidth="1"/>
    <col min="21" max="16384" width="9.33203125" style="5"/>
  </cols>
  <sheetData>
    <row r="1" spans="1:20">
      <c r="A1" s="19" t="s">
        <v>0</v>
      </c>
      <c r="B1" s="9" t="s">
        <v>880</v>
      </c>
      <c r="C1" s="9" t="s">
        <v>884</v>
      </c>
      <c r="D1" s="9" t="s">
        <v>883</v>
      </c>
      <c r="E1" s="9" t="s">
        <v>882</v>
      </c>
      <c r="F1" s="9" t="s">
        <v>881</v>
      </c>
      <c r="G1" s="18" t="s">
        <v>920</v>
      </c>
      <c r="H1" s="9" t="s">
        <v>921</v>
      </c>
      <c r="I1" s="9" t="s">
        <v>922</v>
      </c>
      <c r="J1" s="9" t="s">
        <v>923</v>
      </c>
      <c r="K1" s="9" t="s">
        <v>924</v>
      </c>
      <c r="L1" s="9" t="s">
        <v>925</v>
      </c>
      <c r="M1" s="9" t="s">
        <v>926</v>
      </c>
      <c r="N1" s="9" t="s">
        <v>932</v>
      </c>
      <c r="O1" s="9" t="s">
        <v>933</v>
      </c>
      <c r="P1" s="9" t="s">
        <v>934</v>
      </c>
      <c r="Q1" s="9" t="s">
        <v>935</v>
      </c>
      <c r="R1" s="9" t="s">
        <v>936</v>
      </c>
      <c r="S1" s="9" t="s">
        <v>937</v>
      </c>
      <c r="T1" s="9" t="s">
        <v>938</v>
      </c>
    </row>
    <row r="2" spans="1:20">
      <c r="A2" s="19">
        <v>1234614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384</v>
      </c>
      <c r="O2" s="9">
        <v>116</v>
      </c>
      <c r="P2" s="9">
        <v>0</v>
      </c>
      <c r="Q2" s="9">
        <v>0</v>
      </c>
      <c r="R2" s="9">
        <v>0</v>
      </c>
      <c r="S2" s="9">
        <v>0</v>
      </c>
      <c r="T2" s="9">
        <v>0</v>
      </c>
    </row>
    <row r="3" spans="1:20">
      <c r="A3" s="19">
        <v>1226384</v>
      </c>
      <c r="B3" s="9">
        <v>200</v>
      </c>
      <c r="C3" s="9">
        <v>330</v>
      </c>
      <c r="D3" s="9">
        <v>330</v>
      </c>
      <c r="E3" s="9">
        <v>0</v>
      </c>
      <c r="F3" s="9">
        <v>0</v>
      </c>
      <c r="G3" s="9">
        <v>0</v>
      </c>
      <c r="H3" s="9">
        <v>0</v>
      </c>
      <c r="I3" s="9">
        <v>100</v>
      </c>
      <c r="J3" s="9">
        <v>500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</row>
    <row r="4" spans="1:20">
      <c r="A4" s="19">
        <v>1226388</v>
      </c>
      <c r="B4" s="9">
        <v>200</v>
      </c>
      <c r="C4" s="9">
        <v>330</v>
      </c>
      <c r="D4" s="9">
        <v>330</v>
      </c>
      <c r="E4" s="9">
        <v>0</v>
      </c>
      <c r="F4" s="9">
        <v>0</v>
      </c>
      <c r="G4" s="9">
        <v>0</v>
      </c>
      <c r="H4" s="9">
        <v>0</v>
      </c>
      <c r="I4" s="9">
        <v>100</v>
      </c>
      <c r="J4" s="9">
        <v>500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</row>
    <row r="5" spans="1:20">
      <c r="A5" s="19">
        <v>1229673</v>
      </c>
      <c r="B5" s="9">
        <v>200</v>
      </c>
      <c r="C5" s="9">
        <v>200</v>
      </c>
      <c r="D5" s="9">
        <v>200</v>
      </c>
      <c r="E5" s="9">
        <v>0</v>
      </c>
      <c r="F5" s="9">
        <v>0</v>
      </c>
      <c r="G5" s="18">
        <v>200</v>
      </c>
      <c r="H5" s="9">
        <v>200</v>
      </c>
      <c r="I5" s="9">
        <v>0</v>
      </c>
      <c r="J5" s="9">
        <v>250</v>
      </c>
      <c r="K5" s="9">
        <v>250</v>
      </c>
      <c r="L5" s="9">
        <v>0</v>
      </c>
      <c r="M5" s="9">
        <v>0</v>
      </c>
      <c r="N5" s="9">
        <v>200</v>
      </c>
      <c r="O5" s="9">
        <v>200</v>
      </c>
      <c r="P5" s="9">
        <v>222</v>
      </c>
      <c r="Q5" s="9">
        <v>200</v>
      </c>
      <c r="R5" s="9">
        <v>0</v>
      </c>
      <c r="S5" s="9">
        <v>0</v>
      </c>
      <c r="T5" s="9">
        <v>0</v>
      </c>
    </row>
    <row r="6" spans="1:20">
      <c r="A6" s="19">
        <v>1230854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100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19">
        <v>1235623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18">
        <v>416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</row>
    <row r="8" spans="1:20">
      <c r="A8" s="19">
        <v>1237088</v>
      </c>
      <c r="B8" s="9">
        <v>248</v>
      </c>
      <c r="C8" s="9">
        <v>1024</v>
      </c>
      <c r="D8" s="9">
        <v>666</v>
      </c>
      <c r="E8" s="9">
        <v>0</v>
      </c>
      <c r="F8" s="9">
        <v>0</v>
      </c>
      <c r="G8" s="18">
        <v>848</v>
      </c>
      <c r="H8" s="9">
        <v>610</v>
      </c>
      <c r="I8" s="9">
        <v>0</v>
      </c>
      <c r="J8" s="9">
        <v>258</v>
      </c>
      <c r="K8" s="9">
        <v>744</v>
      </c>
      <c r="L8" s="9">
        <v>0</v>
      </c>
      <c r="M8" s="9">
        <v>0</v>
      </c>
      <c r="N8" s="9">
        <v>920</v>
      </c>
      <c r="O8" s="9">
        <v>960</v>
      </c>
      <c r="P8" s="9">
        <v>0</v>
      </c>
      <c r="Q8" s="9">
        <v>300</v>
      </c>
      <c r="R8" s="9">
        <v>0</v>
      </c>
      <c r="S8" s="9">
        <v>0</v>
      </c>
      <c r="T8" s="9">
        <v>0</v>
      </c>
    </row>
    <row r="9" spans="1:20">
      <c r="A9" s="19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522</v>
      </c>
      <c r="R9" s="9">
        <v>50</v>
      </c>
      <c r="S9" s="9">
        <v>0</v>
      </c>
      <c r="T9" s="9">
        <v>0</v>
      </c>
    </row>
    <row r="10" spans="1:20">
      <c r="A10" s="19">
        <v>1236091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350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300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</row>
    <row r="11" spans="1:20">
      <c r="A11" s="19">
        <v>1238128</v>
      </c>
      <c r="B11" s="9">
        <v>692</v>
      </c>
      <c r="C11" s="9">
        <v>1180</v>
      </c>
      <c r="D11" s="9">
        <v>928</v>
      </c>
      <c r="E11" s="9">
        <v>0</v>
      </c>
      <c r="F11" s="9">
        <v>0</v>
      </c>
      <c r="G11" s="18">
        <v>112</v>
      </c>
      <c r="H11" s="9">
        <v>386</v>
      </c>
      <c r="I11" s="9">
        <v>464</v>
      </c>
      <c r="J11" s="9">
        <v>590</v>
      </c>
      <c r="K11" s="9">
        <v>464</v>
      </c>
      <c r="L11" s="9">
        <v>0</v>
      </c>
      <c r="M11" s="9">
        <v>0</v>
      </c>
      <c r="N11" s="9">
        <v>200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</row>
    <row r="12" spans="1:20">
      <c r="A12" s="19">
        <v>1236962</v>
      </c>
      <c r="B12" s="9">
        <v>300</v>
      </c>
      <c r="C12" s="9">
        <v>200</v>
      </c>
      <c r="D12" s="9">
        <v>200</v>
      </c>
      <c r="E12" s="9">
        <v>0</v>
      </c>
      <c r="F12" s="9">
        <v>0</v>
      </c>
      <c r="G12" s="18">
        <v>186</v>
      </c>
      <c r="H12" s="9">
        <v>200</v>
      </c>
      <c r="I12" s="9">
        <v>214</v>
      </c>
      <c r="J12" s="9">
        <v>200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300</v>
      </c>
      <c r="Q12" s="9">
        <v>300</v>
      </c>
      <c r="R12" s="9">
        <v>200</v>
      </c>
      <c r="S12" s="9">
        <v>0</v>
      </c>
      <c r="T12" s="9">
        <v>0</v>
      </c>
    </row>
    <row r="13" spans="1:20">
      <c r="A13" s="19">
        <v>1233761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300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140</v>
      </c>
      <c r="S13" s="9">
        <v>0</v>
      </c>
      <c r="T13" s="9">
        <v>0</v>
      </c>
    </row>
    <row r="14" spans="1:20">
      <c r="A14" s="19">
        <v>1239651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18">
        <v>401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500</v>
      </c>
      <c r="Q14" s="9">
        <v>0</v>
      </c>
      <c r="R14" s="9">
        <v>0</v>
      </c>
      <c r="S14" s="9">
        <v>0</v>
      </c>
      <c r="T14" s="9">
        <v>0</v>
      </c>
    </row>
    <row r="15" spans="1:20">
      <c r="A15" s="19">
        <v>1241134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182</v>
      </c>
      <c r="K15" s="9">
        <v>97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</row>
    <row r="16" spans="1:20">
      <c r="A16" s="19">
        <v>1239988</v>
      </c>
      <c r="B16" s="9">
        <v>44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150</v>
      </c>
      <c r="L16" s="9">
        <v>0</v>
      </c>
      <c r="M16" s="9">
        <v>0</v>
      </c>
      <c r="N16" s="9">
        <v>501</v>
      </c>
      <c r="O16" s="9">
        <v>502</v>
      </c>
      <c r="P16" s="9">
        <v>394</v>
      </c>
      <c r="Q16" s="9">
        <v>502</v>
      </c>
      <c r="R16" s="9">
        <v>394</v>
      </c>
      <c r="S16" s="9">
        <v>0</v>
      </c>
      <c r="T16" s="9">
        <v>0</v>
      </c>
    </row>
    <row r="17" spans="1:20">
      <c r="A17" s="19">
        <v>1240180</v>
      </c>
      <c r="B17" s="9">
        <v>270</v>
      </c>
      <c r="C17" s="9">
        <v>410</v>
      </c>
      <c r="D17" s="9">
        <v>322</v>
      </c>
      <c r="E17" s="9">
        <v>0</v>
      </c>
      <c r="F17" s="9">
        <v>0</v>
      </c>
      <c r="G17" s="18">
        <v>420</v>
      </c>
      <c r="H17" s="9">
        <v>582</v>
      </c>
      <c r="I17" s="9">
        <v>648</v>
      </c>
      <c r="J17" s="9">
        <v>664</v>
      </c>
      <c r="K17" s="9">
        <v>266</v>
      </c>
      <c r="L17" s="9">
        <v>0</v>
      </c>
      <c r="M17" s="9">
        <v>0</v>
      </c>
      <c r="N17" s="9">
        <v>404</v>
      </c>
      <c r="O17" s="9">
        <v>404</v>
      </c>
      <c r="P17" s="9">
        <v>318</v>
      </c>
      <c r="Q17" s="9">
        <v>404</v>
      </c>
      <c r="R17" s="9">
        <v>318</v>
      </c>
      <c r="S17" s="9">
        <v>0</v>
      </c>
      <c r="T17" s="9">
        <v>0</v>
      </c>
    </row>
    <row r="18" spans="1:20">
      <c r="A18" s="19">
        <v>1240184</v>
      </c>
      <c r="B18" s="9">
        <v>270</v>
      </c>
      <c r="C18" s="9">
        <v>410</v>
      </c>
      <c r="D18" s="9">
        <v>322</v>
      </c>
      <c r="E18" s="9">
        <v>0</v>
      </c>
      <c r="F18" s="9">
        <v>0</v>
      </c>
      <c r="G18" s="18">
        <v>420</v>
      </c>
      <c r="H18" s="9">
        <v>582</v>
      </c>
      <c r="I18" s="9">
        <v>648</v>
      </c>
      <c r="J18" s="9">
        <v>410</v>
      </c>
      <c r="K18" s="9">
        <v>70</v>
      </c>
      <c r="L18" s="9">
        <v>0</v>
      </c>
      <c r="M18" s="9">
        <v>0</v>
      </c>
      <c r="N18" s="9">
        <v>404</v>
      </c>
      <c r="O18" s="9">
        <v>404</v>
      </c>
      <c r="P18" s="9">
        <v>318</v>
      </c>
      <c r="Q18" s="9">
        <v>404</v>
      </c>
      <c r="R18" s="9">
        <v>234</v>
      </c>
      <c r="S18" s="9">
        <v>0</v>
      </c>
      <c r="T18" s="9">
        <v>0</v>
      </c>
    </row>
    <row r="19" spans="1:20">
      <c r="A19" s="19">
        <v>1240308</v>
      </c>
      <c r="B19" s="9">
        <v>300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450</v>
      </c>
      <c r="J19" s="9">
        <v>420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450</v>
      </c>
      <c r="R19" s="9">
        <v>376</v>
      </c>
      <c r="S19" s="9">
        <v>0</v>
      </c>
      <c r="T19" s="9">
        <v>0</v>
      </c>
    </row>
    <row r="20" spans="1:20">
      <c r="A20" s="19">
        <v>1241601</v>
      </c>
      <c r="B20" s="9">
        <v>870</v>
      </c>
      <c r="C20" s="9">
        <v>764</v>
      </c>
      <c r="D20" s="9">
        <v>600</v>
      </c>
      <c r="E20" s="9">
        <v>0</v>
      </c>
      <c r="F20" s="9">
        <v>0</v>
      </c>
      <c r="G20" s="18">
        <v>930</v>
      </c>
      <c r="H20" s="9">
        <v>1182</v>
      </c>
      <c r="I20" s="9">
        <v>614</v>
      </c>
      <c r="J20" s="9">
        <v>508</v>
      </c>
      <c r="K20" s="9">
        <v>678</v>
      </c>
      <c r="L20" s="9">
        <v>0</v>
      </c>
      <c r="M20" s="9">
        <v>0</v>
      </c>
      <c r="N20" s="9">
        <v>782</v>
      </c>
      <c r="O20" s="9">
        <v>618</v>
      </c>
      <c r="P20" s="9">
        <v>0</v>
      </c>
      <c r="Q20" s="9">
        <v>760</v>
      </c>
      <c r="R20" s="9">
        <v>614</v>
      </c>
      <c r="S20" s="9">
        <v>0</v>
      </c>
      <c r="T20" s="9">
        <v>0</v>
      </c>
    </row>
    <row r="23" spans="1:20">
      <c r="A23" s="19" t="s">
        <v>0</v>
      </c>
      <c r="B23" s="9" t="s">
        <v>880</v>
      </c>
      <c r="C23" s="9" t="s">
        <v>884</v>
      </c>
      <c r="D23" s="9" t="s">
        <v>883</v>
      </c>
      <c r="E23" s="9" t="s">
        <v>882</v>
      </c>
      <c r="F23" s="9" t="s">
        <v>881</v>
      </c>
      <c r="G23" s="9" t="s">
        <v>920</v>
      </c>
      <c r="H23" s="9" t="s">
        <v>921</v>
      </c>
      <c r="I23" s="9" t="s">
        <v>922</v>
      </c>
      <c r="J23" s="9" t="s">
        <v>923</v>
      </c>
      <c r="K23" s="9" t="s">
        <v>924</v>
      </c>
      <c r="L23" s="9" t="s">
        <v>925</v>
      </c>
      <c r="M23" s="9" t="s">
        <v>926</v>
      </c>
      <c r="N23" s="9" t="s">
        <v>932</v>
      </c>
      <c r="O23" s="9" t="s">
        <v>933</v>
      </c>
      <c r="P23" s="9" t="s">
        <v>934</v>
      </c>
      <c r="Q23" s="9" t="s">
        <v>935</v>
      </c>
      <c r="R23" s="9" t="s">
        <v>936</v>
      </c>
      <c r="S23" s="9" t="s">
        <v>937</v>
      </c>
      <c r="T23" s="9" t="s">
        <v>938</v>
      </c>
    </row>
    <row r="24" spans="1:20">
      <c r="A24" s="19">
        <v>1237608</v>
      </c>
      <c r="B24" s="9">
        <v>100</v>
      </c>
      <c r="C24" s="9">
        <v>300</v>
      </c>
      <c r="D24" s="18">
        <v>300</v>
      </c>
      <c r="E24" s="9">
        <v>0</v>
      </c>
      <c r="F24" s="9">
        <v>0</v>
      </c>
      <c r="G24" s="18">
        <v>150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</row>
    <row r="25" spans="1:20">
      <c r="A25" s="19">
        <v>1236110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18">
        <v>100</v>
      </c>
      <c r="H25" s="18">
        <v>250</v>
      </c>
      <c r="I25" s="18">
        <v>200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</row>
    <row r="26" spans="1:20">
      <c r="A26" s="19">
        <v>1236387</v>
      </c>
      <c r="B26" s="9">
        <v>180</v>
      </c>
      <c r="C26" s="9">
        <v>357</v>
      </c>
      <c r="D26" s="18">
        <v>357</v>
      </c>
      <c r="E26" s="9">
        <v>0</v>
      </c>
      <c r="F26" s="9">
        <v>0</v>
      </c>
      <c r="G26" s="18">
        <v>357</v>
      </c>
      <c r="H26" s="9">
        <v>176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176</v>
      </c>
      <c r="O26" s="9">
        <v>357</v>
      </c>
      <c r="P26" s="9">
        <v>163</v>
      </c>
      <c r="Q26" s="9">
        <v>104</v>
      </c>
      <c r="R26" s="9">
        <v>0</v>
      </c>
      <c r="S26" s="9">
        <v>0</v>
      </c>
      <c r="T26" s="9">
        <v>0</v>
      </c>
    </row>
    <row r="27" spans="1:20">
      <c r="A27" s="19">
        <v>1232775</v>
      </c>
      <c r="B27" s="9">
        <v>98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315</v>
      </c>
      <c r="I27" s="9">
        <v>487</v>
      </c>
      <c r="J27" s="9">
        <v>487</v>
      </c>
      <c r="K27" s="9">
        <v>487</v>
      </c>
      <c r="L27" s="9">
        <v>0</v>
      </c>
      <c r="M27" s="9">
        <v>0</v>
      </c>
      <c r="N27" s="9">
        <v>342</v>
      </c>
      <c r="O27" s="9">
        <v>245</v>
      </c>
      <c r="P27" s="9">
        <v>109</v>
      </c>
      <c r="Q27" s="9">
        <v>200</v>
      </c>
      <c r="R27" s="9">
        <v>0</v>
      </c>
      <c r="S27" s="9">
        <v>0</v>
      </c>
      <c r="T27" s="9">
        <v>0</v>
      </c>
    </row>
    <row r="28" spans="1:20">
      <c r="A28" s="19">
        <v>1230685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220</v>
      </c>
      <c r="R28" s="9">
        <v>330</v>
      </c>
      <c r="S28" s="9">
        <v>0</v>
      </c>
      <c r="T28" s="9">
        <v>0</v>
      </c>
    </row>
    <row r="32" spans="1:20">
      <c r="A32" s="19" t="s">
        <v>0</v>
      </c>
      <c r="B32" s="9" t="s">
        <v>880</v>
      </c>
      <c r="C32" s="9" t="s">
        <v>884</v>
      </c>
      <c r="D32" s="9" t="s">
        <v>883</v>
      </c>
      <c r="E32" s="9" t="s">
        <v>882</v>
      </c>
      <c r="F32" s="9" t="s">
        <v>881</v>
      </c>
      <c r="G32" s="9" t="s">
        <v>920</v>
      </c>
      <c r="H32" s="9" t="s">
        <v>921</v>
      </c>
      <c r="I32" s="9" t="s">
        <v>922</v>
      </c>
      <c r="J32" s="9" t="s">
        <v>923</v>
      </c>
      <c r="K32" s="9" t="s">
        <v>924</v>
      </c>
      <c r="L32" s="9" t="s">
        <v>925</v>
      </c>
      <c r="M32" s="9" t="s">
        <v>926</v>
      </c>
      <c r="N32" s="9" t="s">
        <v>932</v>
      </c>
      <c r="O32" s="9" t="s">
        <v>933</v>
      </c>
      <c r="P32" s="9" t="s">
        <v>934</v>
      </c>
      <c r="Q32" s="9" t="s">
        <v>935</v>
      </c>
      <c r="R32" s="9" t="s">
        <v>936</v>
      </c>
      <c r="S32" s="9" t="s">
        <v>937</v>
      </c>
      <c r="T32" s="9" t="s">
        <v>938</v>
      </c>
    </row>
    <row r="33" spans="1:20">
      <c r="A33" s="19">
        <v>1234614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216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</row>
    <row r="34" spans="1:20">
      <c r="A34" s="19">
        <v>1230692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300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</row>
    <row r="35" spans="1:20">
      <c r="A35" s="19">
        <v>1227306</v>
      </c>
      <c r="B35" s="9">
        <v>0</v>
      </c>
      <c r="C35" s="9">
        <v>180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9</v>
      </c>
      <c r="K35" s="9">
        <v>373</v>
      </c>
      <c r="L35" s="9">
        <v>0</v>
      </c>
      <c r="M35" s="9">
        <v>0</v>
      </c>
      <c r="N35" s="9">
        <v>218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</row>
    <row r="36" spans="1:20">
      <c r="A36" s="19">
        <v>1227359</v>
      </c>
      <c r="B36" s="9">
        <v>0</v>
      </c>
      <c r="C36" s="9">
        <v>44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</row>
    <row r="37" spans="1:20">
      <c r="A37" s="19">
        <v>1225464</v>
      </c>
      <c r="B37" s="9">
        <v>0</v>
      </c>
      <c r="C37" s="9">
        <v>472</v>
      </c>
      <c r="D37" s="9">
        <v>284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</row>
    <row r="38" spans="1:20">
      <c r="A38" s="19">
        <v>1231797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130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</row>
    <row r="39" spans="1:20">
      <c r="A39" s="19">
        <v>1229776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90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</row>
    <row r="40" spans="1:20">
      <c r="A40" s="19">
        <v>1231090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600</v>
      </c>
      <c r="O40" s="9">
        <v>0</v>
      </c>
      <c r="P40" s="9">
        <v>0</v>
      </c>
      <c r="Q40" s="9">
        <v>0</v>
      </c>
      <c r="R40" s="9">
        <v>2065</v>
      </c>
      <c r="S40" s="9">
        <v>0</v>
      </c>
      <c r="T40" s="9">
        <v>0</v>
      </c>
    </row>
    <row r="41" spans="1:20">
      <c r="A41" s="19">
        <v>1232693</v>
      </c>
      <c r="B41" s="9">
        <v>613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126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</row>
    <row r="42" spans="1:20">
      <c r="A42" s="19">
        <v>1233025</v>
      </c>
      <c r="B42" s="9">
        <v>613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126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</row>
    <row r="43" spans="1:20">
      <c r="A43" s="19">
        <v>1234222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220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</row>
    <row r="44" spans="1:20">
      <c r="A44" s="19">
        <v>1232528</v>
      </c>
      <c r="B44" s="9">
        <v>0</v>
      </c>
      <c r="C44" s="9">
        <v>0</v>
      </c>
      <c r="D44" s="9">
        <v>539</v>
      </c>
      <c r="E44" s="9">
        <v>0</v>
      </c>
      <c r="F44" s="9">
        <v>0</v>
      </c>
      <c r="G44" s="9">
        <v>300</v>
      </c>
      <c r="H44" s="9">
        <v>230</v>
      </c>
      <c r="I44" s="9">
        <v>239</v>
      </c>
      <c r="J44" s="9">
        <v>686</v>
      </c>
      <c r="K44" s="9">
        <v>788</v>
      </c>
      <c r="L44" s="9">
        <v>0</v>
      </c>
      <c r="M44" s="9">
        <v>0</v>
      </c>
      <c r="N44" s="9">
        <v>1286</v>
      </c>
      <c r="O44" s="9">
        <v>1605</v>
      </c>
      <c r="P44" s="9">
        <v>600</v>
      </c>
      <c r="Q44" s="9">
        <v>600</v>
      </c>
      <c r="R44" s="9">
        <v>3395</v>
      </c>
      <c r="S44" s="9">
        <v>0</v>
      </c>
      <c r="T44" s="9">
        <v>0</v>
      </c>
    </row>
    <row r="45" spans="1:20">
      <c r="A45" s="19">
        <v>1232846</v>
      </c>
      <c r="B45" s="9">
        <v>0</v>
      </c>
      <c r="C45" s="9">
        <v>361</v>
      </c>
      <c r="D45" s="9">
        <v>0</v>
      </c>
      <c r="E45" s="9">
        <v>0</v>
      </c>
      <c r="F45" s="9">
        <v>0</v>
      </c>
      <c r="G45" s="9">
        <v>0</v>
      </c>
      <c r="H45" s="9">
        <v>576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203</v>
      </c>
      <c r="S45" s="9">
        <v>0</v>
      </c>
      <c r="T45" s="9">
        <v>0</v>
      </c>
    </row>
    <row r="46" spans="1:20">
      <c r="A46" s="19">
        <v>1229050</v>
      </c>
      <c r="B46" s="9">
        <v>315</v>
      </c>
      <c r="C46" s="9">
        <v>30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0">
      <c r="A47" s="19">
        <v>1233383</v>
      </c>
      <c r="B47" s="9">
        <v>116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</row>
    <row r="48" spans="1:20">
      <c r="A48" s="19">
        <v>1220847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920</v>
      </c>
      <c r="O48" s="9">
        <v>0</v>
      </c>
      <c r="P48" s="9">
        <v>0</v>
      </c>
      <c r="Q48" s="9">
        <v>0</v>
      </c>
      <c r="R48" s="9">
        <v>4330</v>
      </c>
      <c r="S48" s="9">
        <v>0</v>
      </c>
      <c r="T48" s="9">
        <v>0</v>
      </c>
    </row>
    <row r="49" spans="1:20">
      <c r="A49" s="19">
        <v>1234217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50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</row>
    <row r="50" spans="1:20">
      <c r="A50" s="19">
        <v>1234111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50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</row>
    <row r="51" spans="1:20">
      <c r="A51" s="19">
        <v>1234110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50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</row>
    <row r="52" spans="1:20">
      <c r="A52" s="19">
        <v>1232775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295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141</v>
      </c>
      <c r="S52" s="9">
        <v>0</v>
      </c>
      <c r="T52" s="9">
        <v>0</v>
      </c>
    </row>
    <row r="53" spans="1:20">
      <c r="A53" s="19">
        <v>1235097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190</v>
      </c>
      <c r="H53" s="9">
        <v>60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400</v>
      </c>
      <c r="P53" s="9">
        <v>0</v>
      </c>
      <c r="Q53" s="9">
        <v>200</v>
      </c>
      <c r="R53" s="9">
        <v>200</v>
      </c>
      <c r="S53" s="9">
        <v>0</v>
      </c>
      <c r="T53" s="9">
        <v>0</v>
      </c>
    </row>
    <row r="54" spans="1:20">
      <c r="A54" s="19">
        <v>1235845</v>
      </c>
      <c r="B54" s="9">
        <v>185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</row>
    <row r="55" spans="1:20">
      <c r="A55" s="19">
        <v>1236600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500</v>
      </c>
      <c r="O55" s="9">
        <v>200</v>
      </c>
      <c r="P55" s="9">
        <v>400</v>
      </c>
      <c r="Q55" s="9">
        <v>0</v>
      </c>
      <c r="R55" s="9">
        <v>0</v>
      </c>
      <c r="S55" s="9">
        <v>0</v>
      </c>
      <c r="T55" s="9">
        <v>0</v>
      </c>
    </row>
    <row r="56" spans="1:20">
      <c r="A56" s="19">
        <v>1236619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56</v>
      </c>
      <c r="H56" s="9">
        <v>0</v>
      </c>
      <c r="I56" s="9">
        <v>0</v>
      </c>
      <c r="J56" s="9">
        <v>198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19">
        <v>1236930</v>
      </c>
      <c r="B57" s="9">
        <v>295</v>
      </c>
      <c r="C57" s="9">
        <v>330</v>
      </c>
      <c r="D57" s="9">
        <v>267</v>
      </c>
      <c r="E57" s="9">
        <v>0</v>
      </c>
      <c r="F57" s="9">
        <v>0</v>
      </c>
      <c r="G57" s="9">
        <v>50</v>
      </c>
      <c r="H57" s="9">
        <v>406</v>
      </c>
      <c r="I57" s="9">
        <v>459</v>
      </c>
      <c r="J57" s="9">
        <v>487</v>
      </c>
      <c r="K57" s="9">
        <v>267</v>
      </c>
      <c r="L57" s="9">
        <v>0</v>
      </c>
      <c r="M57" s="9">
        <v>0</v>
      </c>
      <c r="N57" s="9">
        <v>339</v>
      </c>
      <c r="O57" s="9">
        <v>739</v>
      </c>
      <c r="P57" s="9">
        <v>400</v>
      </c>
      <c r="Q57" s="9">
        <v>200</v>
      </c>
      <c r="R57" s="9">
        <v>1540</v>
      </c>
      <c r="S57" s="9">
        <v>0</v>
      </c>
      <c r="T57" s="9">
        <v>0</v>
      </c>
    </row>
    <row r="58" spans="1:20">
      <c r="A58" s="19">
        <v>1232982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400</v>
      </c>
      <c r="R58" s="9">
        <v>0</v>
      </c>
      <c r="S58" s="9">
        <v>0</v>
      </c>
      <c r="T58" s="9">
        <v>0</v>
      </c>
    </row>
    <row r="59" spans="1:20">
      <c r="A59" s="19">
        <v>1237468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40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248</v>
      </c>
      <c r="O59" s="9">
        <v>37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</row>
    <row r="60" spans="1:20">
      <c r="A60" s="19">
        <v>1237457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54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56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</row>
    <row r="61" spans="1:20">
      <c r="A61" s="19">
        <v>1237386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102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</row>
    <row r="62" spans="1:20">
      <c r="A62" s="19">
        <v>1234905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300</v>
      </c>
      <c r="O62" s="9">
        <v>0</v>
      </c>
      <c r="P62" s="9">
        <v>380</v>
      </c>
      <c r="Q62" s="9">
        <v>100</v>
      </c>
      <c r="R62" s="9">
        <v>0</v>
      </c>
      <c r="S62" s="9">
        <v>0</v>
      </c>
      <c r="T62" s="9">
        <v>0</v>
      </c>
    </row>
    <row r="63" spans="1:20">
      <c r="A63" s="19">
        <v>1238480</v>
      </c>
      <c r="B63" s="9">
        <v>857</v>
      </c>
      <c r="C63" s="9">
        <v>1522</v>
      </c>
      <c r="D63" s="9">
        <v>1082</v>
      </c>
      <c r="E63" s="9">
        <v>0</v>
      </c>
      <c r="F63" s="9">
        <v>0</v>
      </c>
      <c r="G63" s="9">
        <v>1658</v>
      </c>
      <c r="H63" s="9">
        <v>1449</v>
      </c>
      <c r="I63" s="9">
        <v>846</v>
      </c>
      <c r="J63" s="9">
        <v>1443</v>
      </c>
      <c r="K63" s="9">
        <v>1156</v>
      </c>
      <c r="L63" s="9">
        <v>0</v>
      </c>
      <c r="M63" s="9">
        <v>0</v>
      </c>
      <c r="N63" s="9">
        <v>1058</v>
      </c>
      <c r="O63" s="9">
        <v>500</v>
      </c>
      <c r="P63" s="9">
        <v>1430</v>
      </c>
      <c r="Q63" s="9">
        <v>800</v>
      </c>
      <c r="R63" s="9">
        <v>1502</v>
      </c>
      <c r="S63" s="9">
        <v>0</v>
      </c>
      <c r="T63" s="9">
        <v>0</v>
      </c>
    </row>
    <row r="64" spans="1:20">
      <c r="A64" s="19">
        <v>1238453</v>
      </c>
      <c r="B64" s="9">
        <v>0</v>
      </c>
      <c r="C64" s="9">
        <v>57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641</v>
      </c>
      <c r="S64" s="9">
        <v>0</v>
      </c>
      <c r="T64" s="9">
        <v>0</v>
      </c>
    </row>
    <row r="65" spans="1:20">
      <c r="A65" s="19">
        <v>1240029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140</v>
      </c>
      <c r="L65" s="9">
        <v>0</v>
      </c>
      <c r="M65" s="9">
        <v>0</v>
      </c>
      <c r="N65" s="9">
        <v>560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</row>
    <row r="66" spans="1:20">
      <c r="A66" s="19">
        <v>1240032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140</v>
      </c>
      <c r="L66" s="9">
        <v>0</v>
      </c>
      <c r="M66" s="9">
        <v>0</v>
      </c>
      <c r="N66" s="9">
        <v>560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</row>
    <row r="67" spans="1:20">
      <c r="A67" s="19">
        <v>1240180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266</v>
      </c>
      <c r="H67" s="9">
        <v>144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</row>
    <row r="68" spans="1:20">
      <c r="A68" s="19">
        <v>1240184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266</v>
      </c>
      <c r="H68" s="9">
        <v>144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</row>
    <row r="69" spans="1:20">
      <c r="A69" s="19">
        <v>1216452</v>
      </c>
      <c r="B69" s="9">
        <v>0</v>
      </c>
      <c r="C69" s="9">
        <v>76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144</v>
      </c>
      <c r="O69" s="9">
        <v>696</v>
      </c>
      <c r="P69" s="9">
        <v>855</v>
      </c>
      <c r="Q69" s="9">
        <v>754</v>
      </c>
      <c r="R69" s="9">
        <v>288</v>
      </c>
      <c r="S69" s="9">
        <v>0</v>
      </c>
      <c r="T69" s="9">
        <v>0</v>
      </c>
    </row>
    <row r="70" spans="1:20">
      <c r="A70" s="19">
        <v>1232894</v>
      </c>
      <c r="B70" s="9">
        <v>0</v>
      </c>
      <c r="C70" s="9">
        <v>301</v>
      </c>
      <c r="D70" s="9">
        <v>0</v>
      </c>
      <c r="E70" s="9">
        <v>0</v>
      </c>
      <c r="F70" s="9">
        <v>0</v>
      </c>
      <c r="G70" s="9">
        <v>0</v>
      </c>
      <c r="H70" s="9">
        <v>576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203</v>
      </c>
      <c r="T70" s="9">
        <v>0</v>
      </c>
    </row>
    <row r="71" spans="1:20">
      <c r="A71" s="100">
        <v>1233387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576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</row>
    <row r="72" spans="1:20">
      <c r="A72" s="19">
        <v>1233385</v>
      </c>
      <c r="B72" s="9">
        <v>0</v>
      </c>
      <c r="C72" s="9">
        <v>301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203</v>
      </c>
      <c r="T72" s="9">
        <v>0</v>
      </c>
    </row>
    <row r="73" spans="1:20">
      <c r="A73" s="19">
        <v>1232895</v>
      </c>
      <c r="B73" s="9">
        <v>0</v>
      </c>
      <c r="C73" s="9">
        <v>60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</row>
    <row r="74" spans="1:20">
      <c r="A74" s="19">
        <v>1232922</v>
      </c>
      <c r="B74" s="9">
        <v>0</v>
      </c>
      <c r="C74" s="9">
        <v>60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</row>
    <row r="75" spans="1:20">
      <c r="A75" s="19">
        <v>1233580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200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</row>
  </sheetData>
  <phoneticPr fontId="1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27A7-BBA2-4452-A222-DF1D7530F598}">
  <sheetPr>
    <tabColor rgb="FFFFFF00"/>
  </sheetPr>
  <dimension ref="A1:R104"/>
  <sheetViews>
    <sheetView zoomScale="130" zoomScaleNormal="130" workbookViewId="0">
      <pane xSplit="2" ySplit="8" topLeftCell="C11" activePane="bottomRight" state="frozen"/>
      <selection pane="topRight" activeCell="C1" sqref="C1"/>
      <selection pane="bottomLeft" activeCell="A9" sqref="A9"/>
      <selection pane="bottomRight" sqref="A1:XFD5"/>
    </sheetView>
  </sheetViews>
  <sheetFormatPr defaultRowHeight="11.25"/>
  <cols>
    <col min="1" max="1" width="6.5" customWidth="1"/>
    <col min="3" max="12" width="10" style="72" customWidth="1"/>
    <col min="13" max="18" width="9.1640625" style="72"/>
  </cols>
  <sheetData>
    <row r="1" spans="1:18" s="80" customFormat="1" ht="12">
      <c r="A1" s="81"/>
      <c r="B1" s="81" t="s">
        <v>730</v>
      </c>
      <c r="C1" s="9">
        <f>+C2-C3</f>
        <v>-49647</v>
      </c>
      <c r="D1" s="9">
        <f t="shared" ref="D1:L1" si="0">+D2-D3</f>
        <v>-44626</v>
      </c>
      <c r="E1" s="9">
        <f t="shared" si="0"/>
        <v>-44231</v>
      </c>
      <c r="F1" s="9">
        <f t="shared" si="0"/>
        <v>-35244</v>
      </c>
      <c r="G1" s="9">
        <f t="shared" si="0"/>
        <v>-28066</v>
      </c>
      <c r="H1" s="9">
        <f t="shared" si="0"/>
        <v>-37851</v>
      </c>
      <c r="I1" s="9">
        <f t="shared" si="0"/>
        <v>-41989</v>
      </c>
      <c r="J1" s="9">
        <f t="shared" si="0"/>
        <v>-36566</v>
      </c>
      <c r="K1" s="9">
        <f t="shared" si="0"/>
        <v>-28483</v>
      </c>
      <c r="L1" s="9">
        <f t="shared" si="0"/>
        <v>-48014</v>
      </c>
      <c r="M1" s="193"/>
      <c r="N1" s="194"/>
      <c r="O1" s="194"/>
      <c r="P1" s="194"/>
      <c r="Q1" s="194"/>
      <c r="R1" s="194"/>
    </row>
    <row r="2" spans="1:18" s="80" customFormat="1" ht="12">
      <c r="A2" s="81"/>
      <c r="B2" s="81" t="s">
        <v>729</v>
      </c>
      <c r="C2" s="9"/>
      <c r="D2" s="9"/>
      <c r="E2" s="9"/>
      <c r="F2" s="9"/>
      <c r="G2" s="9"/>
      <c r="H2" s="9"/>
      <c r="I2" s="9"/>
      <c r="J2" s="9"/>
      <c r="K2" s="9"/>
      <c r="L2" s="9"/>
      <c r="M2" s="193">
        <v>0</v>
      </c>
      <c r="N2" s="194"/>
      <c r="O2" s="194"/>
      <c r="P2" s="194"/>
      <c r="Q2" s="194"/>
      <c r="R2" s="194"/>
    </row>
    <row r="3" spans="1:18" s="196" customFormat="1" ht="12">
      <c r="A3" s="195"/>
      <c r="B3" s="195" t="s">
        <v>30</v>
      </c>
      <c r="C3" s="63">
        <f>+C4+C5</f>
        <v>49647</v>
      </c>
      <c r="D3" s="63">
        <f t="shared" ref="D3:L3" si="1">+D4+D5</f>
        <v>44626</v>
      </c>
      <c r="E3" s="63">
        <f t="shared" si="1"/>
        <v>44231</v>
      </c>
      <c r="F3" s="63">
        <f t="shared" si="1"/>
        <v>35244</v>
      </c>
      <c r="G3" s="63">
        <f t="shared" si="1"/>
        <v>28066</v>
      </c>
      <c r="H3" s="63">
        <f t="shared" si="1"/>
        <v>37851</v>
      </c>
      <c r="I3" s="63">
        <f t="shared" si="1"/>
        <v>41989</v>
      </c>
      <c r="J3" s="63">
        <f t="shared" si="1"/>
        <v>36566</v>
      </c>
      <c r="K3" s="63">
        <f t="shared" si="1"/>
        <v>28483</v>
      </c>
      <c r="L3" s="63">
        <f t="shared" si="1"/>
        <v>48014</v>
      </c>
      <c r="M3" s="197"/>
      <c r="N3" s="198"/>
      <c r="O3" s="198"/>
      <c r="P3" s="198"/>
      <c r="Q3" s="198"/>
      <c r="R3" s="198"/>
    </row>
    <row r="4" spans="1:18" s="80" customFormat="1" ht="12">
      <c r="A4" s="81"/>
      <c r="B4" s="81" t="s">
        <v>31</v>
      </c>
      <c r="C4" s="9">
        <f>SUM(C9:C38)</f>
        <v>30080</v>
      </c>
      <c r="D4" s="9">
        <f t="shared" ref="D4:K4" si="2">SUM(D9:D38)</f>
        <v>32372</v>
      </c>
      <c r="E4" s="9">
        <f t="shared" si="2"/>
        <v>23372</v>
      </c>
      <c r="F4" s="9">
        <f t="shared" si="2"/>
        <v>21084</v>
      </c>
      <c r="G4" s="9">
        <f t="shared" si="2"/>
        <v>18096</v>
      </c>
      <c r="H4" s="9">
        <f t="shared" si="2"/>
        <v>10690</v>
      </c>
      <c r="I4" s="9">
        <f t="shared" si="2"/>
        <v>26058</v>
      </c>
      <c r="J4" s="9">
        <f t="shared" si="2"/>
        <v>21400</v>
      </c>
      <c r="K4" s="9">
        <f t="shared" si="2"/>
        <v>21084</v>
      </c>
      <c r="L4" s="9">
        <f>SUM(L9:L38)</f>
        <v>17898</v>
      </c>
      <c r="M4" s="193"/>
      <c r="N4" s="194"/>
      <c r="O4" s="194"/>
      <c r="P4" s="194"/>
      <c r="Q4" s="194"/>
      <c r="R4" s="194"/>
    </row>
    <row r="5" spans="1:18" s="80" customFormat="1" ht="12">
      <c r="A5" s="81"/>
      <c r="B5" s="81" t="s">
        <v>27</v>
      </c>
      <c r="C5" s="9">
        <f>SUM(C44:C104)</f>
        <v>19567</v>
      </c>
      <c r="D5" s="9">
        <f t="shared" ref="D5:L5" si="3">SUM(D44:D104)</f>
        <v>12254</v>
      </c>
      <c r="E5" s="9">
        <f t="shared" si="3"/>
        <v>20859</v>
      </c>
      <c r="F5" s="9">
        <f t="shared" si="3"/>
        <v>14160</v>
      </c>
      <c r="G5" s="9">
        <f t="shared" si="3"/>
        <v>9970</v>
      </c>
      <c r="H5" s="9">
        <f t="shared" si="3"/>
        <v>27161</v>
      </c>
      <c r="I5" s="9">
        <f t="shared" si="3"/>
        <v>15931</v>
      </c>
      <c r="J5" s="9">
        <f t="shared" si="3"/>
        <v>15166</v>
      </c>
      <c r="K5" s="9">
        <f t="shared" si="3"/>
        <v>7399</v>
      </c>
      <c r="L5" s="9">
        <f t="shared" si="3"/>
        <v>30116</v>
      </c>
      <c r="M5" s="193"/>
      <c r="N5" s="194"/>
      <c r="O5" s="194"/>
      <c r="P5" s="194"/>
      <c r="Q5" s="194"/>
      <c r="R5" s="194"/>
    </row>
    <row r="6" spans="1:18" s="5" customFormat="1" ht="12">
      <c r="B6" s="19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3"/>
      <c r="N6" s="194"/>
      <c r="O6" s="194"/>
      <c r="P6" s="194"/>
      <c r="Q6" s="194"/>
      <c r="R6" s="194"/>
    </row>
    <row r="7" spans="1:18" s="95" customFormat="1">
      <c r="A7" s="302"/>
      <c r="B7" s="303" t="s">
        <v>0</v>
      </c>
      <c r="C7" s="199" t="s">
        <v>754</v>
      </c>
      <c r="D7" s="199" t="s">
        <v>764</v>
      </c>
      <c r="E7" s="199" t="s">
        <v>773</v>
      </c>
      <c r="F7" s="199" t="s">
        <v>796</v>
      </c>
      <c r="G7" s="199" t="s">
        <v>823</v>
      </c>
      <c r="H7" s="199" t="s">
        <v>847</v>
      </c>
      <c r="I7" s="199" t="s">
        <v>876</v>
      </c>
      <c r="J7" s="199" t="s">
        <v>902</v>
      </c>
      <c r="K7" s="199" t="s">
        <v>927</v>
      </c>
      <c r="L7" s="199" t="s">
        <v>939</v>
      </c>
      <c r="M7" s="200"/>
      <c r="N7" s="200"/>
      <c r="O7" s="200"/>
      <c r="P7" s="200"/>
      <c r="Q7" s="200"/>
      <c r="R7" s="200"/>
    </row>
    <row r="8" spans="1:18" s="95" customFormat="1">
      <c r="A8" s="302"/>
      <c r="B8" s="303"/>
      <c r="C8" s="199" t="s">
        <v>755</v>
      </c>
      <c r="D8" s="199" t="s">
        <v>765</v>
      </c>
      <c r="E8" s="199" t="s">
        <v>774</v>
      </c>
      <c r="F8" s="199" t="s">
        <v>797</v>
      </c>
      <c r="G8" s="199" t="s">
        <v>824</v>
      </c>
      <c r="H8" s="199" t="s">
        <v>848</v>
      </c>
      <c r="I8" s="199" t="s">
        <v>877</v>
      </c>
      <c r="J8" s="199" t="s">
        <v>903</v>
      </c>
      <c r="K8" s="199" t="s">
        <v>928</v>
      </c>
      <c r="L8" s="199" t="s">
        <v>940</v>
      </c>
      <c r="M8" s="200"/>
      <c r="N8" s="200"/>
      <c r="O8" s="200"/>
      <c r="P8" s="200"/>
      <c r="Q8" s="200"/>
      <c r="R8" s="200"/>
    </row>
    <row r="9" spans="1:18" s="204" customFormat="1">
      <c r="A9" s="202"/>
      <c r="B9" s="202">
        <v>1226384</v>
      </c>
      <c r="C9" s="201">
        <v>610</v>
      </c>
      <c r="D9" s="201">
        <v>1043</v>
      </c>
      <c r="E9" s="201">
        <v>0</v>
      </c>
      <c r="F9" s="201">
        <v>0</v>
      </c>
      <c r="G9" s="201">
        <v>0</v>
      </c>
      <c r="H9" s="201">
        <v>718</v>
      </c>
      <c r="I9" s="201">
        <v>0</v>
      </c>
      <c r="J9" s="201">
        <v>0</v>
      </c>
      <c r="K9" s="201">
        <v>0</v>
      </c>
      <c r="L9" s="201">
        <v>0</v>
      </c>
      <c r="M9" s="203"/>
      <c r="N9" s="203"/>
      <c r="O9" s="203"/>
      <c r="P9" s="203"/>
      <c r="Q9" s="203"/>
      <c r="R9" s="203"/>
    </row>
    <row r="10" spans="1:18" s="204" customFormat="1">
      <c r="A10" s="202"/>
      <c r="B10" s="202">
        <v>1226388</v>
      </c>
      <c r="C10" s="201">
        <v>610</v>
      </c>
      <c r="D10" s="201">
        <v>1043</v>
      </c>
      <c r="E10" s="201">
        <v>0</v>
      </c>
      <c r="F10" s="201">
        <v>0</v>
      </c>
      <c r="G10" s="201">
        <v>0</v>
      </c>
      <c r="H10" s="201">
        <v>718</v>
      </c>
      <c r="I10" s="201">
        <v>0</v>
      </c>
      <c r="J10" s="201">
        <v>0</v>
      </c>
      <c r="K10" s="201">
        <v>0</v>
      </c>
      <c r="L10" s="201">
        <v>0</v>
      </c>
      <c r="M10" s="203"/>
      <c r="N10" s="203"/>
      <c r="O10" s="203"/>
      <c r="P10" s="203"/>
      <c r="Q10" s="203"/>
      <c r="R10" s="203"/>
    </row>
    <row r="11" spans="1:18" s="204" customFormat="1">
      <c r="A11" s="202"/>
      <c r="B11" s="202">
        <v>1229673</v>
      </c>
      <c r="C11" s="201">
        <v>900</v>
      </c>
      <c r="D11" s="201">
        <v>600</v>
      </c>
      <c r="E11" s="201">
        <v>900</v>
      </c>
      <c r="F11" s="201">
        <v>900</v>
      </c>
      <c r="G11" s="201">
        <v>900</v>
      </c>
      <c r="H11" s="201">
        <v>0</v>
      </c>
      <c r="I11" s="201">
        <v>800</v>
      </c>
      <c r="J11" s="201">
        <v>700</v>
      </c>
      <c r="K11" s="201">
        <v>700</v>
      </c>
      <c r="L11" s="201">
        <v>0</v>
      </c>
      <c r="M11" s="203"/>
      <c r="N11" s="203"/>
      <c r="O11" s="203"/>
      <c r="P11" s="203"/>
      <c r="Q11" s="203"/>
      <c r="R11" s="203"/>
    </row>
    <row r="12" spans="1:18" s="204" customFormat="1">
      <c r="A12" s="202"/>
      <c r="B12" s="202">
        <v>1230692</v>
      </c>
      <c r="C12" s="201">
        <v>1356</v>
      </c>
      <c r="D12" s="201">
        <v>800</v>
      </c>
      <c r="E12" s="201">
        <v>800</v>
      </c>
      <c r="F12" s="201">
        <v>700</v>
      </c>
      <c r="G12" s="201">
        <v>800</v>
      </c>
      <c r="H12" s="201">
        <v>600</v>
      </c>
      <c r="I12" s="201">
        <v>800</v>
      </c>
      <c r="J12" s="201">
        <v>900</v>
      </c>
      <c r="K12" s="201">
        <v>900</v>
      </c>
      <c r="L12" s="201">
        <v>800</v>
      </c>
      <c r="M12" s="203"/>
      <c r="N12" s="203"/>
      <c r="O12" s="203"/>
      <c r="P12" s="203"/>
      <c r="Q12" s="203"/>
      <c r="R12" s="203"/>
    </row>
    <row r="13" spans="1:18" s="204" customFormat="1">
      <c r="A13" s="202"/>
      <c r="B13" s="202">
        <v>1230696</v>
      </c>
      <c r="C13" s="201">
        <v>0</v>
      </c>
      <c r="D13" s="201">
        <v>0</v>
      </c>
      <c r="E13" s="201">
        <v>200</v>
      </c>
      <c r="F13" s="201">
        <v>200</v>
      </c>
      <c r="G13" s="201">
        <v>0</v>
      </c>
      <c r="H13" s="201">
        <v>0</v>
      </c>
      <c r="I13" s="201">
        <v>100</v>
      </c>
      <c r="J13" s="201">
        <v>200</v>
      </c>
      <c r="K13" s="201">
        <v>100</v>
      </c>
      <c r="L13" s="201">
        <v>100</v>
      </c>
      <c r="M13" s="203"/>
      <c r="N13" s="203"/>
      <c r="O13" s="203"/>
      <c r="P13" s="203"/>
      <c r="Q13" s="203"/>
      <c r="R13" s="203"/>
    </row>
    <row r="14" spans="1:18" s="204" customFormat="1">
      <c r="A14" s="202"/>
      <c r="B14" s="202">
        <v>1230854</v>
      </c>
      <c r="C14" s="201">
        <v>0</v>
      </c>
      <c r="D14" s="201">
        <v>0</v>
      </c>
      <c r="E14" s="201">
        <v>200</v>
      </c>
      <c r="F14" s="201">
        <v>100</v>
      </c>
      <c r="G14" s="201">
        <v>0</v>
      </c>
      <c r="H14" s="201">
        <v>0</v>
      </c>
      <c r="I14" s="201">
        <v>200</v>
      </c>
      <c r="J14" s="201">
        <v>0</v>
      </c>
      <c r="K14" s="201">
        <v>0</v>
      </c>
      <c r="L14" s="201">
        <v>0</v>
      </c>
      <c r="M14" s="203"/>
      <c r="N14" s="203"/>
      <c r="O14" s="203"/>
      <c r="P14" s="203"/>
      <c r="Q14" s="203"/>
      <c r="R14" s="203"/>
    </row>
    <row r="15" spans="1:18" s="204" customFormat="1">
      <c r="A15" s="202"/>
      <c r="B15" s="202">
        <v>1231202</v>
      </c>
      <c r="C15" s="201">
        <v>150</v>
      </c>
      <c r="D15" s="201">
        <v>0</v>
      </c>
      <c r="E15" s="201">
        <v>0</v>
      </c>
      <c r="F15" s="201">
        <v>0</v>
      </c>
      <c r="G15" s="201">
        <v>0</v>
      </c>
      <c r="H15" s="201">
        <v>0</v>
      </c>
      <c r="I15" s="201">
        <v>0</v>
      </c>
      <c r="J15" s="201">
        <v>0</v>
      </c>
      <c r="K15" s="201">
        <v>150</v>
      </c>
      <c r="L15" s="201">
        <v>0</v>
      </c>
      <c r="M15" s="203"/>
      <c r="N15" s="203"/>
      <c r="O15" s="203"/>
      <c r="P15" s="203"/>
      <c r="Q15" s="203"/>
      <c r="R15" s="203"/>
    </row>
    <row r="16" spans="1:18" s="204" customFormat="1">
      <c r="A16" s="202"/>
      <c r="B16" s="202">
        <v>1231898</v>
      </c>
      <c r="C16" s="201">
        <v>2240</v>
      </c>
      <c r="D16" s="201">
        <v>2240</v>
      </c>
      <c r="E16" s="201">
        <v>1344</v>
      </c>
      <c r="F16" s="201">
        <v>896</v>
      </c>
      <c r="G16" s="201">
        <v>896</v>
      </c>
      <c r="H16" s="201">
        <v>0</v>
      </c>
      <c r="I16" s="201">
        <v>1792</v>
      </c>
      <c r="J16" s="201">
        <v>1344</v>
      </c>
      <c r="K16" s="201">
        <v>1344</v>
      </c>
      <c r="L16" s="201">
        <v>0</v>
      </c>
      <c r="M16" s="203"/>
      <c r="N16" s="203"/>
      <c r="O16" s="203"/>
      <c r="P16" s="203"/>
      <c r="Q16" s="203"/>
      <c r="R16" s="203"/>
    </row>
    <row r="17" spans="1:18" s="204" customFormat="1">
      <c r="A17" s="202"/>
      <c r="B17" s="202">
        <v>1233492</v>
      </c>
      <c r="C17" s="201">
        <v>500</v>
      </c>
      <c r="D17" s="201">
        <v>0</v>
      </c>
      <c r="E17" s="201">
        <v>0</v>
      </c>
      <c r="F17" s="201">
        <v>0</v>
      </c>
      <c r="G17" s="201">
        <v>0</v>
      </c>
      <c r="H17" s="201">
        <v>0</v>
      </c>
      <c r="I17" s="201">
        <v>500</v>
      </c>
      <c r="J17" s="201">
        <v>500</v>
      </c>
      <c r="K17" s="201">
        <v>0</v>
      </c>
      <c r="L17" s="201">
        <v>0</v>
      </c>
      <c r="M17" s="203"/>
      <c r="N17" s="203"/>
      <c r="O17" s="203"/>
      <c r="P17" s="203"/>
      <c r="Q17" s="203"/>
      <c r="R17" s="203"/>
    </row>
    <row r="18" spans="1:18" s="204" customFormat="1">
      <c r="A18" s="202"/>
      <c r="B18" s="202">
        <v>1233498</v>
      </c>
      <c r="C18" s="201">
        <v>500</v>
      </c>
      <c r="D18" s="201">
        <v>0</v>
      </c>
      <c r="E18" s="201">
        <v>0</v>
      </c>
      <c r="F18" s="201">
        <v>0</v>
      </c>
      <c r="G18" s="201">
        <v>0</v>
      </c>
      <c r="H18" s="201">
        <v>0</v>
      </c>
      <c r="I18" s="201">
        <v>500</v>
      </c>
      <c r="J18" s="201">
        <v>500</v>
      </c>
      <c r="K18" s="201">
        <v>0</v>
      </c>
      <c r="L18" s="201">
        <v>0</v>
      </c>
      <c r="M18" s="203"/>
      <c r="N18" s="203"/>
      <c r="O18" s="203"/>
      <c r="P18" s="203"/>
      <c r="Q18" s="203"/>
      <c r="R18" s="203"/>
    </row>
    <row r="19" spans="1:18" s="204" customFormat="1">
      <c r="A19" s="202"/>
      <c r="B19" s="202">
        <v>1233623</v>
      </c>
      <c r="C19" s="201">
        <v>500</v>
      </c>
      <c r="D19" s="201">
        <v>0</v>
      </c>
      <c r="E19" s="201">
        <v>0</v>
      </c>
      <c r="F19" s="201">
        <v>0</v>
      </c>
      <c r="G19" s="201">
        <v>0</v>
      </c>
      <c r="H19" s="201">
        <v>0</v>
      </c>
      <c r="I19" s="201">
        <v>500</v>
      </c>
      <c r="J19" s="201">
        <v>500</v>
      </c>
      <c r="K19" s="201">
        <v>0</v>
      </c>
      <c r="L19" s="201">
        <v>0</v>
      </c>
      <c r="M19" s="203"/>
      <c r="N19" s="203"/>
      <c r="O19" s="203"/>
      <c r="P19" s="203"/>
      <c r="Q19" s="203"/>
      <c r="R19" s="203"/>
    </row>
    <row r="20" spans="1:18" s="204" customFormat="1">
      <c r="A20" s="202"/>
      <c r="B20" s="202">
        <v>1233761</v>
      </c>
      <c r="C20" s="201">
        <v>0</v>
      </c>
      <c r="D20" s="201">
        <v>0</v>
      </c>
      <c r="E20" s="201">
        <v>200</v>
      </c>
      <c r="F20" s="201">
        <v>200</v>
      </c>
      <c r="G20" s="201">
        <v>100</v>
      </c>
      <c r="H20" s="201">
        <v>0</v>
      </c>
      <c r="I20" s="201">
        <v>0</v>
      </c>
      <c r="J20" s="201">
        <v>100</v>
      </c>
      <c r="K20" s="201">
        <v>200</v>
      </c>
      <c r="L20" s="201">
        <v>100</v>
      </c>
      <c r="M20" s="203"/>
      <c r="N20" s="203"/>
      <c r="O20" s="203"/>
      <c r="P20" s="203"/>
      <c r="Q20" s="203"/>
      <c r="R20" s="203"/>
    </row>
    <row r="21" spans="1:18" s="204" customFormat="1">
      <c r="A21" s="202"/>
      <c r="B21" s="202">
        <v>1233877</v>
      </c>
      <c r="C21" s="201">
        <v>0</v>
      </c>
      <c r="D21" s="201">
        <v>0</v>
      </c>
      <c r="E21" s="201">
        <v>0</v>
      </c>
      <c r="F21" s="201">
        <v>0</v>
      </c>
      <c r="G21" s="201">
        <v>0</v>
      </c>
      <c r="H21" s="201">
        <v>0</v>
      </c>
      <c r="I21" s="201">
        <v>0</v>
      </c>
      <c r="J21" s="201">
        <v>0</v>
      </c>
      <c r="K21" s="201">
        <v>120</v>
      </c>
      <c r="L21" s="201">
        <v>0</v>
      </c>
      <c r="M21" s="203"/>
      <c r="N21" s="203"/>
      <c r="O21" s="203"/>
      <c r="P21" s="203"/>
      <c r="Q21" s="203"/>
      <c r="R21" s="203"/>
    </row>
    <row r="22" spans="1:18" s="204" customFormat="1">
      <c r="A22" s="202"/>
      <c r="B22" s="202">
        <v>1234614</v>
      </c>
      <c r="C22" s="201">
        <v>0</v>
      </c>
      <c r="D22" s="201">
        <v>300</v>
      </c>
      <c r="E22" s="201">
        <v>300</v>
      </c>
      <c r="F22" s="201">
        <v>300</v>
      </c>
      <c r="G22" s="201">
        <v>0</v>
      </c>
      <c r="H22" s="201">
        <v>0</v>
      </c>
      <c r="I22" s="201">
        <v>300</v>
      </c>
      <c r="J22" s="201">
        <v>300</v>
      </c>
      <c r="K22" s="201">
        <v>300</v>
      </c>
      <c r="L22" s="201">
        <v>0</v>
      </c>
      <c r="M22" s="203"/>
      <c r="N22" s="203"/>
      <c r="O22" s="203"/>
      <c r="P22" s="203"/>
      <c r="Q22" s="203"/>
      <c r="R22" s="203"/>
    </row>
    <row r="23" spans="1:18" s="204" customFormat="1">
      <c r="A23" s="202"/>
      <c r="B23" s="202">
        <v>1235003</v>
      </c>
      <c r="C23" s="201">
        <v>996</v>
      </c>
      <c r="D23" s="201">
        <v>0</v>
      </c>
      <c r="E23" s="201">
        <v>0</v>
      </c>
      <c r="F23" s="201">
        <v>0</v>
      </c>
      <c r="G23" s="201">
        <v>0</v>
      </c>
      <c r="H23" s="201">
        <v>0</v>
      </c>
      <c r="I23" s="201">
        <v>0</v>
      </c>
      <c r="J23" s="201">
        <v>0</v>
      </c>
      <c r="K23" s="201">
        <v>0</v>
      </c>
      <c r="L23" s="201">
        <v>0</v>
      </c>
      <c r="M23" s="203"/>
      <c r="N23" s="203"/>
      <c r="O23" s="203"/>
      <c r="P23" s="203"/>
      <c r="Q23" s="203"/>
      <c r="R23" s="203"/>
    </row>
    <row r="24" spans="1:18" s="204" customFormat="1">
      <c r="A24" s="202"/>
      <c r="B24" s="202">
        <v>1235623</v>
      </c>
      <c r="C24" s="201">
        <v>0</v>
      </c>
      <c r="D24" s="201">
        <v>1872</v>
      </c>
      <c r="E24" s="201">
        <v>0</v>
      </c>
      <c r="F24" s="201">
        <v>0</v>
      </c>
      <c r="G24" s="201">
        <v>0</v>
      </c>
      <c r="H24" s="201">
        <v>0</v>
      </c>
      <c r="I24" s="201">
        <v>0</v>
      </c>
      <c r="J24" s="201">
        <v>0</v>
      </c>
      <c r="K24" s="201">
        <v>0</v>
      </c>
      <c r="L24" s="201">
        <v>1872</v>
      </c>
      <c r="M24" s="203"/>
      <c r="N24" s="203"/>
      <c r="O24" s="203"/>
      <c r="P24" s="203"/>
      <c r="Q24" s="203"/>
      <c r="R24" s="203"/>
    </row>
    <row r="25" spans="1:18" s="204" customFormat="1">
      <c r="A25" s="202"/>
      <c r="B25" s="202">
        <v>1236091</v>
      </c>
      <c r="C25" s="201">
        <v>0</v>
      </c>
      <c r="D25" s="201">
        <v>0</v>
      </c>
      <c r="E25" s="201">
        <v>200</v>
      </c>
      <c r="F25" s="201">
        <v>300</v>
      </c>
      <c r="G25" s="201">
        <v>0</v>
      </c>
      <c r="H25" s="201">
        <v>0</v>
      </c>
      <c r="I25" s="201">
        <v>300</v>
      </c>
      <c r="J25" s="201">
        <v>250</v>
      </c>
      <c r="K25" s="201">
        <v>0</v>
      </c>
      <c r="L25" s="201">
        <v>0</v>
      </c>
      <c r="M25" s="203"/>
      <c r="N25" s="203"/>
      <c r="O25" s="203"/>
      <c r="P25" s="203"/>
      <c r="Q25" s="203"/>
      <c r="R25" s="203"/>
    </row>
    <row r="26" spans="1:18" s="204" customFormat="1">
      <c r="A26" s="202"/>
      <c r="B26" s="202">
        <v>1236488</v>
      </c>
      <c r="C26" s="201">
        <v>472</v>
      </c>
      <c r="D26" s="201">
        <v>500</v>
      </c>
      <c r="E26" s="201">
        <v>600</v>
      </c>
      <c r="F26" s="201">
        <v>600</v>
      </c>
      <c r="G26" s="201">
        <v>600</v>
      </c>
      <c r="H26" s="201">
        <v>500</v>
      </c>
      <c r="I26" s="201">
        <v>700</v>
      </c>
      <c r="J26" s="201">
        <v>700</v>
      </c>
      <c r="K26" s="201">
        <v>700</v>
      </c>
      <c r="L26" s="201">
        <v>700</v>
      </c>
      <c r="M26" s="203"/>
      <c r="N26" s="203"/>
      <c r="O26" s="203"/>
      <c r="P26" s="203"/>
      <c r="Q26" s="203"/>
      <c r="R26" s="203"/>
    </row>
    <row r="27" spans="1:18" s="204" customFormat="1">
      <c r="A27" s="202"/>
      <c r="B27" s="202">
        <v>1236534</v>
      </c>
      <c r="C27" s="201">
        <v>0</v>
      </c>
      <c r="D27" s="201">
        <v>0</v>
      </c>
      <c r="E27" s="201">
        <v>0</v>
      </c>
      <c r="F27" s="201">
        <v>200</v>
      </c>
      <c r="G27" s="201">
        <v>0</v>
      </c>
      <c r="H27" s="201">
        <v>0</v>
      </c>
      <c r="I27" s="201">
        <v>300</v>
      </c>
      <c r="J27" s="201">
        <v>300</v>
      </c>
      <c r="K27" s="201">
        <v>0</v>
      </c>
      <c r="L27" s="201">
        <v>0</v>
      </c>
      <c r="M27" s="203"/>
      <c r="N27" s="203"/>
      <c r="O27" s="203"/>
      <c r="P27" s="203"/>
      <c r="Q27" s="203"/>
      <c r="R27" s="203"/>
    </row>
    <row r="28" spans="1:18" s="204" customFormat="1">
      <c r="A28" s="202"/>
      <c r="B28" s="202">
        <v>1236962</v>
      </c>
      <c r="C28" s="201">
        <v>800</v>
      </c>
      <c r="D28" s="201">
        <v>1200</v>
      </c>
      <c r="E28" s="201">
        <v>1000</v>
      </c>
      <c r="F28" s="201">
        <v>1000</v>
      </c>
      <c r="G28" s="201">
        <v>900</v>
      </c>
      <c r="H28" s="201">
        <v>400</v>
      </c>
      <c r="I28" s="201">
        <v>700</v>
      </c>
      <c r="J28" s="201">
        <v>800</v>
      </c>
      <c r="K28" s="201">
        <v>750</v>
      </c>
      <c r="L28" s="201">
        <v>700</v>
      </c>
      <c r="M28" s="203"/>
      <c r="N28" s="203"/>
      <c r="O28" s="203"/>
      <c r="P28" s="203"/>
      <c r="Q28" s="203"/>
      <c r="R28" s="203"/>
    </row>
    <row r="29" spans="1:18" s="204" customFormat="1">
      <c r="A29" s="202"/>
      <c r="B29" s="202">
        <v>1237088</v>
      </c>
      <c r="C29" s="201">
        <v>5066</v>
      </c>
      <c r="D29" s="201">
        <v>5986</v>
      </c>
      <c r="E29" s="201">
        <v>3940</v>
      </c>
      <c r="F29" s="201">
        <v>3044</v>
      </c>
      <c r="G29" s="201">
        <v>3244</v>
      </c>
      <c r="H29" s="201">
        <v>1200</v>
      </c>
      <c r="I29" s="201">
        <v>2992</v>
      </c>
      <c r="J29" s="201">
        <v>2444</v>
      </c>
      <c r="K29" s="201">
        <v>2544</v>
      </c>
      <c r="L29" s="201">
        <v>1996</v>
      </c>
      <c r="M29" s="203"/>
      <c r="N29" s="203"/>
      <c r="O29" s="203"/>
      <c r="P29" s="203"/>
      <c r="Q29" s="203"/>
      <c r="R29" s="203"/>
    </row>
    <row r="30" spans="1:18" s="204" customFormat="1">
      <c r="A30" s="202"/>
      <c r="B30" s="202">
        <v>1237586</v>
      </c>
      <c r="C30" s="201">
        <v>2240</v>
      </c>
      <c r="D30" s="201">
        <v>2240</v>
      </c>
      <c r="E30" s="201">
        <v>1344</v>
      </c>
      <c r="F30" s="201">
        <v>896</v>
      </c>
      <c r="G30" s="201">
        <v>896</v>
      </c>
      <c r="H30" s="201">
        <v>0</v>
      </c>
      <c r="I30" s="201">
        <v>1792</v>
      </c>
      <c r="J30" s="201">
        <v>1344</v>
      </c>
      <c r="K30" s="201">
        <v>1344</v>
      </c>
      <c r="L30" s="201">
        <v>0</v>
      </c>
      <c r="M30" s="203"/>
      <c r="N30" s="203"/>
      <c r="O30" s="203"/>
      <c r="P30" s="203"/>
      <c r="Q30" s="203"/>
      <c r="R30" s="203"/>
    </row>
    <row r="31" spans="1:18" s="204" customFormat="1">
      <c r="A31" s="202"/>
      <c r="B31" s="202">
        <v>1237748</v>
      </c>
      <c r="C31" s="201">
        <v>156</v>
      </c>
      <c r="D31" s="201">
        <v>0</v>
      </c>
      <c r="E31" s="201">
        <v>150</v>
      </c>
      <c r="F31" s="201">
        <v>0</v>
      </c>
      <c r="G31" s="201">
        <v>0</v>
      </c>
      <c r="H31" s="201">
        <v>780</v>
      </c>
      <c r="I31" s="201">
        <v>450</v>
      </c>
      <c r="J31" s="201">
        <v>0</v>
      </c>
      <c r="K31" s="201">
        <v>0</v>
      </c>
      <c r="L31" s="201">
        <v>884</v>
      </c>
      <c r="M31" s="203"/>
      <c r="N31" s="203"/>
      <c r="O31" s="203"/>
      <c r="P31" s="203"/>
      <c r="Q31" s="203"/>
      <c r="R31" s="203"/>
    </row>
    <row r="32" spans="1:18" s="204" customFormat="1">
      <c r="A32" s="202"/>
      <c r="B32" s="202">
        <v>1238128</v>
      </c>
      <c r="C32" s="201">
        <v>1472</v>
      </c>
      <c r="D32" s="201">
        <v>3936</v>
      </c>
      <c r="E32" s="201">
        <v>1120</v>
      </c>
      <c r="F32" s="201">
        <v>616</v>
      </c>
      <c r="G32" s="201">
        <v>600</v>
      </c>
      <c r="H32" s="201">
        <v>2232</v>
      </c>
      <c r="I32" s="201">
        <v>2120</v>
      </c>
      <c r="J32" s="201">
        <v>1588</v>
      </c>
      <c r="K32" s="201">
        <v>2332</v>
      </c>
      <c r="L32" s="201">
        <v>4626</v>
      </c>
      <c r="M32" s="203"/>
      <c r="N32" s="203"/>
      <c r="O32" s="203"/>
      <c r="P32" s="203"/>
      <c r="Q32" s="203"/>
      <c r="R32" s="203"/>
    </row>
    <row r="33" spans="1:18" s="204" customFormat="1">
      <c r="A33" s="202"/>
      <c r="B33" s="202">
        <v>1239651</v>
      </c>
      <c r="C33" s="201">
        <v>340</v>
      </c>
      <c r="D33" s="201">
        <v>500</v>
      </c>
      <c r="E33" s="201">
        <v>400</v>
      </c>
      <c r="F33" s="201">
        <v>500</v>
      </c>
      <c r="G33" s="201">
        <v>450</v>
      </c>
      <c r="H33" s="201">
        <v>150</v>
      </c>
      <c r="I33" s="201">
        <v>400</v>
      </c>
      <c r="J33" s="201">
        <v>400</v>
      </c>
      <c r="K33" s="201">
        <v>650</v>
      </c>
      <c r="L33" s="201">
        <v>120</v>
      </c>
      <c r="M33" s="203"/>
      <c r="N33" s="203"/>
      <c r="O33" s="203"/>
      <c r="P33" s="203"/>
      <c r="Q33" s="203"/>
      <c r="R33" s="203"/>
    </row>
    <row r="34" spans="1:18" s="204" customFormat="1">
      <c r="A34" s="202"/>
      <c r="B34" s="202">
        <v>1239988</v>
      </c>
      <c r="C34" s="201">
        <v>200</v>
      </c>
      <c r="D34" s="201">
        <v>614</v>
      </c>
      <c r="E34" s="201">
        <v>1500</v>
      </c>
      <c r="F34" s="201">
        <v>1616</v>
      </c>
      <c r="G34" s="201">
        <v>1150</v>
      </c>
      <c r="H34" s="201">
        <v>600</v>
      </c>
      <c r="I34" s="201">
        <v>3100</v>
      </c>
      <c r="J34" s="201">
        <v>1024</v>
      </c>
      <c r="K34" s="201">
        <v>500</v>
      </c>
      <c r="L34" s="201">
        <v>400</v>
      </c>
      <c r="M34" s="203"/>
      <c r="N34" s="203"/>
      <c r="O34" s="203"/>
      <c r="P34" s="203"/>
      <c r="Q34" s="203"/>
      <c r="R34" s="203"/>
    </row>
    <row r="35" spans="1:18" s="204" customFormat="1">
      <c r="A35" s="202"/>
      <c r="B35" s="202">
        <v>1240180</v>
      </c>
      <c r="C35" s="201">
        <v>2330</v>
      </c>
      <c r="D35" s="201">
        <v>1188</v>
      </c>
      <c r="E35" s="201">
        <v>1950</v>
      </c>
      <c r="F35" s="201">
        <v>1766</v>
      </c>
      <c r="G35" s="201">
        <v>1355</v>
      </c>
      <c r="H35" s="201">
        <v>696</v>
      </c>
      <c r="I35" s="201">
        <v>1606</v>
      </c>
      <c r="J35" s="201">
        <v>1453</v>
      </c>
      <c r="K35" s="201">
        <v>1750</v>
      </c>
      <c r="L35" s="201">
        <v>1000</v>
      </c>
      <c r="M35" s="203"/>
      <c r="N35" s="203"/>
      <c r="O35" s="203"/>
      <c r="P35" s="203"/>
      <c r="Q35" s="203"/>
      <c r="R35" s="203"/>
    </row>
    <row r="36" spans="1:18" s="204" customFormat="1">
      <c r="A36" s="202"/>
      <c r="B36" s="202">
        <v>1240184</v>
      </c>
      <c r="C36" s="201">
        <v>2330</v>
      </c>
      <c r="D36" s="201">
        <v>1188</v>
      </c>
      <c r="E36" s="201">
        <v>1650</v>
      </c>
      <c r="F36" s="201">
        <v>1500</v>
      </c>
      <c r="G36" s="201">
        <v>1155</v>
      </c>
      <c r="H36" s="201">
        <v>696</v>
      </c>
      <c r="I36" s="201">
        <v>1606</v>
      </c>
      <c r="J36" s="201">
        <v>1453</v>
      </c>
      <c r="K36" s="201">
        <v>1650</v>
      </c>
      <c r="L36" s="201">
        <v>900</v>
      </c>
      <c r="M36" s="203"/>
      <c r="N36" s="203"/>
      <c r="O36" s="203"/>
      <c r="P36" s="203"/>
      <c r="Q36" s="203"/>
      <c r="R36" s="203"/>
    </row>
    <row r="37" spans="1:18" s="204" customFormat="1">
      <c r="A37" s="202"/>
      <c r="B37" s="202">
        <v>1240308</v>
      </c>
      <c r="C37" s="201">
        <v>900</v>
      </c>
      <c r="D37" s="201">
        <v>750</v>
      </c>
      <c r="E37" s="201">
        <v>974</v>
      </c>
      <c r="F37" s="201">
        <v>750</v>
      </c>
      <c r="G37" s="201">
        <v>850</v>
      </c>
      <c r="H37" s="201">
        <v>0</v>
      </c>
      <c r="I37" s="201">
        <v>150</v>
      </c>
      <c r="J37" s="201">
        <v>350</v>
      </c>
      <c r="K37" s="201">
        <v>650</v>
      </c>
      <c r="L37" s="201">
        <v>300</v>
      </c>
      <c r="M37" s="203"/>
      <c r="N37" s="203"/>
      <c r="O37" s="203"/>
      <c r="P37" s="203"/>
      <c r="Q37" s="203"/>
      <c r="R37" s="203"/>
    </row>
    <row r="38" spans="1:18" s="204" customFormat="1">
      <c r="A38" s="202"/>
      <c r="B38" s="202">
        <v>1241601</v>
      </c>
      <c r="C38" s="201">
        <v>5412</v>
      </c>
      <c r="D38" s="201">
        <v>6372</v>
      </c>
      <c r="E38" s="201">
        <v>4600</v>
      </c>
      <c r="F38" s="201">
        <v>5000</v>
      </c>
      <c r="G38" s="201">
        <v>4200</v>
      </c>
      <c r="H38" s="201">
        <v>1400</v>
      </c>
      <c r="I38" s="201">
        <v>4350</v>
      </c>
      <c r="J38" s="201">
        <v>4250</v>
      </c>
      <c r="K38" s="201">
        <v>4400</v>
      </c>
      <c r="L38" s="201">
        <v>3400</v>
      </c>
      <c r="M38" s="203"/>
      <c r="N38" s="203"/>
      <c r="O38" s="203"/>
      <c r="P38" s="203"/>
      <c r="Q38" s="203"/>
      <c r="R38" s="203"/>
    </row>
    <row r="39" spans="1:18" s="204" customFormat="1"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</row>
    <row r="42" spans="1:18" s="95" customFormat="1">
      <c r="A42" s="302"/>
      <c r="B42" s="303" t="s">
        <v>0</v>
      </c>
      <c r="C42" s="199" t="s">
        <v>754</v>
      </c>
      <c r="D42" s="199" t="s">
        <v>764</v>
      </c>
      <c r="E42" s="199" t="s">
        <v>773</v>
      </c>
      <c r="F42" s="199" t="s">
        <v>796</v>
      </c>
      <c r="G42" s="199" t="s">
        <v>823</v>
      </c>
      <c r="H42" s="199" t="s">
        <v>847</v>
      </c>
      <c r="I42" s="199" t="s">
        <v>876</v>
      </c>
      <c r="J42" s="199" t="s">
        <v>902</v>
      </c>
      <c r="K42" s="199" t="s">
        <v>927</v>
      </c>
      <c r="L42" s="199" t="s">
        <v>939</v>
      </c>
      <c r="M42" s="200"/>
      <c r="N42" s="200"/>
      <c r="O42" s="200"/>
      <c r="P42" s="200"/>
      <c r="Q42" s="200"/>
      <c r="R42" s="200"/>
    </row>
    <row r="43" spans="1:18" s="95" customFormat="1">
      <c r="A43" s="302"/>
      <c r="B43" s="303"/>
      <c r="C43" s="199" t="s">
        <v>755</v>
      </c>
      <c r="D43" s="199" t="s">
        <v>765</v>
      </c>
      <c r="E43" s="199" t="s">
        <v>774</v>
      </c>
      <c r="F43" s="199" t="s">
        <v>797</v>
      </c>
      <c r="G43" s="199" t="s">
        <v>824</v>
      </c>
      <c r="H43" s="199" t="s">
        <v>848</v>
      </c>
      <c r="I43" s="199" t="s">
        <v>877</v>
      </c>
      <c r="J43" s="199" t="s">
        <v>903</v>
      </c>
      <c r="K43" s="199" t="s">
        <v>928</v>
      </c>
      <c r="L43" s="199" t="s">
        <v>940</v>
      </c>
      <c r="M43" s="200"/>
      <c r="N43" s="200"/>
      <c r="O43" s="200"/>
      <c r="P43" s="200"/>
      <c r="Q43" s="200"/>
      <c r="R43" s="200"/>
    </row>
    <row r="44" spans="1:18" s="204" customFormat="1">
      <c r="B44" s="204">
        <v>1216452</v>
      </c>
      <c r="C44" s="203">
        <v>0</v>
      </c>
      <c r="D44" s="203">
        <v>0</v>
      </c>
      <c r="E44" s="203">
        <v>0</v>
      </c>
      <c r="F44" s="203">
        <v>0</v>
      </c>
      <c r="G44" s="203">
        <v>324</v>
      </c>
      <c r="H44" s="203">
        <v>1152</v>
      </c>
      <c r="I44" s="203">
        <v>864</v>
      </c>
      <c r="J44" s="203">
        <v>0</v>
      </c>
      <c r="K44" s="203">
        <v>324</v>
      </c>
      <c r="L44" s="203">
        <v>288</v>
      </c>
      <c r="M44" s="203"/>
      <c r="N44" s="203"/>
      <c r="O44" s="203"/>
      <c r="P44" s="203"/>
      <c r="Q44" s="203"/>
      <c r="R44" s="203"/>
    </row>
    <row r="45" spans="1:18" s="204" customFormat="1">
      <c r="B45" s="204">
        <v>1220847</v>
      </c>
      <c r="C45" s="203">
        <v>0</v>
      </c>
      <c r="D45" s="203">
        <v>36</v>
      </c>
      <c r="E45" s="203">
        <v>1260</v>
      </c>
      <c r="F45" s="203">
        <v>0</v>
      </c>
      <c r="G45" s="203">
        <v>0</v>
      </c>
      <c r="H45" s="203">
        <v>0</v>
      </c>
      <c r="I45" s="203">
        <v>50</v>
      </c>
      <c r="J45" s="203">
        <v>1050</v>
      </c>
      <c r="K45" s="203">
        <v>0</v>
      </c>
      <c r="L45" s="203">
        <v>0</v>
      </c>
      <c r="M45" s="203"/>
      <c r="N45" s="203"/>
      <c r="O45" s="203"/>
      <c r="P45" s="203"/>
      <c r="Q45" s="203"/>
      <c r="R45" s="203"/>
    </row>
    <row r="46" spans="1:18" s="204" customFormat="1">
      <c r="B46" s="204">
        <v>1221967</v>
      </c>
      <c r="C46" s="203">
        <v>0</v>
      </c>
      <c r="D46" s="203">
        <v>0</v>
      </c>
      <c r="E46" s="203">
        <v>0</v>
      </c>
      <c r="F46" s="203">
        <v>0</v>
      </c>
      <c r="G46" s="203">
        <v>205</v>
      </c>
      <c r="H46" s="203">
        <v>0</v>
      </c>
      <c r="I46" s="203">
        <v>0</v>
      </c>
      <c r="J46" s="203">
        <v>0</v>
      </c>
      <c r="K46" s="203">
        <v>0</v>
      </c>
      <c r="L46" s="203">
        <v>351</v>
      </c>
      <c r="M46" s="203"/>
      <c r="N46" s="203"/>
      <c r="O46" s="203"/>
      <c r="P46" s="203"/>
      <c r="Q46" s="203"/>
      <c r="R46" s="203"/>
    </row>
    <row r="47" spans="1:18" s="204" customFormat="1">
      <c r="B47" s="204">
        <v>1225464</v>
      </c>
      <c r="C47" s="203">
        <v>0</v>
      </c>
      <c r="D47" s="203">
        <v>0</v>
      </c>
      <c r="E47" s="203">
        <v>756</v>
      </c>
      <c r="F47" s="203">
        <v>0</v>
      </c>
      <c r="G47" s="203">
        <v>0</v>
      </c>
      <c r="H47" s="203">
        <v>0</v>
      </c>
      <c r="I47" s="203">
        <v>0</v>
      </c>
      <c r="J47" s="203">
        <v>756</v>
      </c>
      <c r="K47" s="203">
        <v>0</v>
      </c>
      <c r="L47" s="203">
        <v>0</v>
      </c>
      <c r="M47" s="203"/>
      <c r="N47" s="203"/>
      <c r="O47" s="203"/>
      <c r="P47" s="203"/>
      <c r="Q47" s="203"/>
      <c r="R47" s="203"/>
    </row>
    <row r="48" spans="1:18" s="204" customFormat="1">
      <c r="B48" s="204">
        <v>1227306</v>
      </c>
      <c r="C48" s="203">
        <v>400</v>
      </c>
      <c r="D48" s="203">
        <v>420</v>
      </c>
      <c r="E48" s="203">
        <v>600</v>
      </c>
      <c r="F48" s="203">
        <v>750</v>
      </c>
      <c r="G48" s="203">
        <v>200</v>
      </c>
      <c r="H48" s="203">
        <v>200</v>
      </c>
      <c r="I48" s="203">
        <v>400</v>
      </c>
      <c r="J48" s="203">
        <v>750</v>
      </c>
      <c r="K48" s="203">
        <v>300</v>
      </c>
      <c r="L48" s="203">
        <v>0</v>
      </c>
      <c r="M48" s="203"/>
      <c r="N48" s="203"/>
      <c r="O48" s="203"/>
      <c r="P48" s="203"/>
      <c r="Q48" s="203"/>
      <c r="R48" s="203"/>
    </row>
    <row r="49" spans="2:18" s="204" customFormat="1">
      <c r="B49" s="204">
        <v>1229050</v>
      </c>
      <c r="C49" s="203">
        <v>245</v>
      </c>
      <c r="D49" s="203">
        <v>0</v>
      </c>
      <c r="E49" s="203">
        <v>0</v>
      </c>
      <c r="F49" s="203">
        <v>0</v>
      </c>
      <c r="G49" s="203">
        <v>0</v>
      </c>
      <c r="H49" s="203">
        <v>250</v>
      </c>
      <c r="I49" s="203">
        <v>0</v>
      </c>
      <c r="J49" s="203">
        <v>0</v>
      </c>
      <c r="K49" s="203">
        <v>0</v>
      </c>
      <c r="L49" s="203">
        <v>255</v>
      </c>
      <c r="M49" s="203"/>
      <c r="N49" s="203"/>
      <c r="O49" s="203"/>
      <c r="P49" s="203"/>
      <c r="Q49" s="203"/>
      <c r="R49" s="203"/>
    </row>
    <row r="50" spans="2:18" s="204" customFormat="1">
      <c r="B50" s="204">
        <v>1229088</v>
      </c>
      <c r="C50" s="203">
        <v>0</v>
      </c>
      <c r="D50" s="203">
        <v>0</v>
      </c>
      <c r="E50" s="203">
        <v>350</v>
      </c>
      <c r="F50" s="203">
        <v>0</v>
      </c>
      <c r="G50" s="203">
        <v>0</v>
      </c>
      <c r="H50" s="203">
        <v>0</v>
      </c>
      <c r="I50" s="203">
        <v>150</v>
      </c>
      <c r="J50" s="203">
        <v>0</v>
      </c>
      <c r="K50" s="203">
        <v>0</v>
      </c>
      <c r="L50" s="203">
        <v>0</v>
      </c>
      <c r="M50" s="203"/>
      <c r="N50" s="203"/>
      <c r="O50" s="203"/>
      <c r="P50" s="203"/>
      <c r="Q50" s="203"/>
      <c r="R50" s="203"/>
    </row>
    <row r="51" spans="2:18" s="204" customFormat="1">
      <c r="B51" s="204">
        <v>1229776</v>
      </c>
      <c r="C51" s="203">
        <v>200</v>
      </c>
      <c r="D51" s="203">
        <v>0</v>
      </c>
      <c r="E51" s="203">
        <v>0</v>
      </c>
      <c r="F51" s="203">
        <v>0</v>
      </c>
      <c r="G51" s="203">
        <v>0</v>
      </c>
      <c r="H51" s="203">
        <v>0</v>
      </c>
      <c r="I51" s="203">
        <v>0</v>
      </c>
      <c r="J51" s="203">
        <v>150</v>
      </c>
      <c r="K51" s="203">
        <v>0</v>
      </c>
      <c r="L51" s="203">
        <v>90</v>
      </c>
      <c r="M51" s="203"/>
      <c r="N51" s="203"/>
      <c r="O51" s="203"/>
      <c r="P51" s="203"/>
      <c r="Q51" s="203"/>
      <c r="R51" s="203"/>
    </row>
    <row r="52" spans="2:18" s="204" customFormat="1">
      <c r="B52" s="204">
        <v>1230685</v>
      </c>
      <c r="C52" s="203">
        <v>0</v>
      </c>
      <c r="D52" s="203">
        <v>0</v>
      </c>
      <c r="E52" s="203">
        <v>200</v>
      </c>
      <c r="F52" s="203">
        <v>200</v>
      </c>
      <c r="G52" s="203">
        <v>100</v>
      </c>
      <c r="H52" s="203">
        <v>0</v>
      </c>
      <c r="I52" s="203">
        <v>0</v>
      </c>
      <c r="J52" s="203">
        <v>250</v>
      </c>
      <c r="K52" s="203">
        <v>150</v>
      </c>
      <c r="L52" s="203">
        <v>0</v>
      </c>
      <c r="M52" s="203"/>
      <c r="N52" s="203"/>
      <c r="O52" s="203"/>
      <c r="P52" s="203"/>
      <c r="Q52" s="203"/>
      <c r="R52" s="203"/>
    </row>
    <row r="53" spans="2:18" s="204" customFormat="1">
      <c r="B53" s="204">
        <v>1230791</v>
      </c>
      <c r="C53" s="203">
        <v>26</v>
      </c>
      <c r="D53" s="203">
        <v>0</v>
      </c>
      <c r="E53" s="203">
        <v>0</v>
      </c>
      <c r="F53" s="203">
        <v>0</v>
      </c>
      <c r="G53" s="203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/>
      <c r="N53" s="203"/>
      <c r="O53" s="203"/>
      <c r="P53" s="203"/>
      <c r="Q53" s="203"/>
      <c r="R53" s="203"/>
    </row>
    <row r="54" spans="2:18" s="204" customFormat="1">
      <c r="B54" s="204">
        <v>1231011</v>
      </c>
      <c r="C54" s="203">
        <v>0</v>
      </c>
      <c r="D54" s="203">
        <v>0</v>
      </c>
      <c r="E54" s="203">
        <v>90</v>
      </c>
      <c r="F54" s="203">
        <v>210</v>
      </c>
      <c r="G54" s="203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/>
      <c r="N54" s="203"/>
      <c r="O54" s="203"/>
      <c r="P54" s="203"/>
      <c r="Q54" s="203"/>
      <c r="R54" s="203"/>
    </row>
    <row r="55" spans="2:18" s="204" customFormat="1">
      <c r="B55" s="204">
        <v>1231090</v>
      </c>
      <c r="C55" s="203">
        <v>1380</v>
      </c>
      <c r="D55" s="203">
        <v>0</v>
      </c>
      <c r="E55" s="203">
        <v>540</v>
      </c>
      <c r="F55" s="203">
        <v>0</v>
      </c>
      <c r="G55" s="203">
        <v>0</v>
      </c>
      <c r="H55" s="203">
        <v>980</v>
      </c>
      <c r="I55" s="203">
        <v>0</v>
      </c>
      <c r="J55" s="203">
        <v>150</v>
      </c>
      <c r="K55" s="203">
        <v>0</v>
      </c>
      <c r="L55" s="203">
        <v>1080</v>
      </c>
      <c r="M55" s="203"/>
      <c r="N55" s="203"/>
      <c r="O55" s="203"/>
      <c r="P55" s="203"/>
      <c r="Q55" s="203"/>
      <c r="R55" s="203"/>
    </row>
    <row r="56" spans="2:18" s="204" customFormat="1">
      <c r="B56" s="204">
        <v>1231578</v>
      </c>
      <c r="C56" s="203">
        <v>168</v>
      </c>
      <c r="D56" s="203">
        <v>0</v>
      </c>
      <c r="E56" s="203">
        <v>200</v>
      </c>
      <c r="F56" s="203">
        <v>300</v>
      </c>
      <c r="G56" s="203">
        <v>200</v>
      </c>
      <c r="H56" s="203">
        <v>0</v>
      </c>
      <c r="I56" s="203">
        <v>0</v>
      </c>
      <c r="J56" s="203">
        <v>500</v>
      </c>
      <c r="K56" s="203">
        <v>200</v>
      </c>
      <c r="L56" s="203">
        <v>0</v>
      </c>
      <c r="M56" s="203"/>
      <c r="N56" s="203"/>
      <c r="O56" s="203"/>
      <c r="P56" s="203"/>
      <c r="Q56" s="203"/>
      <c r="R56" s="203"/>
    </row>
    <row r="57" spans="2:18" s="204" customFormat="1">
      <c r="B57" s="204">
        <v>1231797</v>
      </c>
      <c r="C57" s="203">
        <v>0</v>
      </c>
      <c r="D57" s="203">
        <v>0</v>
      </c>
      <c r="E57" s="203">
        <v>0</v>
      </c>
      <c r="F57" s="203">
        <v>0</v>
      </c>
      <c r="G57" s="203">
        <v>154</v>
      </c>
      <c r="H57" s="203">
        <v>0</v>
      </c>
      <c r="I57" s="203">
        <v>0</v>
      </c>
      <c r="J57" s="203">
        <v>0</v>
      </c>
      <c r="K57" s="203">
        <v>154</v>
      </c>
      <c r="L57" s="203">
        <v>0</v>
      </c>
      <c r="M57" s="203"/>
      <c r="N57" s="203"/>
      <c r="O57" s="203"/>
      <c r="P57" s="203"/>
      <c r="Q57" s="203"/>
      <c r="R57" s="203"/>
    </row>
    <row r="58" spans="2:18" s="204" customFormat="1">
      <c r="B58" s="204">
        <v>1231860</v>
      </c>
      <c r="C58" s="203">
        <v>0</v>
      </c>
      <c r="D58" s="203">
        <v>0</v>
      </c>
      <c r="E58" s="203">
        <v>0</v>
      </c>
      <c r="F58" s="203">
        <v>0</v>
      </c>
      <c r="G58" s="203">
        <v>0</v>
      </c>
      <c r="H58" s="203">
        <v>100</v>
      </c>
      <c r="I58" s="203">
        <v>0</v>
      </c>
      <c r="J58" s="203">
        <v>0</v>
      </c>
      <c r="K58" s="203">
        <v>0</v>
      </c>
      <c r="L58" s="203">
        <v>0</v>
      </c>
      <c r="M58" s="203"/>
      <c r="N58" s="203"/>
      <c r="O58" s="203"/>
      <c r="P58" s="203"/>
      <c r="Q58" s="203"/>
      <c r="R58" s="203"/>
    </row>
    <row r="59" spans="2:18" s="204" customFormat="1">
      <c r="B59" s="204">
        <v>1232066</v>
      </c>
      <c r="C59" s="203">
        <v>234</v>
      </c>
      <c r="D59" s="203">
        <v>0</v>
      </c>
      <c r="E59" s="203">
        <v>0</v>
      </c>
      <c r="F59" s="203">
        <v>0</v>
      </c>
      <c r="G59" s="203">
        <v>0</v>
      </c>
      <c r="H59" s="203">
        <v>252</v>
      </c>
      <c r="I59" s="203">
        <v>0</v>
      </c>
      <c r="J59" s="203">
        <v>0</v>
      </c>
      <c r="K59" s="203">
        <v>0</v>
      </c>
      <c r="L59" s="203">
        <v>252</v>
      </c>
      <c r="M59" s="203"/>
      <c r="N59" s="203"/>
      <c r="O59" s="203"/>
      <c r="P59" s="203"/>
      <c r="Q59" s="203"/>
      <c r="R59" s="203"/>
    </row>
    <row r="60" spans="2:18" s="204" customFormat="1">
      <c r="B60" s="204">
        <v>1232528</v>
      </c>
      <c r="C60" s="203">
        <v>2106</v>
      </c>
      <c r="D60" s="203">
        <v>2042</v>
      </c>
      <c r="E60" s="203">
        <v>3080</v>
      </c>
      <c r="F60" s="203">
        <v>5000</v>
      </c>
      <c r="G60" s="203">
        <v>0</v>
      </c>
      <c r="H60" s="203">
        <v>1458</v>
      </c>
      <c r="I60" s="203">
        <v>5063</v>
      </c>
      <c r="J60" s="203">
        <v>540</v>
      </c>
      <c r="K60" s="203">
        <v>0</v>
      </c>
      <c r="L60" s="203">
        <v>1422</v>
      </c>
      <c r="M60" s="203"/>
      <c r="N60" s="203"/>
      <c r="O60" s="203"/>
      <c r="P60" s="203"/>
      <c r="Q60" s="203"/>
      <c r="R60" s="203"/>
    </row>
    <row r="61" spans="2:18" s="204" customFormat="1">
      <c r="B61" s="204">
        <v>1232553</v>
      </c>
      <c r="C61" s="203">
        <v>0</v>
      </c>
      <c r="D61" s="203">
        <v>0</v>
      </c>
      <c r="E61" s="203">
        <v>0</v>
      </c>
      <c r="F61" s="203">
        <v>0</v>
      </c>
      <c r="G61" s="203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108</v>
      </c>
      <c r="M61" s="203"/>
      <c r="N61" s="203"/>
      <c r="O61" s="203"/>
      <c r="P61" s="203"/>
      <c r="Q61" s="203"/>
      <c r="R61" s="203"/>
    </row>
    <row r="62" spans="2:18" s="204" customFormat="1">
      <c r="B62" s="204">
        <v>1232693</v>
      </c>
      <c r="C62" s="203">
        <v>126</v>
      </c>
      <c r="D62" s="203">
        <v>1260</v>
      </c>
      <c r="E62" s="203">
        <v>0</v>
      </c>
      <c r="F62" s="203">
        <v>0</v>
      </c>
      <c r="G62" s="203">
        <v>0</v>
      </c>
      <c r="H62" s="203">
        <v>1491</v>
      </c>
      <c r="I62" s="203">
        <v>0</v>
      </c>
      <c r="J62" s="203">
        <v>0</v>
      </c>
      <c r="K62" s="203">
        <v>0</v>
      </c>
      <c r="L62" s="203">
        <v>1638</v>
      </c>
      <c r="M62" s="203"/>
      <c r="N62" s="203"/>
      <c r="O62" s="203"/>
      <c r="P62" s="203"/>
      <c r="Q62" s="203"/>
      <c r="R62" s="203"/>
    </row>
    <row r="63" spans="2:18" s="204" customFormat="1">
      <c r="B63" s="204">
        <v>1232775</v>
      </c>
      <c r="C63" s="203">
        <v>1776</v>
      </c>
      <c r="D63" s="203">
        <v>400</v>
      </c>
      <c r="E63" s="203">
        <v>1611</v>
      </c>
      <c r="F63" s="203">
        <v>900</v>
      </c>
      <c r="G63" s="203">
        <v>970</v>
      </c>
      <c r="H63" s="203">
        <v>445</v>
      </c>
      <c r="I63" s="203">
        <v>535</v>
      </c>
      <c r="J63" s="203">
        <v>1098</v>
      </c>
      <c r="K63" s="203">
        <v>410</v>
      </c>
      <c r="L63" s="203">
        <v>446</v>
      </c>
      <c r="M63" s="203"/>
      <c r="N63" s="203"/>
      <c r="O63" s="203"/>
      <c r="P63" s="203"/>
      <c r="Q63" s="203"/>
      <c r="R63" s="203"/>
    </row>
    <row r="64" spans="2:18" s="204" customFormat="1">
      <c r="B64" s="204">
        <v>1232846</v>
      </c>
      <c r="C64" s="203">
        <v>588</v>
      </c>
      <c r="D64" s="203">
        <v>97</v>
      </c>
      <c r="E64" s="203">
        <v>812</v>
      </c>
      <c r="F64" s="203">
        <v>300</v>
      </c>
      <c r="G64" s="203">
        <v>763</v>
      </c>
      <c r="H64" s="203">
        <v>440</v>
      </c>
      <c r="I64" s="203">
        <v>1012</v>
      </c>
      <c r="J64" s="203">
        <v>1076</v>
      </c>
      <c r="K64" s="203">
        <v>472</v>
      </c>
      <c r="L64" s="203">
        <v>540</v>
      </c>
      <c r="M64" s="203"/>
      <c r="N64" s="203"/>
      <c r="O64" s="203"/>
      <c r="P64" s="203"/>
      <c r="Q64" s="203"/>
      <c r="R64" s="203"/>
    </row>
    <row r="65" spans="2:18" s="204" customFormat="1">
      <c r="B65" s="204">
        <v>1232894</v>
      </c>
      <c r="C65" s="203">
        <v>312</v>
      </c>
      <c r="D65" s="203">
        <v>0</v>
      </c>
      <c r="E65" s="203">
        <v>512</v>
      </c>
      <c r="F65" s="203">
        <v>0</v>
      </c>
      <c r="G65" s="203">
        <v>0</v>
      </c>
      <c r="H65" s="203">
        <v>240</v>
      </c>
      <c r="I65" s="203">
        <v>512</v>
      </c>
      <c r="J65" s="203">
        <v>576</v>
      </c>
      <c r="K65" s="203">
        <v>0</v>
      </c>
      <c r="L65" s="203">
        <v>240</v>
      </c>
      <c r="M65" s="203"/>
      <c r="N65" s="203"/>
      <c r="O65" s="203"/>
      <c r="P65" s="203"/>
      <c r="Q65" s="203"/>
      <c r="R65" s="203"/>
    </row>
    <row r="66" spans="2:18" s="204" customFormat="1">
      <c r="B66" s="204">
        <v>1232895</v>
      </c>
      <c r="C66" s="203">
        <v>276</v>
      </c>
      <c r="D66" s="203">
        <v>97</v>
      </c>
      <c r="E66" s="203">
        <v>300</v>
      </c>
      <c r="F66" s="203">
        <v>300</v>
      </c>
      <c r="G66" s="203">
        <v>763</v>
      </c>
      <c r="H66" s="203">
        <v>200</v>
      </c>
      <c r="I66" s="203">
        <v>500</v>
      </c>
      <c r="J66" s="203">
        <v>500</v>
      </c>
      <c r="K66" s="203">
        <v>472</v>
      </c>
      <c r="L66" s="203">
        <v>300</v>
      </c>
      <c r="M66" s="203"/>
      <c r="N66" s="203"/>
      <c r="O66" s="203"/>
      <c r="P66" s="203"/>
      <c r="Q66" s="203"/>
      <c r="R66" s="203"/>
    </row>
    <row r="67" spans="2:18" s="204" customFormat="1">
      <c r="B67" s="204">
        <v>1232922</v>
      </c>
      <c r="C67" s="203">
        <v>276</v>
      </c>
      <c r="D67" s="203">
        <v>0</v>
      </c>
      <c r="E67" s="203">
        <v>0</v>
      </c>
      <c r="F67" s="203">
        <v>0</v>
      </c>
      <c r="G67" s="203">
        <v>276</v>
      </c>
      <c r="H67" s="203">
        <v>0</v>
      </c>
      <c r="I67" s="203">
        <v>0</v>
      </c>
      <c r="J67" s="203">
        <v>0</v>
      </c>
      <c r="K67" s="203">
        <v>272</v>
      </c>
      <c r="L67" s="203">
        <v>0</v>
      </c>
      <c r="M67" s="203"/>
      <c r="N67" s="203"/>
      <c r="O67" s="203"/>
      <c r="P67" s="203"/>
      <c r="Q67" s="203"/>
      <c r="R67" s="203"/>
    </row>
    <row r="68" spans="2:18" s="204" customFormat="1">
      <c r="B68" s="204">
        <v>1232982</v>
      </c>
      <c r="C68" s="203">
        <v>0</v>
      </c>
      <c r="D68" s="203">
        <v>0</v>
      </c>
      <c r="E68" s="203">
        <v>0</v>
      </c>
      <c r="F68" s="203">
        <v>0</v>
      </c>
      <c r="G68" s="203">
        <v>50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/>
      <c r="N68" s="203"/>
      <c r="O68" s="203"/>
      <c r="P68" s="203"/>
      <c r="Q68" s="203"/>
      <c r="R68" s="203"/>
    </row>
    <row r="69" spans="2:18" s="204" customFormat="1">
      <c r="B69" s="204">
        <v>1233025</v>
      </c>
      <c r="C69" s="203">
        <v>126</v>
      </c>
      <c r="D69" s="203">
        <v>1260</v>
      </c>
      <c r="E69" s="203">
        <v>0</v>
      </c>
      <c r="F69" s="203">
        <v>0</v>
      </c>
      <c r="G69" s="203">
        <v>0</v>
      </c>
      <c r="H69" s="203">
        <v>1491</v>
      </c>
      <c r="I69" s="203">
        <v>0</v>
      </c>
      <c r="J69" s="203">
        <v>0</v>
      </c>
      <c r="K69" s="203">
        <v>0</v>
      </c>
      <c r="L69" s="203">
        <v>1638</v>
      </c>
      <c r="M69" s="203"/>
      <c r="N69" s="203"/>
      <c r="O69" s="203"/>
      <c r="P69" s="203"/>
      <c r="Q69" s="203"/>
      <c r="R69" s="203"/>
    </row>
    <row r="70" spans="2:18" s="204" customFormat="1">
      <c r="B70" s="204">
        <v>1233165</v>
      </c>
      <c r="C70" s="203">
        <v>400</v>
      </c>
      <c r="D70" s="203">
        <v>0</v>
      </c>
      <c r="E70" s="203">
        <v>0</v>
      </c>
      <c r="F70" s="203">
        <v>0</v>
      </c>
      <c r="G70" s="203">
        <v>0</v>
      </c>
      <c r="H70" s="203">
        <v>0</v>
      </c>
      <c r="I70" s="203">
        <v>0</v>
      </c>
      <c r="J70" s="203">
        <v>250</v>
      </c>
      <c r="K70" s="203">
        <v>0</v>
      </c>
      <c r="L70" s="203">
        <v>0</v>
      </c>
      <c r="M70" s="203"/>
      <c r="N70" s="203"/>
      <c r="O70" s="203"/>
      <c r="P70" s="203"/>
      <c r="Q70" s="203"/>
      <c r="R70" s="203"/>
    </row>
    <row r="71" spans="2:18" s="204" customFormat="1">
      <c r="B71" s="204">
        <v>1233383</v>
      </c>
      <c r="C71" s="203">
        <v>0</v>
      </c>
      <c r="D71" s="203">
        <v>0</v>
      </c>
      <c r="E71" s="203">
        <v>0</v>
      </c>
      <c r="F71" s="203">
        <v>0</v>
      </c>
      <c r="G71" s="203">
        <v>159</v>
      </c>
      <c r="H71" s="203">
        <v>0</v>
      </c>
      <c r="I71" s="203">
        <v>0</v>
      </c>
      <c r="J71" s="203">
        <v>0</v>
      </c>
      <c r="K71" s="203">
        <v>151</v>
      </c>
      <c r="L71" s="203">
        <v>0</v>
      </c>
      <c r="M71" s="203"/>
      <c r="N71" s="203"/>
      <c r="O71" s="203"/>
      <c r="P71" s="203"/>
      <c r="Q71" s="203"/>
      <c r="R71" s="203"/>
    </row>
    <row r="72" spans="2:18" s="204" customFormat="1">
      <c r="B72" s="204">
        <v>1233384</v>
      </c>
      <c r="C72" s="203">
        <v>0</v>
      </c>
      <c r="D72" s="203">
        <v>97</v>
      </c>
      <c r="E72" s="203">
        <v>300</v>
      </c>
      <c r="F72" s="203">
        <v>300</v>
      </c>
      <c r="G72" s="203">
        <v>300</v>
      </c>
      <c r="H72" s="203">
        <v>200</v>
      </c>
      <c r="I72" s="203">
        <v>500</v>
      </c>
      <c r="J72" s="203">
        <v>500</v>
      </c>
      <c r="K72" s="203">
        <v>200</v>
      </c>
      <c r="L72" s="203">
        <v>300</v>
      </c>
      <c r="M72" s="203"/>
      <c r="N72" s="203"/>
      <c r="O72" s="203"/>
      <c r="P72" s="203"/>
      <c r="Q72" s="203"/>
      <c r="R72" s="203"/>
    </row>
    <row r="73" spans="2:18" s="204" customFormat="1">
      <c r="B73" s="204">
        <v>1233385</v>
      </c>
      <c r="C73" s="203">
        <v>312</v>
      </c>
      <c r="D73" s="203">
        <v>0</v>
      </c>
      <c r="E73" s="203">
        <v>0</v>
      </c>
      <c r="F73" s="203">
        <v>0</v>
      </c>
      <c r="G73" s="203">
        <v>0</v>
      </c>
      <c r="H73" s="203">
        <v>240</v>
      </c>
      <c r="I73" s="203">
        <v>0</v>
      </c>
      <c r="J73" s="203">
        <v>0</v>
      </c>
      <c r="K73" s="203">
        <v>0</v>
      </c>
      <c r="L73" s="203">
        <v>240</v>
      </c>
      <c r="M73" s="203"/>
      <c r="N73" s="203"/>
      <c r="O73" s="203"/>
      <c r="P73" s="203"/>
      <c r="Q73" s="203"/>
      <c r="R73" s="203"/>
    </row>
    <row r="74" spans="2:18" s="204" customFormat="1">
      <c r="B74" s="204">
        <v>1233386</v>
      </c>
      <c r="C74" s="203">
        <v>0</v>
      </c>
      <c r="D74" s="203">
        <v>0</v>
      </c>
      <c r="E74" s="203">
        <v>512</v>
      </c>
      <c r="F74" s="203">
        <v>0</v>
      </c>
      <c r="G74" s="203">
        <v>0</v>
      </c>
      <c r="H74" s="203">
        <v>0</v>
      </c>
      <c r="I74" s="203">
        <v>512</v>
      </c>
      <c r="J74" s="203">
        <v>0</v>
      </c>
      <c r="K74" s="203">
        <v>0</v>
      </c>
      <c r="L74" s="203">
        <v>0</v>
      </c>
      <c r="M74" s="203"/>
      <c r="N74" s="203"/>
      <c r="O74" s="203"/>
      <c r="P74" s="203"/>
      <c r="Q74" s="203"/>
      <c r="R74" s="203"/>
    </row>
    <row r="75" spans="2:18" s="204" customFormat="1">
      <c r="B75" s="204">
        <v>1233387</v>
      </c>
      <c r="C75" s="203">
        <v>0</v>
      </c>
      <c r="D75" s="203">
        <v>0</v>
      </c>
      <c r="E75" s="203">
        <v>0</v>
      </c>
      <c r="F75" s="203">
        <v>0</v>
      </c>
      <c r="G75" s="203">
        <v>187</v>
      </c>
      <c r="H75" s="203">
        <v>0</v>
      </c>
      <c r="I75" s="203">
        <v>0</v>
      </c>
      <c r="J75" s="203">
        <v>576</v>
      </c>
      <c r="K75" s="203">
        <v>0</v>
      </c>
      <c r="L75" s="203">
        <v>0</v>
      </c>
      <c r="M75" s="203"/>
      <c r="N75" s="203"/>
      <c r="O75" s="203"/>
      <c r="P75" s="203"/>
      <c r="Q75" s="203"/>
      <c r="R75" s="203"/>
    </row>
    <row r="76" spans="2:18" s="204" customFormat="1">
      <c r="B76" s="204">
        <v>1233580</v>
      </c>
      <c r="C76" s="203">
        <v>0</v>
      </c>
      <c r="D76" s="203">
        <v>0</v>
      </c>
      <c r="E76" s="203">
        <v>0</v>
      </c>
      <c r="F76" s="203">
        <v>0</v>
      </c>
      <c r="G76" s="203">
        <v>50</v>
      </c>
      <c r="H76" s="203">
        <v>0</v>
      </c>
      <c r="I76" s="203">
        <v>0</v>
      </c>
      <c r="J76" s="203">
        <v>0</v>
      </c>
      <c r="K76" s="203">
        <v>0</v>
      </c>
      <c r="L76" s="203">
        <v>0</v>
      </c>
      <c r="M76" s="203"/>
      <c r="N76" s="203"/>
      <c r="O76" s="203"/>
      <c r="P76" s="203"/>
      <c r="Q76" s="203"/>
      <c r="R76" s="203"/>
    </row>
    <row r="77" spans="2:18" s="204" customFormat="1">
      <c r="B77" s="204">
        <v>1233587</v>
      </c>
      <c r="C77" s="203">
        <v>0</v>
      </c>
      <c r="D77" s="203">
        <v>0</v>
      </c>
      <c r="E77" s="203">
        <v>0</v>
      </c>
      <c r="F77" s="203">
        <v>0</v>
      </c>
      <c r="G77" s="203">
        <v>10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/>
      <c r="N77" s="203"/>
      <c r="O77" s="203"/>
      <c r="P77" s="203"/>
      <c r="Q77" s="203"/>
      <c r="R77" s="203"/>
    </row>
    <row r="78" spans="2:18" s="204" customFormat="1">
      <c r="B78" s="204">
        <v>1234110</v>
      </c>
      <c r="C78" s="203">
        <v>0</v>
      </c>
      <c r="D78" s="203">
        <v>0</v>
      </c>
      <c r="E78" s="203">
        <v>0</v>
      </c>
      <c r="F78" s="203">
        <v>0</v>
      </c>
      <c r="G78" s="203">
        <v>0</v>
      </c>
      <c r="H78" s="203">
        <v>0</v>
      </c>
      <c r="I78" s="203">
        <v>0</v>
      </c>
      <c r="J78" s="203">
        <v>170</v>
      </c>
      <c r="K78" s="203">
        <v>0</v>
      </c>
      <c r="L78" s="203">
        <v>0</v>
      </c>
      <c r="M78" s="203"/>
      <c r="N78" s="203"/>
      <c r="O78" s="203"/>
      <c r="P78" s="203"/>
      <c r="Q78" s="203"/>
      <c r="R78" s="203"/>
    </row>
    <row r="79" spans="2:18" s="204" customFormat="1">
      <c r="B79" s="204">
        <v>1234111</v>
      </c>
      <c r="C79" s="203">
        <v>0</v>
      </c>
      <c r="D79" s="203">
        <v>0</v>
      </c>
      <c r="E79" s="203">
        <v>0</v>
      </c>
      <c r="F79" s="203">
        <v>0</v>
      </c>
      <c r="G79" s="203">
        <v>0</v>
      </c>
      <c r="H79" s="203">
        <v>0</v>
      </c>
      <c r="I79" s="203">
        <v>0</v>
      </c>
      <c r="J79" s="203">
        <v>170</v>
      </c>
      <c r="K79" s="203">
        <v>0</v>
      </c>
      <c r="L79" s="203">
        <v>0</v>
      </c>
      <c r="M79" s="203"/>
      <c r="N79" s="203"/>
      <c r="O79" s="203"/>
      <c r="P79" s="203"/>
      <c r="Q79" s="203"/>
      <c r="R79" s="203"/>
    </row>
    <row r="80" spans="2:18" s="204" customFormat="1">
      <c r="B80" s="204">
        <v>1234217</v>
      </c>
      <c r="C80" s="203">
        <v>0</v>
      </c>
      <c r="D80" s="203">
        <v>0</v>
      </c>
      <c r="E80" s="203">
        <v>0</v>
      </c>
      <c r="F80" s="203">
        <v>0</v>
      </c>
      <c r="G80" s="203">
        <v>0</v>
      </c>
      <c r="H80" s="203">
        <v>0</v>
      </c>
      <c r="I80" s="203">
        <v>0</v>
      </c>
      <c r="J80" s="203">
        <v>170</v>
      </c>
      <c r="K80" s="203">
        <v>0</v>
      </c>
      <c r="L80" s="203">
        <v>0</v>
      </c>
      <c r="M80" s="203"/>
      <c r="N80" s="203"/>
      <c r="O80" s="203"/>
      <c r="P80" s="203"/>
      <c r="Q80" s="203"/>
      <c r="R80" s="203"/>
    </row>
    <row r="81" spans="2:18" s="204" customFormat="1">
      <c r="B81" s="204">
        <v>1234222</v>
      </c>
      <c r="C81" s="203">
        <v>396</v>
      </c>
      <c r="D81" s="203">
        <v>0</v>
      </c>
      <c r="E81" s="203">
        <v>0</v>
      </c>
      <c r="F81" s="203">
        <v>0</v>
      </c>
      <c r="G81" s="203">
        <v>868</v>
      </c>
      <c r="H81" s="203">
        <v>0</v>
      </c>
      <c r="I81" s="203">
        <v>0</v>
      </c>
      <c r="J81" s="203">
        <v>0</v>
      </c>
      <c r="K81" s="203">
        <v>0</v>
      </c>
      <c r="L81" s="203">
        <v>868</v>
      </c>
      <c r="M81" s="203"/>
      <c r="N81" s="203"/>
      <c r="O81" s="203"/>
      <c r="P81" s="203"/>
      <c r="Q81" s="203"/>
      <c r="R81" s="203"/>
    </row>
    <row r="82" spans="2:18" s="204" customFormat="1">
      <c r="B82" s="204">
        <v>1234614</v>
      </c>
      <c r="C82" s="203">
        <v>0</v>
      </c>
      <c r="D82" s="203">
        <v>0</v>
      </c>
      <c r="E82" s="203">
        <v>0</v>
      </c>
      <c r="F82" s="203">
        <v>0</v>
      </c>
      <c r="G82" s="203">
        <v>0</v>
      </c>
      <c r="H82" s="203">
        <v>0</v>
      </c>
      <c r="I82" s="203">
        <v>0</v>
      </c>
      <c r="J82" s="203">
        <v>0</v>
      </c>
      <c r="K82" s="203">
        <v>0</v>
      </c>
      <c r="L82" s="203">
        <v>324</v>
      </c>
      <c r="M82" s="203"/>
      <c r="N82" s="203"/>
      <c r="O82" s="203"/>
      <c r="P82" s="203"/>
      <c r="Q82" s="203"/>
      <c r="R82" s="203"/>
    </row>
    <row r="83" spans="2:18" s="204" customFormat="1">
      <c r="B83" s="204">
        <v>1234905</v>
      </c>
      <c r="C83" s="203">
        <v>0</v>
      </c>
      <c r="D83" s="203">
        <v>500</v>
      </c>
      <c r="E83" s="203">
        <v>897</v>
      </c>
      <c r="F83" s="203">
        <v>1000</v>
      </c>
      <c r="G83" s="203">
        <v>1028</v>
      </c>
      <c r="H83" s="203">
        <v>100</v>
      </c>
      <c r="I83" s="203">
        <v>1300</v>
      </c>
      <c r="J83" s="203">
        <v>234</v>
      </c>
      <c r="K83" s="203">
        <v>550</v>
      </c>
      <c r="L83" s="203">
        <v>600</v>
      </c>
      <c r="M83" s="203"/>
      <c r="N83" s="203"/>
      <c r="O83" s="203"/>
      <c r="P83" s="203"/>
      <c r="Q83" s="203"/>
      <c r="R83" s="203"/>
    </row>
    <row r="84" spans="2:18" s="204" customFormat="1">
      <c r="B84" s="204">
        <v>1235097</v>
      </c>
      <c r="C84" s="203">
        <v>0</v>
      </c>
      <c r="D84" s="203">
        <v>0</v>
      </c>
      <c r="E84" s="203">
        <v>0</v>
      </c>
      <c r="F84" s="203">
        <v>0</v>
      </c>
      <c r="G84" s="203">
        <v>0</v>
      </c>
      <c r="H84" s="203">
        <v>0</v>
      </c>
      <c r="I84" s="203">
        <v>321</v>
      </c>
      <c r="J84" s="203">
        <v>400</v>
      </c>
      <c r="K84" s="203">
        <v>400</v>
      </c>
      <c r="L84" s="203">
        <v>350</v>
      </c>
      <c r="M84" s="203"/>
      <c r="N84" s="203"/>
      <c r="O84" s="203"/>
      <c r="P84" s="203"/>
      <c r="Q84" s="203"/>
      <c r="R84" s="203"/>
    </row>
    <row r="85" spans="2:18" s="204" customFormat="1">
      <c r="B85" s="204">
        <v>1235845</v>
      </c>
      <c r="C85" s="203">
        <v>0</v>
      </c>
      <c r="D85" s="203">
        <v>0</v>
      </c>
      <c r="E85" s="203">
        <v>0</v>
      </c>
      <c r="F85" s="203">
        <v>0</v>
      </c>
      <c r="G85" s="203">
        <v>514</v>
      </c>
      <c r="H85" s="203">
        <v>0</v>
      </c>
      <c r="I85" s="203">
        <v>0</v>
      </c>
      <c r="J85" s="203">
        <v>0</v>
      </c>
      <c r="K85" s="203">
        <v>0</v>
      </c>
      <c r="L85" s="203">
        <v>359</v>
      </c>
      <c r="M85" s="203"/>
      <c r="N85" s="203"/>
      <c r="O85" s="203"/>
      <c r="P85" s="203"/>
      <c r="Q85" s="203"/>
      <c r="R85" s="203"/>
    </row>
    <row r="86" spans="2:18" s="204" customFormat="1">
      <c r="B86" s="204">
        <v>1236387</v>
      </c>
      <c r="C86" s="203">
        <v>0</v>
      </c>
      <c r="D86" s="203">
        <v>819</v>
      </c>
      <c r="E86" s="203">
        <v>498</v>
      </c>
      <c r="F86" s="203">
        <v>0</v>
      </c>
      <c r="G86" s="203">
        <v>0</v>
      </c>
      <c r="H86" s="203">
        <v>0</v>
      </c>
      <c r="I86" s="203">
        <v>0</v>
      </c>
      <c r="J86" s="203">
        <v>700</v>
      </c>
      <c r="K86" s="203">
        <v>0</v>
      </c>
      <c r="L86" s="203">
        <v>0</v>
      </c>
      <c r="M86" s="203"/>
      <c r="N86" s="203"/>
      <c r="O86" s="203"/>
      <c r="P86" s="203"/>
      <c r="Q86" s="203"/>
      <c r="R86" s="203"/>
    </row>
    <row r="87" spans="2:18" s="204" customFormat="1">
      <c r="B87" s="204">
        <v>1236600</v>
      </c>
      <c r="C87" s="203">
        <v>0</v>
      </c>
      <c r="D87" s="203">
        <v>0</v>
      </c>
      <c r="E87" s="203">
        <v>0</v>
      </c>
      <c r="F87" s="203">
        <v>0</v>
      </c>
      <c r="G87" s="203">
        <v>935</v>
      </c>
      <c r="H87" s="203">
        <v>0</v>
      </c>
      <c r="I87" s="203">
        <v>0</v>
      </c>
      <c r="J87" s="203">
        <v>0</v>
      </c>
      <c r="K87" s="203">
        <v>913</v>
      </c>
      <c r="L87" s="203">
        <v>0</v>
      </c>
      <c r="M87" s="203"/>
      <c r="N87" s="203"/>
      <c r="O87" s="203"/>
      <c r="P87" s="203"/>
      <c r="Q87" s="203"/>
      <c r="R87" s="203"/>
    </row>
    <row r="88" spans="2:18" s="204" customFormat="1">
      <c r="B88" s="204">
        <v>1236601</v>
      </c>
      <c r="C88" s="203">
        <v>112</v>
      </c>
      <c r="D88" s="203">
        <v>0</v>
      </c>
      <c r="E88" s="203">
        <v>0</v>
      </c>
      <c r="F88" s="203">
        <v>0</v>
      </c>
      <c r="G88" s="203">
        <v>107</v>
      </c>
      <c r="H88" s="203">
        <v>0</v>
      </c>
      <c r="I88" s="203">
        <v>0</v>
      </c>
      <c r="J88" s="203">
        <v>0</v>
      </c>
      <c r="K88" s="203">
        <v>105</v>
      </c>
      <c r="L88" s="203">
        <v>0</v>
      </c>
      <c r="M88" s="203"/>
      <c r="N88" s="203"/>
      <c r="O88" s="203"/>
      <c r="P88" s="203"/>
      <c r="Q88" s="203"/>
      <c r="R88" s="203"/>
    </row>
    <row r="89" spans="2:18" s="204" customFormat="1">
      <c r="B89" s="204">
        <v>1236930</v>
      </c>
      <c r="C89" s="203">
        <v>1127</v>
      </c>
      <c r="D89" s="203">
        <v>36</v>
      </c>
      <c r="E89" s="203">
        <v>1833</v>
      </c>
      <c r="F89" s="203">
        <v>1300</v>
      </c>
      <c r="G89" s="203">
        <v>729</v>
      </c>
      <c r="H89" s="203">
        <v>1536</v>
      </c>
      <c r="I89" s="203">
        <v>1752</v>
      </c>
      <c r="J89" s="203">
        <v>1820</v>
      </c>
      <c r="K89" s="203">
        <v>950</v>
      </c>
      <c r="L89" s="203">
        <v>1574</v>
      </c>
      <c r="M89" s="203"/>
      <c r="N89" s="203"/>
      <c r="O89" s="203"/>
      <c r="P89" s="203"/>
      <c r="Q89" s="203"/>
      <c r="R89" s="203"/>
    </row>
    <row r="90" spans="2:18" s="204" customFormat="1">
      <c r="B90" s="204">
        <v>1237210</v>
      </c>
      <c r="C90" s="203">
        <v>0</v>
      </c>
      <c r="D90" s="203">
        <v>140</v>
      </c>
      <c r="E90" s="203">
        <v>0</v>
      </c>
      <c r="F90" s="203">
        <v>0</v>
      </c>
      <c r="G90" s="203">
        <v>0</v>
      </c>
      <c r="H90" s="203">
        <v>0</v>
      </c>
      <c r="I90" s="203">
        <v>0</v>
      </c>
      <c r="J90" s="203">
        <v>0</v>
      </c>
      <c r="K90" s="203">
        <v>0</v>
      </c>
      <c r="L90" s="203">
        <v>375</v>
      </c>
      <c r="M90" s="203"/>
      <c r="N90" s="203"/>
      <c r="O90" s="203"/>
      <c r="P90" s="203"/>
      <c r="Q90" s="203"/>
      <c r="R90" s="203"/>
    </row>
    <row r="91" spans="2:18" s="204" customFormat="1">
      <c r="B91" s="204">
        <v>1237468</v>
      </c>
      <c r="C91" s="203">
        <v>288</v>
      </c>
      <c r="D91" s="203">
        <v>0</v>
      </c>
      <c r="E91" s="203">
        <v>0</v>
      </c>
      <c r="F91" s="203">
        <v>0</v>
      </c>
      <c r="G91" s="203">
        <v>87</v>
      </c>
      <c r="H91" s="203">
        <v>0</v>
      </c>
      <c r="I91" s="203">
        <v>0</v>
      </c>
      <c r="J91" s="203">
        <v>0</v>
      </c>
      <c r="K91" s="203">
        <v>82</v>
      </c>
      <c r="L91" s="203">
        <v>270</v>
      </c>
      <c r="M91" s="203"/>
      <c r="N91" s="203"/>
      <c r="O91" s="203"/>
      <c r="P91" s="203"/>
      <c r="Q91" s="203"/>
      <c r="R91" s="203"/>
    </row>
    <row r="92" spans="2:18" s="204" customFormat="1">
      <c r="B92" s="204">
        <v>1238092</v>
      </c>
      <c r="C92" s="203">
        <v>144</v>
      </c>
      <c r="D92" s="203">
        <v>0</v>
      </c>
      <c r="E92" s="203">
        <v>0</v>
      </c>
      <c r="F92" s="203">
        <v>0</v>
      </c>
      <c r="G92" s="203">
        <v>0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203"/>
      <c r="N92" s="203"/>
      <c r="O92" s="203"/>
      <c r="P92" s="203"/>
      <c r="Q92" s="203"/>
      <c r="R92" s="203"/>
    </row>
    <row r="93" spans="2:18" s="204" customFormat="1">
      <c r="B93" s="204">
        <v>1238453</v>
      </c>
      <c r="C93" s="203">
        <v>0</v>
      </c>
      <c r="D93" s="203">
        <v>0</v>
      </c>
      <c r="E93" s="203">
        <v>0</v>
      </c>
      <c r="F93" s="203">
        <v>0</v>
      </c>
      <c r="G93" s="203">
        <v>191</v>
      </c>
      <c r="H93" s="203">
        <v>0</v>
      </c>
      <c r="I93" s="203">
        <v>0</v>
      </c>
      <c r="J93" s="203">
        <v>0</v>
      </c>
      <c r="K93" s="203">
        <v>190</v>
      </c>
      <c r="L93" s="203">
        <v>0</v>
      </c>
      <c r="M93" s="203"/>
      <c r="N93" s="203"/>
      <c r="O93" s="203"/>
      <c r="P93" s="203"/>
      <c r="Q93" s="203"/>
      <c r="R93" s="203"/>
    </row>
    <row r="94" spans="2:18" s="204" customFormat="1">
      <c r="B94" s="204">
        <v>1238480</v>
      </c>
      <c r="C94" s="203">
        <v>8199</v>
      </c>
      <c r="D94" s="203">
        <v>3700</v>
      </c>
      <c r="E94" s="203">
        <v>5854</v>
      </c>
      <c r="F94" s="203">
        <v>1700</v>
      </c>
      <c r="G94" s="203">
        <v>800</v>
      </c>
      <c r="H94" s="203">
        <v>16386</v>
      </c>
      <c r="I94" s="203">
        <v>1860</v>
      </c>
      <c r="J94" s="203">
        <v>1180</v>
      </c>
      <c r="K94" s="203">
        <v>700</v>
      </c>
      <c r="L94" s="203">
        <v>16208</v>
      </c>
      <c r="M94" s="203"/>
      <c r="N94" s="203"/>
      <c r="O94" s="203"/>
      <c r="P94" s="203"/>
      <c r="Q94" s="203"/>
      <c r="R94" s="203"/>
    </row>
    <row r="95" spans="2:18" s="204" customFormat="1">
      <c r="B95" s="204">
        <v>1238605</v>
      </c>
      <c r="C95" s="203">
        <v>350</v>
      </c>
      <c r="D95" s="203">
        <v>950</v>
      </c>
      <c r="E95" s="203">
        <v>0</v>
      </c>
      <c r="F95" s="203">
        <v>600</v>
      </c>
      <c r="G95" s="203">
        <v>0</v>
      </c>
      <c r="H95" s="203">
        <v>0</v>
      </c>
      <c r="I95" s="203">
        <v>0</v>
      </c>
      <c r="J95" s="203">
        <v>600</v>
      </c>
      <c r="K95" s="203">
        <v>0</v>
      </c>
      <c r="L95" s="203">
        <v>0</v>
      </c>
      <c r="M95" s="203"/>
      <c r="N95" s="203"/>
      <c r="O95" s="203"/>
      <c r="P95" s="203"/>
      <c r="Q95" s="203"/>
      <c r="R95" s="203"/>
    </row>
    <row r="96" spans="2:18" s="204" customFormat="1">
      <c r="B96" s="204">
        <v>1240029</v>
      </c>
      <c r="C96" s="203">
        <v>0</v>
      </c>
      <c r="D96" s="203">
        <v>200</v>
      </c>
      <c r="E96" s="203">
        <v>200</v>
      </c>
      <c r="F96" s="203">
        <v>400</v>
      </c>
      <c r="G96" s="203">
        <v>0</v>
      </c>
      <c r="H96" s="203">
        <v>0</v>
      </c>
      <c r="I96" s="203">
        <v>0</v>
      </c>
      <c r="J96" s="203">
        <v>400</v>
      </c>
      <c r="K96" s="203">
        <v>0</v>
      </c>
      <c r="L96" s="203">
        <v>0</v>
      </c>
      <c r="M96" s="203"/>
      <c r="N96" s="203"/>
      <c r="O96" s="203"/>
      <c r="P96" s="203"/>
      <c r="Q96" s="203"/>
      <c r="R96" s="203"/>
    </row>
    <row r="97" spans="2:18" s="204" customFormat="1">
      <c r="B97" s="204">
        <v>1240032</v>
      </c>
      <c r="C97" s="203">
        <v>0</v>
      </c>
      <c r="D97" s="203">
        <v>200</v>
      </c>
      <c r="E97" s="203">
        <v>200</v>
      </c>
      <c r="F97" s="203">
        <v>400</v>
      </c>
      <c r="G97" s="203">
        <v>0</v>
      </c>
      <c r="H97" s="203">
        <v>0</v>
      </c>
      <c r="I97" s="203">
        <v>0</v>
      </c>
      <c r="J97" s="203">
        <v>400</v>
      </c>
      <c r="K97" s="203">
        <v>0</v>
      </c>
      <c r="L97" s="203">
        <v>0</v>
      </c>
      <c r="M97" s="203"/>
      <c r="N97" s="203"/>
      <c r="O97" s="203"/>
      <c r="P97" s="203"/>
      <c r="Q97" s="203"/>
      <c r="R97" s="203"/>
    </row>
    <row r="98" spans="2:18" s="204" customFormat="1">
      <c r="B98" s="204">
        <v>1240180</v>
      </c>
      <c r="C98" s="203">
        <v>0</v>
      </c>
      <c r="D98" s="203">
        <v>0</v>
      </c>
      <c r="E98" s="203">
        <v>0</v>
      </c>
      <c r="F98" s="203">
        <v>250</v>
      </c>
      <c r="G98" s="203">
        <v>0</v>
      </c>
      <c r="H98" s="203">
        <v>0</v>
      </c>
      <c r="I98" s="203">
        <v>300</v>
      </c>
      <c r="J98" s="203">
        <v>100</v>
      </c>
      <c r="K98" s="203">
        <v>202</v>
      </c>
      <c r="L98" s="203">
        <v>0</v>
      </c>
      <c r="M98" s="203"/>
      <c r="N98" s="203"/>
      <c r="O98" s="203"/>
      <c r="P98" s="203"/>
      <c r="Q98" s="203"/>
      <c r="R98" s="203"/>
    </row>
    <row r="99" spans="2:18" s="204" customFormat="1">
      <c r="B99" s="204">
        <v>1240184</v>
      </c>
      <c r="C99" s="203">
        <v>0</v>
      </c>
      <c r="D99" s="203">
        <v>0</v>
      </c>
      <c r="E99" s="203">
        <v>0</v>
      </c>
      <c r="F99" s="203">
        <v>250</v>
      </c>
      <c r="G99" s="203">
        <v>0</v>
      </c>
      <c r="H99" s="203">
        <v>0</v>
      </c>
      <c r="I99" s="203">
        <v>300</v>
      </c>
      <c r="J99" s="203">
        <v>100</v>
      </c>
      <c r="K99" s="203">
        <v>202</v>
      </c>
      <c r="L99" s="203">
        <v>0</v>
      </c>
      <c r="M99" s="203"/>
      <c r="N99" s="203"/>
      <c r="O99" s="203"/>
      <c r="P99" s="203"/>
      <c r="Q99" s="203"/>
      <c r="R99" s="203"/>
    </row>
    <row r="100" spans="2:18" s="204" customFormat="1">
      <c r="B100" s="204">
        <v>1241343</v>
      </c>
      <c r="C100" s="203">
        <v>0</v>
      </c>
      <c r="D100" s="203">
        <v>0</v>
      </c>
      <c r="E100" s="203">
        <v>20</v>
      </c>
      <c r="F100" s="203">
        <v>0</v>
      </c>
      <c r="G100" s="203">
        <v>0</v>
      </c>
      <c r="H100" s="203">
        <v>0</v>
      </c>
      <c r="I100" s="203">
        <v>0</v>
      </c>
      <c r="J100" s="203">
        <v>0</v>
      </c>
      <c r="K100" s="203">
        <v>0</v>
      </c>
      <c r="L100" s="203">
        <v>0</v>
      </c>
      <c r="M100" s="203"/>
      <c r="N100" s="203"/>
      <c r="O100" s="203"/>
      <c r="P100" s="203"/>
      <c r="Q100" s="203"/>
      <c r="R100" s="203"/>
    </row>
    <row r="101" spans="2:18" s="204" customFormat="1">
      <c r="B101" s="204">
        <v>1241347</v>
      </c>
      <c r="C101" s="203">
        <v>0</v>
      </c>
      <c r="D101" s="203">
        <v>0</v>
      </c>
      <c r="E101" s="203">
        <v>20</v>
      </c>
      <c r="F101" s="203">
        <v>0</v>
      </c>
      <c r="G101" s="203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/>
      <c r="N101" s="203"/>
      <c r="O101" s="203"/>
      <c r="P101" s="203"/>
      <c r="Q101" s="203"/>
      <c r="R101" s="203"/>
    </row>
    <row r="102" spans="2:18" s="204" customFormat="1">
      <c r="B102" s="204">
        <v>1241387</v>
      </c>
      <c r="C102" s="203">
        <v>0</v>
      </c>
      <c r="D102" s="203">
        <v>0</v>
      </c>
      <c r="E102" s="203">
        <v>151</v>
      </c>
      <c r="F102" s="203">
        <v>0</v>
      </c>
      <c r="G102" s="203">
        <v>0</v>
      </c>
      <c r="H102" s="203">
        <v>0</v>
      </c>
      <c r="I102" s="203">
        <v>0</v>
      </c>
      <c r="J102" s="203">
        <v>0</v>
      </c>
      <c r="K102" s="203">
        <v>0</v>
      </c>
      <c r="L102" s="203">
        <v>0</v>
      </c>
      <c r="M102" s="203"/>
      <c r="N102" s="203"/>
      <c r="O102" s="203"/>
      <c r="P102" s="203"/>
      <c r="Q102" s="203"/>
      <c r="R102" s="203"/>
    </row>
    <row r="103" spans="2:18" s="204" customFormat="1">
      <c r="B103" s="204">
        <v>1241474</v>
      </c>
      <c r="C103" s="203">
        <v>0</v>
      </c>
      <c r="D103" s="203">
        <v>0</v>
      </c>
      <c r="E103" s="203">
        <v>37</v>
      </c>
      <c r="F103" s="203">
        <v>0</v>
      </c>
      <c r="G103" s="203">
        <v>0</v>
      </c>
      <c r="H103" s="203">
        <v>0</v>
      </c>
      <c r="I103" s="203">
        <v>0</v>
      </c>
      <c r="J103" s="203">
        <v>0</v>
      </c>
      <c r="K103" s="203">
        <v>0</v>
      </c>
      <c r="L103" s="203">
        <v>0</v>
      </c>
      <c r="M103" s="203"/>
      <c r="N103" s="203"/>
      <c r="O103" s="203"/>
      <c r="P103" s="203"/>
      <c r="Q103" s="203"/>
      <c r="R103" s="203"/>
    </row>
    <row r="104" spans="2:18" s="204" customFormat="1">
      <c r="B104" s="204">
        <v>1241480</v>
      </c>
      <c r="C104" s="203">
        <v>0</v>
      </c>
      <c r="D104" s="203">
        <v>0</v>
      </c>
      <c r="E104" s="203">
        <v>26</v>
      </c>
      <c r="F104" s="203">
        <v>0</v>
      </c>
      <c r="G104" s="203">
        <v>0</v>
      </c>
      <c r="H104" s="203">
        <v>0</v>
      </c>
      <c r="I104" s="203">
        <v>0</v>
      </c>
      <c r="J104" s="203">
        <v>0</v>
      </c>
      <c r="K104" s="203">
        <v>0</v>
      </c>
      <c r="L104" s="203">
        <v>0</v>
      </c>
      <c r="M104" s="203"/>
      <c r="N104" s="203"/>
      <c r="O104" s="203"/>
      <c r="P104" s="203"/>
      <c r="Q104" s="203"/>
      <c r="R104" s="203"/>
    </row>
  </sheetData>
  <mergeCells count="4">
    <mergeCell ref="A7:A8"/>
    <mergeCell ref="B7:B8"/>
    <mergeCell ref="A42:A43"/>
    <mergeCell ref="B42:B43"/>
  </mergeCells>
  <phoneticPr fontId="1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928E-EA83-49EE-9079-BB5994506548}">
  <dimension ref="A1:W77"/>
  <sheetViews>
    <sheetView zoomScale="115" zoomScaleNormal="115" workbookViewId="0">
      <selection activeCell="S18" sqref="S18"/>
    </sheetView>
  </sheetViews>
  <sheetFormatPr defaultRowHeight="11.25"/>
  <cols>
    <col min="1" max="1" width="9.1640625" style="13"/>
    <col min="2" max="2" width="9.1640625" style="14"/>
    <col min="3" max="18" width="9.1640625" style="14" customWidth="1"/>
    <col min="19" max="22" width="9.1640625" style="14"/>
  </cols>
  <sheetData>
    <row r="1" spans="1:23">
      <c r="A1" s="207" t="s">
        <v>0</v>
      </c>
      <c r="B1" s="205" t="s">
        <v>884</v>
      </c>
      <c r="C1" s="205" t="s">
        <v>883</v>
      </c>
      <c r="D1" s="205" t="s">
        <v>882</v>
      </c>
      <c r="E1" s="208" t="s">
        <v>881</v>
      </c>
      <c r="F1" s="205" t="s">
        <v>920</v>
      </c>
      <c r="G1" s="213" t="s">
        <v>921</v>
      </c>
      <c r="H1" s="205" t="s">
        <v>922</v>
      </c>
      <c r="I1" s="205" t="s">
        <v>923</v>
      </c>
      <c r="J1" s="205" t="s">
        <v>924</v>
      </c>
      <c r="K1" s="205" t="s">
        <v>925</v>
      </c>
      <c r="L1" s="208" t="s">
        <v>926</v>
      </c>
      <c r="M1" s="205" t="s">
        <v>932</v>
      </c>
      <c r="N1" s="205" t="s">
        <v>933</v>
      </c>
      <c r="O1" s="205" t="s">
        <v>934</v>
      </c>
      <c r="P1" s="205" t="s">
        <v>935</v>
      </c>
      <c r="Q1" s="205" t="s">
        <v>936</v>
      </c>
      <c r="R1" s="205" t="s">
        <v>937</v>
      </c>
      <c r="S1" s="208" t="s">
        <v>938</v>
      </c>
    </row>
    <row r="2" spans="1:23">
      <c r="A2" s="206">
        <v>1234614</v>
      </c>
      <c r="B2" s="105">
        <v>0</v>
      </c>
      <c r="C2" s="105">
        <v>0</v>
      </c>
      <c r="D2" s="105">
        <v>0</v>
      </c>
      <c r="E2" s="105">
        <v>0</v>
      </c>
      <c r="F2" s="105">
        <v>0</v>
      </c>
      <c r="G2" s="105">
        <v>0</v>
      </c>
      <c r="H2" s="105">
        <v>0</v>
      </c>
      <c r="I2" s="105">
        <v>0</v>
      </c>
      <c r="J2" s="105">
        <v>0</v>
      </c>
      <c r="K2" s="105">
        <v>0</v>
      </c>
      <c r="L2" s="105">
        <v>0</v>
      </c>
      <c r="M2" s="105">
        <v>192</v>
      </c>
      <c r="N2" s="105">
        <v>308</v>
      </c>
      <c r="O2" s="105">
        <v>0</v>
      </c>
      <c r="P2" s="105">
        <v>0</v>
      </c>
      <c r="Q2" s="105">
        <v>0</v>
      </c>
      <c r="R2" s="105">
        <v>0</v>
      </c>
      <c r="S2" s="105">
        <v>0</v>
      </c>
      <c r="U2" s="14">
        <f>SUM(B2:S2)</f>
        <v>500</v>
      </c>
      <c r="V2" s="14">
        <f>VLOOKUP(A2,[6]sheet1!$A$2:$U$20,21,0)</f>
        <v>500</v>
      </c>
      <c r="W2" s="184">
        <f>+U2-V2</f>
        <v>0</v>
      </c>
    </row>
    <row r="3" spans="1:23">
      <c r="A3" s="206">
        <v>1226384</v>
      </c>
      <c r="B3" s="209">
        <v>330</v>
      </c>
      <c r="C3" s="209">
        <v>330</v>
      </c>
      <c r="D3" s="209">
        <v>0</v>
      </c>
      <c r="E3" s="209">
        <v>0</v>
      </c>
      <c r="F3" s="209">
        <v>0</v>
      </c>
      <c r="G3" s="209">
        <v>0</v>
      </c>
      <c r="H3" s="209">
        <v>100</v>
      </c>
      <c r="I3" s="209">
        <v>500</v>
      </c>
      <c r="J3" s="209">
        <v>0</v>
      </c>
      <c r="K3" s="209">
        <v>0</v>
      </c>
      <c r="L3" s="209">
        <v>0</v>
      </c>
      <c r="M3" s="209">
        <v>0</v>
      </c>
      <c r="N3" s="209">
        <v>0</v>
      </c>
      <c r="O3" s="209">
        <v>0</v>
      </c>
      <c r="P3" s="209">
        <v>0</v>
      </c>
      <c r="Q3" s="209">
        <v>0</v>
      </c>
      <c r="R3" s="209">
        <v>0</v>
      </c>
      <c r="S3" s="209">
        <v>0</v>
      </c>
      <c r="U3" s="14">
        <f t="shared" ref="U3:U24" si="0">SUM(B3:S3)</f>
        <v>1260</v>
      </c>
      <c r="V3" s="14">
        <f>VLOOKUP(A3,[6]sheet1!$A$2:$U$20,21,0)</f>
        <v>1260</v>
      </c>
      <c r="W3" s="184">
        <f t="shared" ref="W3:W20" si="1">+U3-V3</f>
        <v>0</v>
      </c>
    </row>
    <row r="4" spans="1:23">
      <c r="A4" s="206">
        <v>1226388</v>
      </c>
      <c r="B4" s="209">
        <v>330</v>
      </c>
      <c r="C4" s="209">
        <v>330</v>
      </c>
      <c r="D4" s="209">
        <v>0</v>
      </c>
      <c r="E4" s="209">
        <v>0</v>
      </c>
      <c r="F4" s="209">
        <v>0</v>
      </c>
      <c r="G4" s="209">
        <v>0</v>
      </c>
      <c r="H4" s="209">
        <v>100</v>
      </c>
      <c r="I4" s="209">
        <v>500</v>
      </c>
      <c r="J4" s="209">
        <v>0</v>
      </c>
      <c r="K4" s="209">
        <v>0</v>
      </c>
      <c r="L4" s="209">
        <v>0</v>
      </c>
      <c r="M4" s="209">
        <v>0</v>
      </c>
      <c r="N4" s="209">
        <v>0</v>
      </c>
      <c r="O4" s="209">
        <v>0</v>
      </c>
      <c r="P4" s="209">
        <v>0</v>
      </c>
      <c r="Q4" s="209">
        <v>0</v>
      </c>
      <c r="R4" s="209">
        <v>0</v>
      </c>
      <c r="S4" s="209">
        <v>0</v>
      </c>
      <c r="U4" s="14">
        <f t="shared" si="0"/>
        <v>1260</v>
      </c>
      <c r="V4" s="14">
        <f>VLOOKUP(A4,[6]sheet1!$A$2:$U$20,21,0)</f>
        <v>1260</v>
      </c>
      <c r="W4" s="184">
        <f t="shared" si="1"/>
        <v>0</v>
      </c>
    </row>
    <row r="5" spans="1:23">
      <c r="A5" s="206">
        <v>1229673</v>
      </c>
      <c r="B5" s="209">
        <v>200</v>
      </c>
      <c r="C5" s="209">
        <v>200</v>
      </c>
      <c r="D5" s="209">
        <v>0</v>
      </c>
      <c r="E5" s="209">
        <v>0</v>
      </c>
      <c r="F5" s="209">
        <v>200</v>
      </c>
      <c r="G5" s="214">
        <v>200</v>
      </c>
      <c r="H5" s="209">
        <v>0</v>
      </c>
      <c r="I5" s="209">
        <v>250</v>
      </c>
      <c r="J5" s="209">
        <v>250</v>
      </c>
      <c r="K5" s="209">
        <v>0</v>
      </c>
      <c r="L5" s="209">
        <v>0</v>
      </c>
      <c r="M5" s="209">
        <v>200</v>
      </c>
      <c r="N5" s="209">
        <v>200</v>
      </c>
      <c r="O5" s="209">
        <v>222</v>
      </c>
      <c r="P5" s="209">
        <v>200</v>
      </c>
      <c r="Q5" s="209">
        <v>0</v>
      </c>
      <c r="R5" s="209">
        <v>0</v>
      </c>
      <c r="S5" s="209">
        <v>0</v>
      </c>
      <c r="U5" s="14">
        <f t="shared" si="0"/>
        <v>2122</v>
      </c>
      <c r="V5" s="14">
        <f>VLOOKUP(A5,[6]sheet1!$A$2:$U$20,21,0)</f>
        <v>2122</v>
      </c>
      <c r="W5" s="184">
        <f t="shared" si="1"/>
        <v>0</v>
      </c>
    </row>
    <row r="6" spans="1:23">
      <c r="A6" s="206">
        <v>1230854</v>
      </c>
      <c r="B6" s="209">
        <v>0</v>
      </c>
      <c r="C6" s="209">
        <v>0</v>
      </c>
      <c r="D6" s="209">
        <v>0</v>
      </c>
      <c r="E6" s="209">
        <v>0</v>
      </c>
      <c r="F6" s="209">
        <v>0</v>
      </c>
      <c r="G6" s="209">
        <v>0</v>
      </c>
      <c r="H6" s="209">
        <v>0</v>
      </c>
      <c r="I6" s="209">
        <v>0</v>
      </c>
      <c r="J6" s="209">
        <v>0</v>
      </c>
      <c r="K6" s="209">
        <v>0</v>
      </c>
      <c r="L6" s="209">
        <v>0</v>
      </c>
      <c r="M6" s="209">
        <v>100</v>
      </c>
      <c r="N6" s="209">
        <v>0</v>
      </c>
      <c r="O6" s="209">
        <v>0</v>
      </c>
      <c r="P6" s="209">
        <v>0</v>
      </c>
      <c r="Q6" s="209">
        <v>0</v>
      </c>
      <c r="R6" s="209">
        <v>0</v>
      </c>
      <c r="S6" s="209">
        <v>0</v>
      </c>
      <c r="U6" s="14">
        <f t="shared" si="0"/>
        <v>100</v>
      </c>
      <c r="V6" s="14">
        <f>VLOOKUP(A6,[6]sheet1!$A$2:$U$20,21,0)</f>
        <v>100</v>
      </c>
      <c r="W6" s="184">
        <f t="shared" si="1"/>
        <v>0</v>
      </c>
    </row>
    <row r="7" spans="1:23">
      <c r="A7" s="206">
        <v>1235623</v>
      </c>
      <c r="B7" s="209">
        <v>0</v>
      </c>
      <c r="C7" s="209">
        <v>0</v>
      </c>
      <c r="D7" s="209">
        <v>0</v>
      </c>
      <c r="E7" s="209">
        <v>0</v>
      </c>
      <c r="F7" s="209">
        <v>416</v>
      </c>
      <c r="G7" s="209">
        <v>0</v>
      </c>
      <c r="H7" s="209">
        <v>0</v>
      </c>
      <c r="I7" s="209">
        <v>0</v>
      </c>
      <c r="J7" s="209">
        <v>0</v>
      </c>
      <c r="K7" s="209">
        <v>0</v>
      </c>
      <c r="L7" s="209">
        <v>0</v>
      </c>
      <c r="M7" s="209">
        <v>0</v>
      </c>
      <c r="N7" s="209">
        <v>0</v>
      </c>
      <c r="O7" s="209">
        <v>0</v>
      </c>
      <c r="P7" s="209">
        <v>0</v>
      </c>
      <c r="Q7" s="209">
        <v>0</v>
      </c>
      <c r="R7" s="209">
        <v>0</v>
      </c>
      <c r="S7" s="209">
        <v>0</v>
      </c>
      <c r="U7" s="14">
        <f t="shared" si="0"/>
        <v>416</v>
      </c>
      <c r="V7" s="14">
        <f>VLOOKUP(A7,[6]sheet1!$A$2:$U$20,21,0)</f>
        <v>416</v>
      </c>
      <c r="W7" s="184">
        <f t="shared" si="1"/>
        <v>0</v>
      </c>
    </row>
    <row r="8" spans="1:23">
      <c r="A8" s="206">
        <v>1237088</v>
      </c>
      <c r="B8" s="209">
        <v>1024</v>
      </c>
      <c r="C8" s="209">
        <v>666</v>
      </c>
      <c r="D8" s="209">
        <v>0</v>
      </c>
      <c r="E8" s="209">
        <v>0</v>
      </c>
      <c r="F8" s="209">
        <v>848</v>
      </c>
      <c r="G8" s="214">
        <v>610</v>
      </c>
      <c r="H8" s="209">
        <v>0</v>
      </c>
      <c r="I8" s="209">
        <v>258</v>
      </c>
      <c r="J8" s="209">
        <v>744</v>
      </c>
      <c r="K8" s="209">
        <v>0</v>
      </c>
      <c r="L8" s="209">
        <v>0</v>
      </c>
      <c r="M8" s="209">
        <v>920</v>
      </c>
      <c r="N8" s="209">
        <v>960</v>
      </c>
      <c r="O8" s="209">
        <v>0</v>
      </c>
      <c r="P8" s="209">
        <v>300</v>
      </c>
      <c r="Q8" s="209">
        <v>0</v>
      </c>
      <c r="R8" s="209">
        <v>0</v>
      </c>
      <c r="S8" s="209">
        <v>0</v>
      </c>
      <c r="U8" s="14">
        <f t="shared" si="0"/>
        <v>6330</v>
      </c>
      <c r="V8" s="14">
        <f>VLOOKUP(A8,[6]sheet1!$A$2:$U$20,21,0)</f>
        <v>6330</v>
      </c>
      <c r="W8" s="184">
        <f t="shared" si="1"/>
        <v>0</v>
      </c>
    </row>
    <row r="9" spans="1:23">
      <c r="A9" s="206">
        <v>1237748</v>
      </c>
      <c r="B9" s="209">
        <v>0</v>
      </c>
      <c r="C9" s="209">
        <v>0</v>
      </c>
      <c r="D9" s="209">
        <v>0</v>
      </c>
      <c r="E9" s="209">
        <v>0</v>
      </c>
      <c r="F9" s="209">
        <v>0</v>
      </c>
      <c r="G9" s="209">
        <v>0</v>
      </c>
      <c r="H9" s="209">
        <v>0</v>
      </c>
      <c r="I9" s="209">
        <v>0</v>
      </c>
      <c r="J9" s="209">
        <v>0</v>
      </c>
      <c r="K9" s="209">
        <v>0</v>
      </c>
      <c r="L9" s="209">
        <v>0</v>
      </c>
      <c r="M9" s="209">
        <v>0</v>
      </c>
      <c r="N9" s="209">
        <v>0</v>
      </c>
      <c r="O9" s="209">
        <v>0</v>
      </c>
      <c r="P9" s="209">
        <v>522</v>
      </c>
      <c r="Q9" s="209">
        <v>50</v>
      </c>
      <c r="R9" s="209">
        <v>0</v>
      </c>
      <c r="S9" s="209">
        <v>0</v>
      </c>
      <c r="U9" s="14">
        <f t="shared" si="0"/>
        <v>572</v>
      </c>
      <c r="V9" s="14">
        <f>VLOOKUP(A9,[6]sheet1!$A$2:$U$20,21,0)</f>
        <v>572</v>
      </c>
      <c r="W9" s="184">
        <f t="shared" si="1"/>
        <v>0</v>
      </c>
    </row>
    <row r="10" spans="1:23">
      <c r="A10" s="206">
        <v>1236091</v>
      </c>
      <c r="B10" s="209">
        <v>0</v>
      </c>
      <c r="C10" s="209">
        <v>0</v>
      </c>
      <c r="D10" s="209">
        <v>0</v>
      </c>
      <c r="E10" s="209">
        <v>0</v>
      </c>
      <c r="F10" s="209">
        <v>0</v>
      </c>
      <c r="G10" s="214">
        <v>350</v>
      </c>
      <c r="H10" s="209">
        <v>0</v>
      </c>
      <c r="I10" s="209">
        <v>0</v>
      </c>
      <c r="J10" s="209">
        <v>0</v>
      </c>
      <c r="K10" s="209">
        <v>0</v>
      </c>
      <c r="L10" s="209">
        <v>0</v>
      </c>
      <c r="M10" s="209">
        <v>300</v>
      </c>
      <c r="N10" s="209">
        <v>0</v>
      </c>
      <c r="O10" s="209">
        <v>0</v>
      </c>
      <c r="P10" s="209">
        <v>0</v>
      </c>
      <c r="Q10" s="209">
        <v>0</v>
      </c>
      <c r="R10" s="209">
        <v>0</v>
      </c>
      <c r="S10" s="209">
        <v>0</v>
      </c>
      <c r="U10" s="14">
        <f t="shared" si="0"/>
        <v>650</v>
      </c>
      <c r="V10" s="14">
        <f>VLOOKUP(A10,[6]sheet1!$A$2:$U$20,21,0)</f>
        <v>650</v>
      </c>
      <c r="W10" s="184">
        <f t="shared" si="1"/>
        <v>0</v>
      </c>
    </row>
    <row r="11" spans="1:23">
      <c r="A11" s="206">
        <v>1238128</v>
      </c>
      <c r="B11" s="209">
        <v>1180</v>
      </c>
      <c r="C11" s="209">
        <v>928</v>
      </c>
      <c r="D11" s="209">
        <v>0</v>
      </c>
      <c r="E11" s="209">
        <v>0</v>
      </c>
      <c r="F11" s="209">
        <v>112</v>
      </c>
      <c r="G11" s="214">
        <v>386</v>
      </c>
      <c r="H11" s="209">
        <v>464</v>
      </c>
      <c r="I11" s="209">
        <v>590</v>
      </c>
      <c r="J11" s="209">
        <v>464</v>
      </c>
      <c r="K11" s="209">
        <v>0</v>
      </c>
      <c r="L11" s="209">
        <v>0</v>
      </c>
      <c r="M11" s="209">
        <v>200</v>
      </c>
      <c r="N11" s="209">
        <v>0</v>
      </c>
      <c r="O11" s="209">
        <v>0</v>
      </c>
      <c r="P11" s="209">
        <v>0</v>
      </c>
      <c r="Q11" s="209">
        <v>0</v>
      </c>
      <c r="R11" s="209">
        <v>0</v>
      </c>
      <c r="S11" s="209">
        <v>0</v>
      </c>
      <c r="U11" s="14">
        <f t="shared" si="0"/>
        <v>4324</v>
      </c>
      <c r="V11" s="14">
        <f>VLOOKUP(A11,[6]sheet1!$A$2:$U$20,21,0)</f>
        <v>4324</v>
      </c>
      <c r="W11" s="184">
        <f t="shared" si="1"/>
        <v>0</v>
      </c>
    </row>
    <row r="12" spans="1:23">
      <c r="A12" s="206">
        <v>1236962</v>
      </c>
      <c r="B12" s="209">
        <v>200</v>
      </c>
      <c r="C12" s="209">
        <v>200</v>
      </c>
      <c r="D12" s="209">
        <v>0</v>
      </c>
      <c r="E12" s="209">
        <v>0</v>
      </c>
      <c r="F12" s="209">
        <v>186</v>
      </c>
      <c r="G12" s="214">
        <v>200</v>
      </c>
      <c r="H12" s="209">
        <v>214</v>
      </c>
      <c r="I12" s="209">
        <v>200</v>
      </c>
      <c r="J12" s="209">
        <v>0</v>
      </c>
      <c r="K12" s="209">
        <v>0</v>
      </c>
      <c r="L12" s="209">
        <v>0</v>
      </c>
      <c r="M12" s="209">
        <v>0</v>
      </c>
      <c r="N12" s="209">
        <v>0</v>
      </c>
      <c r="O12" s="209">
        <v>300</v>
      </c>
      <c r="P12" s="209">
        <v>300</v>
      </c>
      <c r="Q12" s="209">
        <v>200</v>
      </c>
      <c r="R12" s="209">
        <v>0</v>
      </c>
      <c r="S12" s="209">
        <v>0</v>
      </c>
      <c r="U12" s="14">
        <f t="shared" si="0"/>
        <v>2000</v>
      </c>
      <c r="V12" s="14">
        <f>VLOOKUP(A12,[6]sheet1!$A$2:$U$20,21,0)</f>
        <v>2000</v>
      </c>
      <c r="W12" s="184">
        <f t="shared" si="1"/>
        <v>0</v>
      </c>
    </row>
    <row r="13" spans="1:23">
      <c r="A13" s="206">
        <v>1233761</v>
      </c>
      <c r="B13" s="209">
        <v>0</v>
      </c>
      <c r="C13" s="209">
        <v>0</v>
      </c>
      <c r="D13" s="209">
        <v>0</v>
      </c>
      <c r="E13" s="209">
        <v>0</v>
      </c>
      <c r="F13" s="209">
        <v>0</v>
      </c>
      <c r="G13" s="209">
        <v>0</v>
      </c>
      <c r="H13" s="209">
        <v>0</v>
      </c>
      <c r="I13" s="209">
        <v>0</v>
      </c>
      <c r="J13" s="209">
        <v>300</v>
      </c>
      <c r="K13" s="209">
        <v>0</v>
      </c>
      <c r="L13" s="209">
        <v>0</v>
      </c>
      <c r="M13" s="209">
        <v>0</v>
      </c>
      <c r="N13" s="209">
        <v>0</v>
      </c>
      <c r="O13" s="209">
        <v>0</v>
      </c>
      <c r="P13" s="209">
        <v>0</v>
      </c>
      <c r="Q13" s="209">
        <v>140</v>
      </c>
      <c r="R13" s="209">
        <v>0</v>
      </c>
      <c r="S13" s="209">
        <v>0</v>
      </c>
      <c r="U13" s="14">
        <f t="shared" si="0"/>
        <v>440</v>
      </c>
      <c r="V13" s="14">
        <f>VLOOKUP(A13,[6]sheet1!$A$2:$U$20,21,0)</f>
        <v>440</v>
      </c>
      <c r="W13" s="184">
        <f t="shared" si="1"/>
        <v>0</v>
      </c>
    </row>
    <row r="14" spans="1:23">
      <c r="A14" s="206">
        <v>1239651</v>
      </c>
      <c r="B14" s="209">
        <v>0</v>
      </c>
      <c r="C14" s="209">
        <v>0</v>
      </c>
      <c r="D14" s="209">
        <v>0</v>
      </c>
      <c r="E14" s="209">
        <v>0</v>
      </c>
      <c r="F14" s="209">
        <v>401</v>
      </c>
      <c r="G14" s="209">
        <v>0</v>
      </c>
      <c r="H14" s="209">
        <v>0</v>
      </c>
      <c r="I14" s="209">
        <v>0</v>
      </c>
      <c r="J14" s="209">
        <v>0</v>
      </c>
      <c r="K14" s="209">
        <v>0</v>
      </c>
      <c r="L14" s="209">
        <v>0</v>
      </c>
      <c r="M14" s="209">
        <v>0</v>
      </c>
      <c r="N14" s="209">
        <v>0</v>
      </c>
      <c r="O14" s="209">
        <v>500</v>
      </c>
      <c r="P14" s="209">
        <v>0</v>
      </c>
      <c r="Q14" s="209">
        <v>0</v>
      </c>
      <c r="R14" s="209">
        <v>0</v>
      </c>
      <c r="S14" s="209">
        <v>0</v>
      </c>
      <c r="U14" s="14">
        <f t="shared" si="0"/>
        <v>901</v>
      </c>
      <c r="V14" s="14">
        <f>VLOOKUP(A14,[6]sheet1!$A$2:$U$20,21,0)</f>
        <v>901</v>
      </c>
      <c r="W14" s="184">
        <f t="shared" si="1"/>
        <v>0</v>
      </c>
    </row>
    <row r="15" spans="1:23">
      <c r="A15" s="206">
        <v>1241134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182</v>
      </c>
      <c r="J15" s="105">
        <v>54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43</v>
      </c>
      <c r="Q15" s="105">
        <v>0</v>
      </c>
      <c r="R15" s="105">
        <v>0</v>
      </c>
      <c r="S15" s="105">
        <v>0</v>
      </c>
      <c r="U15" s="14">
        <f t="shared" si="0"/>
        <v>279</v>
      </c>
      <c r="V15" s="14">
        <f>VLOOKUP(A15,[6]sheet1!$A$2:$U$20,21,0)</f>
        <v>279</v>
      </c>
      <c r="W15" s="184">
        <f t="shared" si="1"/>
        <v>0</v>
      </c>
    </row>
    <row r="16" spans="1:23">
      <c r="A16" s="206">
        <v>1239988</v>
      </c>
      <c r="B16" s="209">
        <v>0</v>
      </c>
      <c r="C16" s="209">
        <v>0</v>
      </c>
      <c r="D16" s="209">
        <v>0</v>
      </c>
      <c r="E16" s="209">
        <v>0</v>
      </c>
      <c r="F16" s="209">
        <v>0</v>
      </c>
      <c r="G16" s="209">
        <v>0</v>
      </c>
      <c r="H16" s="209">
        <v>0</v>
      </c>
      <c r="I16" s="209">
        <v>0</v>
      </c>
      <c r="J16" s="209">
        <v>150</v>
      </c>
      <c r="K16" s="209">
        <v>0</v>
      </c>
      <c r="L16" s="209">
        <v>0</v>
      </c>
      <c r="M16" s="209">
        <v>501</v>
      </c>
      <c r="N16" s="209">
        <v>502</v>
      </c>
      <c r="O16" s="209">
        <v>394</v>
      </c>
      <c r="P16" s="209">
        <v>502</v>
      </c>
      <c r="Q16" s="209">
        <v>394</v>
      </c>
      <c r="R16" s="209">
        <v>0</v>
      </c>
      <c r="S16" s="209">
        <v>0</v>
      </c>
      <c r="U16" s="14">
        <f t="shared" si="0"/>
        <v>2443</v>
      </c>
      <c r="V16" s="14">
        <f>VLOOKUP(A16,[6]sheet1!$A$2:$U$20,21,0)</f>
        <v>2443</v>
      </c>
      <c r="W16" s="184">
        <f t="shared" si="1"/>
        <v>0</v>
      </c>
    </row>
    <row r="17" spans="1:23">
      <c r="A17" s="206">
        <v>1240180</v>
      </c>
      <c r="B17" s="209">
        <v>410</v>
      </c>
      <c r="C17" s="209">
        <v>322</v>
      </c>
      <c r="D17" s="209">
        <v>0</v>
      </c>
      <c r="E17" s="209">
        <v>0</v>
      </c>
      <c r="F17" s="209">
        <v>420</v>
      </c>
      <c r="G17" s="214">
        <v>582</v>
      </c>
      <c r="H17" s="209">
        <v>648</v>
      </c>
      <c r="I17" s="209">
        <v>664</v>
      </c>
      <c r="J17" s="209">
        <v>266</v>
      </c>
      <c r="K17" s="209">
        <v>0</v>
      </c>
      <c r="L17" s="209">
        <v>0</v>
      </c>
      <c r="M17" s="209">
        <v>404</v>
      </c>
      <c r="N17" s="209">
        <v>404</v>
      </c>
      <c r="O17" s="209">
        <v>318</v>
      </c>
      <c r="P17" s="209">
        <v>404</v>
      </c>
      <c r="Q17" s="209">
        <v>318</v>
      </c>
      <c r="R17" s="209">
        <v>0</v>
      </c>
      <c r="S17" s="209">
        <v>0</v>
      </c>
      <c r="U17" s="14">
        <f t="shared" si="0"/>
        <v>5160</v>
      </c>
      <c r="V17" s="14">
        <f>VLOOKUP(A17,[6]sheet1!$A$2:$U$20,21,0)</f>
        <v>5160</v>
      </c>
      <c r="W17" s="184">
        <f t="shared" si="1"/>
        <v>0</v>
      </c>
    </row>
    <row r="18" spans="1:23">
      <c r="A18" s="206">
        <v>1240184</v>
      </c>
      <c r="B18" s="209">
        <v>410</v>
      </c>
      <c r="C18" s="209">
        <v>322</v>
      </c>
      <c r="D18" s="209">
        <v>0</v>
      </c>
      <c r="E18" s="209">
        <v>0</v>
      </c>
      <c r="F18" s="209">
        <v>420</v>
      </c>
      <c r="G18" s="214">
        <v>582</v>
      </c>
      <c r="H18" s="209">
        <v>648</v>
      </c>
      <c r="I18" s="209">
        <v>410</v>
      </c>
      <c r="J18" s="209">
        <v>70</v>
      </c>
      <c r="K18" s="209">
        <v>0</v>
      </c>
      <c r="L18" s="209">
        <v>0</v>
      </c>
      <c r="M18" s="209">
        <v>404</v>
      </c>
      <c r="N18" s="209">
        <v>404</v>
      </c>
      <c r="O18" s="209">
        <v>318</v>
      </c>
      <c r="P18" s="209">
        <v>404</v>
      </c>
      <c r="Q18" s="209">
        <v>234</v>
      </c>
      <c r="R18" s="209">
        <v>0</v>
      </c>
      <c r="S18" s="209">
        <v>0</v>
      </c>
      <c r="U18" s="14">
        <f t="shared" si="0"/>
        <v>4626</v>
      </c>
      <c r="V18" s="14">
        <f>VLOOKUP(A18,[6]sheet1!$A$2:$U$20,21,0)</f>
        <v>4626</v>
      </c>
      <c r="W18" s="184">
        <f t="shared" si="1"/>
        <v>0</v>
      </c>
    </row>
    <row r="19" spans="1:23">
      <c r="A19" s="206">
        <v>1240308</v>
      </c>
      <c r="B19" s="209">
        <v>0</v>
      </c>
      <c r="C19" s="209">
        <v>0</v>
      </c>
      <c r="D19" s="209">
        <v>0</v>
      </c>
      <c r="E19" s="209">
        <v>0</v>
      </c>
      <c r="F19" s="209">
        <v>0</v>
      </c>
      <c r="G19" s="209">
        <v>0</v>
      </c>
      <c r="H19" s="209">
        <v>450</v>
      </c>
      <c r="I19" s="209">
        <v>420</v>
      </c>
      <c r="J19" s="209">
        <v>0</v>
      </c>
      <c r="K19" s="209">
        <v>0</v>
      </c>
      <c r="L19" s="209">
        <v>0</v>
      </c>
      <c r="M19" s="209">
        <v>0</v>
      </c>
      <c r="N19" s="209">
        <v>0</v>
      </c>
      <c r="O19" s="209">
        <v>0</v>
      </c>
      <c r="P19" s="209">
        <v>450</v>
      </c>
      <c r="Q19" s="209">
        <v>376</v>
      </c>
      <c r="R19" s="209">
        <v>0</v>
      </c>
      <c r="S19" s="209">
        <v>0</v>
      </c>
      <c r="U19" s="14">
        <f t="shared" si="0"/>
        <v>1696</v>
      </c>
      <c r="V19" s="14">
        <f>VLOOKUP(A19,[6]sheet1!$A$2:$U$20,21,0)</f>
        <v>1696</v>
      </c>
      <c r="W19" s="184">
        <f t="shared" si="1"/>
        <v>0</v>
      </c>
    </row>
    <row r="20" spans="1:23">
      <c r="A20" s="206">
        <v>1241601</v>
      </c>
      <c r="B20" s="105">
        <v>764</v>
      </c>
      <c r="C20" s="105">
        <v>600</v>
      </c>
      <c r="D20" s="105">
        <v>0</v>
      </c>
      <c r="E20" s="105">
        <v>0</v>
      </c>
      <c r="F20" s="105">
        <v>930</v>
      </c>
      <c r="G20" s="105">
        <v>1182</v>
      </c>
      <c r="H20" s="105">
        <v>614</v>
      </c>
      <c r="I20" s="105">
        <v>508</v>
      </c>
      <c r="J20" s="105">
        <v>784</v>
      </c>
      <c r="K20" s="105">
        <v>0</v>
      </c>
      <c r="L20" s="105">
        <v>0</v>
      </c>
      <c r="M20" s="105">
        <v>782</v>
      </c>
      <c r="N20" s="105">
        <v>618</v>
      </c>
      <c r="O20" s="105">
        <v>0</v>
      </c>
      <c r="P20" s="105">
        <v>542</v>
      </c>
      <c r="Q20" s="105">
        <v>614</v>
      </c>
      <c r="R20" s="105">
        <v>0</v>
      </c>
      <c r="S20" s="105">
        <v>0</v>
      </c>
      <c r="U20" s="14">
        <f t="shared" si="0"/>
        <v>7938</v>
      </c>
      <c r="V20" s="14">
        <f>VLOOKUP(A20,[6]sheet1!$A$2:$U$20,21,0)</f>
        <v>7938</v>
      </c>
      <c r="W20" s="184">
        <f t="shared" si="1"/>
        <v>0</v>
      </c>
    </row>
    <row r="21" spans="1:23">
      <c r="U21" s="14">
        <f t="shared" si="0"/>
        <v>0</v>
      </c>
    </row>
    <row r="22" spans="1:23">
      <c r="J22" s="14">
        <f t="shared" ref="J22:S22" si="2">SUM(J2:J21)</f>
        <v>3082</v>
      </c>
      <c r="K22" s="14">
        <f t="shared" si="2"/>
        <v>0</v>
      </c>
      <c r="L22" s="14">
        <f t="shared" si="2"/>
        <v>0</v>
      </c>
      <c r="M22" s="14">
        <f t="shared" si="2"/>
        <v>4003</v>
      </c>
      <c r="N22" s="14">
        <f t="shared" si="2"/>
        <v>3396</v>
      </c>
      <c r="P22" s="14">
        <f t="shared" si="2"/>
        <v>3667</v>
      </c>
      <c r="R22" s="14">
        <f t="shared" si="2"/>
        <v>0</v>
      </c>
      <c r="S22" s="14">
        <f t="shared" si="2"/>
        <v>0</v>
      </c>
      <c r="U22" s="14">
        <f t="shared" si="0"/>
        <v>14148</v>
      </c>
    </row>
    <row r="23" spans="1:23">
      <c r="J23" s="14">
        <v>3082</v>
      </c>
      <c r="K23" s="14">
        <v>0</v>
      </c>
      <c r="L23" s="14">
        <v>0</v>
      </c>
      <c r="M23" s="14">
        <v>4003</v>
      </c>
      <c r="N23" s="14">
        <v>3396</v>
      </c>
      <c r="P23" s="14">
        <v>3667</v>
      </c>
      <c r="R23" s="14">
        <v>0</v>
      </c>
      <c r="S23" s="14">
        <v>0</v>
      </c>
      <c r="U23" s="14">
        <f t="shared" si="0"/>
        <v>14148</v>
      </c>
    </row>
    <row r="24" spans="1:23">
      <c r="J24" s="14">
        <f t="shared" ref="J24:S24" si="3">+J22-J23</f>
        <v>0</v>
      </c>
      <c r="K24" s="14">
        <f t="shared" si="3"/>
        <v>0</v>
      </c>
      <c r="L24" s="14">
        <f t="shared" si="3"/>
        <v>0</v>
      </c>
      <c r="M24" s="14">
        <f t="shared" si="3"/>
        <v>0</v>
      </c>
      <c r="N24" s="14">
        <f t="shared" si="3"/>
        <v>0</v>
      </c>
      <c r="P24" s="14">
        <f t="shared" si="3"/>
        <v>0</v>
      </c>
      <c r="R24" s="14">
        <f t="shared" si="3"/>
        <v>0</v>
      </c>
      <c r="S24" s="14">
        <f t="shared" si="3"/>
        <v>0</v>
      </c>
      <c r="U24" s="14">
        <f t="shared" si="0"/>
        <v>0</v>
      </c>
    </row>
    <row r="26" spans="1:23">
      <c r="A26" s="207" t="s">
        <v>0</v>
      </c>
      <c r="B26" s="205" t="s">
        <v>884</v>
      </c>
      <c r="C26" s="205" t="s">
        <v>883</v>
      </c>
      <c r="D26" s="205" t="s">
        <v>882</v>
      </c>
      <c r="E26" s="208" t="s">
        <v>881</v>
      </c>
      <c r="F26" s="205" t="s">
        <v>920</v>
      </c>
      <c r="G26" s="205" t="s">
        <v>921</v>
      </c>
      <c r="H26" s="205" t="s">
        <v>922</v>
      </c>
      <c r="I26" s="205" t="s">
        <v>923</v>
      </c>
      <c r="J26" s="205" t="s">
        <v>924</v>
      </c>
      <c r="K26" s="205" t="s">
        <v>925</v>
      </c>
      <c r="L26" s="208" t="s">
        <v>926</v>
      </c>
      <c r="M26" s="205" t="s">
        <v>932</v>
      </c>
      <c r="N26" s="205" t="s">
        <v>933</v>
      </c>
      <c r="O26" s="205" t="s">
        <v>934</v>
      </c>
      <c r="P26" s="205" t="s">
        <v>935</v>
      </c>
      <c r="Q26" s="205" t="s">
        <v>936</v>
      </c>
      <c r="R26" s="205" t="s">
        <v>937</v>
      </c>
      <c r="S26" s="208" t="s">
        <v>938</v>
      </c>
    </row>
    <row r="27" spans="1:23">
      <c r="A27" s="206">
        <v>1237608</v>
      </c>
      <c r="B27" s="209">
        <v>300</v>
      </c>
      <c r="C27" s="209">
        <v>300</v>
      </c>
      <c r="D27" s="209">
        <v>0</v>
      </c>
      <c r="E27" s="209">
        <v>0</v>
      </c>
      <c r="F27" s="209">
        <v>150</v>
      </c>
      <c r="G27" s="209">
        <v>0</v>
      </c>
      <c r="H27" s="209">
        <v>0</v>
      </c>
      <c r="I27" s="209">
        <v>0</v>
      </c>
      <c r="J27" s="209">
        <v>0</v>
      </c>
      <c r="K27" s="209">
        <v>0</v>
      </c>
      <c r="L27" s="209">
        <v>0</v>
      </c>
      <c r="M27" s="209">
        <v>0</v>
      </c>
      <c r="N27" s="209">
        <v>0</v>
      </c>
      <c r="O27" s="209">
        <v>0</v>
      </c>
      <c r="P27" s="209">
        <v>0</v>
      </c>
      <c r="Q27" s="209">
        <v>0</v>
      </c>
      <c r="R27" s="209">
        <v>0</v>
      </c>
      <c r="S27" s="209">
        <v>0</v>
      </c>
    </row>
    <row r="28" spans="1:23">
      <c r="A28" s="206">
        <v>1236110</v>
      </c>
      <c r="B28" s="209">
        <v>0</v>
      </c>
      <c r="C28" s="209">
        <v>0</v>
      </c>
      <c r="D28" s="209">
        <v>0</v>
      </c>
      <c r="E28" s="209">
        <v>0</v>
      </c>
      <c r="F28" s="209">
        <v>100</v>
      </c>
      <c r="G28" s="209">
        <v>250</v>
      </c>
      <c r="H28" s="209">
        <v>200</v>
      </c>
      <c r="I28" s="209">
        <v>0</v>
      </c>
      <c r="J28" s="209">
        <v>0</v>
      </c>
      <c r="K28" s="209">
        <v>0</v>
      </c>
      <c r="L28" s="209">
        <v>0</v>
      </c>
      <c r="M28" s="209">
        <v>0</v>
      </c>
      <c r="N28" s="209">
        <v>0</v>
      </c>
      <c r="O28" s="209">
        <v>0</v>
      </c>
      <c r="P28" s="209">
        <v>0</v>
      </c>
      <c r="Q28" s="209">
        <v>0</v>
      </c>
      <c r="R28" s="209">
        <v>0</v>
      </c>
      <c r="S28" s="209">
        <v>0</v>
      </c>
    </row>
    <row r="29" spans="1:23">
      <c r="A29" s="206">
        <v>1236387</v>
      </c>
      <c r="B29" s="209">
        <v>357</v>
      </c>
      <c r="C29" s="209">
        <v>357</v>
      </c>
      <c r="D29" s="209">
        <v>0</v>
      </c>
      <c r="E29" s="209">
        <v>0</v>
      </c>
      <c r="F29" s="209">
        <v>357</v>
      </c>
      <c r="G29" s="209">
        <v>176</v>
      </c>
      <c r="H29" s="209">
        <v>0</v>
      </c>
      <c r="I29" s="209">
        <v>0</v>
      </c>
      <c r="J29" s="209">
        <v>0</v>
      </c>
      <c r="K29" s="209">
        <v>0</v>
      </c>
      <c r="L29" s="209">
        <v>0</v>
      </c>
      <c r="M29" s="209">
        <v>176</v>
      </c>
      <c r="N29" s="209">
        <v>357</v>
      </c>
      <c r="O29" s="209">
        <v>163</v>
      </c>
      <c r="P29" s="209">
        <v>104</v>
      </c>
      <c r="Q29" s="209">
        <v>0</v>
      </c>
      <c r="R29" s="209">
        <v>0</v>
      </c>
      <c r="S29" s="209">
        <v>0</v>
      </c>
    </row>
    <row r="30" spans="1:23">
      <c r="A30" s="206">
        <v>1232775</v>
      </c>
      <c r="B30" s="209">
        <v>0</v>
      </c>
      <c r="C30" s="209">
        <v>0</v>
      </c>
      <c r="D30" s="209">
        <v>0</v>
      </c>
      <c r="E30" s="209">
        <v>0</v>
      </c>
      <c r="F30" s="209">
        <v>0</v>
      </c>
      <c r="G30" s="214">
        <v>315</v>
      </c>
      <c r="H30" s="214">
        <v>487</v>
      </c>
      <c r="I30" s="214">
        <v>487</v>
      </c>
      <c r="J30" s="215">
        <v>487</v>
      </c>
      <c r="K30" s="209">
        <v>0</v>
      </c>
      <c r="L30" s="209">
        <v>0</v>
      </c>
      <c r="M30" s="209">
        <v>342</v>
      </c>
      <c r="N30" s="209">
        <v>245</v>
      </c>
      <c r="O30" s="209">
        <v>109</v>
      </c>
      <c r="P30" s="209">
        <v>200</v>
      </c>
      <c r="Q30" s="209">
        <v>0</v>
      </c>
      <c r="R30" s="209">
        <v>0</v>
      </c>
      <c r="S30" s="209">
        <v>0</v>
      </c>
    </row>
    <row r="31" spans="1:23">
      <c r="A31" s="206">
        <v>1230685</v>
      </c>
      <c r="B31" s="209">
        <v>0</v>
      </c>
      <c r="C31" s="209">
        <v>0</v>
      </c>
      <c r="D31" s="209">
        <v>0</v>
      </c>
      <c r="E31" s="209">
        <v>0</v>
      </c>
      <c r="F31" s="209">
        <v>0</v>
      </c>
      <c r="G31" s="209">
        <v>0</v>
      </c>
      <c r="H31" s="209">
        <v>0</v>
      </c>
      <c r="I31" s="209">
        <v>0</v>
      </c>
      <c r="J31" s="209">
        <v>0</v>
      </c>
      <c r="K31" s="209">
        <v>0</v>
      </c>
      <c r="L31" s="209">
        <v>0</v>
      </c>
      <c r="M31" s="209">
        <v>0</v>
      </c>
      <c r="N31" s="209">
        <v>0</v>
      </c>
      <c r="O31" s="209">
        <v>0</v>
      </c>
      <c r="P31" s="209">
        <v>220</v>
      </c>
      <c r="Q31" s="209">
        <v>330</v>
      </c>
      <c r="R31" s="209">
        <v>0</v>
      </c>
      <c r="S31" s="209">
        <v>0</v>
      </c>
    </row>
    <row r="35" spans="1:19">
      <c r="A35" s="25" t="s">
        <v>0</v>
      </c>
      <c r="B35" s="14" t="s">
        <v>941</v>
      </c>
      <c r="C35" s="14" t="s">
        <v>942</v>
      </c>
      <c r="D35" s="14" t="s">
        <v>943</v>
      </c>
      <c r="E35" s="14" t="s">
        <v>944</v>
      </c>
      <c r="F35" s="14" t="s">
        <v>945</v>
      </c>
      <c r="G35" s="14" t="s">
        <v>946</v>
      </c>
      <c r="H35" s="14" t="s">
        <v>947</v>
      </c>
      <c r="I35" s="14" t="s">
        <v>948</v>
      </c>
      <c r="J35" s="14" t="s">
        <v>949</v>
      </c>
      <c r="K35" s="14" t="s">
        <v>950</v>
      </c>
      <c r="L35" s="14" t="s">
        <v>951</v>
      </c>
      <c r="M35" s="14" t="s">
        <v>952</v>
      </c>
      <c r="N35" s="14" t="s">
        <v>953</v>
      </c>
      <c r="O35" s="14" t="s">
        <v>954</v>
      </c>
      <c r="P35" s="14" t="s">
        <v>955</v>
      </c>
      <c r="Q35" s="14" t="s">
        <v>956</v>
      </c>
      <c r="R35" s="14" t="s">
        <v>957</v>
      </c>
      <c r="S35" s="14" t="s">
        <v>958</v>
      </c>
    </row>
    <row r="36" spans="1:19">
      <c r="A36" s="13">
        <v>1234614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6">
        <v>216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</row>
    <row r="37" spans="1:19">
      <c r="A37" s="13">
        <v>1230692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300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</row>
    <row r="38" spans="1:19">
      <c r="A38" s="13">
        <v>1227306</v>
      </c>
      <c r="B38" s="14">
        <v>180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91</v>
      </c>
      <c r="J38" s="14">
        <v>373</v>
      </c>
      <c r="K38" s="14">
        <v>0</v>
      </c>
      <c r="L38" s="14">
        <v>0</v>
      </c>
      <c r="M38" s="14">
        <v>136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</row>
    <row r="39" spans="1:19">
      <c r="A39" s="13">
        <v>1227359</v>
      </c>
      <c r="B39" s="14">
        <v>44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</row>
    <row r="40" spans="1:19">
      <c r="A40" s="13">
        <v>1225464</v>
      </c>
      <c r="B40" s="14">
        <v>472</v>
      </c>
      <c r="C40" s="14">
        <v>284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</row>
    <row r="41" spans="1:19">
      <c r="A41" s="13">
        <v>1231797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130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</row>
    <row r="42" spans="1:19">
      <c r="A42" s="13">
        <v>1229776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30</v>
      </c>
      <c r="K42" s="14">
        <v>0</v>
      </c>
      <c r="L42" s="14">
        <v>0</v>
      </c>
      <c r="M42" s="14">
        <v>60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</row>
    <row r="43" spans="1:19">
      <c r="A43" s="13">
        <v>1231090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30</v>
      </c>
      <c r="K43" s="14">
        <v>0</v>
      </c>
      <c r="L43" s="14">
        <v>0</v>
      </c>
      <c r="M43" s="14">
        <v>570</v>
      </c>
      <c r="N43" s="14">
        <v>0</v>
      </c>
      <c r="O43" s="14">
        <v>0</v>
      </c>
      <c r="P43" s="14">
        <v>0</v>
      </c>
      <c r="Q43" s="14">
        <v>2065</v>
      </c>
      <c r="R43" s="14">
        <v>0</v>
      </c>
      <c r="S43" s="14">
        <v>0</v>
      </c>
    </row>
    <row r="44" spans="1:19">
      <c r="A44" s="13">
        <v>1232693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126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</row>
    <row r="45" spans="1:19">
      <c r="A45" s="13">
        <v>1233025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126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</row>
    <row r="46" spans="1:19">
      <c r="A46" s="13">
        <v>1234222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220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</row>
    <row r="47" spans="1:19">
      <c r="A47" s="13">
        <v>1232528</v>
      </c>
      <c r="B47" s="14">
        <v>0</v>
      </c>
      <c r="C47" s="14">
        <v>539</v>
      </c>
      <c r="D47" s="14">
        <v>0</v>
      </c>
      <c r="E47" s="14">
        <v>0</v>
      </c>
      <c r="F47" s="14">
        <v>300</v>
      </c>
      <c r="G47" s="16">
        <v>360</v>
      </c>
      <c r="H47" s="14">
        <v>233</v>
      </c>
      <c r="I47" s="14">
        <v>686</v>
      </c>
      <c r="J47" s="14">
        <v>781</v>
      </c>
      <c r="K47" s="14">
        <v>0</v>
      </c>
      <c r="L47" s="14">
        <v>0</v>
      </c>
      <c r="M47" s="14">
        <v>1731</v>
      </c>
      <c r="N47" s="14">
        <v>1167</v>
      </c>
      <c r="O47" s="14">
        <v>600</v>
      </c>
      <c r="P47" s="14">
        <v>600</v>
      </c>
      <c r="Q47" s="14">
        <v>3271</v>
      </c>
      <c r="R47" s="14">
        <v>0</v>
      </c>
      <c r="S47" s="14">
        <v>0</v>
      </c>
    </row>
    <row r="48" spans="1:19">
      <c r="A48" s="13">
        <v>1232846</v>
      </c>
      <c r="B48" s="14">
        <v>361</v>
      </c>
      <c r="C48" s="14">
        <v>0</v>
      </c>
      <c r="D48" s="14">
        <v>0</v>
      </c>
      <c r="E48" s="14">
        <v>0</v>
      </c>
      <c r="F48" s="14">
        <v>0</v>
      </c>
      <c r="G48" s="14">
        <v>376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512</v>
      </c>
      <c r="P48" s="14">
        <v>0</v>
      </c>
      <c r="Q48" s="14">
        <v>0</v>
      </c>
      <c r="R48" s="14">
        <v>0</v>
      </c>
      <c r="S48" s="14">
        <v>0</v>
      </c>
    </row>
    <row r="49" spans="1:22">
      <c r="A49" s="13">
        <v>1229050</v>
      </c>
      <c r="B49" s="14">
        <v>30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</row>
    <row r="50" spans="1:22">
      <c r="A50" s="13">
        <v>1220847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920</v>
      </c>
      <c r="N50" s="14">
        <v>0</v>
      </c>
      <c r="O50" s="14">
        <v>0</v>
      </c>
      <c r="P50" s="14">
        <v>0</v>
      </c>
      <c r="Q50" s="14">
        <v>4330</v>
      </c>
      <c r="R50" s="14">
        <v>0</v>
      </c>
      <c r="S50" s="14">
        <v>0</v>
      </c>
    </row>
    <row r="51" spans="1:22">
      <c r="A51" s="13">
        <v>1234217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50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</row>
    <row r="52" spans="1:22">
      <c r="A52" s="13">
        <v>1234111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50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</row>
    <row r="53" spans="1:22" s="212" customFormat="1">
      <c r="A53" s="210">
        <v>1234110</v>
      </c>
      <c r="B53" s="211">
        <v>0</v>
      </c>
      <c r="C53" s="211">
        <v>0</v>
      </c>
      <c r="D53" s="211">
        <v>0</v>
      </c>
      <c r="E53" s="211">
        <v>0</v>
      </c>
      <c r="F53" s="211">
        <v>0</v>
      </c>
      <c r="G53" s="211">
        <v>0</v>
      </c>
      <c r="H53" s="211">
        <v>0</v>
      </c>
      <c r="I53" s="211">
        <v>0</v>
      </c>
      <c r="J53" s="211">
        <v>0</v>
      </c>
      <c r="K53" s="211">
        <v>0</v>
      </c>
      <c r="L53" s="211">
        <v>0</v>
      </c>
      <c r="M53" s="211">
        <v>0</v>
      </c>
      <c r="N53" s="211">
        <v>50</v>
      </c>
      <c r="O53" s="211">
        <v>0</v>
      </c>
      <c r="P53" s="211">
        <v>0</v>
      </c>
      <c r="Q53" s="211">
        <v>0</v>
      </c>
      <c r="R53" s="211">
        <v>0</v>
      </c>
      <c r="S53" s="211">
        <v>0</v>
      </c>
      <c r="T53" s="211"/>
      <c r="U53" s="211"/>
      <c r="V53" s="211"/>
    </row>
    <row r="54" spans="1:22">
      <c r="A54" s="13">
        <v>1232775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295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141</v>
      </c>
      <c r="P54" s="14">
        <v>0</v>
      </c>
      <c r="Q54" s="14">
        <v>0</v>
      </c>
      <c r="R54" s="14">
        <v>0</v>
      </c>
      <c r="S54" s="14">
        <v>0</v>
      </c>
    </row>
    <row r="55" spans="1:22">
      <c r="A55" s="13">
        <v>1235097</v>
      </c>
      <c r="B55" s="14">
        <v>0</v>
      </c>
      <c r="C55" s="14">
        <v>0</v>
      </c>
      <c r="D55" s="14">
        <v>0</v>
      </c>
      <c r="E55" s="14">
        <v>0</v>
      </c>
      <c r="F55" s="14">
        <v>190</v>
      </c>
      <c r="G55" s="14">
        <v>60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400</v>
      </c>
      <c r="O55" s="14">
        <v>0</v>
      </c>
      <c r="P55" s="14">
        <v>200</v>
      </c>
      <c r="Q55" s="14">
        <v>200</v>
      </c>
      <c r="R55" s="14">
        <v>0</v>
      </c>
      <c r="S55" s="14">
        <v>0</v>
      </c>
    </row>
    <row r="56" spans="1:22">
      <c r="A56" s="13">
        <v>1236600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500</v>
      </c>
      <c r="N56" s="14">
        <v>200</v>
      </c>
      <c r="O56" s="14">
        <v>400</v>
      </c>
      <c r="P56" s="14">
        <v>0</v>
      </c>
      <c r="Q56" s="14">
        <v>0</v>
      </c>
      <c r="R56" s="14">
        <v>0</v>
      </c>
      <c r="S56" s="14">
        <v>0</v>
      </c>
    </row>
    <row r="57" spans="1:22">
      <c r="A57" s="13">
        <v>1236619</v>
      </c>
      <c r="B57" s="14">
        <v>0</v>
      </c>
      <c r="C57" s="14">
        <v>0</v>
      </c>
      <c r="D57" s="14">
        <v>0</v>
      </c>
      <c r="E57" s="14">
        <v>0</v>
      </c>
      <c r="F57" s="14">
        <v>56</v>
      </c>
      <c r="G57" s="14">
        <v>0</v>
      </c>
      <c r="H57" s="14">
        <v>0</v>
      </c>
      <c r="I57" s="14">
        <v>0</v>
      </c>
      <c r="J57" s="14">
        <v>198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</row>
    <row r="58" spans="1:22">
      <c r="A58" s="13">
        <v>1236930</v>
      </c>
      <c r="B58" s="14">
        <v>330</v>
      </c>
      <c r="C58" s="14">
        <v>267</v>
      </c>
      <c r="D58" s="14">
        <v>0</v>
      </c>
      <c r="E58" s="14">
        <v>0</v>
      </c>
      <c r="F58" s="14">
        <v>50</v>
      </c>
      <c r="G58" s="14">
        <v>406</v>
      </c>
      <c r="H58" s="16">
        <v>459</v>
      </c>
      <c r="I58" s="14">
        <v>436</v>
      </c>
      <c r="J58" s="14">
        <v>267</v>
      </c>
      <c r="K58" s="14">
        <v>0</v>
      </c>
      <c r="L58" s="14">
        <v>0</v>
      </c>
      <c r="M58" s="14">
        <v>339</v>
      </c>
      <c r="N58" s="14">
        <v>739</v>
      </c>
      <c r="O58" s="14">
        <v>400</v>
      </c>
      <c r="P58" s="14">
        <v>354</v>
      </c>
      <c r="Q58" s="14">
        <v>1540</v>
      </c>
      <c r="R58" s="14">
        <v>0</v>
      </c>
      <c r="S58" s="14">
        <v>0</v>
      </c>
    </row>
    <row r="59" spans="1:22">
      <c r="A59" s="13">
        <v>1232982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400</v>
      </c>
      <c r="Q59" s="14">
        <v>0</v>
      </c>
      <c r="R59" s="14">
        <v>0</v>
      </c>
      <c r="S59" s="14">
        <v>0</v>
      </c>
    </row>
    <row r="60" spans="1:22">
      <c r="A60" s="13">
        <v>1237468</v>
      </c>
      <c r="B60" s="14">
        <v>0</v>
      </c>
      <c r="C60" s="14">
        <v>0</v>
      </c>
      <c r="D60" s="14">
        <v>0</v>
      </c>
      <c r="E60" s="14">
        <v>0</v>
      </c>
      <c r="F60" s="14">
        <v>40</v>
      </c>
      <c r="G60" s="14">
        <v>0</v>
      </c>
      <c r="H60" s="14">
        <v>0</v>
      </c>
      <c r="I60" s="14">
        <v>0</v>
      </c>
      <c r="J60" s="14">
        <v>248</v>
      </c>
      <c r="K60" s="14">
        <v>0</v>
      </c>
      <c r="L60" s="14">
        <v>0</v>
      </c>
      <c r="M60" s="14">
        <v>0</v>
      </c>
      <c r="N60" s="14">
        <v>37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</row>
    <row r="61" spans="1:22">
      <c r="A61" s="13">
        <v>1237457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6">
        <v>54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56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</row>
    <row r="62" spans="1:22">
      <c r="A62" s="13">
        <v>1237386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102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</row>
    <row r="63" spans="1:22">
      <c r="A63" s="13">
        <v>1234905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300</v>
      </c>
      <c r="N63" s="14">
        <v>0</v>
      </c>
      <c r="O63" s="14">
        <v>380</v>
      </c>
      <c r="P63" s="14">
        <v>100</v>
      </c>
      <c r="Q63" s="14">
        <v>0</v>
      </c>
      <c r="R63" s="14">
        <v>0</v>
      </c>
      <c r="S63" s="14">
        <v>0</v>
      </c>
    </row>
    <row r="64" spans="1:22">
      <c r="A64" s="13">
        <v>1238480</v>
      </c>
      <c r="B64" s="14">
        <v>1522</v>
      </c>
      <c r="C64" s="14">
        <v>1082</v>
      </c>
      <c r="D64" s="14">
        <v>0</v>
      </c>
      <c r="E64" s="14">
        <v>0</v>
      </c>
      <c r="F64" s="14">
        <v>1489</v>
      </c>
      <c r="G64" s="16">
        <v>1429</v>
      </c>
      <c r="H64" s="14">
        <v>1101</v>
      </c>
      <c r="I64" s="14">
        <v>1449</v>
      </c>
      <c r="J64" s="14">
        <v>631</v>
      </c>
      <c r="K64" s="14">
        <v>0</v>
      </c>
      <c r="L64" s="14">
        <v>0</v>
      </c>
      <c r="M64" s="14">
        <v>1037</v>
      </c>
      <c r="N64" s="14">
        <v>197</v>
      </c>
      <c r="O64" s="14">
        <v>700</v>
      </c>
      <c r="P64" s="14">
        <v>780</v>
      </c>
      <c r="Q64" s="14">
        <v>1452</v>
      </c>
      <c r="R64" s="14">
        <v>0</v>
      </c>
      <c r="S64" s="14">
        <v>0</v>
      </c>
    </row>
    <row r="65" spans="1:19">
      <c r="A65" s="13">
        <v>1240029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136</v>
      </c>
      <c r="K65" s="14">
        <v>0</v>
      </c>
      <c r="L65" s="14">
        <v>0</v>
      </c>
      <c r="M65" s="14">
        <v>564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</row>
    <row r="66" spans="1:19">
      <c r="A66" s="13">
        <v>1240032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136</v>
      </c>
      <c r="K66" s="14">
        <v>0</v>
      </c>
      <c r="L66" s="14">
        <v>0</v>
      </c>
      <c r="M66" s="14">
        <v>564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</row>
    <row r="67" spans="1:19">
      <c r="A67" s="13">
        <v>1240180</v>
      </c>
      <c r="B67" s="14">
        <v>0</v>
      </c>
      <c r="C67" s="14">
        <v>0</v>
      </c>
      <c r="D67" s="14">
        <v>0</v>
      </c>
      <c r="E67" s="14">
        <v>0</v>
      </c>
      <c r="F67" s="14">
        <v>266</v>
      </c>
      <c r="G67" s="14">
        <v>144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</row>
    <row r="68" spans="1:19">
      <c r="A68" s="13">
        <v>1240184</v>
      </c>
      <c r="B68" s="14">
        <v>0</v>
      </c>
      <c r="C68" s="14">
        <v>0</v>
      </c>
      <c r="D68" s="14">
        <v>0</v>
      </c>
      <c r="E68" s="14">
        <v>0</v>
      </c>
      <c r="F68" s="14">
        <v>266</v>
      </c>
      <c r="G68" s="14">
        <v>144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</row>
    <row r="69" spans="1:19">
      <c r="A69" s="13">
        <v>1238453</v>
      </c>
      <c r="B69" s="14">
        <v>57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</row>
    <row r="70" spans="1:19">
      <c r="A70" s="13">
        <v>1216452</v>
      </c>
      <c r="B70" s="14">
        <v>76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655</v>
      </c>
      <c r="O70" s="14">
        <v>440</v>
      </c>
      <c r="P70" s="14">
        <v>0</v>
      </c>
      <c r="Q70" s="14">
        <v>0</v>
      </c>
      <c r="R70" s="14">
        <v>0</v>
      </c>
      <c r="S70" s="14">
        <v>0</v>
      </c>
    </row>
    <row r="71" spans="1:19">
      <c r="A71" s="13">
        <v>1232894</v>
      </c>
      <c r="B71" s="14">
        <v>301</v>
      </c>
      <c r="C71" s="14">
        <v>0</v>
      </c>
      <c r="D71" s="14">
        <v>0</v>
      </c>
      <c r="E71" s="14">
        <v>0</v>
      </c>
      <c r="F71" s="14">
        <v>0</v>
      </c>
      <c r="G71" s="14">
        <v>376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512</v>
      </c>
      <c r="P71" s="14">
        <v>0</v>
      </c>
      <c r="Q71" s="14">
        <v>0</v>
      </c>
      <c r="R71" s="14">
        <v>0</v>
      </c>
      <c r="S71" s="14">
        <v>0</v>
      </c>
    </row>
    <row r="72" spans="1:19">
      <c r="A72" s="13">
        <v>1233386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512</v>
      </c>
      <c r="P72" s="14">
        <v>0</v>
      </c>
      <c r="Q72" s="14">
        <v>0</v>
      </c>
      <c r="R72" s="14">
        <v>0</v>
      </c>
      <c r="S72" s="14">
        <v>0</v>
      </c>
    </row>
    <row r="73" spans="1:19">
      <c r="A73" s="13">
        <v>1233387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376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</row>
    <row r="74" spans="1:19">
      <c r="A74" s="13">
        <v>1233385</v>
      </c>
      <c r="B74" s="14">
        <v>301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</row>
    <row r="75" spans="1:19">
      <c r="A75" s="13">
        <v>1232895</v>
      </c>
      <c r="B75" s="14">
        <v>60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</row>
    <row r="76" spans="1:19">
      <c r="A76" s="13">
        <v>1232922</v>
      </c>
      <c r="B76" s="14">
        <v>60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</row>
    <row r="77" spans="1:19">
      <c r="A77" s="13">
        <v>1233580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200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</row>
  </sheetData>
  <autoFilter ref="A1:S20" xr:uid="{E6C1928E-EA83-49EE-9079-BB5994506548}"/>
  <phoneticPr fontId="1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70EE-33A7-45A5-B21D-3773D3B932D0}">
  <dimension ref="A1:V71"/>
  <sheetViews>
    <sheetView zoomScale="130" zoomScaleNormal="130" workbookViewId="0">
      <selection activeCell="G17" sqref="G17"/>
    </sheetView>
  </sheetViews>
  <sheetFormatPr defaultRowHeight="11.25"/>
  <cols>
    <col min="2" max="2" width="9.1640625" style="14"/>
    <col min="3" max="17" width="9.1640625" style="14" customWidth="1"/>
    <col min="18" max="18" width="9.1640625" style="14"/>
  </cols>
  <sheetData>
    <row r="1" spans="1:22">
      <c r="A1" s="2" t="s">
        <v>0</v>
      </c>
      <c r="B1" s="14" t="s">
        <v>959</v>
      </c>
      <c r="C1" s="14" t="s">
        <v>960</v>
      </c>
      <c r="D1" s="14" t="s">
        <v>961</v>
      </c>
      <c r="E1" s="14" t="s">
        <v>962</v>
      </c>
      <c r="F1" s="14" t="s">
        <v>963</v>
      </c>
      <c r="G1" s="16" t="s">
        <v>964</v>
      </c>
      <c r="H1" s="14" t="s">
        <v>965</v>
      </c>
      <c r="I1" s="14" t="s">
        <v>966</v>
      </c>
      <c r="J1" s="14" t="s">
        <v>967</v>
      </c>
      <c r="K1" s="14" t="s">
        <v>968</v>
      </c>
      <c r="L1" s="14" t="s">
        <v>969</v>
      </c>
      <c r="M1" s="14" t="s">
        <v>970</v>
      </c>
      <c r="N1" s="14" t="s">
        <v>971</v>
      </c>
      <c r="O1" s="14" t="s">
        <v>972</v>
      </c>
      <c r="P1" s="14" t="s">
        <v>973</v>
      </c>
      <c r="Q1" s="14" t="s">
        <v>974</v>
      </c>
      <c r="R1" s="14" t="s">
        <v>975</v>
      </c>
    </row>
    <row r="2" spans="1:22">
      <c r="A2">
        <v>1234614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192</v>
      </c>
      <c r="M2" s="14">
        <v>308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T2" s="184">
        <f>SUM(B2:R2)</f>
        <v>500</v>
      </c>
      <c r="U2">
        <f>VLOOKUP(A2,[7]sheet1!$A$2:$T$20,20,)</f>
        <v>500</v>
      </c>
      <c r="V2" s="184">
        <f>+T2-U2</f>
        <v>0</v>
      </c>
    </row>
    <row r="3" spans="1:22">
      <c r="A3">
        <v>1226384</v>
      </c>
      <c r="B3" s="14">
        <v>330</v>
      </c>
      <c r="C3" s="14">
        <v>0</v>
      </c>
      <c r="D3" s="14">
        <v>0</v>
      </c>
      <c r="E3" s="14">
        <v>0</v>
      </c>
      <c r="F3" s="14">
        <v>0</v>
      </c>
      <c r="G3" s="16">
        <v>100</v>
      </c>
      <c r="H3" s="14">
        <v>500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T3" s="184">
        <f t="shared" ref="T3:T20" si="0">SUM(B3:R3)</f>
        <v>930</v>
      </c>
      <c r="U3">
        <f>VLOOKUP(A3,[7]sheet1!$A$2:$T$20,20,)</f>
        <v>930</v>
      </c>
      <c r="V3" s="184">
        <f t="shared" ref="V3:V20" si="1">+T3-U3</f>
        <v>0</v>
      </c>
    </row>
    <row r="4" spans="1:22">
      <c r="A4">
        <v>1226388</v>
      </c>
      <c r="B4" s="14">
        <v>330</v>
      </c>
      <c r="C4" s="14">
        <v>0</v>
      </c>
      <c r="D4" s="14">
        <v>0</v>
      </c>
      <c r="E4" s="14">
        <v>0</v>
      </c>
      <c r="F4" s="14">
        <v>0</v>
      </c>
      <c r="G4" s="16">
        <v>100</v>
      </c>
      <c r="H4" s="14">
        <v>500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T4" s="184">
        <f t="shared" si="0"/>
        <v>930</v>
      </c>
      <c r="U4">
        <f>VLOOKUP(A4,[7]sheet1!$A$2:$T$20,20,)</f>
        <v>930</v>
      </c>
      <c r="V4" s="184">
        <f t="shared" si="1"/>
        <v>0</v>
      </c>
    </row>
    <row r="5" spans="1:22">
      <c r="A5">
        <v>1229673</v>
      </c>
      <c r="B5" s="14">
        <v>200</v>
      </c>
      <c r="C5" s="14">
        <v>0</v>
      </c>
      <c r="D5" s="14">
        <v>0</v>
      </c>
      <c r="E5" s="14">
        <v>200</v>
      </c>
      <c r="F5" s="14">
        <v>200</v>
      </c>
      <c r="G5" s="14">
        <v>0</v>
      </c>
      <c r="H5" s="14">
        <v>250</v>
      </c>
      <c r="I5" s="14">
        <v>250</v>
      </c>
      <c r="J5" s="14">
        <v>0</v>
      </c>
      <c r="K5" s="14">
        <v>0</v>
      </c>
      <c r="L5" s="14">
        <v>200</v>
      </c>
      <c r="M5" s="14">
        <v>200</v>
      </c>
      <c r="N5" s="14">
        <v>222</v>
      </c>
      <c r="O5" s="14">
        <v>200</v>
      </c>
      <c r="P5" s="14">
        <v>0</v>
      </c>
      <c r="Q5" s="14">
        <v>0</v>
      </c>
      <c r="R5" s="14">
        <v>0</v>
      </c>
      <c r="T5" s="184">
        <f t="shared" si="0"/>
        <v>1922</v>
      </c>
      <c r="U5">
        <f>VLOOKUP(A5,[7]sheet1!$A$2:$T$20,20,)</f>
        <v>1922</v>
      </c>
      <c r="V5" s="184">
        <f t="shared" si="1"/>
        <v>0</v>
      </c>
    </row>
    <row r="6" spans="1:22">
      <c r="A6">
        <v>1230854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100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T6" s="184">
        <f t="shared" si="0"/>
        <v>100</v>
      </c>
      <c r="U6">
        <f>VLOOKUP(A6,[7]sheet1!$A$2:$T$20,20,)</f>
        <v>100</v>
      </c>
      <c r="V6" s="184">
        <f t="shared" si="1"/>
        <v>0</v>
      </c>
    </row>
    <row r="7" spans="1:22">
      <c r="A7">
        <v>1235623</v>
      </c>
      <c r="B7" s="14">
        <v>0</v>
      </c>
      <c r="C7" s="14">
        <v>0</v>
      </c>
      <c r="D7" s="14">
        <v>0</v>
      </c>
      <c r="E7" s="14">
        <v>416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T7" s="184">
        <f t="shared" si="0"/>
        <v>416</v>
      </c>
      <c r="U7">
        <f>VLOOKUP(A7,[7]sheet1!$A$2:$T$20,20,)</f>
        <v>416</v>
      </c>
      <c r="V7" s="184">
        <f t="shared" si="1"/>
        <v>0</v>
      </c>
    </row>
    <row r="8" spans="1:22">
      <c r="A8">
        <v>1237088</v>
      </c>
      <c r="B8" s="14">
        <v>666</v>
      </c>
      <c r="C8" s="14">
        <v>0</v>
      </c>
      <c r="D8" s="14">
        <v>0</v>
      </c>
      <c r="E8" s="14">
        <v>848</v>
      </c>
      <c r="F8" s="14">
        <v>610</v>
      </c>
      <c r="G8" s="14">
        <v>0</v>
      </c>
      <c r="H8" s="14">
        <v>258</v>
      </c>
      <c r="I8" s="14">
        <v>744</v>
      </c>
      <c r="J8" s="14">
        <v>0</v>
      </c>
      <c r="K8" s="14">
        <v>0</v>
      </c>
      <c r="L8" s="14">
        <v>920</v>
      </c>
      <c r="M8" s="14">
        <v>960</v>
      </c>
      <c r="N8" s="14">
        <v>0</v>
      </c>
      <c r="O8" s="14">
        <v>300</v>
      </c>
      <c r="P8" s="14">
        <v>0</v>
      </c>
      <c r="Q8" s="14">
        <v>0</v>
      </c>
      <c r="R8" s="14">
        <v>0</v>
      </c>
      <c r="T8" s="184">
        <f t="shared" si="0"/>
        <v>5306</v>
      </c>
      <c r="U8">
        <f>VLOOKUP(A8,[7]sheet1!$A$2:$T$20,20,)</f>
        <v>5306</v>
      </c>
      <c r="V8" s="184">
        <f t="shared" si="1"/>
        <v>0</v>
      </c>
    </row>
    <row r="9" spans="1:22">
      <c r="A9">
        <v>1237748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522</v>
      </c>
      <c r="P9" s="14">
        <v>50</v>
      </c>
      <c r="Q9" s="14">
        <v>0</v>
      </c>
      <c r="R9" s="14">
        <v>0</v>
      </c>
      <c r="T9" s="184">
        <f t="shared" si="0"/>
        <v>572</v>
      </c>
      <c r="U9">
        <f>VLOOKUP(A9,[7]sheet1!$A$2:$T$20,20,)</f>
        <v>572</v>
      </c>
      <c r="V9" s="184">
        <f t="shared" si="1"/>
        <v>0</v>
      </c>
    </row>
    <row r="10" spans="1:22">
      <c r="A10">
        <v>1236091</v>
      </c>
      <c r="B10" s="14">
        <v>0</v>
      </c>
      <c r="C10" s="14">
        <v>0</v>
      </c>
      <c r="D10" s="14">
        <v>0</v>
      </c>
      <c r="E10" s="14">
        <v>0</v>
      </c>
      <c r="F10" s="14">
        <v>350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300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T10" s="184">
        <f t="shared" si="0"/>
        <v>650</v>
      </c>
      <c r="U10">
        <f>VLOOKUP(A10,[7]sheet1!$A$2:$T$20,20,)</f>
        <v>650</v>
      </c>
      <c r="V10" s="184">
        <f t="shared" si="1"/>
        <v>0</v>
      </c>
    </row>
    <row r="11" spans="1:22">
      <c r="A11">
        <v>1238128</v>
      </c>
      <c r="B11" s="14">
        <v>928</v>
      </c>
      <c r="C11" s="14">
        <v>0</v>
      </c>
      <c r="D11" s="14">
        <v>0</v>
      </c>
      <c r="E11" s="14">
        <v>112</v>
      </c>
      <c r="F11" s="14">
        <v>386</v>
      </c>
      <c r="G11" s="16">
        <v>464</v>
      </c>
      <c r="H11" s="14">
        <v>590</v>
      </c>
      <c r="I11" s="14">
        <v>464</v>
      </c>
      <c r="J11" s="14">
        <v>0</v>
      </c>
      <c r="K11" s="14">
        <v>0</v>
      </c>
      <c r="L11" s="14">
        <v>200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T11" s="184">
        <f t="shared" si="0"/>
        <v>3144</v>
      </c>
      <c r="U11">
        <f>VLOOKUP(A11,[7]sheet1!$A$2:$T$20,20,)</f>
        <v>3144</v>
      </c>
      <c r="V11" s="184">
        <f t="shared" si="1"/>
        <v>0</v>
      </c>
    </row>
    <row r="12" spans="1:22">
      <c r="A12">
        <v>1236962</v>
      </c>
      <c r="B12" s="14">
        <v>200</v>
      </c>
      <c r="C12" s="14">
        <v>0</v>
      </c>
      <c r="D12" s="14">
        <v>0</v>
      </c>
      <c r="E12" s="14">
        <v>186</v>
      </c>
      <c r="F12" s="14">
        <v>200</v>
      </c>
      <c r="G12" s="16">
        <v>214</v>
      </c>
      <c r="H12" s="14">
        <v>200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300</v>
      </c>
      <c r="O12" s="14">
        <v>300</v>
      </c>
      <c r="P12" s="14">
        <v>200</v>
      </c>
      <c r="Q12" s="14">
        <v>0</v>
      </c>
      <c r="R12" s="14">
        <v>0</v>
      </c>
      <c r="T12" s="184">
        <f t="shared" si="0"/>
        <v>1800</v>
      </c>
      <c r="U12">
        <f>VLOOKUP(A12,[7]sheet1!$A$2:$T$20,20,)</f>
        <v>1800</v>
      </c>
      <c r="V12" s="184">
        <f t="shared" si="1"/>
        <v>0</v>
      </c>
    </row>
    <row r="13" spans="1:22">
      <c r="A13">
        <v>1233761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300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140</v>
      </c>
      <c r="Q13" s="14">
        <v>0</v>
      </c>
      <c r="R13" s="14">
        <v>0</v>
      </c>
      <c r="T13" s="184">
        <f t="shared" si="0"/>
        <v>440</v>
      </c>
      <c r="U13">
        <f>VLOOKUP(A13,[7]sheet1!$A$2:$T$20,20,)</f>
        <v>440</v>
      </c>
      <c r="V13" s="184">
        <f t="shared" si="1"/>
        <v>0</v>
      </c>
    </row>
    <row r="14" spans="1:22">
      <c r="A14">
        <v>1239651</v>
      </c>
      <c r="B14" s="14">
        <v>0</v>
      </c>
      <c r="C14" s="14">
        <v>0</v>
      </c>
      <c r="D14" s="14">
        <v>0</v>
      </c>
      <c r="E14" s="14">
        <v>401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500</v>
      </c>
      <c r="O14" s="14">
        <v>0</v>
      </c>
      <c r="P14" s="14">
        <v>0</v>
      </c>
      <c r="Q14" s="14">
        <v>0</v>
      </c>
      <c r="R14" s="14">
        <v>0</v>
      </c>
      <c r="T14" s="184">
        <f t="shared" si="0"/>
        <v>901</v>
      </c>
      <c r="U14">
        <f>VLOOKUP(A14,[7]sheet1!$A$2:$T$20,20,)</f>
        <v>900</v>
      </c>
      <c r="V14" s="184">
        <f t="shared" si="1"/>
        <v>1</v>
      </c>
    </row>
    <row r="15" spans="1:22">
      <c r="A15">
        <v>1241134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182</v>
      </c>
      <c r="I15" s="14">
        <v>54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43</v>
      </c>
      <c r="P15" s="14">
        <v>0</v>
      </c>
      <c r="Q15" s="14">
        <v>0</v>
      </c>
      <c r="R15" s="14">
        <v>0</v>
      </c>
      <c r="T15" s="184">
        <f t="shared" si="0"/>
        <v>279</v>
      </c>
      <c r="U15">
        <f>VLOOKUP(A15,[7]sheet1!$A$2:$T$20,20,)</f>
        <v>279</v>
      </c>
      <c r="V15" s="184">
        <f t="shared" si="1"/>
        <v>0</v>
      </c>
    </row>
    <row r="16" spans="1:22">
      <c r="A16">
        <v>1239988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150</v>
      </c>
      <c r="J16" s="14">
        <v>0</v>
      </c>
      <c r="K16" s="14">
        <v>0</v>
      </c>
      <c r="L16" s="14">
        <v>501</v>
      </c>
      <c r="M16" s="14">
        <v>502</v>
      </c>
      <c r="N16" s="14">
        <v>394</v>
      </c>
      <c r="O16" s="14">
        <v>502</v>
      </c>
      <c r="P16" s="14">
        <v>394</v>
      </c>
      <c r="Q16" s="14">
        <v>0</v>
      </c>
      <c r="R16" s="14">
        <v>0</v>
      </c>
      <c r="T16" s="184">
        <f t="shared" si="0"/>
        <v>2443</v>
      </c>
      <c r="U16">
        <f>VLOOKUP(A16,[7]sheet1!$A$2:$T$20,20,)</f>
        <v>2443</v>
      </c>
      <c r="V16" s="184">
        <f t="shared" si="1"/>
        <v>0</v>
      </c>
    </row>
    <row r="17" spans="1:22">
      <c r="A17">
        <v>1240180</v>
      </c>
      <c r="B17" s="14">
        <v>322</v>
      </c>
      <c r="C17" s="14">
        <v>0</v>
      </c>
      <c r="D17" s="14">
        <v>0</v>
      </c>
      <c r="E17" s="14">
        <v>420</v>
      </c>
      <c r="F17" s="14">
        <v>582</v>
      </c>
      <c r="G17" s="16">
        <v>648</v>
      </c>
      <c r="H17" s="14">
        <v>664</v>
      </c>
      <c r="I17" s="14">
        <v>266</v>
      </c>
      <c r="J17" s="14">
        <v>0</v>
      </c>
      <c r="K17" s="14">
        <v>0</v>
      </c>
      <c r="L17" s="14">
        <v>404</v>
      </c>
      <c r="M17" s="14">
        <v>404</v>
      </c>
      <c r="N17" s="14">
        <v>318</v>
      </c>
      <c r="O17" s="14">
        <v>404</v>
      </c>
      <c r="P17" s="14">
        <v>318</v>
      </c>
      <c r="Q17" s="14">
        <v>0</v>
      </c>
      <c r="R17" s="14">
        <v>0</v>
      </c>
      <c r="T17" s="184">
        <f t="shared" si="0"/>
        <v>4750</v>
      </c>
      <c r="U17">
        <f>VLOOKUP(A17,[7]sheet1!$A$2:$T$20,20,)</f>
        <v>4750</v>
      </c>
      <c r="V17" s="184">
        <f t="shared" si="1"/>
        <v>0</v>
      </c>
    </row>
    <row r="18" spans="1:22">
      <c r="A18">
        <v>1240184</v>
      </c>
      <c r="B18" s="14">
        <v>322</v>
      </c>
      <c r="C18" s="14">
        <v>0</v>
      </c>
      <c r="D18" s="14">
        <v>0</v>
      </c>
      <c r="E18" s="14">
        <v>420</v>
      </c>
      <c r="F18" s="14">
        <v>582</v>
      </c>
      <c r="G18" s="16">
        <v>648</v>
      </c>
      <c r="H18" s="14">
        <v>410</v>
      </c>
      <c r="I18" s="14">
        <v>70</v>
      </c>
      <c r="J18" s="14">
        <v>0</v>
      </c>
      <c r="K18" s="14">
        <v>0</v>
      </c>
      <c r="L18" s="14">
        <v>404</v>
      </c>
      <c r="M18" s="14">
        <v>404</v>
      </c>
      <c r="N18" s="14">
        <v>318</v>
      </c>
      <c r="O18" s="14">
        <v>404</v>
      </c>
      <c r="P18" s="14">
        <v>234</v>
      </c>
      <c r="Q18" s="14">
        <v>0</v>
      </c>
      <c r="R18" s="14">
        <v>0</v>
      </c>
      <c r="T18" s="184">
        <f t="shared" si="0"/>
        <v>4216</v>
      </c>
      <c r="U18">
        <f>VLOOKUP(A18,[7]sheet1!$A$2:$T$20,20,)</f>
        <v>4216</v>
      </c>
      <c r="V18" s="184">
        <f t="shared" si="1"/>
        <v>0</v>
      </c>
    </row>
    <row r="19" spans="1:22">
      <c r="A19">
        <v>1240308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6">
        <v>450</v>
      </c>
      <c r="H19" s="14">
        <v>420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450</v>
      </c>
      <c r="P19" s="14">
        <v>376</v>
      </c>
      <c r="Q19" s="14">
        <v>0</v>
      </c>
      <c r="R19" s="14">
        <v>0</v>
      </c>
      <c r="T19" s="184">
        <f t="shared" si="0"/>
        <v>1696</v>
      </c>
      <c r="U19">
        <f>VLOOKUP(A19,[7]sheet1!$A$2:$T$20,20,)</f>
        <v>1696</v>
      </c>
      <c r="V19" s="184">
        <f t="shared" si="1"/>
        <v>0</v>
      </c>
    </row>
    <row r="20" spans="1:22">
      <c r="A20">
        <v>1241601</v>
      </c>
      <c r="B20" s="14">
        <v>600</v>
      </c>
      <c r="C20" s="14">
        <v>0</v>
      </c>
      <c r="D20" s="14">
        <v>0</v>
      </c>
      <c r="E20" s="14">
        <v>930</v>
      </c>
      <c r="F20" s="14">
        <v>1182</v>
      </c>
      <c r="G20" s="16">
        <v>614</v>
      </c>
      <c r="H20" s="14">
        <v>508</v>
      </c>
      <c r="I20" s="14">
        <v>784</v>
      </c>
      <c r="J20" s="14">
        <v>0</v>
      </c>
      <c r="K20" s="14">
        <v>0</v>
      </c>
      <c r="L20" s="14">
        <v>782</v>
      </c>
      <c r="M20" s="14">
        <v>618</v>
      </c>
      <c r="N20" s="14">
        <v>0</v>
      </c>
      <c r="O20" s="14">
        <v>542</v>
      </c>
      <c r="P20" s="14">
        <v>614</v>
      </c>
      <c r="Q20" s="14">
        <v>0</v>
      </c>
      <c r="R20" s="14">
        <v>0</v>
      </c>
      <c r="T20" s="184">
        <f t="shared" si="0"/>
        <v>7174</v>
      </c>
      <c r="U20">
        <f>VLOOKUP(A20,[7]sheet1!$A$2:$T$20,20,)</f>
        <v>7174</v>
      </c>
      <c r="V20" s="184">
        <f t="shared" si="1"/>
        <v>0</v>
      </c>
    </row>
    <row r="21" spans="1:22">
      <c r="B21" s="14">
        <f>SUM(B2:B20)</f>
        <v>3898</v>
      </c>
      <c r="C21" s="14">
        <f t="shared" ref="C21:R21" si="2">SUM(C2:C20)</f>
        <v>0</v>
      </c>
      <c r="D21" s="14">
        <f t="shared" si="2"/>
        <v>0</v>
      </c>
      <c r="E21" s="14">
        <f t="shared" si="2"/>
        <v>3933</v>
      </c>
      <c r="F21" s="14">
        <f t="shared" si="2"/>
        <v>4092</v>
      </c>
      <c r="G21" s="14">
        <f t="shared" si="2"/>
        <v>3238</v>
      </c>
      <c r="H21" s="14">
        <f t="shared" si="2"/>
        <v>4482</v>
      </c>
      <c r="I21" s="14">
        <f t="shared" si="2"/>
        <v>3082</v>
      </c>
      <c r="J21" s="14">
        <f t="shared" si="2"/>
        <v>0</v>
      </c>
      <c r="K21" s="14">
        <f t="shared" si="2"/>
        <v>0</v>
      </c>
      <c r="L21" s="14">
        <f t="shared" si="2"/>
        <v>4003</v>
      </c>
      <c r="M21" s="14">
        <f t="shared" si="2"/>
        <v>3396</v>
      </c>
      <c r="N21" s="14">
        <f t="shared" si="2"/>
        <v>2052</v>
      </c>
      <c r="O21" s="14">
        <f t="shared" si="2"/>
        <v>3667</v>
      </c>
      <c r="P21" s="14">
        <f t="shared" si="2"/>
        <v>2326</v>
      </c>
      <c r="Q21" s="14">
        <f t="shared" si="2"/>
        <v>0</v>
      </c>
      <c r="R21" s="14">
        <f t="shared" si="2"/>
        <v>0</v>
      </c>
    </row>
    <row r="22" spans="1:22">
      <c r="B22" s="14">
        <v>3898</v>
      </c>
      <c r="C22" s="14">
        <v>0</v>
      </c>
      <c r="D22" s="14">
        <v>0</v>
      </c>
      <c r="E22" s="14">
        <v>3932</v>
      </c>
      <c r="F22" s="14">
        <v>4092</v>
      </c>
      <c r="G22" s="14">
        <v>3204</v>
      </c>
      <c r="H22" s="14">
        <v>4482</v>
      </c>
      <c r="I22" s="14">
        <v>3082</v>
      </c>
      <c r="J22" s="14">
        <v>0</v>
      </c>
      <c r="K22" s="14">
        <v>0</v>
      </c>
      <c r="L22" s="14">
        <v>4037</v>
      </c>
      <c r="M22" s="14">
        <v>3396</v>
      </c>
      <c r="N22" s="14">
        <v>2052</v>
      </c>
      <c r="O22" s="14">
        <v>3667</v>
      </c>
      <c r="P22" s="14">
        <v>2326</v>
      </c>
    </row>
    <row r="23" spans="1:22">
      <c r="B23" s="14">
        <f>+B21-B22</f>
        <v>0</v>
      </c>
      <c r="C23" s="14">
        <f t="shared" ref="C23:R23" si="3">+C21-C22</f>
        <v>0</v>
      </c>
      <c r="D23" s="14">
        <f t="shared" si="3"/>
        <v>0</v>
      </c>
      <c r="E23" s="14">
        <f t="shared" si="3"/>
        <v>1</v>
      </c>
      <c r="F23" s="14">
        <f t="shared" si="3"/>
        <v>0</v>
      </c>
      <c r="G23" s="14">
        <f t="shared" si="3"/>
        <v>34</v>
      </c>
      <c r="H23" s="14">
        <f t="shared" si="3"/>
        <v>0</v>
      </c>
      <c r="I23" s="14">
        <f t="shared" si="3"/>
        <v>0</v>
      </c>
      <c r="J23" s="14">
        <f t="shared" si="3"/>
        <v>0</v>
      </c>
      <c r="K23" s="14">
        <f t="shared" si="3"/>
        <v>0</v>
      </c>
      <c r="L23" s="14">
        <f t="shared" si="3"/>
        <v>-34</v>
      </c>
      <c r="M23" s="14">
        <f t="shared" si="3"/>
        <v>0</v>
      </c>
      <c r="N23" s="14">
        <f t="shared" si="3"/>
        <v>0</v>
      </c>
      <c r="O23" s="14">
        <f t="shared" si="3"/>
        <v>0</v>
      </c>
      <c r="P23" s="14">
        <f t="shared" si="3"/>
        <v>0</v>
      </c>
      <c r="Q23" s="14">
        <f t="shared" si="3"/>
        <v>0</v>
      </c>
      <c r="R23" s="14">
        <f t="shared" si="3"/>
        <v>0</v>
      </c>
    </row>
    <row r="25" spans="1:22">
      <c r="A25" s="2" t="s">
        <v>0</v>
      </c>
      <c r="B25" s="14" t="s">
        <v>959</v>
      </c>
      <c r="C25" s="14" t="s">
        <v>960</v>
      </c>
      <c r="D25" s="14" t="s">
        <v>961</v>
      </c>
      <c r="E25" s="14" t="s">
        <v>962</v>
      </c>
      <c r="F25" s="14" t="s">
        <v>963</v>
      </c>
      <c r="G25" s="14" t="s">
        <v>964</v>
      </c>
      <c r="H25" s="14" t="s">
        <v>965</v>
      </c>
      <c r="I25" s="14" t="s">
        <v>966</v>
      </c>
      <c r="J25" s="14" t="s">
        <v>967</v>
      </c>
      <c r="K25" s="14" t="s">
        <v>968</v>
      </c>
      <c r="L25" s="14" t="s">
        <v>969</v>
      </c>
      <c r="M25" s="14" t="s">
        <v>970</v>
      </c>
      <c r="N25" s="14" t="s">
        <v>971</v>
      </c>
      <c r="O25" s="14" t="s">
        <v>972</v>
      </c>
      <c r="P25" s="14" t="s">
        <v>973</v>
      </c>
      <c r="Q25" s="14" t="s">
        <v>974</v>
      </c>
      <c r="R25" s="14" t="s">
        <v>975</v>
      </c>
    </row>
    <row r="26" spans="1:22">
      <c r="A26">
        <v>1237608</v>
      </c>
      <c r="B26" s="14">
        <v>300</v>
      </c>
      <c r="C26" s="14">
        <v>0</v>
      </c>
      <c r="D26" s="14">
        <v>0</v>
      </c>
      <c r="E26" s="14">
        <v>150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</row>
    <row r="27" spans="1:22">
      <c r="A27">
        <v>1236110</v>
      </c>
      <c r="B27" s="14">
        <v>0</v>
      </c>
      <c r="C27" s="14">
        <v>0</v>
      </c>
      <c r="D27" s="14">
        <v>0</v>
      </c>
      <c r="E27" s="14">
        <v>100</v>
      </c>
      <c r="F27" s="14">
        <v>250</v>
      </c>
      <c r="G27" s="14">
        <v>200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</row>
    <row r="28" spans="1:22">
      <c r="A28">
        <v>1236387</v>
      </c>
      <c r="B28" s="14">
        <v>357</v>
      </c>
      <c r="C28" s="14">
        <v>0</v>
      </c>
      <c r="D28" s="14">
        <v>0</v>
      </c>
      <c r="E28" s="14">
        <v>357</v>
      </c>
      <c r="F28" s="14">
        <v>176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176</v>
      </c>
      <c r="M28" s="14">
        <v>357</v>
      </c>
      <c r="N28" s="14">
        <v>163</v>
      </c>
      <c r="O28" s="14">
        <v>104</v>
      </c>
      <c r="P28" s="14">
        <v>0</v>
      </c>
      <c r="Q28" s="14">
        <v>0</v>
      </c>
      <c r="R28" s="14">
        <v>0</v>
      </c>
    </row>
    <row r="29" spans="1:22">
      <c r="A29">
        <v>1232775</v>
      </c>
      <c r="B29" s="14">
        <v>0</v>
      </c>
      <c r="C29" s="14">
        <v>0</v>
      </c>
      <c r="D29" s="14">
        <v>0</v>
      </c>
      <c r="E29" s="14">
        <v>0</v>
      </c>
      <c r="F29" s="14">
        <v>315</v>
      </c>
      <c r="G29" s="14">
        <v>487</v>
      </c>
      <c r="H29" s="14">
        <v>487</v>
      </c>
      <c r="I29" s="14">
        <v>487</v>
      </c>
      <c r="J29" s="14">
        <v>0</v>
      </c>
      <c r="K29" s="14">
        <v>0</v>
      </c>
      <c r="L29" s="14">
        <v>342</v>
      </c>
      <c r="M29" s="14">
        <v>245</v>
      </c>
      <c r="N29" s="14">
        <v>109</v>
      </c>
      <c r="O29" s="14">
        <v>200</v>
      </c>
      <c r="P29" s="14">
        <v>0</v>
      </c>
      <c r="Q29" s="14">
        <v>0</v>
      </c>
      <c r="R29" s="14">
        <v>0</v>
      </c>
    </row>
    <row r="30" spans="1:22">
      <c r="A30">
        <v>1230685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220</v>
      </c>
      <c r="P30" s="14">
        <v>330</v>
      </c>
      <c r="Q30" s="14">
        <v>0</v>
      </c>
      <c r="R30" s="14">
        <v>0</v>
      </c>
    </row>
    <row r="35" spans="1:18">
      <c r="A35" s="2" t="s">
        <v>0</v>
      </c>
      <c r="B35" s="14" t="s">
        <v>959</v>
      </c>
      <c r="C35" s="14" t="s">
        <v>960</v>
      </c>
      <c r="D35" s="14" t="s">
        <v>961</v>
      </c>
      <c r="E35" s="14" t="s">
        <v>962</v>
      </c>
      <c r="F35" s="14" t="s">
        <v>963</v>
      </c>
      <c r="G35" s="14" t="s">
        <v>964</v>
      </c>
      <c r="H35" s="14" t="s">
        <v>965</v>
      </c>
      <c r="I35" s="14" t="s">
        <v>966</v>
      </c>
      <c r="J35" s="14" t="s">
        <v>967</v>
      </c>
      <c r="K35" s="14" t="s">
        <v>968</v>
      </c>
      <c r="L35" s="14" t="s">
        <v>969</v>
      </c>
      <c r="M35" s="14" t="s">
        <v>970</v>
      </c>
      <c r="N35" s="14" t="s">
        <v>971</v>
      </c>
      <c r="O35" s="14" t="s">
        <v>972</v>
      </c>
      <c r="P35" s="14" t="s">
        <v>973</v>
      </c>
      <c r="Q35" s="14" t="s">
        <v>974</v>
      </c>
      <c r="R35" s="14" t="s">
        <v>975</v>
      </c>
    </row>
    <row r="36" spans="1:18">
      <c r="A36">
        <v>1234614</v>
      </c>
      <c r="B36" s="14">
        <v>0</v>
      </c>
      <c r="C36" s="14">
        <v>0</v>
      </c>
      <c r="D36" s="14">
        <v>0</v>
      </c>
      <c r="E36" s="14">
        <v>0</v>
      </c>
      <c r="F36" s="14">
        <v>216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</row>
    <row r="37" spans="1:18">
      <c r="A37">
        <v>1230692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200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</row>
    <row r="38" spans="1:18">
      <c r="A38">
        <v>1227306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81</v>
      </c>
      <c r="H38" s="14">
        <v>304</v>
      </c>
      <c r="I38" s="14">
        <v>215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</row>
    <row r="39" spans="1:18">
      <c r="A39">
        <v>1225464</v>
      </c>
      <c r="B39" s="14">
        <v>284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</row>
    <row r="40" spans="1:18">
      <c r="A40">
        <v>1231797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130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</row>
    <row r="41" spans="1:18">
      <c r="A41">
        <v>1229776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30</v>
      </c>
      <c r="J41" s="14">
        <v>0</v>
      </c>
      <c r="K41" s="14">
        <v>0</v>
      </c>
      <c r="L41" s="14">
        <v>60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</row>
    <row r="42" spans="1:18">
      <c r="A42">
        <v>1231090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30</v>
      </c>
      <c r="J42" s="14">
        <v>0</v>
      </c>
      <c r="K42" s="14">
        <v>0</v>
      </c>
      <c r="L42" s="14">
        <v>570</v>
      </c>
      <c r="M42" s="14">
        <v>0</v>
      </c>
      <c r="N42" s="14">
        <v>0</v>
      </c>
      <c r="O42" s="14">
        <v>0</v>
      </c>
      <c r="P42" s="14">
        <v>2065</v>
      </c>
      <c r="Q42" s="14">
        <v>0</v>
      </c>
      <c r="R42" s="14">
        <v>0</v>
      </c>
    </row>
    <row r="43" spans="1:18">
      <c r="A43">
        <v>1232693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126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</row>
    <row r="44" spans="1:18">
      <c r="A44">
        <v>1233025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126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</row>
    <row r="45" spans="1:18">
      <c r="A45">
        <v>1234222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220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</row>
    <row r="46" spans="1:18">
      <c r="A46">
        <v>1232528</v>
      </c>
      <c r="B46" s="14">
        <v>539</v>
      </c>
      <c r="C46" s="14">
        <v>0</v>
      </c>
      <c r="D46" s="14">
        <v>0</v>
      </c>
      <c r="E46" s="14">
        <v>300</v>
      </c>
      <c r="F46" s="14">
        <v>360</v>
      </c>
      <c r="G46" s="14">
        <v>233</v>
      </c>
      <c r="H46" s="14">
        <v>686</v>
      </c>
      <c r="I46" s="14">
        <v>781</v>
      </c>
      <c r="J46" s="14">
        <v>0</v>
      </c>
      <c r="K46" s="14">
        <v>0</v>
      </c>
      <c r="L46" s="14">
        <v>1731</v>
      </c>
      <c r="M46" s="14">
        <v>1167</v>
      </c>
      <c r="N46" s="14">
        <v>600</v>
      </c>
      <c r="O46" s="14">
        <v>600</v>
      </c>
      <c r="P46" s="14">
        <v>3271</v>
      </c>
      <c r="Q46" s="14">
        <v>0</v>
      </c>
      <c r="R46" s="14">
        <v>0</v>
      </c>
    </row>
    <row r="47" spans="1:18">
      <c r="A47">
        <v>1232846</v>
      </c>
      <c r="B47" s="14">
        <v>0</v>
      </c>
      <c r="C47" s="14">
        <v>0</v>
      </c>
      <c r="D47" s="14">
        <v>0</v>
      </c>
      <c r="E47" s="14">
        <v>0</v>
      </c>
      <c r="F47" s="14">
        <v>376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512</v>
      </c>
      <c r="O47" s="14">
        <v>0</v>
      </c>
      <c r="P47" s="14">
        <v>0</v>
      </c>
      <c r="Q47" s="14">
        <v>0</v>
      </c>
      <c r="R47" s="14">
        <v>0</v>
      </c>
    </row>
    <row r="48" spans="1:18">
      <c r="A48">
        <v>1220847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920</v>
      </c>
      <c r="M48" s="14">
        <v>0</v>
      </c>
      <c r="N48" s="14">
        <v>0</v>
      </c>
      <c r="O48" s="14">
        <v>0</v>
      </c>
      <c r="P48" s="14">
        <v>4330</v>
      </c>
      <c r="Q48" s="14">
        <v>0</v>
      </c>
      <c r="R48" s="14">
        <v>0</v>
      </c>
    </row>
    <row r="49" spans="1:18">
      <c r="A49">
        <v>1234217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50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</row>
    <row r="50" spans="1:18">
      <c r="A50">
        <v>1234111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50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</row>
    <row r="51" spans="1:18">
      <c r="A51">
        <v>1234110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50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</row>
    <row r="52" spans="1:18">
      <c r="A52">
        <v>1232775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295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141</v>
      </c>
      <c r="O52" s="14">
        <v>0</v>
      </c>
      <c r="P52" s="14">
        <v>0</v>
      </c>
      <c r="Q52" s="14">
        <v>0</v>
      </c>
      <c r="R52" s="14">
        <v>0</v>
      </c>
    </row>
    <row r="53" spans="1:18">
      <c r="A53">
        <v>1235097</v>
      </c>
      <c r="B53" s="14">
        <v>0</v>
      </c>
      <c r="C53" s="14">
        <v>0</v>
      </c>
      <c r="D53" s="14">
        <v>0</v>
      </c>
      <c r="E53" s="14">
        <v>117</v>
      </c>
      <c r="F53" s="14">
        <v>133</v>
      </c>
      <c r="G53" s="14">
        <v>0</v>
      </c>
      <c r="H53" s="14">
        <v>0</v>
      </c>
      <c r="I53" s="14">
        <v>91</v>
      </c>
      <c r="J53" s="14">
        <v>0</v>
      </c>
      <c r="K53" s="14">
        <v>0</v>
      </c>
      <c r="L53" s="14">
        <v>400</v>
      </c>
      <c r="M53" s="14">
        <v>400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</row>
    <row r="54" spans="1:18">
      <c r="A54">
        <v>1236600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500</v>
      </c>
      <c r="M54" s="14">
        <v>200</v>
      </c>
      <c r="N54" s="14">
        <v>400</v>
      </c>
      <c r="O54" s="14">
        <v>0</v>
      </c>
      <c r="P54" s="14">
        <v>0</v>
      </c>
      <c r="Q54" s="14">
        <v>0</v>
      </c>
      <c r="R54" s="14">
        <v>0</v>
      </c>
    </row>
    <row r="55" spans="1:18">
      <c r="A55">
        <v>1236619</v>
      </c>
      <c r="B55" s="14">
        <v>0</v>
      </c>
      <c r="C55" s="14">
        <v>0</v>
      </c>
      <c r="D55" s="14">
        <v>0</v>
      </c>
      <c r="E55" s="14">
        <v>56</v>
      </c>
      <c r="F55" s="14">
        <v>0</v>
      </c>
      <c r="G55" s="14">
        <v>0</v>
      </c>
      <c r="H55" s="14">
        <v>0</v>
      </c>
      <c r="I55" s="14">
        <v>198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</row>
    <row r="56" spans="1:18">
      <c r="A56">
        <v>1236930</v>
      </c>
      <c r="B56" s="14">
        <v>267</v>
      </c>
      <c r="C56" s="14">
        <v>0</v>
      </c>
      <c r="D56" s="14">
        <v>0</v>
      </c>
      <c r="E56" s="14">
        <v>50</v>
      </c>
      <c r="F56" s="14">
        <v>188</v>
      </c>
      <c r="G56" s="14">
        <v>494</v>
      </c>
      <c r="H56" s="14">
        <v>336</v>
      </c>
      <c r="I56" s="14">
        <v>267</v>
      </c>
      <c r="J56" s="14">
        <v>0</v>
      </c>
      <c r="K56" s="14">
        <v>0</v>
      </c>
      <c r="L56" s="14">
        <v>339</v>
      </c>
      <c r="M56" s="14">
        <v>739</v>
      </c>
      <c r="N56" s="14">
        <v>400</v>
      </c>
      <c r="O56" s="14">
        <v>354</v>
      </c>
      <c r="P56" s="14">
        <v>1540</v>
      </c>
      <c r="Q56" s="14">
        <v>0</v>
      </c>
      <c r="R56" s="14">
        <v>0</v>
      </c>
    </row>
    <row r="57" spans="1:18">
      <c r="A57">
        <v>1232982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400</v>
      </c>
      <c r="P57" s="14">
        <v>0</v>
      </c>
      <c r="Q57" s="14">
        <v>0</v>
      </c>
      <c r="R57" s="14">
        <v>0</v>
      </c>
    </row>
    <row r="58" spans="1:18">
      <c r="A58">
        <v>1237468</v>
      </c>
      <c r="B58" s="14">
        <v>0</v>
      </c>
      <c r="C58" s="14">
        <v>0</v>
      </c>
      <c r="D58" s="14">
        <v>0</v>
      </c>
      <c r="E58" s="14">
        <v>40</v>
      </c>
      <c r="F58" s="14">
        <v>0</v>
      </c>
      <c r="G58" s="14">
        <v>0</v>
      </c>
      <c r="H58" s="14">
        <v>0</v>
      </c>
      <c r="I58" s="14">
        <v>248</v>
      </c>
      <c r="J58" s="14">
        <v>0</v>
      </c>
      <c r="K58" s="14">
        <v>0</v>
      </c>
      <c r="L58" s="14">
        <v>0</v>
      </c>
      <c r="M58" s="14">
        <v>37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</row>
    <row r="59" spans="1:18">
      <c r="A59">
        <v>1237457</v>
      </c>
      <c r="B59" s="14">
        <v>0</v>
      </c>
      <c r="C59" s="14">
        <v>0</v>
      </c>
      <c r="D59" s="14">
        <v>0</v>
      </c>
      <c r="E59" s="14">
        <v>0</v>
      </c>
      <c r="F59" s="14">
        <v>54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56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</row>
    <row r="60" spans="1:18">
      <c r="A60">
        <v>1237386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57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45</v>
      </c>
      <c r="Q60" s="14">
        <v>0</v>
      </c>
      <c r="R60" s="14">
        <v>0</v>
      </c>
    </row>
    <row r="61" spans="1:18">
      <c r="A61">
        <v>1234905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300</v>
      </c>
      <c r="M61" s="14">
        <v>0</v>
      </c>
      <c r="N61" s="14">
        <v>380</v>
      </c>
      <c r="O61" s="14">
        <v>100</v>
      </c>
      <c r="P61" s="14">
        <v>0</v>
      </c>
      <c r="Q61" s="14">
        <v>0</v>
      </c>
      <c r="R61" s="14">
        <v>0</v>
      </c>
    </row>
    <row r="62" spans="1:18">
      <c r="A62">
        <v>1238480</v>
      </c>
      <c r="B62" s="14">
        <v>1082</v>
      </c>
      <c r="C62" s="14">
        <v>0</v>
      </c>
      <c r="D62" s="14">
        <v>0</v>
      </c>
      <c r="E62" s="14">
        <v>1489</v>
      </c>
      <c r="F62" s="14">
        <v>1413</v>
      </c>
      <c r="G62" s="14">
        <v>1101</v>
      </c>
      <c r="H62" s="14">
        <v>1528</v>
      </c>
      <c r="I62" s="14">
        <v>615</v>
      </c>
      <c r="J62" s="14">
        <v>0</v>
      </c>
      <c r="K62" s="14">
        <v>0</v>
      </c>
      <c r="L62" s="14">
        <v>1037</v>
      </c>
      <c r="M62" s="14">
        <v>229</v>
      </c>
      <c r="N62" s="14">
        <v>700</v>
      </c>
      <c r="O62" s="14">
        <v>780</v>
      </c>
      <c r="P62" s="14">
        <v>1452</v>
      </c>
      <c r="Q62" s="14">
        <v>0</v>
      </c>
      <c r="R62" s="14">
        <v>0</v>
      </c>
    </row>
    <row r="63" spans="1:18">
      <c r="A63">
        <v>1240029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136</v>
      </c>
      <c r="J63" s="14">
        <v>0</v>
      </c>
      <c r="K63" s="14">
        <v>0</v>
      </c>
      <c r="L63" s="14">
        <v>564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</row>
    <row r="64" spans="1:18">
      <c r="A64">
        <v>1240032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136</v>
      </c>
      <c r="J64" s="14">
        <v>0</v>
      </c>
      <c r="K64" s="14">
        <v>0</v>
      </c>
      <c r="L64" s="14">
        <v>564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</row>
    <row r="65" spans="1:18">
      <c r="A65">
        <v>1240180</v>
      </c>
      <c r="B65" s="14">
        <v>0</v>
      </c>
      <c r="C65" s="14">
        <v>0</v>
      </c>
      <c r="D65" s="14">
        <v>0</v>
      </c>
      <c r="E65" s="14">
        <v>196</v>
      </c>
      <c r="F65" s="14">
        <v>214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</row>
    <row r="66" spans="1:18">
      <c r="A66">
        <v>1240184</v>
      </c>
      <c r="B66" s="14">
        <v>0</v>
      </c>
      <c r="C66" s="14">
        <v>0</v>
      </c>
      <c r="D66" s="14">
        <v>0</v>
      </c>
      <c r="E66" s="14">
        <v>196</v>
      </c>
      <c r="F66" s="14">
        <v>214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</row>
    <row r="67" spans="1:18">
      <c r="A67">
        <v>1216452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655</v>
      </c>
      <c r="N67" s="14">
        <v>440</v>
      </c>
      <c r="O67" s="14">
        <v>0</v>
      </c>
      <c r="P67" s="14">
        <v>0</v>
      </c>
      <c r="Q67" s="14">
        <v>0</v>
      </c>
      <c r="R67" s="14">
        <v>0</v>
      </c>
    </row>
    <row r="68" spans="1:18">
      <c r="A68">
        <v>1232894</v>
      </c>
      <c r="B68" s="14">
        <v>0</v>
      </c>
      <c r="C68" s="14">
        <v>0</v>
      </c>
      <c r="D68" s="14">
        <v>0</v>
      </c>
      <c r="E68" s="14">
        <v>0</v>
      </c>
      <c r="F68" s="14">
        <v>376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512</v>
      </c>
      <c r="O68" s="14">
        <v>0</v>
      </c>
      <c r="P68" s="14">
        <v>0</v>
      </c>
      <c r="Q68" s="14">
        <v>0</v>
      </c>
      <c r="R68" s="14">
        <v>0</v>
      </c>
    </row>
    <row r="69" spans="1:18">
      <c r="A69">
        <v>1233386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512</v>
      </c>
      <c r="O69" s="14">
        <v>0</v>
      </c>
      <c r="P69" s="14">
        <v>0</v>
      </c>
      <c r="Q69" s="14">
        <v>0</v>
      </c>
      <c r="R69" s="14">
        <v>0</v>
      </c>
    </row>
    <row r="70" spans="1:18">
      <c r="A70">
        <v>1233387</v>
      </c>
      <c r="B70" s="14">
        <v>0</v>
      </c>
      <c r="C70" s="14">
        <v>0</v>
      </c>
      <c r="D70" s="14">
        <v>0</v>
      </c>
      <c r="E70" s="14">
        <v>0</v>
      </c>
      <c r="F70" s="14">
        <v>376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</row>
    <row r="71" spans="1:18">
      <c r="A71">
        <v>1233580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200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</row>
  </sheetData>
  <autoFilter ref="A1:R20" xr:uid="{0D7A70EE-33A7-45A5-B21D-3773D3B932D0}"/>
  <phoneticPr fontId="1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BF1B-69AB-4B88-932D-916C038117F0}">
  <dimension ref="A1:O68"/>
  <sheetViews>
    <sheetView topLeftCell="A26" zoomScale="145" zoomScaleNormal="145" workbookViewId="0">
      <selection activeCell="O53" sqref="O53"/>
    </sheetView>
  </sheetViews>
  <sheetFormatPr defaultRowHeight="11.25"/>
  <cols>
    <col min="2" max="2" width="9.1640625" style="14"/>
    <col min="3" max="14" width="9.1640625" style="14" customWidth="1"/>
    <col min="15" max="15" width="9.1640625" style="14"/>
  </cols>
  <sheetData>
    <row r="1" spans="1:15">
      <c r="A1" s="2" t="s">
        <v>0</v>
      </c>
      <c r="B1" s="14" t="s">
        <v>976</v>
      </c>
      <c r="C1" s="14" t="s">
        <v>977</v>
      </c>
      <c r="D1" s="14" t="s">
        <v>978</v>
      </c>
      <c r="E1" s="16" t="s">
        <v>979</v>
      </c>
      <c r="F1" s="14" t="s">
        <v>980</v>
      </c>
      <c r="G1" s="14" t="s">
        <v>981</v>
      </c>
      <c r="H1" s="14" t="s">
        <v>982</v>
      </c>
      <c r="I1" s="14" t="s">
        <v>983</v>
      </c>
      <c r="J1" s="14" t="s">
        <v>984</v>
      </c>
      <c r="K1" s="14" t="s">
        <v>985</v>
      </c>
      <c r="L1" s="14" t="s">
        <v>986</v>
      </c>
      <c r="M1" s="14" t="s">
        <v>987</v>
      </c>
      <c r="N1" s="14" t="s">
        <v>988</v>
      </c>
      <c r="O1" s="14" t="s">
        <v>989</v>
      </c>
    </row>
    <row r="2" spans="1:15">
      <c r="A2">
        <v>1234614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192</v>
      </c>
      <c r="J2" s="14">
        <v>308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</row>
    <row r="3" spans="1:15">
      <c r="A3">
        <v>1226384</v>
      </c>
      <c r="B3" s="14">
        <v>0</v>
      </c>
      <c r="C3" s="14">
        <v>0</v>
      </c>
      <c r="D3" s="14">
        <v>100</v>
      </c>
      <c r="E3" s="16">
        <v>500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</row>
    <row r="4" spans="1:15">
      <c r="A4">
        <v>1226388</v>
      </c>
      <c r="B4" s="14">
        <v>0</v>
      </c>
      <c r="C4" s="14">
        <v>0</v>
      </c>
      <c r="D4" s="14">
        <v>100</v>
      </c>
      <c r="E4" s="16">
        <v>500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</row>
    <row r="5" spans="1:15">
      <c r="A5">
        <v>1229673</v>
      </c>
      <c r="B5" s="14">
        <v>200</v>
      </c>
      <c r="C5" s="14">
        <v>200</v>
      </c>
      <c r="D5" s="14">
        <v>0</v>
      </c>
      <c r="E5" s="16">
        <v>250</v>
      </c>
      <c r="F5" s="14">
        <v>250</v>
      </c>
      <c r="G5" s="14">
        <v>0</v>
      </c>
      <c r="H5" s="14">
        <v>0</v>
      </c>
      <c r="I5" s="14">
        <v>200</v>
      </c>
      <c r="J5" s="14">
        <v>200</v>
      </c>
      <c r="K5" s="14">
        <v>222</v>
      </c>
      <c r="L5" s="14">
        <v>200</v>
      </c>
      <c r="M5" s="14">
        <v>0</v>
      </c>
      <c r="N5" s="14">
        <v>0</v>
      </c>
      <c r="O5" s="14">
        <v>0</v>
      </c>
    </row>
    <row r="6" spans="1:15">
      <c r="A6">
        <v>1230854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100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</row>
    <row r="7" spans="1:15">
      <c r="A7">
        <v>1235623</v>
      </c>
      <c r="B7" s="14">
        <v>416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</row>
    <row r="8" spans="1:15">
      <c r="A8">
        <v>1237088</v>
      </c>
      <c r="B8" s="14">
        <v>848</v>
      </c>
      <c r="C8" s="14">
        <v>610</v>
      </c>
      <c r="D8" s="14">
        <v>0</v>
      </c>
      <c r="E8" s="16">
        <v>258</v>
      </c>
      <c r="F8" s="14">
        <v>744</v>
      </c>
      <c r="G8" s="14">
        <v>0</v>
      </c>
      <c r="H8" s="14">
        <v>0</v>
      </c>
      <c r="I8" s="14">
        <v>920</v>
      </c>
      <c r="J8" s="14">
        <v>960</v>
      </c>
      <c r="K8" s="14">
        <v>0</v>
      </c>
      <c r="L8" s="14">
        <v>300</v>
      </c>
      <c r="M8" s="14">
        <v>0</v>
      </c>
      <c r="N8" s="14">
        <v>0</v>
      </c>
      <c r="O8" s="14">
        <v>0</v>
      </c>
    </row>
    <row r="9" spans="1:15">
      <c r="A9">
        <v>1237748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522</v>
      </c>
      <c r="M9" s="14">
        <v>50</v>
      </c>
      <c r="N9" s="14">
        <v>0</v>
      </c>
      <c r="O9" s="14">
        <v>0</v>
      </c>
    </row>
    <row r="10" spans="1:15">
      <c r="A10">
        <v>1236091</v>
      </c>
      <c r="B10" s="14">
        <v>0</v>
      </c>
      <c r="C10" s="14">
        <v>350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300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 spans="1:15">
      <c r="A11">
        <v>1238128</v>
      </c>
      <c r="B11" s="14">
        <v>112</v>
      </c>
      <c r="C11" s="14">
        <v>386</v>
      </c>
      <c r="D11" s="14">
        <v>430</v>
      </c>
      <c r="E11" s="16">
        <v>590</v>
      </c>
      <c r="F11" s="14">
        <v>464</v>
      </c>
      <c r="G11" s="14">
        <v>0</v>
      </c>
      <c r="H11" s="14">
        <v>0</v>
      </c>
      <c r="I11" s="14">
        <v>234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</row>
    <row r="12" spans="1:15">
      <c r="A12">
        <v>1236962</v>
      </c>
      <c r="B12" s="14">
        <v>186</v>
      </c>
      <c r="C12" s="14">
        <v>200</v>
      </c>
      <c r="D12" s="14">
        <v>214</v>
      </c>
      <c r="E12" s="16">
        <v>200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300</v>
      </c>
      <c r="L12" s="14">
        <v>300</v>
      </c>
      <c r="M12" s="14">
        <v>200</v>
      </c>
      <c r="N12" s="14">
        <v>0</v>
      </c>
      <c r="O12" s="14">
        <v>0</v>
      </c>
    </row>
    <row r="13" spans="1:15">
      <c r="A13">
        <v>1233761</v>
      </c>
      <c r="B13" s="14">
        <v>0</v>
      </c>
      <c r="C13" s="14">
        <v>0</v>
      </c>
      <c r="D13" s="14">
        <v>0</v>
      </c>
      <c r="E13" s="14">
        <v>0</v>
      </c>
      <c r="F13" s="14">
        <v>300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140</v>
      </c>
      <c r="N13" s="14">
        <v>0</v>
      </c>
      <c r="O13" s="14">
        <v>0</v>
      </c>
    </row>
    <row r="14" spans="1:15">
      <c r="A14">
        <v>1239651</v>
      </c>
      <c r="B14" s="14">
        <v>400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500</v>
      </c>
      <c r="L14" s="14">
        <v>0</v>
      </c>
      <c r="M14" s="14">
        <v>0</v>
      </c>
      <c r="N14" s="14">
        <v>0</v>
      </c>
      <c r="O14" s="14">
        <v>0</v>
      </c>
    </row>
    <row r="15" spans="1:15">
      <c r="A15">
        <v>1241134</v>
      </c>
      <c r="B15" s="14">
        <v>0</v>
      </c>
      <c r="C15" s="14">
        <v>0</v>
      </c>
      <c r="D15" s="14">
        <v>0</v>
      </c>
      <c r="E15" s="16">
        <v>182</v>
      </c>
      <c r="F15" s="14">
        <v>54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43</v>
      </c>
      <c r="M15" s="14">
        <v>0</v>
      </c>
      <c r="N15" s="14">
        <v>0</v>
      </c>
      <c r="O15" s="14">
        <v>0</v>
      </c>
    </row>
    <row r="16" spans="1:15">
      <c r="A16">
        <v>1239988</v>
      </c>
      <c r="B16" s="14">
        <v>0</v>
      </c>
      <c r="C16" s="14">
        <v>0</v>
      </c>
      <c r="D16" s="14">
        <v>0</v>
      </c>
      <c r="E16" s="14">
        <v>0</v>
      </c>
      <c r="F16" s="14">
        <v>150</v>
      </c>
      <c r="G16" s="14">
        <v>0</v>
      </c>
      <c r="H16" s="14">
        <v>0</v>
      </c>
      <c r="I16" s="14">
        <v>501</v>
      </c>
      <c r="J16" s="14">
        <v>502</v>
      </c>
      <c r="K16" s="14">
        <v>394</v>
      </c>
      <c r="L16" s="14">
        <v>502</v>
      </c>
      <c r="M16" s="14">
        <v>394</v>
      </c>
      <c r="N16" s="14">
        <v>0</v>
      </c>
      <c r="O16" s="14">
        <v>0</v>
      </c>
    </row>
    <row r="17" spans="1:15">
      <c r="A17">
        <v>1240180</v>
      </c>
      <c r="B17" s="14">
        <v>420</v>
      </c>
      <c r="C17" s="14">
        <v>582</v>
      </c>
      <c r="D17" s="14">
        <v>648</v>
      </c>
      <c r="E17" s="16">
        <v>664</v>
      </c>
      <c r="F17" s="14">
        <v>266</v>
      </c>
      <c r="G17" s="14">
        <v>0</v>
      </c>
      <c r="H17" s="14">
        <v>0</v>
      </c>
      <c r="I17" s="14">
        <v>404</v>
      </c>
      <c r="J17" s="14">
        <v>404</v>
      </c>
      <c r="K17" s="14">
        <v>318</v>
      </c>
      <c r="L17" s="14">
        <v>404</v>
      </c>
      <c r="M17" s="14">
        <v>318</v>
      </c>
      <c r="N17" s="14">
        <v>0</v>
      </c>
      <c r="O17" s="14">
        <v>0</v>
      </c>
    </row>
    <row r="18" spans="1:15">
      <c r="A18">
        <v>1240184</v>
      </c>
      <c r="B18" s="14">
        <v>420</v>
      </c>
      <c r="C18" s="14">
        <v>582</v>
      </c>
      <c r="D18" s="14">
        <v>648</v>
      </c>
      <c r="E18" s="16">
        <v>410</v>
      </c>
      <c r="F18" s="14">
        <v>70</v>
      </c>
      <c r="G18" s="14">
        <v>0</v>
      </c>
      <c r="H18" s="14">
        <v>0</v>
      </c>
      <c r="I18" s="14">
        <v>404</v>
      </c>
      <c r="J18" s="14">
        <v>404</v>
      </c>
      <c r="K18" s="14">
        <v>318</v>
      </c>
      <c r="L18" s="14">
        <v>404</v>
      </c>
      <c r="M18" s="14">
        <v>234</v>
      </c>
      <c r="N18" s="14">
        <v>0</v>
      </c>
      <c r="O18" s="14">
        <v>0</v>
      </c>
    </row>
    <row r="19" spans="1:15">
      <c r="A19">
        <v>1240308</v>
      </c>
      <c r="B19" s="14">
        <v>0</v>
      </c>
      <c r="C19" s="14">
        <v>0</v>
      </c>
      <c r="D19" s="14">
        <v>450</v>
      </c>
      <c r="E19" s="16">
        <v>420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450</v>
      </c>
      <c r="M19" s="14">
        <v>376</v>
      </c>
      <c r="N19" s="14">
        <v>0</v>
      </c>
      <c r="O19" s="14">
        <v>0</v>
      </c>
    </row>
    <row r="20" spans="1:15">
      <c r="A20">
        <v>1241601</v>
      </c>
      <c r="B20" s="14">
        <v>930</v>
      </c>
      <c r="C20" s="14">
        <v>1182</v>
      </c>
      <c r="D20" s="14">
        <v>614</v>
      </c>
      <c r="E20" s="16">
        <v>508</v>
      </c>
      <c r="F20" s="14">
        <v>784</v>
      </c>
      <c r="G20" s="14">
        <v>0</v>
      </c>
      <c r="H20" s="14">
        <v>0</v>
      </c>
      <c r="I20" s="14">
        <v>952</v>
      </c>
      <c r="J20" s="14">
        <v>1538</v>
      </c>
      <c r="K20" s="14">
        <v>1016</v>
      </c>
      <c r="L20" s="14">
        <v>778</v>
      </c>
      <c r="M20" s="14">
        <v>1084</v>
      </c>
      <c r="N20" s="14">
        <v>0</v>
      </c>
      <c r="O20" s="14">
        <v>0</v>
      </c>
    </row>
    <row r="24" spans="1:15">
      <c r="A24" s="2" t="s">
        <v>0</v>
      </c>
      <c r="B24" s="14" t="s">
        <v>976</v>
      </c>
      <c r="C24" s="14" t="s">
        <v>977</v>
      </c>
      <c r="D24" s="14" t="s">
        <v>978</v>
      </c>
      <c r="E24" s="14" t="s">
        <v>979</v>
      </c>
      <c r="F24" s="14" t="s">
        <v>980</v>
      </c>
      <c r="G24" s="14" t="s">
        <v>981</v>
      </c>
      <c r="H24" s="14" t="s">
        <v>982</v>
      </c>
      <c r="I24" s="14" t="s">
        <v>983</v>
      </c>
      <c r="J24" s="14" t="s">
        <v>984</v>
      </c>
      <c r="K24" s="14" t="s">
        <v>985</v>
      </c>
      <c r="L24" s="14" t="s">
        <v>986</v>
      </c>
      <c r="M24" s="14" t="s">
        <v>987</v>
      </c>
      <c r="N24" s="14" t="s">
        <v>988</v>
      </c>
      <c r="O24" s="14" t="s">
        <v>989</v>
      </c>
    </row>
    <row r="25" spans="1:15">
      <c r="A25">
        <v>1237608</v>
      </c>
      <c r="B25" s="14">
        <v>150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</row>
    <row r="26" spans="1:15">
      <c r="A26">
        <v>1236110</v>
      </c>
      <c r="B26" s="14">
        <v>100</v>
      </c>
      <c r="C26" s="14">
        <v>250</v>
      </c>
      <c r="D26" s="14">
        <v>200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 spans="1:15">
      <c r="A27">
        <v>1236387</v>
      </c>
      <c r="B27" s="14">
        <v>357</v>
      </c>
      <c r="C27" s="14">
        <v>176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176</v>
      </c>
      <c r="J27" s="14">
        <v>357</v>
      </c>
      <c r="K27" s="14">
        <v>163</v>
      </c>
      <c r="L27" s="14">
        <v>104</v>
      </c>
      <c r="M27" s="14">
        <v>0</v>
      </c>
      <c r="N27" s="14">
        <v>0</v>
      </c>
      <c r="O27" s="14">
        <v>0</v>
      </c>
    </row>
    <row r="28" spans="1:15">
      <c r="A28">
        <v>1232775</v>
      </c>
      <c r="B28" s="14">
        <v>0</v>
      </c>
      <c r="C28" s="14">
        <v>315</v>
      </c>
      <c r="D28" s="14">
        <v>487</v>
      </c>
      <c r="E28" s="14">
        <v>487</v>
      </c>
      <c r="F28" s="14">
        <v>487</v>
      </c>
      <c r="G28" s="14">
        <v>0</v>
      </c>
      <c r="H28" s="14">
        <v>0</v>
      </c>
      <c r="I28" s="14">
        <v>342</v>
      </c>
      <c r="J28" s="14">
        <v>245</v>
      </c>
      <c r="K28" s="14">
        <v>109</v>
      </c>
      <c r="L28" s="14">
        <v>200</v>
      </c>
      <c r="M28" s="14">
        <v>0</v>
      </c>
      <c r="N28" s="14">
        <v>0</v>
      </c>
      <c r="O28" s="14">
        <v>0</v>
      </c>
    </row>
    <row r="29" spans="1:15">
      <c r="A29">
        <v>1230685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220</v>
      </c>
      <c r="M29" s="14">
        <v>330</v>
      </c>
      <c r="N29" s="14">
        <v>0</v>
      </c>
      <c r="O29" s="14">
        <v>0</v>
      </c>
    </row>
    <row r="33" spans="1:15">
      <c r="A33" s="2" t="s">
        <v>0</v>
      </c>
      <c r="B33" s="14" t="s">
        <v>976</v>
      </c>
      <c r="C33" s="14" t="s">
        <v>977</v>
      </c>
      <c r="D33" s="14" t="s">
        <v>978</v>
      </c>
      <c r="E33" s="14" t="s">
        <v>979</v>
      </c>
      <c r="F33" s="14" t="s">
        <v>980</v>
      </c>
      <c r="G33" s="14" t="s">
        <v>981</v>
      </c>
      <c r="H33" s="14" t="s">
        <v>982</v>
      </c>
      <c r="I33" s="14" t="s">
        <v>983</v>
      </c>
      <c r="J33" s="14" t="s">
        <v>984</v>
      </c>
      <c r="K33" s="14" t="s">
        <v>985</v>
      </c>
      <c r="L33" s="14" t="s">
        <v>986</v>
      </c>
      <c r="M33" s="14" t="s">
        <v>987</v>
      </c>
      <c r="N33" s="14" t="s">
        <v>988</v>
      </c>
      <c r="O33" s="14" t="s">
        <v>989</v>
      </c>
    </row>
    <row r="34" spans="1:15">
      <c r="A34">
        <v>1234614</v>
      </c>
      <c r="B34" s="14">
        <v>0</v>
      </c>
      <c r="C34" s="14">
        <v>216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 spans="1:15">
      <c r="A35">
        <v>1230692</v>
      </c>
      <c r="B35" s="14">
        <v>0</v>
      </c>
      <c r="C35" s="14">
        <v>0</v>
      </c>
      <c r="D35" s="14">
        <v>0</v>
      </c>
      <c r="E35" s="16">
        <v>200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</row>
    <row r="36" spans="1:15">
      <c r="A36">
        <v>1231797</v>
      </c>
      <c r="B36" s="14">
        <v>0</v>
      </c>
      <c r="C36" s="14">
        <v>0</v>
      </c>
      <c r="D36" s="14">
        <v>0</v>
      </c>
      <c r="E36" s="16">
        <v>130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 spans="1:15">
      <c r="A37">
        <v>1229776</v>
      </c>
      <c r="B37" s="14">
        <v>0</v>
      </c>
      <c r="C37" s="14">
        <v>0</v>
      </c>
      <c r="D37" s="14">
        <v>0</v>
      </c>
      <c r="E37" s="14">
        <v>0</v>
      </c>
      <c r="F37" s="14">
        <v>30</v>
      </c>
      <c r="G37" s="14">
        <v>0</v>
      </c>
      <c r="H37" s="14">
        <v>0</v>
      </c>
      <c r="I37" s="14">
        <v>60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</row>
    <row r="38" spans="1:15">
      <c r="A38">
        <v>1231090</v>
      </c>
      <c r="B38" s="14">
        <v>0</v>
      </c>
      <c r="C38" s="14">
        <v>0</v>
      </c>
      <c r="D38" s="14">
        <v>0</v>
      </c>
      <c r="E38" s="14">
        <v>0</v>
      </c>
      <c r="F38" s="14">
        <v>30</v>
      </c>
      <c r="G38" s="14">
        <v>0</v>
      </c>
      <c r="H38" s="14">
        <v>0</v>
      </c>
      <c r="I38" s="14">
        <v>570</v>
      </c>
      <c r="J38" s="14">
        <v>0</v>
      </c>
      <c r="K38" s="14">
        <v>0</v>
      </c>
      <c r="L38" s="14">
        <v>0</v>
      </c>
      <c r="M38" s="14">
        <v>2065</v>
      </c>
      <c r="N38" s="14">
        <v>0</v>
      </c>
      <c r="O38" s="14">
        <v>0</v>
      </c>
    </row>
    <row r="39" spans="1:15">
      <c r="A39">
        <v>1232693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126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</row>
    <row r="40" spans="1:15">
      <c r="A40">
        <v>1233025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126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 spans="1:15">
      <c r="A41">
        <v>1234222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220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</row>
    <row r="42" spans="1:15">
      <c r="A42">
        <v>1232528</v>
      </c>
      <c r="B42" s="14">
        <v>300</v>
      </c>
      <c r="C42" s="14">
        <v>360</v>
      </c>
      <c r="D42" s="14">
        <v>233</v>
      </c>
      <c r="E42" s="16">
        <v>686</v>
      </c>
      <c r="F42" s="14">
        <v>781</v>
      </c>
      <c r="G42" s="14">
        <v>0</v>
      </c>
      <c r="H42" s="14">
        <v>0</v>
      </c>
      <c r="I42" s="14">
        <v>1731</v>
      </c>
      <c r="J42" s="14">
        <v>1167</v>
      </c>
      <c r="K42" s="14">
        <v>600</v>
      </c>
      <c r="L42" s="14">
        <v>600</v>
      </c>
      <c r="M42" s="14">
        <v>3271</v>
      </c>
      <c r="N42" s="14">
        <v>0</v>
      </c>
      <c r="O42" s="14">
        <v>0</v>
      </c>
    </row>
    <row r="43" spans="1:15">
      <c r="A43">
        <v>1232846</v>
      </c>
      <c r="B43" s="14">
        <v>0</v>
      </c>
      <c r="C43" s="14">
        <v>376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512</v>
      </c>
      <c r="L43" s="14">
        <v>0</v>
      </c>
      <c r="M43" s="14">
        <v>0</v>
      </c>
      <c r="N43" s="14">
        <v>0</v>
      </c>
      <c r="O43" s="14">
        <v>0</v>
      </c>
    </row>
    <row r="44" spans="1:15">
      <c r="A44">
        <v>1227306</v>
      </c>
      <c r="B44" s="14">
        <v>0</v>
      </c>
      <c r="C44" s="14">
        <v>0</v>
      </c>
      <c r="D44" s="14">
        <v>81</v>
      </c>
      <c r="E44" s="14">
        <v>270</v>
      </c>
      <c r="F44" s="16">
        <v>249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 spans="1:15">
      <c r="A45">
        <v>1220847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920</v>
      </c>
      <c r="J45" s="14">
        <v>0</v>
      </c>
      <c r="K45" s="14">
        <v>0</v>
      </c>
      <c r="L45" s="14">
        <v>0</v>
      </c>
      <c r="M45" s="14">
        <v>4330</v>
      </c>
      <c r="N45" s="14">
        <v>0</v>
      </c>
      <c r="O45" s="14">
        <v>0</v>
      </c>
    </row>
    <row r="46" spans="1:15">
      <c r="A46">
        <v>1234217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50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 spans="1:15">
      <c r="A47">
        <v>1234111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50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</row>
    <row r="48" spans="1:15">
      <c r="A48">
        <v>1234110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50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 spans="1:15">
      <c r="A49">
        <v>1232775</v>
      </c>
      <c r="B49" s="14">
        <v>0</v>
      </c>
      <c r="C49" s="14">
        <v>0</v>
      </c>
      <c r="D49" s="14">
        <v>0</v>
      </c>
      <c r="E49" s="16">
        <v>295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141</v>
      </c>
      <c r="L49" s="14">
        <v>0</v>
      </c>
      <c r="M49" s="14">
        <v>0</v>
      </c>
      <c r="N49" s="14">
        <v>0</v>
      </c>
      <c r="O49" s="14">
        <v>0</v>
      </c>
    </row>
    <row r="50" spans="1:15">
      <c r="A50">
        <v>1235097</v>
      </c>
      <c r="B50" s="14">
        <v>117</v>
      </c>
      <c r="C50" s="14">
        <v>133</v>
      </c>
      <c r="D50" s="14">
        <v>0</v>
      </c>
      <c r="E50" s="14">
        <v>0</v>
      </c>
      <c r="F50" s="16">
        <v>67</v>
      </c>
      <c r="G50" s="14">
        <v>0</v>
      </c>
      <c r="H50" s="14">
        <v>0</v>
      </c>
      <c r="I50" s="14">
        <v>400</v>
      </c>
      <c r="J50" s="14">
        <v>400</v>
      </c>
      <c r="K50" s="14">
        <v>0</v>
      </c>
      <c r="L50" s="14">
        <v>0</v>
      </c>
      <c r="M50" s="14">
        <v>24</v>
      </c>
      <c r="N50" s="14">
        <v>0</v>
      </c>
      <c r="O50" s="14">
        <v>0</v>
      </c>
    </row>
    <row r="51" spans="1:15">
      <c r="A51">
        <v>1236600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500</v>
      </c>
      <c r="J51" s="14">
        <v>200</v>
      </c>
      <c r="K51" s="14">
        <v>400</v>
      </c>
      <c r="L51" s="14">
        <v>0</v>
      </c>
      <c r="M51" s="14">
        <v>0</v>
      </c>
      <c r="N51" s="14">
        <v>0</v>
      </c>
      <c r="O51" s="14">
        <v>0</v>
      </c>
    </row>
    <row r="52" spans="1:15">
      <c r="A52">
        <v>1236619</v>
      </c>
      <c r="B52" s="14">
        <v>56</v>
      </c>
      <c r="C52" s="14">
        <v>0</v>
      </c>
      <c r="D52" s="14">
        <v>0</v>
      </c>
      <c r="E52" s="14">
        <v>0</v>
      </c>
      <c r="F52" s="14">
        <v>198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 spans="1:15">
      <c r="A53">
        <v>1236930</v>
      </c>
      <c r="B53" s="14">
        <v>50</v>
      </c>
      <c r="C53" s="14">
        <v>188</v>
      </c>
      <c r="D53" s="14">
        <v>494</v>
      </c>
      <c r="E53" s="14">
        <v>336</v>
      </c>
      <c r="F53" s="16">
        <v>267</v>
      </c>
      <c r="G53" s="14">
        <v>0</v>
      </c>
      <c r="H53" s="14">
        <v>0</v>
      </c>
      <c r="I53" s="14">
        <v>339</v>
      </c>
      <c r="J53" s="14">
        <v>739</v>
      </c>
      <c r="K53" s="14">
        <v>400</v>
      </c>
      <c r="L53" s="14">
        <v>354</v>
      </c>
      <c r="M53" s="14">
        <v>1540</v>
      </c>
      <c r="N53" s="14">
        <v>0</v>
      </c>
      <c r="O53" s="14">
        <v>0</v>
      </c>
    </row>
    <row r="54" spans="1:15">
      <c r="A54">
        <v>1232982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400</v>
      </c>
      <c r="M54" s="14">
        <v>0</v>
      </c>
      <c r="N54" s="14">
        <v>0</v>
      </c>
      <c r="O54" s="14">
        <v>0</v>
      </c>
    </row>
    <row r="55" spans="1:15">
      <c r="A55">
        <v>1237468</v>
      </c>
      <c r="B55" s="14">
        <v>40</v>
      </c>
      <c r="C55" s="14">
        <v>0</v>
      </c>
      <c r="D55" s="14">
        <v>0</v>
      </c>
      <c r="E55" s="14">
        <v>0</v>
      </c>
      <c r="F55" s="14">
        <v>248</v>
      </c>
      <c r="G55" s="14">
        <v>0</v>
      </c>
      <c r="H55" s="14">
        <v>0</v>
      </c>
      <c r="I55" s="14">
        <v>0</v>
      </c>
      <c r="J55" s="14">
        <v>37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</row>
    <row r="56" spans="1:15">
      <c r="A56">
        <v>1237457</v>
      </c>
      <c r="B56" s="14">
        <v>0</v>
      </c>
      <c r="C56" s="14">
        <v>54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56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 spans="1:15">
      <c r="A57" s="1">
        <v>1237386</v>
      </c>
      <c r="B57" s="14">
        <v>0</v>
      </c>
      <c r="C57" s="14">
        <v>0</v>
      </c>
      <c r="D57" s="14">
        <v>0</v>
      </c>
      <c r="E57" s="16">
        <v>80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22</v>
      </c>
      <c r="N57" s="14">
        <v>0</v>
      </c>
      <c r="O57" s="14">
        <v>0</v>
      </c>
    </row>
    <row r="58" spans="1:15">
      <c r="A58">
        <v>1234905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300</v>
      </c>
      <c r="J58" s="14">
        <v>0</v>
      </c>
      <c r="K58" s="14">
        <v>380</v>
      </c>
      <c r="L58" s="14">
        <v>100</v>
      </c>
      <c r="M58" s="14">
        <v>0</v>
      </c>
      <c r="N58" s="14">
        <v>0</v>
      </c>
      <c r="O58" s="14">
        <v>0</v>
      </c>
    </row>
    <row r="59" spans="1:15">
      <c r="A59">
        <v>1238480</v>
      </c>
      <c r="B59" s="14">
        <v>1489</v>
      </c>
      <c r="C59" s="14">
        <v>1413</v>
      </c>
      <c r="D59" s="14">
        <v>1101</v>
      </c>
      <c r="E59" s="16">
        <v>1528</v>
      </c>
      <c r="F59" s="14">
        <v>615</v>
      </c>
      <c r="G59" s="14">
        <v>0</v>
      </c>
      <c r="H59" s="14">
        <v>0</v>
      </c>
      <c r="I59" s="14">
        <v>1037</v>
      </c>
      <c r="J59" s="14">
        <v>229</v>
      </c>
      <c r="K59" s="14">
        <v>700</v>
      </c>
      <c r="L59" s="14">
        <v>780</v>
      </c>
      <c r="M59" s="14">
        <v>1452</v>
      </c>
      <c r="N59" s="14">
        <v>0</v>
      </c>
      <c r="O59" s="14">
        <v>0</v>
      </c>
    </row>
    <row r="60" spans="1:15">
      <c r="A60">
        <v>1240029</v>
      </c>
      <c r="B60" s="14">
        <v>0</v>
      </c>
      <c r="C60" s="14">
        <v>0</v>
      </c>
      <c r="D60" s="14">
        <v>0</v>
      </c>
      <c r="E60" s="14">
        <v>0</v>
      </c>
      <c r="F60" s="14">
        <v>136</v>
      </c>
      <c r="G60" s="14">
        <v>0</v>
      </c>
      <c r="H60" s="14">
        <v>0</v>
      </c>
      <c r="I60" s="14">
        <v>564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 spans="1:15">
      <c r="A61">
        <v>1240032</v>
      </c>
      <c r="B61" s="14">
        <v>0</v>
      </c>
      <c r="C61" s="14">
        <v>0</v>
      </c>
      <c r="D61" s="14">
        <v>0</v>
      </c>
      <c r="E61" s="14">
        <v>0</v>
      </c>
      <c r="F61" s="14">
        <v>136</v>
      </c>
      <c r="G61" s="14">
        <v>0</v>
      </c>
      <c r="H61" s="14">
        <v>0</v>
      </c>
      <c r="I61" s="14">
        <v>564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</row>
    <row r="62" spans="1:15">
      <c r="A62">
        <v>1240180</v>
      </c>
      <c r="B62" s="14">
        <v>196</v>
      </c>
      <c r="C62" s="14">
        <v>214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 spans="1:15">
      <c r="A63">
        <v>1240184</v>
      </c>
      <c r="B63" s="14">
        <v>196</v>
      </c>
      <c r="C63" s="14">
        <v>214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</row>
    <row r="64" spans="1:15">
      <c r="A64">
        <v>1216452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655</v>
      </c>
      <c r="K64" s="14">
        <v>440</v>
      </c>
      <c r="L64" s="14">
        <v>0</v>
      </c>
      <c r="M64" s="14">
        <v>0</v>
      </c>
      <c r="N64" s="14">
        <v>0</v>
      </c>
      <c r="O64" s="14">
        <v>0</v>
      </c>
    </row>
    <row r="65" spans="1:15">
      <c r="A65">
        <v>1232894</v>
      </c>
      <c r="B65" s="14">
        <v>0</v>
      </c>
      <c r="C65" s="14">
        <v>376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512</v>
      </c>
      <c r="L65" s="14">
        <v>0</v>
      </c>
      <c r="M65" s="14">
        <v>0</v>
      </c>
      <c r="N65" s="14">
        <v>0</v>
      </c>
      <c r="O65" s="14">
        <v>0</v>
      </c>
    </row>
    <row r="66" spans="1:15">
      <c r="A66">
        <v>1233386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512</v>
      </c>
      <c r="L66" s="14">
        <v>0</v>
      </c>
      <c r="M66" s="14">
        <v>0</v>
      </c>
      <c r="N66" s="14">
        <v>0</v>
      </c>
      <c r="O66" s="14">
        <v>0</v>
      </c>
    </row>
    <row r="67" spans="1:15">
      <c r="A67">
        <v>1233387</v>
      </c>
      <c r="B67" s="14">
        <v>0</v>
      </c>
      <c r="C67" s="14">
        <v>376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</row>
    <row r="68" spans="1:15">
      <c r="A68">
        <v>1233580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200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</sheetData>
  <autoFilter ref="A1:O20" xr:uid="{1DE2BF1B-69AB-4B88-932D-916C038117F0}"/>
  <phoneticPr fontId="1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F7B4-B079-4712-BFE0-DBF287B2A73E}">
  <dimension ref="A1:U76"/>
  <sheetViews>
    <sheetView topLeftCell="A45" zoomScale="130" zoomScaleNormal="130" workbookViewId="0">
      <selection activeCell="F51" sqref="F51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20" width="9.5" style="9" customWidth="1"/>
    <col min="21" max="21" width="9.5" style="9" bestFit="1" customWidth="1"/>
    <col min="22" max="16384" width="9.33203125" style="5"/>
  </cols>
  <sheetData>
    <row r="1" spans="1:21">
      <c r="A1" s="5" t="s">
        <v>0</v>
      </c>
      <c r="B1" s="9" t="s">
        <v>921</v>
      </c>
      <c r="C1" s="9" t="s">
        <v>922</v>
      </c>
      <c r="D1" s="9" t="s">
        <v>923</v>
      </c>
      <c r="E1" s="18" t="s">
        <v>924</v>
      </c>
      <c r="F1" s="9" t="s">
        <v>925</v>
      </c>
      <c r="G1" s="9" t="s">
        <v>926</v>
      </c>
      <c r="H1" s="9" t="s">
        <v>932</v>
      </c>
      <c r="I1" s="9" t="s">
        <v>933</v>
      </c>
      <c r="J1" s="9" t="s">
        <v>934</v>
      </c>
      <c r="K1" s="9" t="s">
        <v>935</v>
      </c>
      <c r="L1" s="9" t="s">
        <v>936</v>
      </c>
      <c r="M1" s="9" t="s">
        <v>937</v>
      </c>
      <c r="N1" s="9" t="s">
        <v>938</v>
      </c>
      <c r="O1" s="9" t="s">
        <v>990</v>
      </c>
      <c r="P1" s="9" t="s">
        <v>991</v>
      </c>
      <c r="Q1" s="9" t="s">
        <v>992</v>
      </c>
      <c r="R1" s="9" t="s">
        <v>993</v>
      </c>
      <c r="S1" s="9" t="s">
        <v>994</v>
      </c>
      <c r="T1" s="9" t="s">
        <v>995</v>
      </c>
      <c r="U1" s="9" t="s">
        <v>996</v>
      </c>
    </row>
    <row r="2" spans="1:21">
      <c r="A2" s="5">
        <v>1234614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192</v>
      </c>
      <c r="I2" s="9">
        <v>308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>
      <c r="A3" s="5">
        <v>1226384</v>
      </c>
      <c r="B3" s="9">
        <v>0</v>
      </c>
      <c r="C3" s="9">
        <v>100</v>
      </c>
      <c r="D3" s="9">
        <v>500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1:21">
      <c r="A4" s="5">
        <v>1226388</v>
      </c>
      <c r="B4" s="9">
        <v>0</v>
      </c>
      <c r="C4" s="9">
        <v>100</v>
      </c>
      <c r="D4" s="9">
        <v>500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</row>
    <row r="5" spans="1:21">
      <c r="A5" s="5">
        <v>1229673</v>
      </c>
      <c r="B5" s="9">
        <v>200</v>
      </c>
      <c r="C5" s="9">
        <v>0</v>
      </c>
      <c r="D5" s="9">
        <v>250</v>
      </c>
      <c r="E5" s="18">
        <v>250</v>
      </c>
      <c r="F5" s="9">
        <v>0</v>
      </c>
      <c r="G5" s="9">
        <v>0</v>
      </c>
      <c r="H5" s="9">
        <v>200</v>
      </c>
      <c r="I5" s="9">
        <v>200</v>
      </c>
      <c r="J5" s="9">
        <v>222</v>
      </c>
      <c r="K5" s="9">
        <v>200</v>
      </c>
      <c r="L5" s="9">
        <v>0</v>
      </c>
      <c r="M5" s="9">
        <v>0</v>
      </c>
      <c r="N5" s="9">
        <v>0</v>
      </c>
      <c r="O5" s="9">
        <v>200</v>
      </c>
      <c r="P5" s="9">
        <v>300</v>
      </c>
      <c r="Q5" s="9">
        <v>200</v>
      </c>
      <c r="R5" s="9">
        <v>300</v>
      </c>
      <c r="S5" s="9">
        <v>200</v>
      </c>
      <c r="T5" s="9">
        <v>0</v>
      </c>
      <c r="U5" s="9">
        <v>0</v>
      </c>
    </row>
    <row r="6" spans="1:21">
      <c r="A6" s="5">
        <v>1230854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100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</row>
    <row r="7" spans="1:21">
      <c r="A7" s="5">
        <v>1235623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198</v>
      </c>
      <c r="Q7" s="9">
        <v>358</v>
      </c>
      <c r="R7" s="9">
        <v>934</v>
      </c>
      <c r="S7" s="9">
        <v>382</v>
      </c>
      <c r="T7" s="9">
        <v>0</v>
      </c>
      <c r="U7" s="9">
        <v>0</v>
      </c>
    </row>
    <row r="8" spans="1:21">
      <c r="A8" s="5">
        <v>1237088</v>
      </c>
      <c r="B8" s="9">
        <v>610</v>
      </c>
      <c r="C8" s="9">
        <v>0</v>
      </c>
      <c r="D8" s="9">
        <v>258</v>
      </c>
      <c r="E8" s="18">
        <v>744</v>
      </c>
      <c r="F8" s="9">
        <v>0</v>
      </c>
      <c r="G8" s="9">
        <v>0</v>
      </c>
      <c r="H8" s="9">
        <v>920</v>
      </c>
      <c r="I8" s="9">
        <v>960</v>
      </c>
      <c r="J8" s="9">
        <v>0</v>
      </c>
      <c r="K8" s="9">
        <v>300</v>
      </c>
      <c r="L8" s="9">
        <v>0</v>
      </c>
      <c r="M8" s="9">
        <v>0</v>
      </c>
      <c r="N8" s="9">
        <v>0</v>
      </c>
      <c r="O8" s="9">
        <v>806</v>
      </c>
      <c r="P8" s="9">
        <v>672</v>
      </c>
      <c r="Q8" s="9">
        <v>280</v>
      </c>
      <c r="R8" s="9">
        <v>698</v>
      </c>
      <c r="S8" s="9">
        <v>380</v>
      </c>
      <c r="T8" s="9">
        <v>0</v>
      </c>
      <c r="U8" s="9">
        <v>0</v>
      </c>
    </row>
    <row r="9" spans="1:21">
      <c r="A9" s="5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522</v>
      </c>
      <c r="L9" s="9">
        <v>50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260</v>
      </c>
      <c r="T9" s="9">
        <v>0</v>
      </c>
      <c r="U9" s="9">
        <v>0</v>
      </c>
    </row>
    <row r="10" spans="1:21">
      <c r="A10" s="5">
        <v>1236091</v>
      </c>
      <c r="B10" s="9">
        <v>350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300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</row>
    <row r="11" spans="1:21">
      <c r="A11" s="5">
        <v>1238128</v>
      </c>
      <c r="B11" s="9">
        <v>386</v>
      </c>
      <c r="C11" s="9">
        <v>430</v>
      </c>
      <c r="D11" s="9">
        <v>590</v>
      </c>
      <c r="E11" s="18">
        <v>464</v>
      </c>
      <c r="F11" s="9">
        <v>0</v>
      </c>
      <c r="G11" s="9">
        <v>0</v>
      </c>
      <c r="H11" s="9">
        <v>234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</row>
    <row r="12" spans="1:21">
      <c r="A12" s="5">
        <v>1236962</v>
      </c>
      <c r="B12" s="9">
        <v>200</v>
      </c>
      <c r="C12" s="9">
        <v>214</v>
      </c>
      <c r="D12" s="9">
        <v>200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300</v>
      </c>
      <c r="K12" s="9">
        <v>300</v>
      </c>
      <c r="L12" s="9">
        <v>200</v>
      </c>
      <c r="M12" s="9">
        <v>0</v>
      </c>
      <c r="N12" s="9">
        <v>0</v>
      </c>
      <c r="O12" s="9">
        <v>0</v>
      </c>
      <c r="P12" s="9">
        <v>200</v>
      </c>
      <c r="Q12" s="9">
        <v>200</v>
      </c>
      <c r="R12" s="9">
        <v>200</v>
      </c>
      <c r="S12" s="9">
        <v>200</v>
      </c>
      <c r="T12" s="9">
        <v>0</v>
      </c>
      <c r="U12" s="9">
        <v>0</v>
      </c>
    </row>
    <row r="13" spans="1:21">
      <c r="A13" s="5">
        <v>1233761</v>
      </c>
      <c r="B13" s="9">
        <v>0</v>
      </c>
      <c r="C13" s="9">
        <v>0</v>
      </c>
      <c r="D13" s="9">
        <v>0</v>
      </c>
      <c r="E13" s="18">
        <v>300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140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</row>
    <row r="14" spans="1:21">
      <c r="A14" s="5">
        <v>1239651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500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300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</row>
    <row r="15" spans="1:21">
      <c r="A15" s="5">
        <v>1241134</v>
      </c>
      <c r="B15" s="9">
        <v>0</v>
      </c>
      <c r="C15" s="9">
        <v>0</v>
      </c>
      <c r="D15" s="9">
        <v>182</v>
      </c>
      <c r="E15" s="18">
        <v>10</v>
      </c>
      <c r="F15" s="9">
        <v>0</v>
      </c>
      <c r="G15" s="9">
        <v>0</v>
      </c>
      <c r="H15" s="9">
        <v>0</v>
      </c>
      <c r="I15" s="9">
        <v>0</v>
      </c>
      <c r="J15" s="9">
        <v>87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</row>
    <row r="16" spans="1:21">
      <c r="A16" s="5">
        <v>1239988</v>
      </c>
      <c r="B16" s="9">
        <v>0</v>
      </c>
      <c r="C16" s="9">
        <v>0</v>
      </c>
      <c r="D16" s="9">
        <v>0</v>
      </c>
      <c r="E16" s="18">
        <v>150</v>
      </c>
      <c r="F16" s="9">
        <v>0</v>
      </c>
      <c r="G16" s="9">
        <v>0</v>
      </c>
      <c r="H16" s="9">
        <v>510</v>
      </c>
      <c r="I16" s="9">
        <v>510</v>
      </c>
      <c r="J16" s="9">
        <v>400</v>
      </c>
      <c r="K16" s="9">
        <v>510</v>
      </c>
      <c r="L16" s="9">
        <v>400</v>
      </c>
      <c r="M16" s="9">
        <v>0</v>
      </c>
      <c r="N16" s="9">
        <v>0</v>
      </c>
      <c r="O16" s="9">
        <v>250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</row>
    <row r="17" spans="1:21">
      <c r="A17" s="5">
        <v>1240180</v>
      </c>
      <c r="B17" s="9">
        <v>582</v>
      </c>
      <c r="C17" s="9">
        <v>648</v>
      </c>
      <c r="D17" s="9">
        <v>664</v>
      </c>
      <c r="E17" s="18">
        <v>266</v>
      </c>
      <c r="F17" s="9">
        <v>0</v>
      </c>
      <c r="G17" s="9">
        <v>0</v>
      </c>
      <c r="H17" s="9">
        <v>404</v>
      </c>
      <c r="I17" s="9">
        <v>404</v>
      </c>
      <c r="J17" s="9">
        <v>318</v>
      </c>
      <c r="K17" s="9">
        <v>404</v>
      </c>
      <c r="L17" s="9">
        <v>318</v>
      </c>
      <c r="M17" s="9">
        <v>0</v>
      </c>
      <c r="N17" s="9">
        <v>0</v>
      </c>
      <c r="O17" s="9">
        <v>610</v>
      </c>
      <c r="P17" s="9">
        <v>824</v>
      </c>
      <c r="Q17" s="9">
        <v>164</v>
      </c>
      <c r="R17" s="9">
        <v>426</v>
      </c>
      <c r="S17" s="9">
        <v>316</v>
      </c>
      <c r="T17" s="9">
        <v>0</v>
      </c>
      <c r="U17" s="9">
        <v>0</v>
      </c>
    </row>
    <row r="18" spans="1:21">
      <c r="A18" s="5">
        <v>1240184</v>
      </c>
      <c r="B18" s="9">
        <v>582</v>
      </c>
      <c r="C18" s="9">
        <v>648</v>
      </c>
      <c r="D18" s="9">
        <v>410</v>
      </c>
      <c r="E18" s="18">
        <v>70</v>
      </c>
      <c r="F18" s="9">
        <v>0</v>
      </c>
      <c r="G18" s="9">
        <v>0</v>
      </c>
      <c r="H18" s="9">
        <v>404</v>
      </c>
      <c r="I18" s="9">
        <v>404</v>
      </c>
      <c r="J18" s="9">
        <v>318</v>
      </c>
      <c r="K18" s="9">
        <v>404</v>
      </c>
      <c r="L18" s="9">
        <v>318</v>
      </c>
      <c r="M18" s="9">
        <v>0</v>
      </c>
      <c r="N18" s="9">
        <v>0</v>
      </c>
      <c r="O18" s="9">
        <v>610</v>
      </c>
      <c r="P18" s="9">
        <v>640</v>
      </c>
      <c r="Q18" s="9">
        <v>164</v>
      </c>
      <c r="R18" s="9">
        <v>426</v>
      </c>
      <c r="S18" s="9">
        <v>316</v>
      </c>
      <c r="T18" s="9">
        <v>0</v>
      </c>
      <c r="U18" s="9">
        <v>0</v>
      </c>
    </row>
    <row r="19" spans="1:21">
      <c r="A19" s="5">
        <v>1240308</v>
      </c>
      <c r="B19" s="9">
        <v>0</v>
      </c>
      <c r="C19" s="9">
        <v>450</v>
      </c>
      <c r="D19" s="9">
        <v>420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450</v>
      </c>
      <c r="L19" s="9">
        <v>376</v>
      </c>
      <c r="M19" s="9">
        <v>0</v>
      </c>
      <c r="N19" s="9">
        <v>0</v>
      </c>
      <c r="O19" s="9">
        <v>350</v>
      </c>
      <c r="P19" s="9">
        <v>150</v>
      </c>
      <c r="Q19" s="9">
        <v>0</v>
      </c>
      <c r="R19" s="9">
        <v>400</v>
      </c>
      <c r="S19" s="9">
        <v>0</v>
      </c>
      <c r="T19" s="9">
        <v>0</v>
      </c>
      <c r="U19" s="9">
        <v>0</v>
      </c>
    </row>
    <row r="20" spans="1:21">
      <c r="A20" s="5">
        <v>1241601</v>
      </c>
      <c r="B20" s="9">
        <v>1182</v>
      </c>
      <c r="C20" s="9">
        <v>614</v>
      </c>
      <c r="D20" s="9">
        <v>508</v>
      </c>
      <c r="E20" s="18">
        <v>892</v>
      </c>
      <c r="F20" s="9">
        <v>0</v>
      </c>
      <c r="G20" s="9">
        <v>0</v>
      </c>
      <c r="H20" s="9">
        <v>952</v>
      </c>
      <c r="I20" s="9">
        <v>1538</v>
      </c>
      <c r="J20" s="9">
        <v>1016</v>
      </c>
      <c r="K20" s="9">
        <v>1018</v>
      </c>
      <c r="L20" s="9">
        <v>1084</v>
      </c>
      <c r="M20" s="9">
        <v>0</v>
      </c>
      <c r="N20" s="9">
        <v>0</v>
      </c>
      <c r="O20" s="9">
        <v>1482</v>
      </c>
      <c r="P20" s="9">
        <v>1032</v>
      </c>
      <c r="Q20" s="9">
        <v>594</v>
      </c>
      <c r="R20" s="9">
        <v>1546</v>
      </c>
      <c r="S20" s="9">
        <v>1146</v>
      </c>
      <c r="T20" s="9">
        <v>0</v>
      </c>
      <c r="U20" s="9">
        <v>0</v>
      </c>
    </row>
    <row r="24" spans="1:21">
      <c r="A24" s="5" t="s">
        <v>0</v>
      </c>
      <c r="B24" s="9" t="s">
        <v>921</v>
      </c>
      <c r="C24" s="9" t="s">
        <v>922</v>
      </c>
      <c r="D24" s="9" t="s">
        <v>923</v>
      </c>
      <c r="E24" s="9" t="s">
        <v>924</v>
      </c>
      <c r="F24" s="9" t="s">
        <v>925</v>
      </c>
      <c r="G24" s="9" t="s">
        <v>926</v>
      </c>
      <c r="H24" s="9" t="s">
        <v>932</v>
      </c>
      <c r="I24" s="9" t="s">
        <v>933</v>
      </c>
      <c r="J24" s="9" t="s">
        <v>934</v>
      </c>
      <c r="K24" s="9" t="s">
        <v>935</v>
      </c>
      <c r="L24" s="9" t="s">
        <v>936</v>
      </c>
      <c r="M24" s="9" t="s">
        <v>937</v>
      </c>
      <c r="N24" s="9" t="s">
        <v>938</v>
      </c>
      <c r="O24" s="9" t="s">
        <v>990</v>
      </c>
      <c r="P24" s="9" t="s">
        <v>991</v>
      </c>
      <c r="Q24" s="9" t="s">
        <v>992</v>
      </c>
      <c r="R24" s="9" t="s">
        <v>993</v>
      </c>
      <c r="S24" s="9" t="s">
        <v>994</v>
      </c>
      <c r="T24" s="9" t="s">
        <v>995</v>
      </c>
      <c r="U24" s="9" t="s">
        <v>996</v>
      </c>
    </row>
    <row r="25" spans="1:21">
      <c r="A25" s="5">
        <v>1233165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37</v>
      </c>
      <c r="Q25" s="9">
        <v>280</v>
      </c>
      <c r="R25" s="9">
        <v>83</v>
      </c>
      <c r="S25" s="9">
        <v>0</v>
      </c>
      <c r="T25" s="9">
        <v>0</v>
      </c>
      <c r="U25" s="9">
        <v>0</v>
      </c>
    </row>
    <row r="26" spans="1:21">
      <c r="A26" s="5">
        <v>1236110</v>
      </c>
      <c r="B26" s="9">
        <v>250</v>
      </c>
      <c r="C26" s="9">
        <v>200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>
      <c r="A27" s="5">
        <v>1236387</v>
      </c>
      <c r="B27" s="9">
        <v>176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176</v>
      </c>
      <c r="I27" s="9">
        <v>357</v>
      </c>
      <c r="J27" s="9">
        <v>163</v>
      </c>
      <c r="K27" s="9">
        <v>104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</row>
    <row r="28" spans="1:21">
      <c r="A28" s="5">
        <v>1232775</v>
      </c>
      <c r="B28" s="9">
        <v>315</v>
      </c>
      <c r="C28" s="9">
        <v>487</v>
      </c>
      <c r="D28" s="9">
        <v>487</v>
      </c>
      <c r="E28" s="9">
        <v>487</v>
      </c>
      <c r="F28" s="9">
        <v>0</v>
      </c>
      <c r="G28" s="9">
        <v>0</v>
      </c>
      <c r="H28" s="9">
        <v>342</v>
      </c>
      <c r="I28" s="9">
        <v>245</v>
      </c>
      <c r="J28" s="9">
        <v>109</v>
      </c>
      <c r="K28" s="9">
        <v>200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166</v>
      </c>
      <c r="S28" s="9">
        <v>245</v>
      </c>
      <c r="T28" s="9">
        <v>0</v>
      </c>
      <c r="U28" s="9">
        <v>0</v>
      </c>
    </row>
    <row r="29" spans="1:21">
      <c r="A29" s="5">
        <v>1238605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116</v>
      </c>
      <c r="S29" s="9">
        <v>190</v>
      </c>
      <c r="T29" s="9">
        <v>0</v>
      </c>
      <c r="U29" s="9">
        <v>0</v>
      </c>
    </row>
    <row r="30" spans="1:21">
      <c r="A30" s="5">
        <v>1230685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220</v>
      </c>
      <c r="L30" s="9">
        <v>330</v>
      </c>
      <c r="M30" s="9">
        <v>0</v>
      </c>
      <c r="N30" s="9">
        <v>0</v>
      </c>
      <c r="O30" s="9">
        <v>330</v>
      </c>
      <c r="P30" s="9">
        <v>270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5" spans="1:21">
      <c r="A35" s="5" t="s">
        <v>0</v>
      </c>
      <c r="B35" s="9" t="s">
        <v>921</v>
      </c>
      <c r="C35" s="9" t="s">
        <v>922</v>
      </c>
      <c r="D35" s="9" t="s">
        <v>923</v>
      </c>
      <c r="E35" s="9" t="s">
        <v>924</v>
      </c>
      <c r="F35" s="9" t="s">
        <v>925</v>
      </c>
      <c r="G35" s="9" t="s">
        <v>926</v>
      </c>
      <c r="H35" s="9" t="s">
        <v>932</v>
      </c>
      <c r="I35" s="9" t="s">
        <v>933</v>
      </c>
      <c r="J35" s="9" t="s">
        <v>934</v>
      </c>
      <c r="K35" s="9" t="s">
        <v>935</v>
      </c>
      <c r="L35" s="9" t="s">
        <v>936</v>
      </c>
      <c r="M35" s="9" t="s">
        <v>937</v>
      </c>
      <c r="N35" s="9" t="s">
        <v>938</v>
      </c>
      <c r="O35" s="9" t="s">
        <v>990</v>
      </c>
      <c r="P35" s="9" t="s">
        <v>991</v>
      </c>
      <c r="Q35" s="9" t="s">
        <v>992</v>
      </c>
      <c r="R35" s="9" t="s">
        <v>993</v>
      </c>
      <c r="S35" s="9" t="s">
        <v>994</v>
      </c>
      <c r="T35" s="9" t="s">
        <v>995</v>
      </c>
      <c r="U35" s="9" t="s">
        <v>996</v>
      </c>
    </row>
    <row r="36" spans="1:21">
      <c r="A36" s="5">
        <v>1234614</v>
      </c>
      <c r="B36" s="9">
        <v>216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216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5">
        <v>1230692</v>
      </c>
      <c r="B37" s="9">
        <v>0</v>
      </c>
      <c r="C37" s="9">
        <v>0</v>
      </c>
      <c r="D37" s="9">
        <v>200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38" spans="1:21">
      <c r="A38" s="5">
        <v>1227306</v>
      </c>
      <c r="B38" s="9">
        <v>0</v>
      </c>
      <c r="C38" s="9">
        <v>81</v>
      </c>
      <c r="D38" s="9">
        <v>270</v>
      </c>
      <c r="E38" s="9">
        <v>249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500</v>
      </c>
      <c r="S38" s="9">
        <v>320</v>
      </c>
      <c r="T38" s="9">
        <v>0</v>
      </c>
      <c r="U38" s="9">
        <v>0</v>
      </c>
    </row>
    <row r="39" spans="1:21">
      <c r="A39" s="5">
        <v>1227359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1</v>
      </c>
      <c r="R39" s="9">
        <v>0</v>
      </c>
      <c r="S39" s="9">
        <v>0</v>
      </c>
      <c r="T39" s="9">
        <v>0</v>
      </c>
      <c r="U39" s="9">
        <v>0</v>
      </c>
    </row>
    <row r="40" spans="1:21">
      <c r="A40" s="5">
        <v>1231797</v>
      </c>
      <c r="B40" s="9">
        <v>0</v>
      </c>
      <c r="C40" s="9">
        <v>0</v>
      </c>
      <c r="D40" s="9">
        <v>130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>
      <c r="A41" s="5">
        <v>1229776</v>
      </c>
      <c r="B41" s="9">
        <v>0</v>
      </c>
      <c r="C41" s="9">
        <v>0</v>
      </c>
      <c r="D41" s="9">
        <v>0</v>
      </c>
      <c r="E41" s="9">
        <v>30</v>
      </c>
      <c r="F41" s="9">
        <v>0</v>
      </c>
      <c r="G41" s="9">
        <v>0</v>
      </c>
      <c r="H41" s="9">
        <v>60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90</v>
      </c>
      <c r="R41" s="9">
        <v>0</v>
      </c>
      <c r="S41" s="9">
        <v>0</v>
      </c>
      <c r="T41" s="9">
        <v>0</v>
      </c>
      <c r="U41" s="9">
        <v>0</v>
      </c>
    </row>
    <row r="42" spans="1:21">
      <c r="A42" s="5">
        <v>1231090</v>
      </c>
      <c r="B42" s="9">
        <v>0</v>
      </c>
      <c r="C42" s="9">
        <v>0</v>
      </c>
      <c r="D42" s="9">
        <v>0</v>
      </c>
      <c r="E42" s="9">
        <v>30</v>
      </c>
      <c r="F42" s="9">
        <v>0</v>
      </c>
      <c r="G42" s="9">
        <v>0</v>
      </c>
      <c r="H42" s="9">
        <v>60</v>
      </c>
      <c r="I42" s="9">
        <v>80</v>
      </c>
      <c r="J42" s="9">
        <v>435</v>
      </c>
      <c r="K42" s="9">
        <v>550</v>
      </c>
      <c r="L42" s="9">
        <v>530</v>
      </c>
      <c r="M42" s="9">
        <v>0</v>
      </c>
      <c r="N42" s="9">
        <v>0</v>
      </c>
      <c r="O42" s="9">
        <v>1120</v>
      </c>
      <c r="P42" s="9">
        <v>150</v>
      </c>
      <c r="Q42" s="9">
        <v>90</v>
      </c>
      <c r="R42" s="9">
        <v>0</v>
      </c>
      <c r="S42" s="9">
        <v>570</v>
      </c>
      <c r="T42" s="9">
        <v>0</v>
      </c>
      <c r="U42" s="9">
        <v>0</v>
      </c>
    </row>
    <row r="43" spans="1:21">
      <c r="A43" s="5">
        <v>1232066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198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5">
        <v>1232693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500</v>
      </c>
      <c r="Q44" s="9">
        <v>907</v>
      </c>
      <c r="R44" s="9">
        <v>336</v>
      </c>
      <c r="S44" s="9">
        <v>0</v>
      </c>
      <c r="T44" s="9">
        <v>0</v>
      </c>
      <c r="U44" s="9">
        <v>0</v>
      </c>
    </row>
    <row r="45" spans="1:21">
      <c r="A45" s="5">
        <v>1233025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500</v>
      </c>
      <c r="Q45" s="9">
        <v>907</v>
      </c>
      <c r="R45" s="9">
        <v>336</v>
      </c>
      <c r="S45" s="9">
        <v>0</v>
      </c>
      <c r="T45" s="9">
        <v>0</v>
      </c>
      <c r="U45" s="9">
        <v>0</v>
      </c>
    </row>
    <row r="46" spans="1:21">
      <c r="A46" s="5">
        <v>1234222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220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>
      <c r="A47" s="5">
        <v>1232528</v>
      </c>
      <c r="B47" s="9">
        <v>360</v>
      </c>
      <c r="C47" s="9">
        <v>233</v>
      </c>
      <c r="D47" s="9">
        <v>686</v>
      </c>
      <c r="E47" s="9">
        <v>781</v>
      </c>
      <c r="F47" s="9">
        <v>0</v>
      </c>
      <c r="G47" s="9">
        <v>0</v>
      </c>
      <c r="H47" s="9">
        <v>1372</v>
      </c>
      <c r="I47" s="9">
        <v>1253</v>
      </c>
      <c r="J47" s="9">
        <v>539</v>
      </c>
      <c r="K47" s="9">
        <v>350</v>
      </c>
      <c r="L47" s="9">
        <v>539</v>
      </c>
      <c r="M47" s="9">
        <v>0</v>
      </c>
      <c r="N47" s="9">
        <v>0</v>
      </c>
      <c r="O47" s="9">
        <v>1145</v>
      </c>
      <c r="P47" s="9">
        <v>700</v>
      </c>
      <c r="Q47" s="9">
        <v>600</v>
      </c>
      <c r="R47" s="9">
        <v>600</v>
      </c>
      <c r="S47" s="9">
        <v>3395</v>
      </c>
      <c r="T47" s="9">
        <v>0</v>
      </c>
      <c r="U47" s="9">
        <v>0</v>
      </c>
    </row>
    <row r="48" spans="1:21">
      <c r="A48" s="5">
        <v>1232846</v>
      </c>
      <c r="B48" s="9">
        <v>376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712</v>
      </c>
      <c r="R48" s="9">
        <v>379</v>
      </c>
      <c r="S48" s="9">
        <v>0</v>
      </c>
      <c r="T48" s="9">
        <v>0</v>
      </c>
      <c r="U48" s="9">
        <v>0</v>
      </c>
    </row>
    <row r="49" spans="1:21">
      <c r="A49" s="5">
        <v>1229050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151</v>
      </c>
      <c r="R49" s="9">
        <v>0</v>
      </c>
      <c r="S49" s="9">
        <v>0</v>
      </c>
      <c r="T49" s="9">
        <v>0</v>
      </c>
      <c r="U49" s="9">
        <v>0</v>
      </c>
    </row>
    <row r="50" spans="1:21">
      <c r="A50" s="5">
        <v>1220847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920</v>
      </c>
      <c r="P50" s="9">
        <v>0</v>
      </c>
      <c r="Q50" s="9">
        <v>0</v>
      </c>
      <c r="R50" s="9">
        <v>0</v>
      </c>
      <c r="S50" s="9">
        <v>4330</v>
      </c>
      <c r="T50" s="9">
        <v>0</v>
      </c>
      <c r="U50" s="9">
        <v>0</v>
      </c>
    </row>
    <row r="51" spans="1:21">
      <c r="A51" s="5">
        <v>1234217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50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5">
        <v>1234111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50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5">
        <v>1234110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50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5">
        <v>1232775</v>
      </c>
      <c r="B54" s="9">
        <v>0</v>
      </c>
      <c r="C54" s="9">
        <v>0</v>
      </c>
      <c r="D54" s="9">
        <v>295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141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286</v>
      </c>
      <c r="S54" s="9">
        <v>0</v>
      </c>
      <c r="T54" s="9">
        <v>0</v>
      </c>
      <c r="U54" s="9">
        <v>0</v>
      </c>
    </row>
    <row r="55" spans="1:21">
      <c r="A55" s="5">
        <v>1235097</v>
      </c>
      <c r="B55" s="9">
        <v>133</v>
      </c>
      <c r="C55" s="9">
        <v>0</v>
      </c>
      <c r="D55" s="9">
        <v>0</v>
      </c>
      <c r="E55" s="9">
        <v>67</v>
      </c>
      <c r="F55" s="9">
        <v>0</v>
      </c>
      <c r="G55" s="9">
        <v>0</v>
      </c>
      <c r="H55" s="9">
        <v>400</v>
      </c>
      <c r="I55" s="9">
        <v>400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</row>
    <row r="56" spans="1:21">
      <c r="A56" s="5">
        <v>1235958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1</v>
      </c>
      <c r="R56" s="9">
        <v>0</v>
      </c>
      <c r="S56" s="9">
        <v>0</v>
      </c>
      <c r="T56" s="9">
        <v>0</v>
      </c>
      <c r="U56" s="9">
        <v>0</v>
      </c>
    </row>
    <row r="57" spans="1:21">
      <c r="A57" s="5">
        <v>1236600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254</v>
      </c>
      <c r="K57" s="9">
        <v>600</v>
      </c>
      <c r="L57" s="9">
        <v>246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5">
        <v>1236619</v>
      </c>
      <c r="B58" s="9">
        <v>0</v>
      </c>
      <c r="C58" s="9">
        <v>0</v>
      </c>
      <c r="D58" s="9">
        <v>0</v>
      </c>
      <c r="E58" s="9">
        <v>198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5">
        <v>1236930</v>
      </c>
      <c r="B59" s="9">
        <v>188</v>
      </c>
      <c r="C59" s="9">
        <v>494</v>
      </c>
      <c r="D59" s="9">
        <v>336</v>
      </c>
      <c r="E59" s="9">
        <v>267</v>
      </c>
      <c r="F59" s="9">
        <v>0</v>
      </c>
      <c r="G59" s="9">
        <v>0</v>
      </c>
      <c r="H59" s="9">
        <v>339</v>
      </c>
      <c r="I59" s="9">
        <v>339</v>
      </c>
      <c r="J59" s="9">
        <v>700</v>
      </c>
      <c r="K59" s="9">
        <v>984</v>
      </c>
      <c r="L59" s="9">
        <v>585</v>
      </c>
      <c r="M59" s="9">
        <v>0</v>
      </c>
      <c r="N59" s="9">
        <v>0</v>
      </c>
      <c r="O59" s="9">
        <v>620</v>
      </c>
      <c r="P59" s="9">
        <v>400</v>
      </c>
      <c r="Q59" s="9">
        <v>200</v>
      </c>
      <c r="R59" s="9">
        <v>0</v>
      </c>
      <c r="S59" s="9">
        <v>288</v>
      </c>
      <c r="T59" s="9">
        <v>0</v>
      </c>
      <c r="U59" s="9">
        <v>0</v>
      </c>
    </row>
    <row r="60" spans="1:21">
      <c r="A60" s="5">
        <v>1232982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400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>
      <c r="A61" s="5">
        <v>1237468</v>
      </c>
      <c r="B61" s="9">
        <v>0</v>
      </c>
      <c r="C61" s="9">
        <v>0</v>
      </c>
      <c r="D61" s="9">
        <v>0</v>
      </c>
      <c r="E61" s="9">
        <v>248</v>
      </c>
      <c r="F61" s="9">
        <v>0</v>
      </c>
      <c r="G61" s="9">
        <v>0</v>
      </c>
      <c r="H61" s="9">
        <v>0</v>
      </c>
      <c r="I61" s="9">
        <v>37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5">
        <v>1237457</v>
      </c>
      <c r="B62" s="9">
        <v>54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56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5">
        <v>1237386</v>
      </c>
      <c r="B63" s="9">
        <v>0</v>
      </c>
      <c r="C63" s="9">
        <v>0</v>
      </c>
      <c r="D63" s="9">
        <v>80</v>
      </c>
      <c r="E63" s="9">
        <v>0</v>
      </c>
      <c r="F63" s="9">
        <v>0</v>
      </c>
      <c r="G63" s="9">
        <v>0</v>
      </c>
      <c r="H63" s="9">
        <v>0</v>
      </c>
      <c r="I63" s="9">
        <v>22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5">
        <v>1234905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300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200</v>
      </c>
      <c r="Q64" s="9">
        <v>280</v>
      </c>
      <c r="R64" s="9">
        <v>0</v>
      </c>
      <c r="S64" s="9">
        <v>0</v>
      </c>
      <c r="T64" s="9">
        <v>0</v>
      </c>
      <c r="U64" s="9">
        <v>0</v>
      </c>
    </row>
    <row r="65" spans="1:21">
      <c r="A65" s="5">
        <v>1238480</v>
      </c>
      <c r="B65" s="9">
        <v>1413</v>
      </c>
      <c r="C65" s="9">
        <v>1101</v>
      </c>
      <c r="D65" s="9">
        <v>1528</v>
      </c>
      <c r="E65" s="9">
        <v>615</v>
      </c>
      <c r="F65" s="9">
        <v>0</v>
      </c>
      <c r="G65" s="9">
        <v>0</v>
      </c>
      <c r="H65" s="9">
        <v>899</v>
      </c>
      <c r="I65" s="9">
        <v>694</v>
      </c>
      <c r="J65" s="9">
        <v>150</v>
      </c>
      <c r="K65" s="9">
        <v>611</v>
      </c>
      <c r="L65" s="9">
        <v>720</v>
      </c>
      <c r="M65" s="9">
        <v>0</v>
      </c>
      <c r="N65" s="9">
        <v>0</v>
      </c>
      <c r="O65" s="9">
        <v>1538</v>
      </c>
      <c r="P65" s="9">
        <v>1945</v>
      </c>
      <c r="Q65" s="9">
        <v>1543</v>
      </c>
      <c r="R65" s="9">
        <v>1806</v>
      </c>
      <c r="S65" s="9">
        <v>2305</v>
      </c>
      <c r="T65" s="9">
        <v>0</v>
      </c>
      <c r="U65" s="9">
        <v>0</v>
      </c>
    </row>
    <row r="66" spans="1:21">
      <c r="A66" s="5">
        <v>1238453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215</v>
      </c>
      <c r="R66" s="9">
        <v>426</v>
      </c>
      <c r="S66" s="9">
        <v>0</v>
      </c>
      <c r="T66" s="9">
        <v>0</v>
      </c>
      <c r="U66" s="9">
        <v>0</v>
      </c>
    </row>
    <row r="67" spans="1:21">
      <c r="A67" s="5">
        <v>1240029</v>
      </c>
      <c r="B67" s="9">
        <v>0</v>
      </c>
      <c r="C67" s="9">
        <v>0</v>
      </c>
      <c r="D67" s="9">
        <v>0</v>
      </c>
      <c r="E67" s="9">
        <v>136</v>
      </c>
      <c r="F67" s="9">
        <v>0</v>
      </c>
      <c r="G67" s="9">
        <v>0</v>
      </c>
      <c r="H67" s="9">
        <v>514</v>
      </c>
      <c r="I67" s="9">
        <v>50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</row>
    <row r="68" spans="1:21">
      <c r="A68" s="5">
        <v>1240032</v>
      </c>
      <c r="B68" s="9">
        <v>0</v>
      </c>
      <c r="C68" s="9">
        <v>0</v>
      </c>
      <c r="D68" s="9">
        <v>0</v>
      </c>
      <c r="E68" s="9">
        <v>136</v>
      </c>
      <c r="F68" s="9">
        <v>0</v>
      </c>
      <c r="G68" s="9">
        <v>0</v>
      </c>
      <c r="H68" s="9">
        <v>514</v>
      </c>
      <c r="I68" s="9">
        <v>50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</row>
    <row r="69" spans="1:21">
      <c r="A69" s="5">
        <v>1240180</v>
      </c>
      <c r="B69" s="9">
        <v>214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5">
        <v>1240184</v>
      </c>
      <c r="B70" s="9">
        <v>214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</row>
    <row r="71" spans="1:21">
      <c r="A71" s="5">
        <v>1216452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800</v>
      </c>
      <c r="J71" s="9">
        <v>295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90</v>
      </c>
      <c r="S71" s="9">
        <v>0</v>
      </c>
      <c r="T71" s="9">
        <v>1642</v>
      </c>
      <c r="U71" s="9">
        <v>0</v>
      </c>
    </row>
    <row r="72" spans="1:21">
      <c r="A72" s="5">
        <v>1232894</v>
      </c>
      <c r="B72" s="9">
        <v>376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712</v>
      </c>
      <c r="R72" s="9">
        <v>379</v>
      </c>
      <c r="S72" s="9">
        <v>0</v>
      </c>
      <c r="T72" s="9">
        <v>0</v>
      </c>
      <c r="U72" s="9">
        <v>0</v>
      </c>
    </row>
    <row r="73" spans="1:21">
      <c r="A73" s="5">
        <v>1233386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512</v>
      </c>
      <c r="R73" s="9">
        <v>0</v>
      </c>
      <c r="S73" s="9">
        <v>0</v>
      </c>
      <c r="T73" s="9">
        <v>0</v>
      </c>
      <c r="U73" s="9">
        <v>0</v>
      </c>
    </row>
    <row r="74" spans="1:21">
      <c r="A74" s="5">
        <v>1233387</v>
      </c>
      <c r="B74" s="9">
        <v>376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200</v>
      </c>
      <c r="R74" s="9">
        <v>128</v>
      </c>
      <c r="S74" s="9">
        <v>0</v>
      </c>
      <c r="T74" s="9">
        <v>0</v>
      </c>
      <c r="U74" s="9">
        <v>0</v>
      </c>
    </row>
    <row r="75" spans="1:21">
      <c r="A75" s="5">
        <v>1233385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251</v>
      </c>
      <c r="S75" s="9">
        <v>0</v>
      </c>
      <c r="T75" s="9">
        <v>0</v>
      </c>
      <c r="U75" s="9">
        <v>0</v>
      </c>
    </row>
    <row r="76" spans="1:21">
      <c r="A76" s="5">
        <v>1233580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200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</row>
  </sheetData>
  <phoneticPr fontId="1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57BD-0B61-4B92-9099-8D20DDF7D40C}">
  <sheetPr>
    <tabColor rgb="FFFFFF00"/>
  </sheetPr>
  <dimension ref="A2:N116"/>
  <sheetViews>
    <sheetView topLeftCell="A37" zoomScale="115" zoomScaleNormal="115" workbookViewId="0">
      <selection activeCell="B59" sqref="A59:XFD59"/>
    </sheetView>
  </sheetViews>
  <sheetFormatPr defaultColWidth="9.33203125" defaultRowHeight="12"/>
  <cols>
    <col min="1" max="1" width="9.5" style="5" bestFit="1" customWidth="1"/>
    <col min="2" max="2" width="10.1640625" style="19" bestFit="1" customWidth="1"/>
    <col min="3" max="12" width="12.83203125" style="9" customWidth="1"/>
    <col min="13" max="13" width="9.33203125" style="5"/>
    <col min="14" max="14" width="10.1640625" style="5" bestFit="1" customWidth="1"/>
    <col min="15" max="16384" width="9.33203125" style="5"/>
  </cols>
  <sheetData>
    <row r="2" spans="1:14">
      <c r="B2" s="81" t="s">
        <v>730</v>
      </c>
      <c r="C2" s="9">
        <f>+C3-C4</f>
        <v>0</v>
      </c>
      <c r="D2" s="9">
        <f t="shared" ref="D2:L2" si="0">+D3-D4</f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  <c r="I2" s="9">
        <f t="shared" si="0"/>
        <v>0</v>
      </c>
      <c r="J2" s="9">
        <f t="shared" si="0"/>
        <v>0</v>
      </c>
      <c r="K2" s="9">
        <f t="shared" si="0"/>
        <v>0</v>
      </c>
      <c r="L2" s="9">
        <f t="shared" si="0"/>
        <v>0</v>
      </c>
    </row>
    <row r="3" spans="1:14">
      <c r="B3" s="81" t="s">
        <v>729</v>
      </c>
      <c r="C3" s="9">
        <v>54655</v>
      </c>
      <c r="D3" s="9">
        <v>47394</v>
      </c>
      <c r="E3" s="9">
        <v>36901</v>
      </c>
      <c r="F3" s="9">
        <v>36158</v>
      </c>
      <c r="G3" s="9">
        <v>30019</v>
      </c>
      <c r="H3" s="9">
        <v>46315</v>
      </c>
      <c r="I3" s="9">
        <v>40659</v>
      </c>
      <c r="J3" s="9">
        <v>31057</v>
      </c>
      <c r="K3" s="9">
        <v>36770</v>
      </c>
      <c r="L3" s="9">
        <v>27179</v>
      </c>
    </row>
    <row r="4" spans="1:14">
      <c r="B4" s="195" t="s">
        <v>30</v>
      </c>
      <c r="C4" s="63">
        <f>+C5+C6</f>
        <v>54655</v>
      </c>
      <c r="D4" s="63">
        <f t="shared" ref="D4:L4" si="1">+D5+D6</f>
        <v>47394</v>
      </c>
      <c r="E4" s="63">
        <f t="shared" si="1"/>
        <v>36901</v>
      </c>
      <c r="F4" s="63">
        <f t="shared" si="1"/>
        <v>36158</v>
      </c>
      <c r="G4" s="63">
        <f t="shared" si="1"/>
        <v>30019</v>
      </c>
      <c r="H4" s="63">
        <f t="shared" si="1"/>
        <v>46315</v>
      </c>
      <c r="I4" s="63">
        <f t="shared" si="1"/>
        <v>40659</v>
      </c>
      <c r="J4" s="63">
        <f t="shared" si="1"/>
        <v>31057</v>
      </c>
      <c r="K4" s="63">
        <f t="shared" si="1"/>
        <v>36770</v>
      </c>
      <c r="L4" s="63">
        <f t="shared" si="1"/>
        <v>27179</v>
      </c>
    </row>
    <row r="5" spans="1:14">
      <c r="B5" s="81" t="s">
        <v>31</v>
      </c>
      <c r="C5" s="9">
        <f>SUM(C10:C38)</f>
        <v>30454</v>
      </c>
      <c r="D5" s="9">
        <f t="shared" ref="D5:L5" si="2">SUM(D10:D38)</f>
        <v>26192</v>
      </c>
      <c r="E5" s="9">
        <f t="shared" si="2"/>
        <v>24990</v>
      </c>
      <c r="F5" s="9">
        <f t="shared" si="2"/>
        <v>21488</v>
      </c>
      <c r="G5" s="9">
        <f t="shared" si="2"/>
        <v>13136</v>
      </c>
      <c r="H5" s="9">
        <f t="shared" si="2"/>
        <v>26590</v>
      </c>
      <c r="I5" s="9">
        <f t="shared" si="2"/>
        <v>22616</v>
      </c>
      <c r="J5" s="9">
        <f t="shared" si="2"/>
        <v>20118</v>
      </c>
      <c r="K5" s="9">
        <f t="shared" si="2"/>
        <v>17290</v>
      </c>
      <c r="L5" s="9">
        <f t="shared" si="2"/>
        <v>19984</v>
      </c>
    </row>
    <row r="6" spans="1:14">
      <c r="B6" s="81" t="s">
        <v>27</v>
      </c>
      <c r="C6" s="9">
        <f>SUM(C43:C103)</f>
        <v>24201</v>
      </c>
      <c r="D6" s="9">
        <f t="shared" ref="D6:L6" si="3">SUM(D43:D103)</f>
        <v>21202</v>
      </c>
      <c r="E6" s="9">
        <f t="shared" si="3"/>
        <v>11911</v>
      </c>
      <c r="F6" s="9">
        <f t="shared" si="3"/>
        <v>14670</v>
      </c>
      <c r="G6" s="9">
        <f t="shared" si="3"/>
        <v>16883</v>
      </c>
      <c r="H6" s="9">
        <f t="shared" si="3"/>
        <v>19725</v>
      </c>
      <c r="I6" s="9">
        <f t="shared" si="3"/>
        <v>18043</v>
      </c>
      <c r="J6" s="9">
        <f t="shared" si="3"/>
        <v>10939</v>
      </c>
      <c r="K6" s="9">
        <f t="shared" si="3"/>
        <v>19480</v>
      </c>
      <c r="L6" s="9">
        <f t="shared" si="3"/>
        <v>7195</v>
      </c>
    </row>
    <row r="8" spans="1:14" s="33" customFormat="1">
      <c r="A8" s="300" t="s">
        <v>24</v>
      </c>
      <c r="B8" s="300" t="s">
        <v>0</v>
      </c>
      <c r="C8" s="114" t="s">
        <v>764</v>
      </c>
      <c r="D8" s="114" t="s">
        <v>773</v>
      </c>
      <c r="E8" s="114" t="s">
        <v>796</v>
      </c>
      <c r="F8" s="114" t="s">
        <v>823</v>
      </c>
      <c r="G8" s="114" t="s">
        <v>847</v>
      </c>
      <c r="H8" s="114" t="s">
        <v>876</v>
      </c>
      <c r="I8" s="114" t="s">
        <v>902</v>
      </c>
      <c r="J8" s="114" t="s">
        <v>927</v>
      </c>
      <c r="K8" s="114" t="s">
        <v>939</v>
      </c>
      <c r="L8" s="114" t="s">
        <v>997</v>
      </c>
    </row>
    <row r="9" spans="1:14" s="33" customFormat="1">
      <c r="A9" s="300"/>
      <c r="B9" s="301"/>
      <c r="C9" s="60" t="s">
        <v>765</v>
      </c>
      <c r="D9" s="60" t="s">
        <v>774</v>
      </c>
      <c r="E9" s="60" t="s">
        <v>797</v>
      </c>
      <c r="F9" s="60" t="s">
        <v>824</v>
      </c>
      <c r="G9" s="60" t="s">
        <v>848</v>
      </c>
      <c r="H9" s="60" t="s">
        <v>877</v>
      </c>
      <c r="I9" s="60" t="s">
        <v>903</v>
      </c>
      <c r="J9" s="60" t="s">
        <v>928</v>
      </c>
      <c r="K9" s="60" t="s">
        <v>998</v>
      </c>
      <c r="L9" s="60" t="s">
        <v>999</v>
      </c>
    </row>
    <row r="10" spans="1:14">
      <c r="A10" s="29"/>
      <c r="B10" s="30">
        <v>1226384</v>
      </c>
      <c r="C10" s="32">
        <v>0</v>
      </c>
      <c r="D10" s="32">
        <v>710</v>
      </c>
      <c r="E10" s="32">
        <v>943</v>
      </c>
      <c r="F10" s="32">
        <v>0</v>
      </c>
      <c r="G10" s="32">
        <v>718</v>
      </c>
      <c r="H10" s="32">
        <v>0</v>
      </c>
      <c r="I10" s="32">
        <v>0</v>
      </c>
      <c r="J10" s="32">
        <v>0</v>
      </c>
      <c r="K10" s="32">
        <v>0</v>
      </c>
      <c r="L10" s="32">
        <v>600</v>
      </c>
      <c r="N10" s="78">
        <f>SUM(C10:L10)</f>
        <v>2971</v>
      </c>
    </row>
    <row r="11" spans="1:14">
      <c r="A11" s="29"/>
      <c r="B11" s="30">
        <v>1226388</v>
      </c>
      <c r="C11" s="32">
        <v>0</v>
      </c>
      <c r="D11" s="32">
        <v>710</v>
      </c>
      <c r="E11" s="32">
        <v>943</v>
      </c>
      <c r="F11" s="32">
        <v>0</v>
      </c>
      <c r="G11" s="32">
        <v>718</v>
      </c>
      <c r="H11" s="32">
        <v>0</v>
      </c>
      <c r="I11" s="32">
        <v>0</v>
      </c>
      <c r="J11" s="32">
        <v>0</v>
      </c>
      <c r="K11" s="32">
        <v>0</v>
      </c>
      <c r="L11" s="32">
        <v>600</v>
      </c>
      <c r="N11" s="78">
        <f t="shared" ref="N11:N74" si="4">SUM(C11:L11)</f>
        <v>2971</v>
      </c>
    </row>
    <row r="12" spans="1:14">
      <c r="A12" s="29"/>
      <c r="B12" s="30">
        <v>1229673</v>
      </c>
      <c r="C12" s="32">
        <v>600</v>
      </c>
      <c r="D12" s="32">
        <v>900</v>
      </c>
      <c r="E12" s="32">
        <v>900</v>
      </c>
      <c r="F12" s="32">
        <v>900</v>
      </c>
      <c r="G12" s="32">
        <v>0</v>
      </c>
      <c r="H12" s="32">
        <v>800</v>
      </c>
      <c r="I12" s="32">
        <v>700</v>
      </c>
      <c r="J12" s="32">
        <v>700</v>
      </c>
      <c r="K12" s="32">
        <v>0</v>
      </c>
      <c r="L12" s="32">
        <v>0</v>
      </c>
      <c r="N12" s="78">
        <f t="shared" si="4"/>
        <v>5500</v>
      </c>
    </row>
    <row r="13" spans="1:14">
      <c r="A13" s="29"/>
      <c r="B13" s="30">
        <v>1230692</v>
      </c>
      <c r="C13" s="32">
        <v>1000</v>
      </c>
      <c r="D13" s="32">
        <v>1000</v>
      </c>
      <c r="E13" s="32">
        <v>1000</v>
      </c>
      <c r="F13" s="32">
        <v>1000</v>
      </c>
      <c r="G13" s="32">
        <v>600</v>
      </c>
      <c r="H13" s="32">
        <v>800</v>
      </c>
      <c r="I13" s="32">
        <v>900</v>
      </c>
      <c r="J13" s="32">
        <v>900</v>
      </c>
      <c r="K13" s="32">
        <v>800</v>
      </c>
      <c r="L13" s="32">
        <v>1000</v>
      </c>
      <c r="N13" s="78">
        <f t="shared" si="4"/>
        <v>9000</v>
      </c>
    </row>
    <row r="14" spans="1:14">
      <c r="A14" s="29"/>
      <c r="B14" s="30">
        <v>1230696</v>
      </c>
      <c r="C14" s="32">
        <v>0</v>
      </c>
      <c r="D14" s="32">
        <v>200</v>
      </c>
      <c r="E14" s="32">
        <v>200</v>
      </c>
      <c r="F14" s="32">
        <v>0</v>
      </c>
      <c r="G14" s="32">
        <v>0</v>
      </c>
      <c r="H14" s="32">
        <v>100</v>
      </c>
      <c r="I14" s="32">
        <v>200</v>
      </c>
      <c r="J14" s="32">
        <v>100</v>
      </c>
      <c r="K14" s="32">
        <v>100</v>
      </c>
      <c r="L14" s="32">
        <v>200</v>
      </c>
      <c r="N14" s="78">
        <f t="shared" si="4"/>
        <v>1100</v>
      </c>
    </row>
    <row r="15" spans="1:14">
      <c r="A15" s="29"/>
      <c r="B15" s="30">
        <v>1230854</v>
      </c>
      <c r="C15" s="32">
        <v>0</v>
      </c>
      <c r="D15" s="32">
        <v>200</v>
      </c>
      <c r="E15" s="32">
        <v>100</v>
      </c>
      <c r="F15" s="32">
        <v>0</v>
      </c>
      <c r="G15" s="32">
        <v>0</v>
      </c>
      <c r="H15" s="32">
        <v>200</v>
      </c>
      <c r="I15" s="32">
        <v>0</v>
      </c>
      <c r="J15" s="32">
        <v>0</v>
      </c>
      <c r="K15" s="32">
        <v>0</v>
      </c>
      <c r="L15" s="32">
        <v>0</v>
      </c>
      <c r="N15" s="78">
        <f t="shared" si="4"/>
        <v>500</v>
      </c>
    </row>
    <row r="16" spans="1:14">
      <c r="A16" s="29"/>
      <c r="B16" s="30">
        <v>1231202</v>
      </c>
      <c r="C16" s="32">
        <v>0</v>
      </c>
      <c r="D16" s="32">
        <v>0</v>
      </c>
      <c r="E16" s="32">
        <v>100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N16" s="78">
        <f t="shared" si="4"/>
        <v>100</v>
      </c>
    </row>
    <row r="17" spans="1:14">
      <c r="A17" s="29"/>
      <c r="B17" s="30">
        <v>1231898</v>
      </c>
      <c r="C17" s="32">
        <v>2240</v>
      </c>
      <c r="D17" s="32">
        <v>1344</v>
      </c>
      <c r="E17" s="32">
        <v>896</v>
      </c>
      <c r="F17" s="32">
        <v>1344</v>
      </c>
      <c r="G17" s="32">
        <v>0</v>
      </c>
      <c r="H17" s="32">
        <v>1792</v>
      </c>
      <c r="I17" s="32">
        <v>1344</v>
      </c>
      <c r="J17" s="32">
        <v>1344</v>
      </c>
      <c r="K17" s="32">
        <v>448</v>
      </c>
      <c r="L17" s="32">
        <v>1304</v>
      </c>
      <c r="N17" s="78">
        <f t="shared" si="4"/>
        <v>12056</v>
      </c>
    </row>
    <row r="18" spans="1:14">
      <c r="A18" s="29"/>
      <c r="B18" s="30">
        <v>1233492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500</v>
      </c>
      <c r="I18" s="32">
        <v>500</v>
      </c>
      <c r="J18" s="32">
        <v>0</v>
      </c>
      <c r="K18" s="32">
        <v>0</v>
      </c>
      <c r="L18" s="32">
        <v>500</v>
      </c>
      <c r="N18" s="78">
        <f t="shared" si="4"/>
        <v>1500</v>
      </c>
    </row>
    <row r="19" spans="1:14">
      <c r="A19" s="29"/>
      <c r="B19" s="30">
        <v>1233498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500</v>
      </c>
      <c r="I19" s="32">
        <v>500</v>
      </c>
      <c r="J19" s="32">
        <v>0</v>
      </c>
      <c r="K19" s="32">
        <v>0</v>
      </c>
      <c r="L19" s="32">
        <v>500</v>
      </c>
      <c r="N19" s="78">
        <f t="shared" si="4"/>
        <v>1500</v>
      </c>
    </row>
    <row r="20" spans="1:14">
      <c r="A20" s="29"/>
      <c r="B20" s="30">
        <v>1233623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500</v>
      </c>
      <c r="I20" s="32">
        <v>500</v>
      </c>
      <c r="J20" s="32">
        <v>0</v>
      </c>
      <c r="K20" s="32">
        <v>0</v>
      </c>
      <c r="L20" s="32">
        <v>500</v>
      </c>
      <c r="N20" s="78">
        <f t="shared" si="4"/>
        <v>1500</v>
      </c>
    </row>
    <row r="21" spans="1:14">
      <c r="A21" s="29"/>
      <c r="B21" s="30">
        <v>1233761</v>
      </c>
      <c r="C21" s="32">
        <v>0</v>
      </c>
      <c r="D21" s="32">
        <v>200</v>
      </c>
      <c r="E21" s="32">
        <v>250</v>
      </c>
      <c r="F21" s="32">
        <v>200</v>
      </c>
      <c r="G21" s="32">
        <v>0</v>
      </c>
      <c r="H21" s="32">
        <v>0</v>
      </c>
      <c r="I21" s="32">
        <v>150</v>
      </c>
      <c r="J21" s="32">
        <v>200</v>
      </c>
      <c r="K21" s="32">
        <v>100</v>
      </c>
      <c r="L21" s="32">
        <v>0</v>
      </c>
      <c r="N21" s="78">
        <f t="shared" si="4"/>
        <v>1100</v>
      </c>
    </row>
    <row r="22" spans="1:14">
      <c r="A22" s="29"/>
      <c r="B22" s="30">
        <v>1233877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120</v>
      </c>
      <c r="K22" s="32">
        <v>0</v>
      </c>
      <c r="L22" s="32">
        <v>0</v>
      </c>
      <c r="N22" s="78">
        <f t="shared" si="4"/>
        <v>120</v>
      </c>
    </row>
    <row r="23" spans="1:14">
      <c r="A23" s="29"/>
      <c r="B23" s="30">
        <v>1234614</v>
      </c>
      <c r="C23" s="32">
        <v>300</v>
      </c>
      <c r="D23" s="32">
        <v>300</v>
      </c>
      <c r="E23" s="32">
        <v>300</v>
      </c>
      <c r="F23" s="32">
        <v>0</v>
      </c>
      <c r="G23" s="32">
        <v>0</v>
      </c>
      <c r="H23" s="32">
        <v>300</v>
      </c>
      <c r="I23" s="32">
        <v>300</v>
      </c>
      <c r="J23" s="32">
        <v>300</v>
      </c>
      <c r="K23" s="32">
        <v>0</v>
      </c>
      <c r="L23" s="32">
        <v>300</v>
      </c>
      <c r="N23" s="78">
        <f t="shared" si="4"/>
        <v>2100</v>
      </c>
    </row>
    <row r="24" spans="1:14">
      <c r="A24" s="29"/>
      <c r="B24" s="30">
        <v>1235623</v>
      </c>
      <c r="C24" s="32">
        <v>1872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1872</v>
      </c>
      <c r="L24" s="32">
        <v>0</v>
      </c>
      <c r="N24" s="78">
        <f t="shared" si="4"/>
        <v>3744</v>
      </c>
    </row>
    <row r="25" spans="1:14">
      <c r="A25" s="29"/>
      <c r="B25" s="30">
        <v>1236091</v>
      </c>
      <c r="C25" s="32">
        <v>0</v>
      </c>
      <c r="D25" s="32">
        <v>200</v>
      </c>
      <c r="E25" s="32">
        <v>300</v>
      </c>
      <c r="F25" s="32">
        <v>0</v>
      </c>
      <c r="G25" s="32">
        <v>0</v>
      </c>
      <c r="H25" s="32">
        <v>250</v>
      </c>
      <c r="I25" s="32">
        <v>250</v>
      </c>
      <c r="J25" s="32">
        <v>0</v>
      </c>
      <c r="K25" s="32">
        <v>0</v>
      </c>
      <c r="L25" s="32">
        <v>0</v>
      </c>
      <c r="N25" s="78">
        <f t="shared" si="4"/>
        <v>1000</v>
      </c>
    </row>
    <row r="26" spans="1:14">
      <c r="A26" s="29"/>
      <c r="B26" s="30">
        <v>1236488</v>
      </c>
      <c r="C26" s="32">
        <v>800</v>
      </c>
      <c r="D26" s="32">
        <v>800</v>
      </c>
      <c r="E26" s="32">
        <v>800</v>
      </c>
      <c r="F26" s="32">
        <v>900</v>
      </c>
      <c r="G26" s="32">
        <v>1400</v>
      </c>
      <c r="H26" s="32">
        <v>700</v>
      </c>
      <c r="I26" s="32">
        <v>700</v>
      </c>
      <c r="J26" s="32">
        <v>700</v>
      </c>
      <c r="K26" s="32">
        <v>600</v>
      </c>
      <c r="L26" s="32">
        <v>700</v>
      </c>
      <c r="N26" s="78">
        <f t="shared" si="4"/>
        <v>8100</v>
      </c>
    </row>
    <row r="27" spans="1:14">
      <c r="A27" s="29"/>
      <c r="B27" s="30">
        <v>1236534</v>
      </c>
      <c r="C27" s="32">
        <v>0</v>
      </c>
      <c r="D27" s="32">
        <v>0</v>
      </c>
      <c r="E27" s="32">
        <v>200</v>
      </c>
      <c r="F27" s="32">
        <v>200</v>
      </c>
      <c r="G27" s="32">
        <v>0</v>
      </c>
      <c r="H27" s="32">
        <v>300</v>
      </c>
      <c r="I27" s="32">
        <v>300</v>
      </c>
      <c r="J27" s="32">
        <v>0</v>
      </c>
      <c r="K27" s="32">
        <v>0</v>
      </c>
      <c r="L27" s="32">
        <v>300</v>
      </c>
      <c r="N27" s="78">
        <f t="shared" si="4"/>
        <v>1300</v>
      </c>
    </row>
    <row r="28" spans="1:14">
      <c r="A28" s="29"/>
      <c r="B28" s="30">
        <v>1236962</v>
      </c>
      <c r="C28" s="32">
        <v>1200</v>
      </c>
      <c r="D28" s="32">
        <v>1000</v>
      </c>
      <c r="E28" s="32">
        <v>1000</v>
      </c>
      <c r="F28" s="32">
        <v>900</v>
      </c>
      <c r="G28" s="32">
        <v>400</v>
      </c>
      <c r="H28" s="32">
        <v>700</v>
      </c>
      <c r="I28" s="32">
        <v>700</v>
      </c>
      <c r="J28" s="32">
        <v>700</v>
      </c>
      <c r="K28" s="32">
        <v>650</v>
      </c>
      <c r="L28" s="32">
        <v>700</v>
      </c>
      <c r="N28" s="78">
        <f t="shared" si="4"/>
        <v>7950</v>
      </c>
    </row>
    <row r="29" spans="1:14">
      <c r="A29" s="29"/>
      <c r="B29" s="30">
        <v>1237088</v>
      </c>
      <c r="C29" s="32">
        <v>5986</v>
      </c>
      <c r="D29" s="32">
        <v>3940</v>
      </c>
      <c r="E29" s="32">
        <v>3044</v>
      </c>
      <c r="F29" s="32">
        <v>3244</v>
      </c>
      <c r="G29" s="32">
        <v>1200</v>
      </c>
      <c r="H29" s="32">
        <v>2992</v>
      </c>
      <c r="I29" s="32">
        <v>2444</v>
      </c>
      <c r="J29" s="32">
        <v>2244</v>
      </c>
      <c r="K29" s="32">
        <v>1996</v>
      </c>
      <c r="L29" s="32">
        <v>1300</v>
      </c>
      <c r="N29" s="78">
        <f t="shared" si="4"/>
        <v>28390</v>
      </c>
    </row>
    <row r="30" spans="1:14">
      <c r="A30" s="29"/>
      <c r="B30" s="30">
        <v>1237586</v>
      </c>
      <c r="C30" s="32">
        <v>2240</v>
      </c>
      <c r="D30" s="32">
        <v>1344</v>
      </c>
      <c r="E30" s="32">
        <v>896</v>
      </c>
      <c r="F30" s="32">
        <v>1344</v>
      </c>
      <c r="G30" s="32">
        <v>0</v>
      </c>
      <c r="H30" s="32">
        <v>1792</v>
      </c>
      <c r="I30" s="32">
        <v>1344</v>
      </c>
      <c r="J30" s="32">
        <v>1344</v>
      </c>
      <c r="K30" s="32">
        <v>448</v>
      </c>
      <c r="L30" s="32">
        <v>1304</v>
      </c>
      <c r="N30" s="78">
        <f t="shared" si="4"/>
        <v>12056</v>
      </c>
    </row>
    <row r="31" spans="1:14">
      <c r="A31" s="29"/>
      <c r="B31" s="30">
        <v>1237748</v>
      </c>
      <c r="C31" s="32">
        <v>0</v>
      </c>
      <c r="D31" s="32">
        <v>150</v>
      </c>
      <c r="E31" s="32">
        <v>0</v>
      </c>
      <c r="F31" s="32">
        <v>0</v>
      </c>
      <c r="G31" s="32">
        <v>572</v>
      </c>
      <c r="H31" s="32">
        <v>450</v>
      </c>
      <c r="I31" s="32">
        <v>0</v>
      </c>
      <c r="J31" s="32">
        <v>0</v>
      </c>
      <c r="K31" s="32">
        <v>676</v>
      </c>
      <c r="L31" s="32">
        <v>0</v>
      </c>
      <c r="N31" s="78">
        <f t="shared" si="4"/>
        <v>1848</v>
      </c>
    </row>
    <row r="32" spans="1:14">
      <c r="A32" s="29"/>
      <c r="B32" s="30">
        <v>1238128</v>
      </c>
      <c r="C32" s="32">
        <v>2816</v>
      </c>
      <c r="D32" s="32">
        <v>1120</v>
      </c>
      <c r="E32" s="32">
        <v>1736</v>
      </c>
      <c r="F32" s="32">
        <v>1896</v>
      </c>
      <c r="G32" s="32">
        <v>2536</v>
      </c>
      <c r="H32" s="32">
        <v>2752</v>
      </c>
      <c r="I32" s="32">
        <v>2004</v>
      </c>
      <c r="J32" s="32">
        <v>2116</v>
      </c>
      <c r="K32" s="32">
        <v>3500</v>
      </c>
      <c r="L32" s="32">
        <v>3076</v>
      </c>
      <c r="N32" s="78">
        <f t="shared" si="4"/>
        <v>23552</v>
      </c>
    </row>
    <row r="33" spans="1:14">
      <c r="A33" s="29"/>
      <c r="B33" s="30">
        <v>1239651</v>
      </c>
      <c r="C33" s="32">
        <v>500</v>
      </c>
      <c r="D33" s="32">
        <v>400</v>
      </c>
      <c r="E33" s="32">
        <v>500</v>
      </c>
      <c r="F33" s="32">
        <v>450</v>
      </c>
      <c r="G33" s="32">
        <v>150</v>
      </c>
      <c r="H33" s="32">
        <v>400</v>
      </c>
      <c r="I33" s="32">
        <v>400</v>
      </c>
      <c r="J33" s="32">
        <v>450</v>
      </c>
      <c r="K33" s="32">
        <v>0</v>
      </c>
      <c r="L33" s="32">
        <v>300</v>
      </c>
      <c r="N33" s="78">
        <f t="shared" si="4"/>
        <v>3550</v>
      </c>
    </row>
    <row r="34" spans="1:14">
      <c r="A34" s="29"/>
      <c r="B34" s="30">
        <v>1239988</v>
      </c>
      <c r="C34" s="32">
        <v>614</v>
      </c>
      <c r="D34" s="32">
        <v>1500</v>
      </c>
      <c r="E34" s="32">
        <v>1616</v>
      </c>
      <c r="F34" s="32">
        <v>1150</v>
      </c>
      <c r="G34" s="32">
        <v>600</v>
      </c>
      <c r="H34" s="32">
        <v>3100</v>
      </c>
      <c r="I34" s="32">
        <v>1524</v>
      </c>
      <c r="J34" s="32">
        <v>500</v>
      </c>
      <c r="K34" s="32">
        <v>400</v>
      </c>
      <c r="L34" s="32">
        <v>600</v>
      </c>
      <c r="N34" s="78">
        <f t="shared" si="4"/>
        <v>11604</v>
      </c>
    </row>
    <row r="35" spans="1:14">
      <c r="A35" s="29"/>
      <c r="B35" s="30">
        <v>1240180</v>
      </c>
      <c r="C35" s="32">
        <v>1188</v>
      </c>
      <c r="D35" s="32">
        <v>1950</v>
      </c>
      <c r="E35" s="32">
        <v>1766</v>
      </c>
      <c r="F35" s="32">
        <v>1455</v>
      </c>
      <c r="G35" s="32">
        <v>696</v>
      </c>
      <c r="H35" s="32">
        <v>1606</v>
      </c>
      <c r="I35" s="32">
        <v>1453</v>
      </c>
      <c r="J35" s="32">
        <v>1750</v>
      </c>
      <c r="K35" s="32">
        <v>1000</v>
      </c>
      <c r="L35" s="32">
        <v>1150</v>
      </c>
      <c r="N35" s="78">
        <f t="shared" si="4"/>
        <v>14014</v>
      </c>
    </row>
    <row r="36" spans="1:14">
      <c r="A36" s="29"/>
      <c r="B36" s="30">
        <v>1240184</v>
      </c>
      <c r="C36" s="32">
        <v>1188</v>
      </c>
      <c r="D36" s="32">
        <v>1750</v>
      </c>
      <c r="E36" s="32">
        <v>1500</v>
      </c>
      <c r="F36" s="32">
        <v>1155</v>
      </c>
      <c r="G36" s="32">
        <v>696</v>
      </c>
      <c r="H36" s="32">
        <v>1606</v>
      </c>
      <c r="I36" s="32">
        <v>1453</v>
      </c>
      <c r="J36" s="32">
        <v>1650</v>
      </c>
      <c r="K36" s="32">
        <v>900</v>
      </c>
      <c r="L36" s="32">
        <v>1150</v>
      </c>
      <c r="N36" s="78">
        <f t="shared" si="4"/>
        <v>13048</v>
      </c>
    </row>
    <row r="37" spans="1:14">
      <c r="A37" s="29"/>
      <c r="B37" s="30">
        <v>1240308</v>
      </c>
      <c r="C37" s="32">
        <v>750</v>
      </c>
      <c r="D37" s="32">
        <v>974</v>
      </c>
      <c r="E37" s="32">
        <v>750</v>
      </c>
      <c r="F37" s="32">
        <v>350</v>
      </c>
      <c r="G37" s="32">
        <v>0</v>
      </c>
      <c r="H37" s="32">
        <v>150</v>
      </c>
      <c r="I37" s="32">
        <v>650</v>
      </c>
      <c r="J37" s="32">
        <v>450</v>
      </c>
      <c r="K37" s="32">
        <v>100</v>
      </c>
      <c r="L37" s="32">
        <v>0</v>
      </c>
      <c r="N37" s="78">
        <f t="shared" si="4"/>
        <v>4174</v>
      </c>
    </row>
    <row r="38" spans="1:14">
      <c r="A38" s="29"/>
      <c r="B38" s="30">
        <v>1241601</v>
      </c>
      <c r="C38" s="32">
        <v>7160</v>
      </c>
      <c r="D38" s="32">
        <v>5500</v>
      </c>
      <c r="E38" s="32">
        <v>5250</v>
      </c>
      <c r="F38" s="32">
        <v>5000</v>
      </c>
      <c r="G38" s="32">
        <v>2850</v>
      </c>
      <c r="H38" s="32">
        <v>4300</v>
      </c>
      <c r="I38" s="32">
        <v>4300</v>
      </c>
      <c r="J38" s="32">
        <v>4550</v>
      </c>
      <c r="K38" s="32">
        <v>3700</v>
      </c>
      <c r="L38" s="32">
        <v>3900</v>
      </c>
      <c r="N38" s="78">
        <f t="shared" si="4"/>
        <v>46510</v>
      </c>
    </row>
    <row r="39" spans="1:14">
      <c r="N39" s="78">
        <f t="shared" si="4"/>
        <v>0</v>
      </c>
    </row>
    <row r="40" spans="1:14">
      <c r="N40" s="78">
        <f t="shared" si="4"/>
        <v>0</v>
      </c>
    </row>
    <row r="41" spans="1:14" s="62" customFormat="1">
      <c r="A41" s="300" t="s">
        <v>24</v>
      </c>
      <c r="B41" s="300" t="s">
        <v>0</v>
      </c>
      <c r="C41" s="114" t="s">
        <v>764</v>
      </c>
      <c r="D41" s="114" t="s">
        <v>773</v>
      </c>
      <c r="E41" s="114" t="s">
        <v>796</v>
      </c>
      <c r="F41" s="114" t="s">
        <v>823</v>
      </c>
      <c r="G41" s="114" t="s">
        <v>847</v>
      </c>
      <c r="H41" s="114" t="s">
        <v>876</v>
      </c>
      <c r="I41" s="114" t="s">
        <v>902</v>
      </c>
      <c r="J41" s="114" t="s">
        <v>927</v>
      </c>
      <c r="K41" s="114" t="s">
        <v>939</v>
      </c>
      <c r="L41" s="114" t="s">
        <v>997</v>
      </c>
      <c r="N41" s="78">
        <f t="shared" si="4"/>
        <v>0</v>
      </c>
    </row>
    <row r="42" spans="1:14" s="62" customFormat="1">
      <c r="A42" s="300"/>
      <c r="B42" s="301"/>
      <c r="C42" s="60" t="s">
        <v>765</v>
      </c>
      <c r="D42" s="60" t="s">
        <v>774</v>
      </c>
      <c r="E42" s="60" t="s">
        <v>797</v>
      </c>
      <c r="F42" s="60" t="s">
        <v>824</v>
      </c>
      <c r="G42" s="60" t="s">
        <v>848</v>
      </c>
      <c r="H42" s="60" t="s">
        <v>877</v>
      </c>
      <c r="I42" s="60" t="s">
        <v>903</v>
      </c>
      <c r="J42" s="60" t="s">
        <v>928</v>
      </c>
      <c r="K42" s="60" t="s">
        <v>998</v>
      </c>
      <c r="L42" s="60" t="s">
        <v>999</v>
      </c>
      <c r="N42" s="78">
        <f t="shared" si="4"/>
        <v>0</v>
      </c>
    </row>
    <row r="43" spans="1:14">
      <c r="B43" s="19">
        <v>1216452</v>
      </c>
      <c r="C43" s="9">
        <v>90</v>
      </c>
      <c r="D43" s="9">
        <v>0</v>
      </c>
      <c r="E43" s="9">
        <v>0</v>
      </c>
      <c r="F43" s="9">
        <v>324</v>
      </c>
      <c r="G43" s="9">
        <v>1152</v>
      </c>
      <c r="H43" s="9">
        <v>288</v>
      </c>
      <c r="I43" s="9">
        <v>0</v>
      </c>
      <c r="J43" s="9">
        <v>324</v>
      </c>
      <c r="K43" s="9">
        <v>288</v>
      </c>
      <c r="L43" s="9">
        <v>900</v>
      </c>
      <c r="N43" s="78">
        <f t="shared" si="4"/>
        <v>3366</v>
      </c>
    </row>
    <row r="44" spans="1:14">
      <c r="B44" s="19">
        <v>1220847</v>
      </c>
      <c r="C44" s="9">
        <v>36</v>
      </c>
      <c r="D44" s="9">
        <v>1260</v>
      </c>
      <c r="E44" s="9">
        <v>0</v>
      </c>
      <c r="F44" s="9">
        <v>0</v>
      </c>
      <c r="G44" s="9">
        <v>0</v>
      </c>
      <c r="H44" s="9">
        <v>50</v>
      </c>
      <c r="I44" s="9">
        <v>1050</v>
      </c>
      <c r="J44" s="9">
        <v>0</v>
      </c>
      <c r="K44" s="9">
        <v>0</v>
      </c>
      <c r="L44" s="9">
        <v>0</v>
      </c>
      <c r="N44" s="78">
        <f t="shared" si="4"/>
        <v>2396</v>
      </c>
    </row>
    <row r="45" spans="1:14">
      <c r="B45" s="19">
        <v>1221967</v>
      </c>
      <c r="C45" s="9">
        <v>0</v>
      </c>
      <c r="D45" s="9">
        <v>0</v>
      </c>
      <c r="E45" s="9">
        <v>0</v>
      </c>
      <c r="F45" s="9">
        <v>205</v>
      </c>
      <c r="G45" s="9">
        <v>0</v>
      </c>
      <c r="H45" s="9">
        <v>0</v>
      </c>
      <c r="I45" s="9">
        <v>0</v>
      </c>
      <c r="J45" s="9">
        <v>0</v>
      </c>
      <c r="K45" s="9">
        <v>351</v>
      </c>
      <c r="L45" s="9">
        <v>0</v>
      </c>
      <c r="N45" s="78">
        <f t="shared" si="4"/>
        <v>556</v>
      </c>
    </row>
    <row r="46" spans="1:14">
      <c r="B46" s="19">
        <v>1225464</v>
      </c>
      <c r="C46" s="9">
        <v>1008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756</v>
      </c>
      <c r="J46" s="9">
        <v>0</v>
      </c>
      <c r="K46" s="9">
        <v>0</v>
      </c>
      <c r="L46" s="9">
        <v>0</v>
      </c>
      <c r="N46" s="78">
        <f t="shared" si="4"/>
        <v>1764</v>
      </c>
    </row>
    <row r="47" spans="1:14">
      <c r="B47" s="19">
        <v>1227306</v>
      </c>
      <c r="C47" s="9">
        <v>500</v>
      </c>
      <c r="D47" s="9">
        <v>800</v>
      </c>
      <c r="E47" s="9">
        <v>850</v>
      </c>
      <c r="F47" s="9">
        <v>200</v>
      </c>
      <c r="G47" s="9">
        <v>0</v>
      </c>
      <c r="H47" s="9">
        <v>400</v>
      </c>
      <c r="I47" s="9">
        <v>750</v>
      </c>
      <c r="J47" s="9">
        <v>300</v>
      </c>
      <c r="K47" s="9">
        <v>0</v>
      </c>
      <c r="L47" s="9">
        <v>0</v>
      </c>
      <c r="N47" s="78">
        <f t="shared" si="4"/>
        <v>3800</v>
      </c>
    </row>
    <row r="48" spans="1:14">
      <c r="B48" s="19">
        <v>1229050</v>
      </c>
      <c r="C48" s="9">
        <v>0</v>
      </c>
      <c r="D48" s="9">
        <v>0</v>
      </c>
      <c r="E48" s="9">
        <v>0</v>
      </c>
      <c r="F48" s="9">
        <v>0</v>
      </c>
      <c r="G48" s="9">
        <v>205</v>
      </c>
      <c r="H48" s="9">
        <v>0</v>
      </c>
      <c r="I48" s="9">
        <v>0</v>
      </c>
      <c r="J48" s="9">
        <v>0</v>
      </c>
      <c r="K48" s="9">
        <v>225</v>
      </c>
      <c r="L48" s="9">
        <v>0</v>
      </c>
      <c r="N48" s="78">
        <f t="shared" si="4"/>
        <v>430</v>
      </c>
    </row>
    <row r="49" spans="2:14">
      <c r="B49" s="19">
        <v>1229088</v>
      </c>
      <c r="C49" s="9">
        <v>0</v>
      </c>
      <c r="D49" s="9">
        <v>200</v>
      </c>
      <c r="E49" s="9">
        <v>0</v>
      </c>
      <c r="F49" s="9">
        <v>0</v>
      </c>
      <c r="G49" s="9">
        <v>0</v>
      </c>
      <c r="H49" s="9">
        <v>150</v>
      </c>
      <c r="I49" s="9">
        <v>0</v>
      </c>
      <c r="J49" s="9">
        <v>0</v>
      </c>
      <c r="K49" s="9">
        <v>0</v>
      </c>
      <c r="L49" s="9">
        <v>0</v>
      </c>
      <c r="N49" s="78">
        <f t="shared" si="4"/>
        <v>350</v>
      </c>
    </row>
    <row r="50" spans="2:14">
      <c r="B50" s="19">
        <v>1229776</v>
      </c>
      <c r="C50" s="9">
        <v>90</v>
      </c>
      <c r="D50" s="9">
        <v>0</v>
      </c>
      <c r="E50" s="9">
        <v>200</v>
      </c>
      <c r="F50" s="9">
        <v>0</v>
      </c>
      <c r="G50" s="9">
        <v>0</v>
      </c>
      <c r="H50" s="9">
        <v>0</v>
      </c>
      <c r="I50" s="9">
        <v>100</v>
      </c>
      <c r="J50" s="9">
        <v>0</v>
      </c>
      <c r="K50" s="9">
        <v>90</v>
      </c>
      <c r="L50" s="9">
        <v>0</v>
      </c>
      <c r="N50" s="78">
        <f t="shared" si="4"/>
        <v>480</v>
      </c>
    </row>
    <row r="51" spans="2:14">
      <c r="B51" s="19">
        <v>1230685</v>
      </c>
      <c r="C51" s="9">
        <v>0</v>
      </c>
      <c r="D51" s="9">
        <v>200</v>
      </c>
      <c r="E51" s="9">
        <v>200</v>
      </c>
      <c r="F51" s="9">
        <v>100</v>
      </c>
      <c r="G51" s="9">
        <v>0</v>
      </c>
      <c r="H51" s="9">
        <v>0</v>
      </c>
      <c r="I51" s="9">
        <v>200</v>
      </c>
      <c r="J51" s="9">
        <v>100</v>
      </c>
      <c r="K51" s="9">
        <v>0</v>
      </c>
      <c r="L51" s="9">
        <v>0</v>
      </c>
      <c r="N51" s="78">
        <f t="shared" si="4"/>
        <v>800</v>
      </c>
    </row>
    <row r="52" spans="2:14">
      <c r="B52" s="19">
        <v>1230791</v>
      </c>
      <c r="C52" s="9">
        <v>26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N52" s="78">
        <f t="shared" si="4"/>
        <v>26</v>
      </c>
    </row>
    <row r="53" spans="2:14">
      <c r="B53" s="19">
        <v>1231011</v>
      </c>
      <c r="C53" s="9">
        <v>0</v>
      </c>
      <c r="D53" s="9">
        <v>0</v>
      </c>
      <c r="E53" s="9">
        <v>300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N53" s="78">
        <f t="shared" si="4"/>
        <v>300</v>
      </c>
    </row>
    <row r="54" spans="2:14">
      <c r="B54" s="19">
        <v>1231090</v>
      </c>
      <c r="C54" s="9">
        <v>90</v>
      </c>
      <c r="D54" s="9">
        <v>540</v>
      </c>
      <c r="E54" s="9">
        <v>200</v>
      </c>
      <c r="F54" s="9">
        <v>0</v>
      </c>
      <c r="G54" s="9">
        <v>1250</v>
      </c>
      <c r="H54" s="9">
        <v>0</v>
      </c>
      <c r="I54" s="9">
        <v>100</v>
      </c>
      <c r="J54" s="9">
        <v>0</v>
      </c>
      <c r="K54" s="9">
        <v>1080</v>
      </c>
      <c r="L54" s="9">
        <v>0</v>
      </c>
      <c r="N54" s="78">
        <f t="shared" si="4"/>
        <v>3260</v>
      </c>
    </row>
    <row r="55" spans="2:14">
      <c r="B55" s="19">
        <v>1231578</v>
      </c>
      <c r="C55" s="9">
        <v>0</v>
      </c>
      <c r="D55" s="9">
        <v>500</v>
      </c>
      <c r="E55" s="9">
        <v>300</v>
      </c>
      <c r="F55" s="9">
        <v>200</v>
      </c>
      <c r="G55" s="9">
        <v>0</v>
      </c>
      <c r="H55" s="9">
        <v>0</v>
      </c>
      <c r="I55" s="9">
        <v>600</v>
      </c>
      <c r="J55" s="9">
        <v>200</v>
      </c>
      <c r="K55" s="9">
        <v>0</v>
      </c>
      <c r="L55" s="9">
        <v>0</v>
      </c>
      <c r="N55" s="78">
        <f t="shared" si="4"/>
        <v>1800</v>
      </c>
    </row>
    <row r="56" spans="2:14">
      <c r="B56" s="19">
        <v>1231797</v>
      </c>
      <c r="C56" s="9">
        <v>0</v>
      </c>
      <c r="D56" s="9">
        <v>0</v>
      </c>
      <c r="E56" s="9">
        <v>0</v>
      </c>
      <c r="F56" s="9">
        <v>154</v>
      </c>
      <c r="G56" s="9">
        <v>0</v>
      </c>
      <c r="H56" s="9">
        <v>0</v>
      </c>
      <c r="I56" s="9">
        <v>0</v>
      </c>
      <c r="J56" s="9">
        <v>154</v>
      </c>
      <c r="K56" s="9">
        <v>0</v>
      </c>
      <c r="L56" s="9">
        <v>0</v>
      </c>
      <c r="N56" s="78">
        <f t="shared" si="4"/>
        <v>308</v>
      </c>
    </row>
    <row r="57" spans="2:14">
      <c r="B57" s="19">
        <v>1231860</v>
      </c>
      <c r="C57" s="9">
        <v>0</v>
      </c>
      <c r="D57" s="9">
        <v>0</v>
      </c>
      <c r="E57" s="9">
        <v>0</v>
      </c>
      <c r="F57" s="9">
        <v>0</v>
      </c>
      <c r="G57" s="9">
        <v>100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N57" s="78">
        <f t="shared" si="4"/>
        <v>100</v>
      </c>
    </row>
    <row r="58" spans="2:14">
      <c r="B58" s="19">
        <v>1232066</v>
      </c>
      <c r="C58" s="9">
        <v>0</v>
      </c>
      <c r="D58" s="9">
        <v>0</v>
      </c>
      <c r="E58" s="9">
        <v>0</v>
      </c>
      <c r="F58" s="9">
        <v>0</v>
      </c>
      <c r="G58" s="9">
        <v>252</v>
      </c>
      <c r="H58" s="9">
        <v>0</v>
      </c>
      <c r="I58" s="9">
        <v>0</v>
      </c>
      <c r="J58" s="9">
        <v>0</v>
      </c>
      <c r="K58" s="9">
        <v>252</v>
      </c>
      <c r="L58" s="9">
        <v>0</v>
      </c>
      <c r="N58" s="78">
        <f t="shared" si="4"/>
        <v>504</v>
      </c>
    </row>
    <row r="59" spans="2:14">
      <c r="B59" s="19">
        <v>1232528</v>
      </c>
      <c r="C59" s="9">
        <v>5468</v>
      </c>
      <c r="D59" s="9">
        <v>6080</v>
      </c>
      <c r="E59" s="9">
        <v>0</v>
      </c>
      <c r="F59" s="9">
        <v>0</v>
      </c>
      <c r="G59" s="9">
        <v>1854</v>
      </c>
      <c r="H59" s="9">
        <v>5063</v>
      </c>
      <c r="I59" s="9">
        <v>540</v>
      </c>
      <c r="J59" s="9">
        <v>0</v>
      </c>
      <c r="K59" s="9">
        <v>1836</v>
      </c>
      <c r="L59" s="9">
        <v>0</v>
      </c>
      <c r="N59" s="78">
        <f t="shared" si="4"/>
        <v>20841</v>
      </c>
    </row>
    <row r="60" spans="2:14">
      <c r="B60" s="19">
        <v>1232553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108</v>
      </c>
      <c r="L60" s="9">
        <v>0</v>
      </c>
      <c r="N60" s="78">
        <f t="shared" si="4"/>
        <v>108</v>
      </c>
    </row>
    <row r="61" spans="2:14">
      <c r="B61" s="19">
        <v>1232693</v>
      </c>
      <c r="C61" s="9">
        <v>0</v>
      </c>
      <c r="D61" s="9">
        <v>0</v>
      </c>
      <c r="E61" s="9">
        <v>0</v>
      </c>
      <c r="F61" s="9">
        <v>0</v>
      </c>
      <c r="G61" s="9">
        <v>1890</v>
      </c>
      <c r="H61" s="9">
        <v>0</v>
      </c>
      <c r="I61" s="9">
        <v>0</v>
      </c>
      <c r="J61" s="9">
        <v>0</v>
      </c>
      <c r="K61" s="9">
        <v>1953</v>
      </c>
      <c r="L61" s="9">
        <v>0</v>
      </c>
      <c r="N61" s="78">
        <f t="shared" si="4"/>
        <v>3843</v>
      </c>
    </row>
    <row r="62" spans="2:14">
      <c r="B62" s="19">
        <v>1232775</v>
      </c>
      <c r="C62" s="9">
        <v>686</v>
      </c>
      <c r="D62" s="9">
        <v>1525</v>
      </c>
      <c r="E62" s="9">
        <v>800</v>
      </c>
      <c r="F62" s="9">
        <v>870</v>
      </c>
      <c r="G62" s="9">
        <v>0</v>
      </c>
      <c r="H62" s="9">
        <v>570</v>
      </c>
      <c r="I62" s="9">
        <v>750</v>
      </c>
      <c r="J62" s="9">
        <v>210</v>
      </c>
      <c r="K62" s="9">
        <v>161</v>
      </c>
      <c r="L62" s="9">
        <v>0</v>
      </c>
      <c r="N62" s="78">
        <f t="shared" si="4"/>
        <v>5572</v>
      </c>
    </row>
    <row r="63" spans="2:14">
      <c r="B63" s="19">
        <v>1232846</v>
      </c>
      <c r="C63" s="9">
        <v>2101</v>
      </c>
      <c r="D63" s="9">
        <v>812</v>
      </c>
      <c r="E63" s="9">
        <v>300</v>
      </c>
      <c r="F63" s="9">
        <v>763</v>
      </c>
      <c r="G63" s="9">
        <v>344</v>
      </c>
      <c r="H63" s="9">
        <v>1012</v>
      </c>
      <c r="I63" s="9">
        <v>1076</v>
      </c>
      <c r="J63" s="9">
        <v>472</v>
      </c>
      <c r="K63" s="9">
        <v>492</v>
      </c>
      <c r="L63" s="9">
        <v>300</v>
      </c>
      <c r="N63" s="78">
        <f t="shared" si="4"/>
        <v>7672</v>
      </c>
    </row>
    <row r="64" spans="2:14">
      <c r="B64" s="19">
        <v>1232894</v>
      </c>
      <c r="C64" s="9">
        <v>1728</v>
      </c>
      <c r="D64" s="9">
        <v>512</v>
      </c>
      <c r="E64" s="9">
        <v>0</v>
      </c>
      <c r="F64" s="9">
        <v>0</v>
      </c>
      <c r="G64" s="9">
        <v>144</v>
      </c>
      <c r="H64" s="9">
        <v>512</v>
      </c>
      <c r="I64" s="9">
        <v>576</v>
      </c>
      <c r="J64" s="9">
        <v>0</v>
      </c>
      <c r="K64" s="9">
        <v>192</v>
      </c>
      <c r="L64" s="9">
        <v>0</v>
      </c>
      <c r="N64" s="78">
        <f t="shared" si="4"/>
        <v>3664</v>
      </c>
    </row>
    <row r="65" spans="2:14">
      <c r="B65" s="19">
        <v>1232895</v>
      </c>
      <c r="C65" s="9">
        <v>373</v>
      </c>
      <c r="D65" s="9">
        <v>300</v>
      </c>
      <c r="E65" s="9">
        <v>300</v>
      </c>
      <c r="F65" s="9">
        <v>763</v>
      </c>
      <c r="G65" s="9">
        <v>200</v>
      </c>
      <c r="H65" s="9">
        <v>500</v>
      </c>
      <c r="I65" s="9">
        <v>500</v>
      </c>
      <c r="J65" s="9">
        <v>472</v>
      </c>
      <c r="K65" s="9">
        <v>300</v>
      </c>
      <c r="L65" s="9">
        <v>300</v>
      </c>
      <c r="N65" s="78">
        <f t="shared" si="4"/>
        <v>4008</v>
      </c>
    </row>
    <row r="66" spans="2:14">
      <c r="B66" s="19">
        <v>1232922</v>
      </c>
      <c r="C66" s="9">
        <v>276</v>
      </c>
      <c r="D66" s="9">
        <v>0</v>
      </c>
      <c r="E66" s="9">
        <v>0</v>
      </c>
      <c r="F66" s="9">
        <v>276</v>
      </c>
      <c r="G66" s="9">
        <v>0</v>
      </c>
      <c r="H66" s="9">
        <v>0</v>
      </c>
      <c r="I66" s="9">
        <v>0</v>
      </c>
      <c r="J66" s="9">
        <v>272</v>
      </c>
      <c r="K66" s="9">
        <v>0</v>
      </c>
      <c r="L66" s="9">
        <v>0</v>
      </c>
      <c r="N66" s="78">
        <f t="shared" si="4"/>
        <v>824</v>
      </c>
    </row>
    <row r="67" spans="2:14">
      <c r="B67" s="19">
        <v>1232982</v>
      </c>
      <c r="C67" s="9">
        <v>0</v>
      </c>
      <c r="D67" s="9">
        <v>0</v>
      </c>
      <c r="E67" s="9">
        <v>0</v>
      </c>
      <c r="F67" s="9">
        <v>50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N67" s="78">
        <f t="shared" si="4"/>
        <v>50</v>
      </c>
    </row>
    <row r="68" spans="2:14">
      <c r="B68" s="19">
        <v>1233025</v>
      </c>
      <c r="C68" s="9">
        <v>0</v>
      </c>
      <c r="D68" s="9">
        <v>0</v>
      </c>
      <c r="E68" s="9">
        <v>0</v>
      </c>
      <c r="F68" s="9">
        <v>0</v>
      </c>
      <c r="G68" s="9">
        <v>1890</v>
      </c>
      <c r="H68" s="9">
        <v>0</v>
      </c>
      <c r="I68" s="9">
        <v>0</v>
      </c>
      <c r="J68" s="9">
        <v>0</v>
      </c>
      <c r="K68" s="9">
        <v>1953</v>
      </c>
      <c r="L68" s="9">
        <v>0</v>
      </c>
      <c r="N68" s="78">
        <f t="shared" si="4"/>
        <v>3843</v>
      </c>
    </row>
    <row r="69" spans="2:14">
      <c r="B69" s="19">
        <v>1233165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250</v>
      </c>
      <c r="J69" s="9">
        <v>0</v>
      </c>
      <c r="K69" s="9">
        <v>0</v>
      </c>
      <c r="L69" s="9">
        <v>0</v>
      </c>
      <c r="N69" s="78">
        <f t="shared" si="4"/>
        <v>250</v>
      </c>
    </row>
    <row r="70" spans="2:14">
      <c r="B70" s="19">
        <v>1233383</v>
      </c>
      <c r="C70" s="9">
        <v>0</v>
      </c>
      <c r="D70" s="9">
        <v>0</v>
      </c>
      <c r="E70" s="9">
        <v>0</v>
      </c>
      <c r="F70" s="9">
        <v>159</v>
      </c>
      <c r="G70" s="9">
        <v>0</v>
      </c>
      <c r="H70" s="9">
        <v>0</v>
      </c>
      <c r="I70" s="9">
        <v>0</v>
      </c>
      <c r="J70" s="9">
        <v>151</v>
      </c>
      <c r="K70" s="9">
        <v>0</v>
      </c>
      <c r="L70" s="9">
        <v>0</v>
      </c>
      <c r="N70" s="78">
        <f t="shared" si="4"/>
        <v>310</v>
      </c>
    </row>
    <row r="71" spans="2:14">
      <c r="B71" s="19">
        <v>1233384</v>
      </c>
      <c r="C71" s="9">
        <v>97</v>
      </c>
      <c r="D71" s="9">
        <v>300</v>
      </c>
      <c r="E71" s="9">
        <v>300</v>
      </c>
      <c r="F71" s="9">
        <v>300</v>
      </c>
      <c r="G71" s="9">
        <v>200</v>
      </c>
      <c r="H71" s="9">
        <v>500</v>
      </c>
      <c r="I71" s="9">
        <v>500</v>
      </c>
      <c r="J71" s="9">
        <v>200</v>
      </c>
      <c r="K71" s="9">
        <v>300</v>
      </c>
      <c r="L71" s="9">
        <v>300</v>
      </c>
      <c r="N71" s="78">
        <f t="shared" si="4"/>
        <v>2997</v>
      </c>
    </row>
    <row r="72" spans="2:14">
      <c r="B72" s="19">
        <v>1233385</v>
      </c>
      <c r="C72" s="9">
        <v>0</v>
      </c>
      <c r="D72" s="9">
        <v>0</v>
      </c>
      <c r="E72" s="9">
        <v>0</v>
      </c>
      <c r="F72" s="9">
        <v>0</v>
      </c>
      <c r="G72" s="9">
        <v>144</v>
      </c>
      <c r="H72" s="9">
        <v>0</v>
      </c>
      <c r="I72" s="9">
        <v>0</v>
      </c>
      <c r="J72" s="9">
        <v>0</v>
      </c>
      <c r="K72" s="9">
        <v>192</v>
      </c>
      <c r="L72" s="9">
        <v>0</v>
      </c>
      <c r="N72" s="78">
        <f t="shared" si="4"/>
        <v>336</v>
      </c>
    </row>
    <row r="73" spans="2:14">
      <c r="B73" s="19">
        <v>1233386</v>
      </c>
      <c r="C73" s="9">
        <v>0</v>
      </c>
      <c r="D73" s="9">
        <v>512</v>
      </c>
      <c r="E73" s="9">
        <v>0</v>
      </c>
      <c r="F73" s="9">
        <v>0</v>
      </c>
      <c r="G73" s="9">
        <v>0</v>
      </c>
      <c r="H73" s="9">
        <v>512</v>
      </c>
      <c r="I73" s="9">
        <v>0</v>
      </c>
      <c r="J73" s="9">
        <v>0</v>
      </c>
      <c r="K73" s="9">
        <v>0</v>
      </c>
      <c r="L73" s="9">
        <v>0</v>
      </c>
      <c r="N73" s="78">
        <f t="shared" si="4"/>
        <v>1024</v>
      </c>
    </row>
    <row r="74" spans="2:14">
      <c r="B74" s="19">
        <v>1233387</v>
      </c>
      <c r="C74" s="9">
        <v>1728</v>
      </c>
      <c r="D74" s="9">
        <v>0</v>
      </c>
      <c r="E74" s="9">
        <v>0</v>
      </c>
      <c r="F74" s="9">
        <v>187</v>
      </c>
      <c r="G74" s="9">
        <v>0</v>
      </c>
      <c r="H74" s="9">
        <v>0</v>
      </c>
      <c r="I74" s="9">
        <v>576</v>
      </c>
      <c r="J74" s="9">
        <v>0</v>
      </c>
      <c r="K74" s="9">
        <v>0</v>
      </c>
      <c r="L74" s="9">
        <v>0</v>
      </c>
      <c r="N74" s="78">
        <f t="shared" si="4"/>
        <v>2491</v>
      </c>
    </row>
    <row r="75" spans="2:14">
      <c r="B75" s="19">
        <v>1233580</v>
      </c>
      <c r="C75" s="9">
        <v>0</v>
      </c>
      <c r="D75" s="9">
        <v>0</v>
      </c>
      <c r="E75" s="9">
        <v>0</v>
      </c>
      <c r="F75" s="9">
        <v>50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N75" s="78">
        <f t="shared" ref="N75:N103" si="5">SUM(C75:L75)</f>
        <v>50</v>
      </c>
    </row>
    <row r="76" spans="2:14">
      <c r="B76" s="19">
        <v>1233587</v>
      </c>
      <c r="C76" s="9">
        <v>0</v>
      </c>
      <c r="D76" s="9">
        <v>0</v>
      </c>
      <c r="E76" s="9">
        <v>0</v>
      </c>
      <c r="F76" s="9">
        <v>10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N76" s="78">
        <f t="shared" si="5"/>
        <v>10</v>
      </c>
    </row>
    <row r="77" spans="2:14">
      <c r="B77" s="19">
        <v>1234110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170</v>
      </c>
      <c r="J77" s="9">
        <v>0</v>
      </c>
      <c r="K77" s="9">
        <v>0</v>
      </c>
      <c r="L77" s="9">
        <v>0</v>
      </c>
      <c r="N77" s="78">
        <f t="shared" si="5"/>
        <v>170</v>
      </c>
    </row>
    <row r="78" spans="2:14">
      <c r="B78" s="19">
        <v>1234111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170</v>
      </c>
      <c r="J78" s="9">
        <v>0</v>
      </c>
      <c r="K78" s="9">
        <v>0</v>
      </c>
      <c r="L78" s="9">
        <v>0</v>
      </c>
      <c r="N78" s="78">
        <f t="shared" si="5"/>
        <v>170</v>
      </c>
    </row>
    <row r="79" spans="2:14">
      <c r="B79" s="19">
        <v>1234217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170</v>
      </c>
      <c r="J79" s="9">
        <v>0</v>
      </c>
      <c r="K79" s="9">
        <v>0</v>
      </c>
      <c r="L79" s="9">
        <v>0</v>
      </c>
      <c r="N79" s="78">
        <f t="shared" si="5"/>
        <v>170</v>
      </c>
    </row>
    <row r="80" spans="2:14">
      <c r="B80" s="19">
        <v>1234222</v>
      </c>
      <c r="C80" s="9">
        <v>0</v>
      </c>
      <c r="D80" s="9">
        <v>0</v>
      </c>
      <c r="E80" s="9">
        <v>0</v>
      </c>
      <c r="F80" s="9">
        <v>868</v>
      </c>
      <c r="G80" s="9">
        <v>0</v>
      </c>
      <c r="H80" s="9">
        <v>0</v>
      </c>
      <c r="I80" s="9">
        <v>0</v>
      </c>
      <c r="J80" s="9">
        <v>0</v>
      </c>
      <c r="K80" s="9">
        <v>868</v>
      </c>
      <c r="L80" s="9">
        <v>0</v>
      </c>
      <c r="N80" s="78">
        <f t="shared" si="5"/>
        <v>1736</v>
      </c>
    </row>
    <row r="81" spans="2:14">
      <c r="B81" s="19">
        <v>1234614</v>
      </c>
      <c r="C81" s="9">
        <v>216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324</v>
      </c>
      <c r="L81" s="9">
        <v>0</v>
      </c>
      <c r="N81" s="78">
        <f t="shared" si="5"/>
        <v>540</v>
      </c>
    </row>
    <row r="82" spans="2:14">
      <c r="B82" s="19">
        <v>1234905</v>
      </c>
      <c r="C82" s="9">
        <v>500</v>
      </c>
      <c r="D82" s="9">
        <v>897</v>
      </c>
      <c r="E82" s="9">
        <v>1000</v>
      </c>
      <c r="F82" s="9">
        <v>1028</v>
      </c>
      <c r="G82" s="9">
        <v>100</v>
      </c>
      <c r="H82" s="9">
        <v>1150</v>
      </c>
      <c r="I82" s="9">
        <v>234</v>
      </c>
      <c r="J82" s="9">
        <v>450</v>
      </c>
      <c r="K82" s="9">
        <v>550</v>
      </c>
      <c r="L82" s="9">
        <v>600</v>
      </c>
      <c r="N82" s="78">
        <f t="shared" si="5"/>
        <v>6509</v>
      </c>
    </row>
    <row r="83" spans="2:14">
      <c r="B83" s="19">
        <v>1235097</v>
      </c>
      <c r="C83" s="9">
        <v>0</v>
      </c>
      <c r="D83" s="9">
        <v>0</v>
      </c>
      <c r="E83" s="9">
        <v>400</v>
      </c>
      <c r="F83" s="9">
        <v>0</v>
      </c>
      <c r="G83" s="9">
        <v>0</v>
      </c>
      <c r="H83" s="9">
        <v>321</v>
      </c>
      <c r="I83" s="9">
        <v>0</v>
      </c>
      <c r="J83" s="9">
        <v>400</v>
      </c>
      <c r="K83" s="9">
        <v>350</v>
      </c>
      <c r="L83" s="9">
        <v>300</v>
      </c>
      <c r="N83" s="78">
        <f t="shared" si="5"/>
        <v>1771</v>
      </c>
    </row>
    <row r="84" spans="2:14">
      <c r="B84" s="19">
        <v>1235845</v>
      </c>
      <c r="C84" s="9">
        <v>0</v>
      </c>
      <c r="D84" s="9">
        <v>0</v>
      </c>
      <c r="E84" s="9">
        <v>0</v>
      </c>
      <c r="F84" s="9">
        <v>514</v>
      </c>
      <c r="G84" s="9">
        <v>0</v>
      </c>
      <c r="H84" s="9">
        <v>0</v>
      </c>
      <c r="I84" s="9">
        <v>0</v>
      </c>
      <c r="J84" s="9">
        <v>0</v>
      </c>
      <c r="K84" s="9">
        <v>359</v>
      </c>
      <c r="L84" s="9">
        <v>0</v>
      </c>
      <c r="N84" s="78">
        <f t="shared" si="5"/>
        <v>873</v>
      </c>
    </row>
    <row r="85" spans="2:14">
      <c r="B85" s="19">
        <v>1236387</v>
      </c>
      <c r="C85" s="9">
        <v>819</v>
      </c>
      <c r="D85" s="9">
        <v>498</v>
      </c>
      <c r="E85" s="9">
        <v>0</v>
      </c>
      <c r="F85" s="9">
        <v>0</v>
      </c>
      <c r="G85" s="9">
        <v>0</v>
      </c>
      <c r="H85" s="9">
        <v>0</v>
      </c>
      <c r="I85" s="9">
        <v>700</v>
      </c>
      <c r="J85" s="9">
        <v>0</v>
      </c>
      <c r="K85" s="9">
        <v>0</v>
      </c>
      <c r="L85" s="9">
        <v>0</v>
      </c>
      <c r="N85" s="78">
        <f t="shared" si="5"/>
        <v>2017</v>
      </c>
    </row>
    <row r="86" spans="2:14">
      <c r="B86" s="19">
        <v>1236600</v>
      </c>
      <c r="C86" s="9">
        <v>0</v>
      </c>
      <c r="D86" s="9">
        <v>0</v>
      </c>
      <c r="E86" s="9">
        <v>0</v>
      </c>
      <c r="F86" s="9">
        <v>935</v>
      </c>
      <c r="G86" s="9">
        <v>0</v>
      </c>
      <c r="H86" s="9">
        <v>0</v>
      </c>
      <c r="I86" s="9">
        <v>0</v>
      </c>
      <c r="J86" s="9">
        <v>913</v>
      </c>
      <c r="K86" s="9">
        <v>0</v>
      </c>
      <c r="L86" s="9">
        <v>0</v>
      </c>
      <c r="N86" s="78">
        <f t="shared" si="5"/>
        <v>1848</v>
      </c>
    </row>
    <row r="87" spans="2:14">
      <c r="B87" s="19">
        <v>1236601</v>
      </c>
      <c r="C87" s="9">
        <v>112</v>
      </c>
      <c r="D87" s="9">
        <v>0</v>
      </c>
      <c r="E87" s="9">
        <v>0</v>
      </c>
      <c r="F87" s="9">
        <v>107</v>
      </c>
      <c r="G87" s="9">
        <v>0</v>
      </c>
      <c r="H87" s="9">
        <v>0</v>
      </c>
      <c r="I87" s="9">
        <v>0</v>
      </c>
      <c r="J87" s="9">
        <v>105</v>
      </c>
      <c r="K87" s="9">
        <v>0</v>
      </c>
      <c r="L87" s="9">
        <v>0</v>
      </c>
      <c r="N87" s="78">
        <f t="shared" si="5"/>
        <v>324</v>
      </c>
    </row>
    <row r="88" spans="2:14">
      <c r="B88" s="19">
        <v>1236930</v>
      </c>
      <c r="C88" s="9">
        <v>436</v>
      </c>
      <c r="D88" s="9">
        <v>1833</v>
      </c>
      <c r="E88" s="9">
        <v>1300</v>
      </c>
      <c r="F88" s="9">
        <v>729</v>
      </c>
      <c r="G88" s="9">
        <v>1446</v>
      </c>
      <c r="H88" s="9">
        <v>1752</v>
      </c>
      <c r="I88" s="9">
        <v>1820</v>
      </c>
      <c r="J88" s="9">
        <v>950</v>
      </c>
      <c r="K88" s="9">
        <v>1772</v>
      </c>
      <c r="L88" s="9">
        <v>850</v>
      </c>
      <c r="N88" s="78">
        <f t="shared" si="5"/>
        <v>12888</v>
      </c>
    </row>
    <row r="89" spans="2:14">
      <c r="B89" s="19">
        <v>1237210</v>
      </c>
      <c r="C89" s="9">
        <v>140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375</v>
      </c>
      <c r="L89" s="9">
        <v>160</v>
      </c>
      <c r="N89" s="78">
        <f t="shared" si="5"/>
        <v>675</v>
      </c>
    </row>
    <row r="90" spans="2:14">
      <c r="B90" s="19">
        <v>1237468</v>
      </c>
      <c r="C90" s="9">
        <v>0</v>
      </c>
      <c r="D90" s="9">
        <v>0</v>
      </c>
      <c r="E90" s="9">
        <v>0</v>
      </c>
      <c r="F90" s="9">
        <v>87</v>
      </c>
      <c r="G90" s="9">
        <v>0</v>
      </c>
      <c r="H90" s="9">
        <v>0</v>
      </c>
      <c r="I90" s="9">
        <v>0</v>
      </c>
      <c r="J90" s="9">
        <v>82</v>
      </c>
      <c r="K90" s="9">
        <v>270</v>
      </c>
      <c r="L90" s="9">
        <v>0</v>
      </c>
      <c r="N90" s="78">
        <f t="shared" si="5"/>
        <v>439</v>
      </c>
    </row>
    <row r="91" spans="2:14">
      <c r="B91" s="19">
        <v>1238092</v>
      </c>
      <c r="C91" s="9">
        <v>144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N91" s="78">
        <f t="shared" si="5"/>
        <v>144</v>
      </c>
    </row>
    <row r="92" spans="2:14">
      <c r="B92" s="19">
        <v>1238453</v>
      </c>
      <c r="C92" s="9">
        <v>426</v>
      </c>
      <c r="D92" s="9">
        <v>0</v>
      </c>
      <c r="E92" s="9">
        <v>0</v>
      </c>
      <c r="F92" s="9">
        <v>191</v>
      </c>
      <c r="G92" s="9">
        <v>0</v>
      </c>
      <c r="H92" s="9">
        <v>0</v>
      </c>
      <c r="I92" s="9">
        <v>0</v>
      </c>
      <c r="J92" s="9">
        <v>190</v>
      </c>
      <c r="K92" s="9">
        <v>0</v>
      </c>
      <c r="L92" s="9">
        <v>0</v>
      </c>
      <c r="N92" s="78">
        <f t="shared" si="5"/>
        <v>807</v>
      </c>
    </row>
    <row r="93" spans="2:14">
      <c r="B93" s="19">
        <v>1238480</v>
      </c>
      <c r="C93" s="9">
        <v>6161</v>
      </c>
      <c r="D93" s="9">
        <v>4179</v>
      </c>
      <c r="E93" s="9">
        <v>3461</v>
      </c>
      <c r="F93" s="9">
        <v>5600</v>
      </c>
      <c r="G93" s="9">
        <v>5712</v>
      </c>
      <c r="H93" s="9">
        <v>6345</v>
      </c>
      <c r="I93" s="9">
        <v>5455</v>
      </c>
      <c r="J93" s="9">
        <v>4590</v>
      </c>
      <c r="K93" s="9">
        <v>4839</v>
      </c>
      <c r="L93" s="9">
        <v>3485</v>
      </c>
      <c r="N93" s="78">
        <f t="shared" si="5"/>
        <v>49827</v>
      </c>
    </row>
    <row r="94" spans="2:14">
      <c r="B94" s="19">
        <v>1238605</v>
      </c>
      <c r="C94" s="9">
        <v>950</v>
      </c>
      <c r="D94" s="9">
        <v>0</v>
      </c>
      <c r="E94" s="9">
        <v>600</v>
      </c>
      <c r="F94" s="9">
        <v>0</v>
      </c>
      <c r="G94" s="9">
        <v>0</v>
      </c>
      <c r="H94" s="9">
        <v>0</v>
      </c>
      <c r="I94" s="9">
        <v>500</v>
      </c>
      <c r="J94" s="9">
        <v>0</v>
      </c>
      <c r="K94" s="9">
        <v>0</v>
      </c>
      <c r="L94" s="9">
        <v>0</v>
      </c>
      <c r="N94" s="78">
        <f t="shared" si="5"/>
        <v>2050</v>
      </c>
    </row>
    <row r="95" spans="2:14">
      <c r="B95" s="19">
        <v>1240029</v>
      </c>
      <c r="C95" s="9">
        <v>0</v>
      </c>
      <c r="D95" s="9">
        <v>0</v>
      </c>
      <c r="E95" s="9">
        <v>450</v>
      </c>
      <c r="F95" s="9">
        <v>0</v>
      </c>
      <c r="G95" s="9">
        <v>0</v>
      </c>
      <c r="H95" s="9">
        <v>0</v>
      </c>
      <c r="I95" s="9">
        <v>100</v>
      </c>
      <c r="J95" s="9">
        <v>0</v>
      </c>
      <c r="K95" s="9">
        <v>0</v>
      </c>
      <c r="L95" s="9">
        <v>0</v>
      </c>
      <c r="N95" s="78">
        <f t="shared" si="5"/>
        <v>550</v>
      </c>
    </row>
    <row r="96" spans="2:14">
      <c r="B96" s="19">
        <v>1240032</v>
      </c>
      <c r="C96" s="9">
        <v>0</v>
      </c>
      <c r="D96" s="9">
        <v>0</v>
      </c>
      <c r="E96" s="9">
        <v>450</v>
      </c>
      <c r="F96" s="9">
        <v>0</v>
      </c>
      <c r="G96" s="9">
        <v>0</v>
      </c>
      <c r="H96" s="9">
        <v>0</v>
      </c>
      <c r="I96" s="9">
        <v>100</v>
      </c>
      <c r="J96" s="9">
        <v>0</v>
      </c>
      <c r="K96" s="9">
        <v>0</v>
      </c>
      <c r="L96" s="9">
        <v>0</v>
      </c>
      <c r="N96" s="78">
        <f t="shared" si="5"/>
        <v>550</v>
      </c>
    </row>
    <row r="97" spans="2:14">
      <c r="B97" s="19">
        <v>1240180</v>
      </c>
      <c r="C97" s="9">
        <v>0</v>
      </c>
      <c r="D97" s="9">
        <v>0</v>
      </c>
      <c r="E97" s="9">
        <v>250</v>
      </c>
      <c r="F97" s="9">
        <v>0</v>
      </c>
      <c r="G97" s="9">
        <v>0</v>
      </c>
      <c r="H97" s="9">
        <v>300</v>
      </c>
      <c r="I97" s="9">
        <v>150</v>
      </c>
      <c r="J97" s="9">
        <v>202</v>
      </c>
      <c r="K97" s="9">
        <v>0</v>
      </c>
      <c r="L97" s="9">
        <v>0</v>
      </c>
      <c r="N97" s="78">
        <f t="shared" si="5"/>
        <v>902</v>
      </c>
    </row>
    <row r="98" spans="2:14">
      <c r="B98" s="19">
        <v>1240184</v>
      </c>
      <c r="C98" s="9">
        <v>0</v>
      </c>
      <c r="D98" s="9">
        <v>0</v>
      </c>
      <c r="E98" s="9">
        <v>250</v>
      </c>
      <c r="F98" s="9">
        <v>0</v>
      </c>
      <c r="G98" s="9">
        <v>0</v>
      </c>
      <c r="H98" s="9">
        <v>300</v>
      </c>
      <c r="I98" s="9">
        <v>150</v>
      </c>
      <c r="J98" s="9">
        <v>202</v>
      </c>
      <c r="K98" s="9">
        <v>0</v>
      </c>
      <c r="L98" s="9">
        <v>0</v>
      </c>
      <c r="N98" s="78">
        <f t="shared" si="5"/>
        <v>902</v>
      </c>
    </row>
    <row r="99" spans="2:14">
      <c r="B99" s="19">
        <v>1241343</v>
      </c>
      <c r="C99" s="9">
        <v>0</v>
      </c>
      <c r="D99" s="9">
        <v>20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N99" s="78">
        <f t="shared" si="5"/>
        <v>20</v>
      </c>
    </row>
    <row r="100" spans="2:14">
      <c r="B100" s="19">
        <v>1241347</v>
      </c>
      <c r="C100" s="9">
        <v>0</v>
      </c>
      <c r="D100" s="9">
        <v>20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N100" s="78">
        <f t="shared" si="5"/>
        <v>20</v>
      </c>
    </row>
    <row r="101" spans="2:14">
      <c r="B101" s="19">
        <v>1241387</v>
      </c>
      <c r="C101" s="9">
        <v>0</v>
      </c>
      <c r="D101" s="9">
        <v>151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N101" s="78">
        <f t="shared" si="5"/>
        <v>151</v>
      </c>
    </row>
    <row r="102" spans="2:14">
      <c r="B102" s="19">
        <v>1241474</v>
      </c>
      <c r="C102" s="9">
        <v>0</v>
      </c>
      <c r="D102" s="9">
        <v>37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N102" s="78">
        <f t="shared" si="5"/>
        <v>37</v>
      </c>
    </row>
    <row r="103" spans="2:14">
      <c r="B103" s="19">
        <v>1241480</v>
      </c>
      <c r="C103" s="9">
        <v>0</v>
      </c>
      <c r="D103" s="9">
        <v>26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N103" s="78">
        <f t="shared" si="5"/>
        <v>26</v>
      </c>
    </row>
    <row r="116" ht="11.25" customHeight="1"/>
  </sheetData>
  <mergeCells count="4">
    <mergeCell ref="A8:A9"/>
    <mergeCell ref="B8:B9"/>
    <mergeCell ref="A41:A42"/>
    <mergeCell ref="B41:B42"/>
  </mergeCells>
  <phoneticPr fontId="1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CA0D-73BD-4C40-B2BB-8D2C6724072C}">
  <dimension ref="A1:W77"/>
  <sheetViews>
    <sheetView topLeftCell="A34" zoomScale="115" zoomScaleNormal="115" workbookViewId="0">
      <selection activeCell="O72" sqref="O72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9" width="9.5" style="9" customWidth="1"/>
    <col min="20" max="20" width="9.33203125" style="5"/>
    <col min="21" max="21" width="10" style="5" bestFit="1" customWidth="1"/>
    <col min="22" max="16384" width="9.33203125" style="5"/>
  </cols>
  <sheetData>
    <row r="1" spans="1:19">
      <c r="A1" s="19" t="s">
        <v>0</v>
      </c>
      <c r="B1" s="9" t="s">
        <v>922</v>
      </c>
      <c r="C1" s="9" t="s">
        <v>923</v>
      </c>
      <c r="D1" s="9" t="s">
        <v>924</v>
      </c>
      <c r="E1" s="9" t="s">
        <v>925</v>
      </c>
      <c r="F1" s="9" t="s">
        <v>926</v>
      </c>
      <c r="G1" s="9" t="s">
        <v>932</v>
      </c>
      <c r="H1" s="9" t="s">
        <v>933</v>
      </c>
      <c r="I1" s="9" t="s">
        <v>934</v>
      </c>
      <c r="J1" s="9" t="s">
        <v>935</v>
      </c>
      <c r="K1" s="9" t="s">
        <v>936</v>
      </c>
      <c r="L1" s="9" t="s">
        <v>937</v>
      </c>
      <c r="M1" s="9" t="s">
        <v>938</v>
      </c>
      <c r="N1" s="9" t="s">
        <v>990</v>
      </c>
      <c r="O1" s="9" t="s">
        <v>991</v>
      </c>
      <c r="P1" s="9" t="s">
        <v>992</v>
      </c>
      <c r="Q1" s="9" t="s">
        <v>993</v>
      </c>
      <c r="R1" s="9" t="s">
        <v>994</v>
      </c>
      <c r="S1" s="9" t="s">
        <v>995</v>
      </c>
    </row>
    <row r="2" spans="1:19">
      <c r="A2" s="19">
        <v>1234614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18">
        <v>192</v>
      </c>
      <c r="H2" s="9">
        <v>308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</row>
    <row r="3" spans="1:19">
      <c r="A3" s="19">
        <v>1226384</v>
      </c>
      <c r="B3" s="9">
        <v>100</v>
      </c>
      <c r="C3" s="9">
        <v>500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19">
      <c r="A4" s="19">
        <v>1226388</v>
      </c>
      <c r="B4" s="9">
        <v>100</v>
      </c>
      <c r="C4" s="9">
        <v>500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</row>
    <row r="5" spans="1:19">
      <c r="A5" s="19">
        <v>1229673</v>
      </c>
      <c r="B5" s="9">
        <v>0</v>
      </c>
      <c r="C5" s="9">
        <v>250</v>
      </c>
      <c r="D5" s="9">
        <v>250</v>
      </c>
      <c r="E5" s="9">
        <v>0</v>
      </c>
      <c r="F5" s="9">
        <v>0</v>
      </c>
      <c r="G5" s="18">
        <v>200</v>
      </c>
      <c r="H5" s="9">
        <v>200</v>
      </c>
      <c r="I5" s="9">
        <v>222</v>
      </c>
      <c r="J5" s="9">
        <v>200</v>
      </c>
      <c r="K5" s="9">
        <v>0</v>
      </c>
      <c r="L5" s="9">
        <v>0</v>
      </c>
      <c r="M5" s="9">
        <v>0</v>
      </c>
      <c r="N5" s="9">
        <v>200</v>
      </c>
      <c r="O5" s="9">
        <v>300</v>
      </c>
      <c r="P5" s="9">
        <v>200</v>
      </c>
      <c r="Q5" s="9">
        <v>300</v>
      </c>
      <c r="R5" s="9">
        <v>200</v>
      </c>
      <c r="S5" s="9">
        <v>0</v>
      </c>
    </row>
    <row r="6" spans="1:19">
      <c r="A6" s="19">
        <v>1230854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18">
        <v>100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</row>
    <row r="7" spans="1:19">
      <c r="A7" s="19">
        <v>1235623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198</v>
      </c>
      <c r="P7" s="9">
        <v>358</v>
      </c>
      <c r="Q7" s="9">
        <v>934</v>
      </c>
      <c r="R7" s="9">
        <v>382</v>
      </c>
      <c r="S7" s="9">
        <v>0</v>
      </c>
    </row>
    <row r="8" spans="1:19">
      <c r="A8" s="19">
        <v>1237088</v>
      </c>
      <c r="B8" s="9">
        <v>0</v>
      </c>
      <c r="C8" s="9">
        <v>258</v>
      </c>
      <c r="D8" s="9">
        <v>744</v>
      </c>
      <c r="E8" s="9">
        <v>0</v>
      </c>
      <c r="F8" s="9">
        <v>0</v>
      </c>
      <c r="G8" s="18">
        <v>920</v>
      </c>
      <c r="H8" s="9">
        <v>960</v>
      </c>
      <c r="I8" s="9">
        <v>0</v>
      </c>
      <c r="J8" s="9">
        <v>300</v>
      </c>
      <c r="K8" s="9">
        <v>0</v>
      </c>
      <c r="L8" s="9">
        <v>0</v>
      </c>
      <c r="M8" s="9">
        <v>0</v>
      </c>
      <c r="N8" s="9">
        <v>806</v>
      </c>
      <c r="O8" s="9">
        <v>672</v>
      </c>
      <c r="P8" s="9">
        <v>280</v>
      </c>
      <c r="Q8" s="9">
        <v>698</v>
      </c>
      <c r="R8" s="9">
        <v>232</v>
      </c>
      <c r="S8" s="9">
        <v>0</v>
      </c>
    </row>
    <row r="9" spans="1:19">
      <c r="A9" s="19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522</v>
      </c>
      <c r="K9" s="9">
        <v>50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260</v>
      </c>
      <c r="S9" s="9">
        <v>0</v>
      </c>
    </row>
    <row r="10" spans="1:19">
      <c r="A10" s="19">
        <v>1236091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18">
        <v>300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</row>
    <row r="11" spans="1:19">
      <c r="A11" s="19">
        <v>1238128</v>
      </c>
      <c r="B11" s="9">
        <v>430</v>
      </c>
      <c r="C11" s="9">
        <v>590</v>
      </c>
      <c r="D11" s="9">
        <v>464</v>
      </c>
      <c r="E11" s="9">
        <v>0</v>
      </c>
      <c r="F11" s="9">
        <v>0</v>
      </c>
      <c r="G11" s="18">
        <v>234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spans="1:19">
      <c r="A12" s="19">
        <v>1236962</v>
      </c>
      <c r="B12" s="9">
        <v>214</v>
      </c>
      <c r="C12" s="9">
        <v>200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300</v>
      </c>
      <c r="J12" s="9">
        <v>300</v>
      </c>
      <c r="K12" s="9">
        <v>200</v>
      </c>
      <c r="L12" s="9">
        <v>0</v>
      </c>
      <c r="M12" s="9">
        <v>0</v>
      </c>
      <c r="N12" s="9">
        <v>0</v>
      </c>
      <c r="O12" s="9">
        <v>200</v>
      </c>
      <c r="P12" s="9">
        <v>200</v>
      </c>
      <c r="Q12" s="9">
        <v>200</v>
      </c>
      <c r="R12" s="9">
        <v>200</v>
      </c>
      <c r="S12" s="9">
        <v>0</v>
      </c>
    </row>
    <row r="13" spans="1:19">
      <c r="A13" s="19">
        <v>1233761</v>
      </c>
      <c r="B13" s="9">
        <v>0</v>
      </c>
      <c r="C13" s="9">
        <v>0</v>
      </c>
      <c r="D13" s="9">
        <v>300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140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</row>
    <row r="14" spans="1:19">
      <c r="A14" s="19">
        <v>1239651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500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300</v>
      </c>
      <c r="P14" s="9">
        <v>0</v>
      </c>
      <c r="Q14" s="9">
        <v>0</v>
      </c>
      <c r="R14" s="9">
        <v>0</v>
      </c>
      <c r="S14" s="9">
        <v>0</v>
      </c>
    </row>
    <row r="15" spans="1:19">
      <c r="A15" s="19">
        <v>1241134</v>
      </c>
      <c r="B15" s="9">
        <v>0</v>
      </c>
      <c r="C15" s="9">
        <v>182</v>
      </c>
      <c r="D15" s="9">
        <v>10</v>
      </c>
      <c r="E15" s="9">
        <v>0</v>
      </c>
      <c r="F15" s="9">
        <v>0</v>
      </c>
      <c r="G15" s="9">
        <v>0</v>
      </c>
      <c r="H15" s="9">
        <v>0</v>
      </c>
      <c r="I15" s="9">
        <v>87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6" spans="1:19">
      <c r="A16" s="19">
        <v>1239988</v>
      </c>
      <c r="B16" s="9">
        <v>0</v>
      </c>
      <c r="C16" s="9">
        <v>0</v>
      </c>
      <c r="D16" s="9">
        <v>150</v>
      </c>
      <c r="E16" s="9">
        <v>0</v>
      </c>
      <c r="F16" s="9">
        <v>0</v>
      </c>
      <c r="G16" s="18">
        <v>510</v>
      </c>
      <c r="H16" s="9">
        <v>510</v>
      </c>
      <c r="I16" s="9">
        <v>400</v>
      </c>
      <c r="J16" s="9">
        <v>510</v>
      </c>
      <c r="K16" s="9">
        <v>366</v>
      </c>
      <c r="L16" s="9">
        <v>0</v>
      </c>
      <c r="M16" s="9">
        <v>0</v>
      </c>
      <c r="N16" s="9">
        <v>250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</row>
    <row r="17" spans="1:19">
      <c r="A17" s="19">
        <v>1240180</v>
      </c>
      <c r="B17" s="9">
        <v>648</v>
      </c>
      <c r="C17" s="9">
        <v>664</v>
      </c>
      <c r="D17" s="9">
        <v>266</v>
      </c>
      <c r="E17" s="9">
        <v>0</v>
      </c>
      <c r="F17" s="9">
        <v>0</v>
      </c>
      <c r="G17" s="18">
        <v>404</v>
      </c>
      <c r="H17" s="9">
        <v>404</v>
      </c>
      <c r="I17" s="9">
        <v>318</v>
      </c>
      <c r="J17" s="9">
        <v>404</v>
      </c>
      <c r="K17" s="9">
        <v>286</v>
      </c>
      <c r="L17" s="9">
        <v>0</v>
      </c>
      <c r="M17" s="9">
        <v>0</v>
      </c>
      <c r="N17" s="9">
        <v>610</v>
      </c>
      <c r="O17" s="9">
        <v>824</v>
      </c>
      <c r="P17" s="9">
        <v>164</v>
      </c>
      <c r="Q17" s="9">
        <v>426</v>
      </c>
      <c r="R17" s="9">
        <v>316</v>
      </c>
      <c r="S17" s="9">
        <v>0</v>
      </c>
    </row>
    <row r="18" spans="1:19">
      <c r="A18" s="19">
        <v>1240184</v>
      </c>
      <c r="B18" s="9">
        <v>648</v>
      </c>
      <c r="C18" s="9">
        <v>410</v>
      </c>
      <c r="D18" s="9">
        <v>70</v>
      </c>
      <c r="E18" s="9">
        <v>0</v>
      </c>
      <c r="F18" s="9">
        <v>0</v>
      </c>
      <c r="G18" s="18">
        <v>404</v>
      </c>
      <c r="H18" s="9">
        <v>404</v>
      </c>
      <c r="I18" s="9">
        <v>318</v>
      </c>
      <c r="J18" s="9">
        <v>404</v>
      </c>
      <c r="K18" s="9">
        <v>286</v>
      </c>
      <c r="L18" s="9">
        <v>0</v>
      </c>
      <c r="M18" s="9">
        <v>0</v>
      </c>
      <c r="N18" s="9">
        <v>610</v>
      </c>
      <c r="O18" s="9">
        <v>640</v>
      </c>
      <c r="P18" s="9">
        <v>164</v>
      </c>
      <c r="Q18" s="9">
        <v>426</v>
      </c>
      <c r="R18" s="9">
        <v>316</v>
      </c>
      <c r="S18" s="9">
        <v>0</v>
      </c>
    </row>
    <row r="19" spans="1:19">
      <c r="A19" s="19">
        <v>1240308</v>
      </c>
      <c r="B19" s="9">
        <v>450</v>
      </c>
      <c r="C19" s="9">
        <v>420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450</v>
      </c>
      <c r="K19" s="9">
        <v>376</v>
      </c>
      <c r="L19" s="9">
        <v>0</v>
      </c>
      <c r="M19" s="9">
        <v>0</v>
      </c>
      <c r="N19" s="9">
        <v>350</v>
      </c>
      <c r="O19" s="9">
        <v>150</v>
      </c>
      <c r="P19" s="9">
        <v>0</v>
      </c>
      <c r="Q19" s="9">
        <v>400</v>
      </c>
      <c r="R19" s="9">
        <v>0</v>
      </c>
      <c r="S19" s="9">
        <v>0</v>
      </c>
    </row>
    <row r="20" spans="1:19">
      <c r="A20" s="19">
        <v>1241601</v>
      </c>
      <c r="B20" s="9">
        <v>614</v>
      </c>
      <c r="C20" s="9">
        <v>508</v>
      </c>
      <c r="D20" s="9">
        <v>892</v>
      </c>
      <c r="E20" s="9">
        <v>0</v>
      </c>
      <c r="F20" s="9">
        <v>0</v>
      </c>
      <c r="G20" s="18">
        <v>952</v>
      </c>
      <c r="H20" s="9">
        <v>1538</v>
      </c>
      <c r="I20" s="9">
        <v>1016</v>
      </c>
      <c r="J20" s="9">
        <v>1018</v>
      </c>
      <c r="K20" s="9">
        <v>1084</v>
      </c>
      <c r="L20" s="9">
        <v>0</v>
      </c>
      <c r="M20" s="9">
        <v>0</v>
      </c>
      <c r="N20" s="9">
        <v>1482</v>
      </c>
      <c r="O20" s="9">
        <v>1032</v>
      </c>
      <c r="P20" s="9">
        <v>594</v>
      </c>
      <c r="Q20" s="9">
        <v>1396</v>
      </c>
      <c r="R20" s="9">
        <v>1146</v>
      </c>
      <c r="S20" s="9">
        <v>0</v>
      </c>
    </row>
    <row r="25" spans="1:19">
      <c r="A25" s="74" t="s">
        <v>0</v>
      </c>
      <c r="B25" s="69" t="s">
        <v>922</v>
      </c>
      <c r="C25" s="69" t="s">
        <v>923</v>
      </c>
      <c r="D25" s="69" t="s">
        <v>924</v>
      </c>
      <c r="E25" s="69" t="s">
        <v>925</v>
      </c>
      <c r="F25" s="70" t="s">
        <v>926</v>
      </c>
      <c r="G25" s="69" t="s">
        <v>932</v>
      </c>
      <c r="H25" s="69" t="s">
        <v>933</v>
      </c>
      <c r="I25" s="69" t="s">
        <v>934</v>
      </c>
      <c r="J25" s="69" t="s">
        <v>935</v>
      </c>
      <c r="K25" s="69" t="s">
        <v>936</v>
      </c>
      <c r="L25" s="69" t="s">
        <v>937</v>
      </c>
      <c r="M25" s="70" t="s">
        <v>938</v>
      </c>
      <c r="N25" s="69" t="s">
        <v>990</v>
      </c>
      <c r="O25" s="69" t="s">
        <v>991</v>
      </c>
      <c r="P25" s="69" t="s">
        <v>992</v>
      </c>
      <c r="Q25" s="69" t="s">
        <v>993</v>
      </c>
      <c r="R25" s="69" t="s">
        <v>994</v>
      </c>
      <c r="S25" s="69" t="s">
        <v>995</v>
      </c>
    </row>
    <row r="26" spans="1:19">
      <c r="A26" s="30">
        <v>1237608</v>
      </c>
      <c r="B26" s="32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300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</row>
    <row r="27" spans="1:19">
      <c r="A27" s="30">
        <v>1233165</v>
      </c>
      <c r="B27" s="32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37</v>
      </c>
      <c r="P27" s="32">
        <v>243</v>
      </c>
      <c r="Q27" s="32">
        <v>0</v>
      </c>
      <c r="R27" s="32">
        <v>0</v>
      </c>
      <c r="S27" s="32">
        <v>0</v>
      </c>
    </row>
    <row r="28" spans="1:19">
      <c r="A28" s="30">
        <v>1236110</v>
      </c>
      <c r="B28" s="32">
        <v>200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</row>
    <row r="29" spans="1:19">
      <c r="A29" s="30">
        <v>1236387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17">
        <v>176</v>
      </c>
      <c r="H29" s="115">
        <v>357</v>
      </c>
      <c r="I29" s="32">
        <v>163</v>
      </c>
      <c r="J29" s="32">
        <v>104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</row>
    <row r="30" spans="1:19">
      <c r="A30" s="111">
        <v>1232775</v>
      </c>
      <c r="B30" s="32">
        <v>487</v>
      </c>
      <c r="C30" s="32">
        <v>487</v>
      </c>
      <c r="D30" s="17">
        <v>487</v>
      </c>
      <c r="E30" s="32">
        <v>0</v>
      </c>
      <c r="F30" s="32">
        <v>0</v>
      </c>
      <c r="G30" s="17">
        <v>342</v>
      </c>
      <c r="H30" s="115">
        <v>245</v>
      </c>
      <c r="I30" s="32">
        <v>109</v>
      </c>
      <c r="J30" s="32">
        <v>200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18</v>
      </c>
      <c r="Q30" s="32">
        <v>245</v>
      </c>
      <c r="R30" s="32">
        <v>245</v>
      </c>
      <c r="S30" s="32">
        <v>0</v>
      </c>
    </row>
    <row r="31" spans="1:19">
      <c r="A31" s="30">
        <v>1238605</v>
      </c>
      <c r="B31" s="32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2</v>
      </c>
      <c r="Q31" s="32">
        <v>190</v>
      </c>
      <c r="R31" s="32">
        <v>190</v>
      </c>
      <c r="S31" s="32">
        <v>0</v>
      </c>
    </row>
    <row r="32" spans="1:19">
      <c r="A32" s="30">
        <v>1230685</v>
      </c>
      <c r="B32" s="32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220</v>
      </c>
      <c r="K32" s="32">
        <v>330</v>
      </c>
      <c r="L32" s="32">
        <v>0</v>
      </c>
      <c r="M32" s="32">
        <v>0</v>
      </c>
      <c r="N32" s="32">
        <v>330</v>
      </c>
      <c r="O32" s="32">
        <v>270</v>
      </c>
      <c r="P32" s="32">
        <v>0</v>
      </c>
      <c r="Q32" s="32">
        <v>0</v>
      </c>
      <c r="R32" s="32">
        <v>0</v>
      </c>
      <c r="S32" s="32">
        <v>0</v>
      </c>
    </row>
    <row r="37" spans="1:23">
      <c r="A37" s="74" t="s">
        <v>0</v>
      </c>
      <c r="B37" s="69" t="s">
        <v>922</v>
      </c>
      <c r="C37" s="69" t="s">
        <v>923</v>
      </c>
      <c r="D37" s="69" t="s">
        <v>924</v>
      </c>
      <c r="E37" s="69" t="s">
        <v>925</v>
      </c>
      <c r="F37" s="70" t="s">
        <v>926</v>
      </c>
      <c r="G37" s="69" t="s">
        <v>932</v>
      </c>
      <c r="H37" s="69" t="s">
        <v>933</v>
      </c>
      <c r="I37" s="69" t="s">
        <v>934</v>
      </c>
      <c r="J37" s="69" t="s">
        <v>935</v>
      </c>
      <c r="K37" s="69" t="s">
        <v>936</v>
      </c>
      <c r="L37" s="69" t="s">
        <v>937</v>
      </c>
      <c r="M37" s="70" t="s">
        <v>938</v>
      </c>
      <c r="N37" s="69" t="s">
        <v>990</v>
      </c>
      <c r="O37" s="69" t="s">
        <v>991</v>
      </c>
      <c r="P37" s="69" t="s">
        <v>992</v>
      </c>
      <c r="Q37" s="69" t="s">
        <v>993</v>
      </c>
      <c r="R37" s="69" t="s">
        <v>994</v>
      </c>
      <c r="S37" s="69" t="s">
        <v>995</v>
      </c>
      <c r="T37" s="70" t="s">
        <v>996</v>
      </c>
    </row>
    <row r="38" spans="1:23">
      <c r="A38" s="30">
        <v>1234614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216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78"/>
      <c r="W38" s="78"/>
    </row>
    <row r="39" spans="1:23">
      <c r="A39" s="30">
        <v>1230692</v>
      </c>
      <c r="B39" s="32">
        <v>0</v>
      </c>
      <c r="C39" s="32">
        <v>200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78"/>
    </row>
    <row r="40" spans="1:23">
      <c r="A40" s="30">
        <v>1227306</v>
      </c>
      <c r="B40" s="32">
        <v>81</v>
      </c>
      <c r="C40" s="32">
        <v>270</v>
      </c>
      <c r="D40" s="32">
        <v>249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510</v>
      </c>
      <c r="R40" s="32">
        <v>320</v>
      </c>
      <c r="S40" s="32">
        <v>0</v>
      </c>
      <c r="T40" s="32">
        <v>0</v>
      </c>
      <c r="U40" s="78"/>
    </row>
    <row r="41" spans="1:23">
      <c r="A41" s="30">
        <v>1227359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1</v>
      </c>
      <c r="Q41" s="32">
        <v>0</v>
      </c>
      <c r="R41" s="32">
        <v>0</v>
      </c>
      <c r="S41" s="32">
        <v>0</v>
      </c>
      <c r="T41" s="32">
        <v>0</v>
      </c>
      <c r="U41" s="78"/>
    </row>
    <row r="42" spans="1:23">
      <c r="A42" s="30">
        <v>1231797</v>
      </c>
      <c r="B42" s="32">
        <v>0</v>
      </c>
      <c r="C42" s="32">
        <v>130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78"/>
    </row>
    <row r="43" spans="1:23">
      <c r="A43" s="30">
        <v>1229776</v>
      </c>
      <c r="B43" s="32">
        <v>0</v>
      </c>
      <c r="C43" s="32">
        <v>0</v>
      </c>
      <c r="D43" s="32">
        <v>30</v>
      </c>
      <c r="E43" s="32">
        <v>0</v>
      </c>
      <c r="F43" s="32">
        <v>0</v>
      </c>
      <c r="G43" s="32">
        <v>60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78"/>
    </row>
    <row r="44" spans="1:23">
      <c r="A44" s="30">
        <v>1231090</v>
      </c>
      <c r="B44" s="32">
        <v>0</v>
      </c>
      <c r="C44" s="32">
        <v>0</v>
      </c>
      <c r="D44" s="32">
        <v>30</v>
      </c>
      <c r="E44" s="32">
        <v>0</v>
      </c>
      <c r="F44" s="32">
        <v>0</v>
      </c>
      <c r="G44" s="32">
        <v>60</v>
      </c>
      <c r="H44" s="32">
        <v>290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510</v>
      </c>
      <c r="O44" s="32">
        <v>0</v>
      </c>
      <c r="P44" s="32">
        <v>350</v>
      </c>
      <c r="Q44" s="32">
        <v>550</v>
      </c>
      <c r="R44" s="32">
        <v>820</v>
      </c>
      <c r="S44" s="32">
        <v>0</v>
      </c>
      <c r="T44" s="32">
        <v>0</v>
      </c>
      <c r="U44" s="78"/>
    </row>
    <row r="45" spans="1:23">
      <c r="A45" s="30">
        <v>1232066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200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78"/>
    </row>
    <row r="46" spans="1:23">
      <c r="A46" s="30">
        <v>1229088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5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78"/>
    </row>
    <row r="47" spans="1:23">
      <c r="A47" s="30">
        <v>1232693</v>
      </c>
      <c r="B47" s="32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282</v>
      </c>
      <c r="L47" s="32">
        <v>0</v>
      </c>
      <c r="M47" s="32">
        <v>0</v>
      </c>
      <c r="N47" s="32">
        <v>989</v>
      </c>
      <c r="O47" s="32">
        <v>472</v>
      </c>
      <c r="P47" s="32">
        <v>0</v>
      </c>
      <c r="Q47" s="32">
        <v>1000</v>
      </c>
      <c r="R47" s="32">
        <v>780</v>
      </c>
      <c r="S47" s="32">
        <v>0</v>
      </c>
      <c r="T47" s="32">
        <v>0</v>
      </c>
      <c r="U47" s="78"/>
    </row>
    <row r="48" spans="1:23">
      <c r="A48" s="30">
        <v>1233025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282</v>
      </c>
      <c r="L48" s="32">
        <v>0</v>
      </c>
      <c r="M48" s="32">
        <v>0</v>
      </c>
      <c r="N48" s="32">
        <v>989</v>
      </c>
      <c r="O48" s="32">
        <v>472</v>
      </c>
      <c r="P48" s="32">
        <v>0</v>
      </c>
      <c r="Q48" s="32">
        <v>1000</v>
      </c>
      <c r="R48" s="32">
        <v>780</v>
      </c>
      <c r="S48" s="32">
        <v>0</v>
      </c>
      <c r="T48" s="32">
        <v>0</v>
      </c>
      <c r="U48" s="78"/>
    </row>
    <row r="49" spans="1:21">
      <c r="A49" s="30">
        <v>1234222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143</v>
      </c>
      <c r="J49" s="32">
        <v>77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78"/>
    </row>
    <row r="50" spans="1:21">
      <c r="A50" s="30">
        <v>1232528</v>
      </c>
      <c r="B50" s="32">
        <v>233</v>
      </c>
      <c r="C50" s="32">
        <v>686</v>
      </c>
      <c r="D50" s="32">
        <v>781</v>
      </c>
      <c r="E50" s="32">
        <v>0</v>
      </c>
      <c r="F50" s="32">
        <v>0</v>
      </c>
      <c r="G50" s="32">
        <v>1372</v>
      </c>
      <c r="H50" s="32">
        <v>753</v>
      </c>
      <c r="I50" s="32">
        <v>420</v>
      </c>
      <c r="J50" s="32">
        <v>0</v>
      </c>
      <c r="K50" s="32">
        <v>0</v>
      </c>
      <c r="L50" s="32">
        <v>0</v>
      </c>
      <c r="M50" s="32">
        <v>0</v>
      </c>
      <c r="N50" s="32">
        <v>1145</v>
      </c>
      <c r="O50" s="32">
        <v>700</v>
      </c>
      <c r="P50" s="32">
        <v>600</v>
      </c>
      <c r="Q50" s="32">
        <v>600</v>
      </c>
      <c r="R50" s="32">
        <v>3941</v>
      </c>
      <c r="S50" s="32">
        <v>0</v>
      </c>
      <c r="T50" s="32">
        <v>0</v>
      </c>
      <c r="U50" s="78"/>
    </row>
    <row r="51" spans="1:21">
      <c r="A51" s="30">
        <v>1232846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2</v>
      </c>
      <c r="O51" s="32">
        <v>0</v>
      </c>
      <c r="P51" s="32">
        <v>712</v>
      </c>
      <c r="Q51" s="32">
        <v>379</v>
      </c>
      <c r="R51" s="32">
        <v>0</v>
      </c>
      <c r="S51" s="32">
        <v>0</v>
      </c>
      <c r="T51" s="32">
        <v>0</v>
      </c>
      <c r="U51" s="78"/>
    </row>
    <row r="52" spans="1:21">
      <c r="A52" s="30">
        <v>1229050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151</v>
      </c>
      <c r="Q52" s="32">
        <v>0</v>
      </c>
      <c r="R52" s="32">
        <v>0</v>
      </c>
      <c r="S52" s="32">
        <v>0</v>
      </c>
      <c r="T52" s="32">
        <v>0</v>
      </c>
      <c r="U52" s="78"/>
    </row>
    <row r="53" spans="1:21">
      <c r="A53" s="30">
        <v>1220847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920</v>
      </c>
      <c r="O53" s="32">
        <v>0</v>
      </c>
      <c r="P53" s="32">
        <v>0</v>
      </c>
      <c r="Q53" s="32">
        <v>0</v>
      </c>
      <c r="R53" s="32">
        <v>4330</v>
      </c>
      <c r="S53" s="32">
        <v>0</v>
      </c>
      <c r="T53" s="32">
        <v>0</v>
      </c>
      <c r="U53" s="78"/>
    </row>
    <row r="54" spans="1:21">
      <c r="A54" s="30">
        <v>1234217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50</v>
      </c>
      <c r="Q54" s="32">
        <v>0</v>
      </c>
      <c r="R54" s="32">
        <v>0</v>
      </c>
      <c r="S54" s="32">
        <v>0</v>
      </c>
      <c r="T54" s="32">
        <v>0</v>
      </c>
      <c r="U54" s="78"/>
    </row>
    <row r="55" spans="1:21">
      <c r="A55" s="30">
        <v>1234111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50</v>
      </c>
      <c r="Q55" s="32">
        <v>0</v>
      </c>
      <c r="R55" s="32">
        <v>0</v>
      </c>
      <c r="S55" s="32">
        <v>0</v>
      </c>
      <c r="T55" s="32">
        <v>0</v>
      </c>
      <c r="U55" s="78"/>
    </row>
    <row r="56" spans="1:21">
      <c r="A56" s="30">
        <v>1234110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50</v>
      </c>
      <c r="Q56" s="32">
        <v>0</v>
      </c>
      <c r="R56" s="32">
        <v>0</v>
      </c>
      <c r="S56" s="32">
        <v>0</v>
      </c>
      <c r="T56" s="32">
        <v>0</v>
      </c>
      <c r="U56" s="78"/>
    </row>
    <row r="57" spans="1:21">
      <c r="A57" s="30">
        <v>1232775</v>
      </c>
      <c r="B57" s="32">
        <v>0</v>
      </c>
      <c r="C57" s="32">
        <v>295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48</v>
      </c>
      <c r="K57" s="32">
        <v>0</v>
      </c>
      <c r="L57" s="32">
        <v>0</v>
      </c>
      <c r="M57" s="32">
        <v>0</v>
      </c>
      <c r="N57" s="32">
        <v>0</v>
      </c>
      <c r="O57" s="32">
        <v>183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78"/>
    </row>
    <row r="58" spans="1:21">
      <c r="A58" s="30">
        <v>1235097</v>
      </c>
      <c r="B58" s="32">
        <v>0</v>
      </c>
      <c r="C58" s="32">
        <v>0</v>
      </c>
      <c r="D58" s="32">
        <v>67</v>
      </c>
      <c r="E58" s="32">
        <v>0</v>
      </c>
      <c r="F58" s="32">
        <v>0</v>
      </c>
      <c r="G58" s="32">
        <v>343</v>
      </c>
      <c r="H58" s="32">
        <v>343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78"/>
    </row>
    <row r="59" spans="1:21">
      <c r="A59" s="30">
        <v>1235958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1</v>
      </c>
      <c r="Q59" s="32">
        <v>0</v>
      </c>
      <c r="R59" s="32">
        <v>0</v>
      </c>
      <c r="S59" s="32">
        <v>0</v>
      </c>
      <c r="T59" s="32">
        <v>0</v>
      </c>
      <c r="U59" s="78"/>
    </row>
    <row r="60" spans="1:21">
      <c r="A60" s="30">
        <v>1236600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254</v>
      </c>
      <c r="J60" s="32">
        <v>600</v>
      </c>
      <c r="K60" s="32">
        <v>246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78"/>
    </row>
    <row r="61" spans="1:21">
      <c r="A61" s="30">
        <v>1236619</v>
      </c>
      <c r="B61" s="32">
        <v>0</v>
      </c>
      <c r="C61" s="32">
        <v>0</v>
      </c>
      <c r="D61" s="32">
        <v>198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78"/>
    </row>
    <row r="62" spans="1:21">
      <c r="A62" s="30">
        <v>1236930</v>
      </c>
      <c r="B62" s="32">
        <v>494</v>
      </c>
      <c r="C62" s="32">
        <v>336</v>
      </c>
      <c r="D62" s="32">
        <v>267</v>
      </c>
      <c r="E62" s="32">
        <v>0</v>
      </c>
      <c r="F62" s="32">
        <v>0</v>
      </c>
      <c r="G62" s="32">
        <v>339</v>
      </c>
      <c r="H62" s="32">
        <v>339</v>
      </c>
      <c r="I62" s="32">
        <v>247</v>
      </c>
      <c r="J62" s="32">
        <v>634</v>
      </c>
      <c r="K62" s="32">
        <v>535</v>
      </c>
      <c r="L62" s="32">
        <v>0</v>
      </c>
      <c r="M62" s="32">
        <v>0</v>
      </c>
      <c r="N62" s="32">
        <v>1056</v>
      </c>
      <c r="O62" s="32">
        <v>606</v>
      </c>
      <c r="P62" s="32">
        <v>145</v>
      </c>
      <c r="Q62" s="32">
        <v>0</v>
      </c>
      <c r="R62" s="32">
        <v>0</v>
      </c>
      <c r="S62" s="32">
        <v>0</v>
      </c>
      <c r="T62" s="32">
        <v>0</v>
      </c>
      <c r="U62" s="78"/>
    </row>
    <row r="63" spans="1:21">
      <c r="A63" s="30">
        <v>1232982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116</v>
      </c>
      <c r="J63" s="32">
        <v>284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78"/>
    </row>
    <row r="64" spans="1:21">
      <c r="A64" s="30">
        <v>1237468</v>
      </c>
      <c r="B64" s="32">
        <v>0</v>
      </c>
      <c r="C64" s="32">
        <v>0</v>
      </c>
      <c r="D64" s="32">
        <v>248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37</v>
      </c>
      <c r="Q64" s="32">
        <v>0</v>
      </c>
      <c r="R64" s="32">
        <v>0</v>
      </c>
      <c r="S64" s="32">
        <v>0</v>
      </c>
      <c r="T64" s="32">
        <v>0</v>
      </c>
      <c r="U64" s="78"/>
    </row>
    <row r="65" spans="1:23">
      <c r="A65" s="30">
        <v>1237457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56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78"/>
    </row>
    <row r="66" spans="1:23">
      <c r="A66" s="30">
        <v>1237386</v>
      </c>
      <c r="B66" s="32">
        <v>0</v>
      </c>
      <c r="C66" s="32">
        <v>80</v>
      </c>
      <c r="D66" s="32">
        <v>0</v>
      </c>
      <c r="E66" s="32">
        <v>0</v>
      </c>
      <c r="F66" s="32">
        <v>0</v>
      </c>
      <c r="G66" s="32">
        <v>0</v>
      </c>
      <c r="H66" s="32">
        <v>22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78"/>
    </row>
    <row r="67" spans="1:23">
      <c r="A67" s="30">
        <v>1234905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300</v>
      </c>
      <c r="R67" s="32">
        <v>380</v>
      </c>
      <c r="S67" s="32">
        <v>0</v>
      </c>
      <c r="T67" s="32">
        <v>0</v>
      </c>
      <c r="U67" s="78"/>
    </row>
    <row r="68" spans="1:23">
      <c r="A68" s="30">
        <v>1238480</v>
      </c>
      <c r="B68" s="32">
        <v>1101</v>
      </c>
      <c r="C68" s="32">
        <v>1528</v>
      </c>
      <c r="D68" s="32">
        <v>615</v>
      </c>
      <c r="E68" s="32">
        <v>0</v>
      </c>
      <c r="F68" s="32">
        <v>0</v>
      </c>
      <c r="G68" s="32">
        <v>899</v>
      </c>
      <c r="H68" s="32">
        <v>730</v>
      </c>
      <c r="I68" s="32">
        <v>587</v>
      </c>
      <c r="J68" s="32">
        <v>1054</v>
      </c>
      <c r="K68" s="32">
        <v>639</v>
      </c>
      <c r="L68" s="32">
        <v>0</v>
      </c>
      <c r="M68" s="32">
        <v>0</v>
      </c>
      <c r="N68" s="32">
        <v>1699</v>
      </c>
      <c r="O68" s="32">
        <v>2286</v>
      </c>
      <c r="P68" s="32">
        <v>742</v>
      </c>
      <c r="Q68" s="32">
        <v>1306</v>
      </c>
      <c r="R68" s="32">
        <v>1955</v>
      </c>
      <c r="S68" s="32">
        <v>0</v>
      </c>
      <c r="T68" s="32">
        <v>0</v>
      </c>
      <c r="U68" s="78"/>
    </row>
    <row r="69" spans="1:23">
      <c r="A69" s="30">
        <v>1238453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215</v>
      </c>
      <c r="P69" s="32">
        <v>300</v>
      </c>
      <c r="Q69" s="32">
        <v>126</v>
      </c>
      <c r="R69" s="32">
        <v>0</v>
      </c>
      <c r="S69" s="32">
        <v>0</v>
      </c>
      <c r="T69" s="32">
        <v>0</v>
      </c>
      <c r="U69" s="78"/>
    </row>
    <row r="70" spans="1:23">
      <c r="A70" s="30">
        <v>1240029</v>
      </c>
      <c r="B70" s="32">
        <v>0</v>
      </c>
      <c r="C70" s="32">
        <v>0</v>
      </c>
      <c r="D70" s="32">
        <v>136</v>
      </c>
      <c r="E70" s="32">
        <v>0</v>
      </c>
      <c r="F70" s="32">
        <v>0</v>
      </c>
      <c r="G70" s="32">
        <v>470</v>
      </c>
      <c r="H70" s="32">
        <v>94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78"/>
    </row>
    <row r="71" spans="1:23">
      <c r="A71" s="30">
        <v>1240032</v>
      </c>
      <c r="B71" s="32">
        <v>0</v>
      </c>
      <c r="C71" s="32">
        <v>0</v>
      </c>
      <c r="D71" s="32">
        <v>136</v>
      </c>
      <c r="E71" s="32">
        <v>0</v>
      </c>
      <c r="F71" s="32">
        <v>0</v>
      </c>
      <c r="G71" s="32">
        <v>470</v>
      </c>
      <c r="H71" s="32">
        <v>94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78"/>
    </row>
    <row r="72" spans="1:23">
      <c r="A72" s="111">
        <v>1216452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643</v>
      </c>
      <c r="I72" s="32">
        <v>452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90</v>
      </c>
      <c r="P72" s="32">
        <v>0</v>
      </c>
      <c r="Q72" s="32">
        <v>0</v>
      </c>
      <c r="R72" s="32">
        <v>0</v>
      </c>
      <c r="S72" s="32">
        <v>495</v>
      </c>
      <c r="T72" s="32">
        <v>0</v>
      </c>
      <c r="U72" s="78"/>
    </row>
    <row r="73" spans="1:23">
      <c r="A73" s="30">
        <v>1232894</v>
      </c>
      <c r="B73" s="32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2</v>
      </c>
      <c r="O73" s="32">
        <v>0</v>
      </c>
      <c r="P73" s="32">
        <v>712</v>
      </c>
      <c r="Q73" s="32">
        <v>379</v>
      </c>
      <c r="R73" s="32">
        <v>0</v>
      </c>
      <c r="S73" s="32">
        <v>0</v>
      </c>
      <c r="T73" s="32">
        <v>0</v>
      </c>
      <c r="U73" s="78"/>
    </row>
    <row r="74" spans="1:23">
      <c r="A74" s="30">
        <v>1233386</v>
      </c>
      <c r="B74" s="32">
        <v>0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512</v>
      </c>
      <c r="Q74" s="32">
        <v>0</v>
      </c>
      <c r="R74" s="32">
        <v>0</v>
      </c>
      <c r="S74" s="32">
        <v>0</v>
      </c>
      <c r="T74" s="32">
        <v>0</v>
      </c>
      <c r="U74" s="78"/>
    </row>
    <row r="75" spans="1:23">
      <c r="A75" s="30">
        <v>1233387</v>
      </c>
      <c r="B75" s="32">
        <v>0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200</v>
      </c>
      <c r="Q75" s="32">
        <v>128</v>
      </c>
      <c r="R75" s="32">
        <v>0</v>
      </c>
      <c r="S75" s="32">
        <v>0</v>
      </c>
      <c r="T75" s="32">
        <v>0</v>
      </c>
      <c r="U75" s="78"/>
    </row>
    <row r="76" spans="1:23">
      <c r="A76" s="30">
        <v>1233385</v>
      </c>
      <c r="B76" s="32">
        <v>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2</v>
      </c>
      <c r="O76" s="32">
        <v>0</v>
      </c>
      <c r="P76" s="32">
        <v>0</v>
      </c>
      <c r="Q76" s="32">
        <v>251</v>
      </c>
      <c r="R76" s="32">
        <v>0</v>
      </c>
      <c r="S76" s="32">
        <v>0</v>
      </c>
      <c r="T76" s="32">
        <v>0</v>
      </c>
      <c r="U76" s="78"/>
    </row>
    <row r="77" spans="1:23">
      <c r="A77" s="30">
        <v>1233580</v>
      </c>
      <c r="B77" s="32">
        <v>0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200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78"/>
      <c r="V77" s="78"/>
      <c r="W77" s="78"/>
    </row>
  </sheetData>
  <phoneticPr fontId="1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FF84-8431-4E7E-8603-9D786D717D3B}">
  <dimension ref="A1:W77"/>
  <sheetViews>
    <sheetView topLeftCell="A34" zoomScale="85" zoomScaleNormal="85" workbookViewId="0">
      <selection activeCell="W62" sqref="W62"/>
    </sheetView>
  </sheetViews>
  <sheetFormatPr defaultRowHeight="11.25"/>
  <cols>
    <col min="1" max="1" width="9.1640625" style="13"/>
    <col min="2" max="2" width="9.1640625" style="14"/>
    <col min="3" max="18" width="9.1640625" style="14" customWidth="1"/>
    <col min="19" max="19" width="9.1640625" style="14"/>
  </cols>
  <sheetData>
    <row r="1" spans="1:19">
      <c r="A1" s="217" t="s">
        <v>0</v>
      </c>
      <c r="B1" s="218" t="s">
        <v>923</v>
      </c>
      <c r="C1" s="218" t="s">
        <v>924</v>
      </c>
      <c r="D1" s="218" t="s">
        <v>925</v>
      </c>
      <c r="E1" s="219" t="s">
        <v>926</v>
      </c>
      <c r="F1" s="218" t="s">
        <v>932</v>
      </c>
      <c r="G1" s="221" t="s">
        <v>933</v>
      </c>
      <c r="H1" s="218" t="s">
        <v>934</v>
      </c>
      <c r="I1" s="218" t="s">
        <v>935</v>
      </c>
      <c r="J1" s="218" t="s">
        <v>936</v>
      </c>
      <c r="K1" s="218" t="s">
        <v>937</v>
      </c>
      <c r="L1" s="219" t="s">
        <v>938</v>
      </c>
      <c r="M1" s="218" t="s">
        <v>990</v>
      </c>
      <c r="N1" s="218" t="s">
        <v>991</v>
      </c>
      <c r="O1" s="218" t="s">
        <v>992</v>
      </c>
      <c r="P1" s="218" t="s">
        <v>993</v>
      </c>
      <c r="Q1" s="218" t="s">
        <v>994</v>
      </c>
      <c r="R1" s="218" t="s">
        <v>995</v>
      </c>
      <c r="S1" s="219" t="s">
        <v>996</v>
      </c>
    </row>
    <row r="2" spans="1:19">
      <c r="A2" s="216">
        <v>1234614</v>
      </c>
      <c r="B2" s="220">
        <v>0</v>
      </c>
      <c r="C2" s="220">
        <v>0</v>
      </c>
      <c r="D2" s="220">
        <v>0</v>
      </c>
      <c r="E2" s="220">
        <v>0</v>
      </c>
      <c r="F2" s="220">
        <v>192</v>
      </c>
      <c r="G2" s="222">
        <v>308</v>
      </c>
      <c r="H2" s="220">
        <v>0</v>
      </c>
      <c r="I2" s="220">
        <v>0</v>
      </c>
      <c r="J2" s="220">
        <v>0</v>
      </c>
      <c r="K2" s="220">
        <v>0</v>
      </c>
      <c r="L2" s="220">
        <v>0</v>
      </c>
      <c r="M2" s="220">
        <v>0</v>
      </c>
      <c r="N2" s="220">
        <v>0</v>
      </c>
      <c r="O2" s="220">
        <v>0</v>
      </c>
      <c r="P2" s="220">
        <v>0</v>
      </c>
      <c r="Q2" s="220">
        <v>0</v>
      </c>
      <c r="R2" s="220">
        <v>0</v>
      </c>
      <c r="S2" s="220">
        <v>0</v>
      </c>
    </row>
    <row r="3" spans="1:19">
      <c r="A3" s="216">
        <v>1226384</v>
      </c>
      <c r="B3" s="220">
        <v>500</v>
      </c>
      <c r="C3" s="220">
        <v>0</v>
      </c>
      <c r="D3" s="220">
        <v>0</v>
      </c>
      <c r="E3" s="220">
        <v>0</v>
      </c>
      <c r="F3" s="220">
        <v>0</v>
      </c>
      <c r="G3" s="220">
        <v>0</v>
      </c>
      <c r="H3" s="220">
        <v>0</v>
      </c>
      <c r="I3" s="220">
        <v>0</v>
      </c>
      <c r="J3" s="220">
        <v>0</v>
      </c>
      <c r="K3" s="220">
        <v>0</v>
      </c>
      <c r="L3" s="220">
        <v>0</v>
      </c>
      <c r="M3" s="220">
        <v>0</v>
      </c>
      <c r="N3" s="220">
        <v>0</v>
      </c>
      <c r="O3" s="220">
        <v>0</v>
      </c>
      <c r="P3" s="220">
        <v>0</v>
      </c>
      <c r="Q3" s="220">
        <v>0</v>
      </c>
      <c r="R3" s="220">
        <v>0</v>
      </c>
      <c r="S3" s="220">
        <v>0</v>
      </c>
    </row>
    <row r="4" spans="1:19">
      <c r="A4" s="216">
        <v>1226388</v>
      </c>
      <c r="B4" s="220">
        <v>500</v>
      </c>
      <c r="C4" s="220">
        <v>0</v>
      </c>
      <c r="D4" s="220">
        <v>0</v>
      </c>
      <c r="E4" s="220">
        <v>0</v>
      </c>
      <c r="F4" s="220">
        <v>0</v>
      </c>
      <c r="G4" s="220">
        <v>0</v>
      </c>
      <c r="H4" s="220">
        <v>0</v>
      </c>
      <c r="I4" s="220">
        <v>0</v>
      </c>
      <c r="J4" s="220">
        <v>0</v>
      </c>
      <c r="K4" s="220">
        <v>0</v>
      </c>
      <c r="L4" s="220">
        <v>0</v>
      </c>
      <c r="M4" s="220">
        <v>0</v>
      </c>
      <c r="N4" s="220">
        <v>0</v>
      </c>
      <c r="O4" s="220">
        <v>0</v>
      </c>
      <c r="P4" s="220">
        <v>0</v>
      </c>
      <c r="Q4" s="220">
        <v>0</v>
      </c>
      <c r="R4" s="220">
        <v>0</v>
      </c>
      <c r="S4" s="220">
        <v>0</v>
      </c>
    </row>
    <row r="5" spans="1:19">
      <c r="A5" s="216">
        <v>1229673</v>
      </c>
      <c r="B5" s="220">
        <v>250</v>
      </c>
      <c r="C5" s="220">
        <v>250</v>
      </c>
      <c r="D5" s="220">
        <v>0</v>
      </c>
      <c r="E5" s="220">
        <v>0</v>
      </c>
      <c r="F5" s="220">
        <v>200</v>
      </c>
      <c r="G5" s="222">
        <v>200</v>
      </c>
      <c r="H5" s="220">
        <v>222</v>
      </c>
      <c r="I5" s="220">
        <v>200</v>
      </c>
      <c r="J5" s="220">
        <v>0</v>
      </c>
      <c r="K5" s="220">
        <v>0</v>
      </c>
      <c r="L5" s="220">
        <v>0</v>
      </c>
      <c r="M5" s="220">
        <v>200</v>
      </c>
      <c r="N5" s="220">
        <v>300</v>
      </c>
      <c r="O5" s="220">
        <v>200</v>
      </c>
      <c r="P5" s="220">
        <v>300</v>
      </c>
      <c r="Q5" s="220">
        <v>200</v>
      </c>
      <c r="R5" s="220">
        <v>0</v>
      </c>
      <c r="S5" s="220">
        <v>0</v>
      </c>
    </row>
    <row r="6" spans="1:19">
      <c r="A6" s="216">
        <v>1230854</v>
      </c>
      <c r="B6" s="220">
        <v>0</v>
      </c>
      <c r="C6" s="220">
        <v>0</v>
      </c>
      <c r="D6" s="220">
        <v>0</v>
      </c>
      <c r="E6" s="220">
        <v>0</v>
      </c>
      <c r="F6" s="220">
        <v>100</v>
      </c>
      <c r="G6" s="220">
        <v>0</v>
      </c>
      <c r="H6" s="220">
        <v>0</v>
      </c>
      <c r="I6" s="220">
        <v>0</v>
      </c>
      <c r="J6" s="220">
        <v>0</v>
      </c>
      <c r="K6" s="220">
        <v>0</v>
      </c>
      <c r="L6" s="220">
        <v>0</v>
      </c>
      <c r="M6" s="220">
        <v>0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v>0</v>
      </c>
    </row>
    <row r="7" spans="1:19">
      <c r="A7" s="216">
        <v>1235623</v>
      </c>
      <c r="B7" s="220">
        <v>0</v>
      </c>
      <c r="C7" s="220">
        <v>0</v>
      </c>
      <c r="D7" s="220">
        <v>0</v>
      </c>
      <c r="E7" s="220">
        <v>0</v>
      </c>
      <c r="F7" s="220">
        <v>0</v>
      </c>
      <c r="G7" s="220">
        <v>0</v>
      </c>
      <c r="H7" s="220">
        <v>0</v>
      </c>
      <c r="I7" s="220">
        <v>0</v>
      </c>
      <c r="J7" s="220">
        <v>0</v>
      </c>
      <c r="K7" s="220">
        <v>0</v>
      </c>
      <c r="L7" s="220">
        <v>0</v>
      </c>
      <c r="M7" s="220">
        <v>0</v>
      </c>
      <c r="N7" s="220">
        <v>198</v>
      </c>
      <c r="O7" s="220">
        <v>358</v>
      </c>
      <c r="P7" s="220">
        <v>934</v>
      </c>
      <c r="Q7" s="220">
        <v>382</v>
      </c>
      <c r="R7" s="220">
        <v>0</v>
      </c>
      <c r="S7" s="220">
        <v>0</v>
      </c>
    </row>
    <row r="8" spans="1:19">
      <c r="A8" s="216">
        <v>1237088</v>
      </c>
      <c r="B8" s="220">
        <v>258</v>
      </c>
      <c r="C8" s="220">
        <v>744</v>
      </c>
      <c r="D8" s="220">
        <v>0</v>
      </c>
      <c r="E8" s="220">
        <v>0</v>
      </c>
      <c r="F8" s="220">
        <v>920</v>
      </c>
      <c r="G8" s="222">
        <v>960</v>
      </c>
      <c r="H8" s="220">
        <v>0</v>
      </c>
      <c r="I8" s="220">
        <v>300</v>
      </c>
      <c r="J8" s="220">
        <v>0</v>
      </c>
      <c r="K8" s="220">
        <v>0</v>
      </c>
      <c r="L8" s="220">
        <v>0</v>
      </c>
      <c r="M8" s="220">
        <v>806</v>
      </c>
      <c r="N8" s="220">
        <v>672</v>
      </c>
      <c r="O8" s="220">
        <v>280</v>
      </c>
      <c r="P8" s="220">
        <v>698</v>
      </c>
      <c r="Q8" s="220">
        <v>232</v>
      </c>
      <c r="R8" s="220">
        <v>0</v>
      </c>
      <c r="S8" s="220">
        <v>0</v>
      </c>
    </row>
    <row r="9" spans="1:19">
      <c r="A9" s="216">
        <v>1237748</v>
      </c>
      <c r="B9" s="220">
        <v>0</v>
      </c>
      <c r="C9" s="220">
        <v>0</v>
      </c>
      <c r="D9" s="220">
        <v>0</v>
      </c>
      <c r="E9" s="220">
        <v>0</v>
      </c>
      <c r="F9" s="220">
        <v>0</v>
      </c>
      <c r="G9" s="220">
        <v>0</v>
      </c>
      <c r="H9" s="220">
        <v>0</v>
      </c>
      <c r="I9" s="220">
        <v>522</v>
      </c>
      <c r="J9" s="220">
        <v>50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220">
        <v>0</v>
      </c>
      <c r="Q9" s="220">
        <v>260</v>
      </c>
      <c r="R9" s="220">
        <v>0</v>
      </c>
      <c r="S9" s="220">
        <v>0</v>
      </c>
    </row>
    <row r="10" spans="1:19">
      <c r="A10" s="216">
        <v>1236091</v>
      </c>
      <c r="B10" s="220">
        <v>0</v>
      </c>
      <c r="C10" s="220">
        <v>0</v>
      </c>
      <c r="D10" s="220">
        <v>0</v>
      </c>
      <c r="E10" s="220">
        <v>0</v>
      </c>
      <c r="F10" s="220">
        <v>300</v>
      </c>
      <c r="G10" s="220">
        <v>0</v>
      </c>
      <c r="H10" s="220">
        <v>0</v>
      </c>
      <c r="I10" s="220">
        <v>0</v>
      </c>
      <c r="J10" s="220">
        <v>0</v>
      </c>
      <c r="K10" s="220">
        <v>0</v>
      </c>
      <c r="L10" s="220">
        <v>0</v>
      </c>
      <c r="M10" s="220">
        <v>0</v>
      </c>
      <c r="N10" s="220">
        <v>0</v>
      </c>
      <c r="O10" s="220">
        <v>0</v>
      </c>
      <c r="P10" s="220">
        <v>0</v>
      </c>
      <c r="Q10" s="220">
        <v>0</v>
      </c>
      <c r="R10" s="220">
        <v>0</v>
      </c>
      <c r="S10" s="220">
        <v>0</v>
      </c>
    </row>
    <row r="11" spans="1:19">
      <c r="A11" s="216">
        <v>1238128</v>
      </c>
      <c r="B11" s="220">
        <v>590</v>
      </c>
      <c r="C11" s="220">
        <v>464</v>
      </c>
      <c r="D11" s="220">
        <v>0</v>
      </c>
      <c r="E11" s="220">
        <v>0</v>
      </c>
      <c r="F11" s="220">
        <v>234</v>
      </c>
      <c r="G11" s="220">
        <v>0</v>
      </c>
      <c r="H11" s="220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0">
        <v>0</v>
      </c>
      <c r="P11" s="220">
        <v>0</v>
      </c>
      <c r="Q11" s="220">
        <v>0</v>
      </c>
      <c r="R11" s="220">
        <v>0</v>
      </c>
      <c r="S11" s="220">
        <v>0</v>
      </c>
    </row>
    <row r="12" spans="1:19">
      <c r="A12" s="216">
        <v>1236962</v>
      </c>
      <c r="B12" s="220">
        <v>200</v>
      </c>
      <c r="C12" s="220">
        <v>0</v>
      </c>
      <c r="D12" s="220">
        <v>0</v>
      </c>
      <c r="E12" s="220">
        <v>0</v>
      </c>
      <c r="F12" s="220">
        <v>0</v>
      </c>
      <c r="G12" s="220">
        <v>0</v>
      </c>
      <c r="H12" s="220">
        <v>300</v>
      </c>
      <c r="I12" s="220">
        <v>300</v>
      </c>
      <c r="J12" s="220">
        <v>200</v>
      </c>
      <c r="K12" s="220">
        <v>0</v>
      </c>
      <c r="L12" s="220">
        <v>0</v>
      </c>
      <c r="M12" s="220">
        <v>0</v>
      </c>
      <c r="N12" s="220">
        <v>200</v>
      </c>
      <c r="O12" s="220">
        <v>200</v>
      </c>
      <c r="P12" s="220">
        <v>200</v>
      </c>
      <c r="Q12" s="220">
        <v>200</v>
      </c>
      <c r="R12" s="220">
        <v>0</v>
      </c>
      <c r="S12" s="220">
        <v>0</v>
      </c>
    </row>
    <row r="13" spans="1:19">
      <c r="A13" s="216">
        <v>1233761</v>
      </c>
      <c r="B13" s="220">
        <v>0</v>
      </c>
      <c r="C13" s="220">
        <v>300</v>
      </c>
      <c r="D13" s="220">
        <v>0</v>
      </c>
      <c r="E13" s="220">
        <v>0</v>
      </c>
      <c r="F13" s="220">
        <v>0</v>
      </c>
      <c r="G13" s="220">
        <v>0</v>
      </c>
      <c r="H13" s="220">
        <v>0</v>
      </c>
      <c r="I13" s="220">
        <v>0</v>
      </c>
      <c r="J13" s="220">
        <v>140</v>
      </c>
      <c r="K13" s="220">
        <v>0</v>
      </c>
      <c r="L13" s="220">
        <v>0</v>
      </c>
      <c r="M13" s="220">
        <v>0</v>
      </c>
      <c r="N13" s="220">
        <v>0</v>
      </c>
      <c r="O13" s="220">
        <v>0</v>
      </c>
      <c r="P13" s="220">
        <v>0</v>
      </c>
      <c r="Q13" s="220">
        <v>0</v>
      </c>
      <c r="R13" s="220">
        <v>0</v>
      </c>
      <c r="S13" s="220">
        <v>0</v>
      </c>
    </row>
    <row r="14" spans="1:19">
      <c r="A14" s="216">
        <v>1239651</v>
      </c>
      <c r="B14" s="220">
        <v>0</v>
      </c>
      <c r="C14" s="220">
        <v>0</v>
      </c>
      <c r="D14" s="220">
        <v>0</v>
      </c>
      <c r="E14" s="220">
        <v>0</v>
      </c>
      <c r="F14" s="220">
        <v>0</v>
      </c>
      <c r="G14" s="220">
        <v>0</v>
      </c>
      <c r="H14" s="220">
        <v>500</v>
      </c>
      <c r="I14" s="220">
        <v>0</v>
      </c>
      <c r="J14" s="220">
        <v>0</v>
      </c>
      <c r="K14" s="220">
        <v>0</v>
      </c>
      <c r="L14" s="220">
        <v>0</v>
      </c>
      <c r="M14" s="220">
        <v>0</v>
      </c>
      <c r="N14" s="220">
        <v>300</v>
      </c>
      <c r="O14" s="220">
        <v>0</v>
      </c>
      <c r="P14" s="220">
        <v>0</v>
      </c>
      <c r="Q14" s="220">
        <v>0</v>
      </c>
      <c r="R14" s="220">
        <v>0</v>
      </c>
      <c r="S14" s="220">
        <v>0</v>
      </c>
    </row>
    <row r="15" spans="1:19">
      <c r="A15" s="216">
        <v>1241134</v>
      </c>
      <c r="B15" s="220">
        <v>182</v>
      </c>
      <c r="C15" s="220">
        <v>10</v>
      </c>
      <c r="D15" s="220">
        <v>0</v>
      </c>
      <c r="E15" s="220">
        <v>0</v>
      </c>
      <c r="F15" s="220">
        <v>0</v>
      </c>
      <c r="G15" s="220">
        <v>0</v>
      </c>
      <c r="H15" s="220">
        <v>87</v>
      </c>
      <c r="I15" s="220">
        <v>0</v>
      </c>
      <c r="J15" s="220">
        <v>0</v>
      </c>
      <c r="K15" s="220">
        <v>0</v>
      </c>
      <c r="L15" s="220">
        <v>0</v>
      </c>
      <c r="M15" s="220">
        <v>0</v>
      </c>
      <c r="N15" s="220">
        <v>0</v>
      </c>
      <c r="O15" s="220">
        <v>0</v>
      </c>
      <c r="P15" s="220">
        <v>0</v>
      </c>
      <c r="Q15" s="220">
        <v>0</v>
      </c>
      <c r="R15" s="220">
        <v>0</v>
      </c>
      <c r="S15" s="220">
        <v>0</v>
      </c>
    </row>
    <row r="16" spans="1:19">
      <c r="A16" s="216">
        <v>1239988</v>
      </c>
      <c r="B16" s="220">
        <v>0</v>
      </c>
      <c r="C16" s="220">
        <v>150</v>
      </c>
      <c r="D16" s="220">
        <v>0</v>
      </c>
      <c r="E16" s="220">
        <v>0</v>
      </c>
      <c r="F16" s="220">
        <v>510</v>
      </c>
      <c r="G16" s="222">
        <v>510</v>
      </c>
      <c r="H16" s="220">
        <v>400</v>
      </c>
      <c r="I16" s="220">
        <v>510</v>
      </c>
      <c r="J16" s="220">
        <v>366</v>
      </c>
      <c r="K16" s="220">
        <v>0</v>
      </c>
      <c r="L16" s="220">
        <v>0</v>
      </c>
      <c r="M16" s="220">
        <v>250</v>
      </c>
      <c r="N16" s="220">
        <v>0</v>
      </c>
      <c r="O16" s="220">
        <v>0</v>
      </c>
      <c r="P16" s="220">
        <v>0</v>
      </c>
      <c r="Q16" s="220">
        <v>0</v>
      </c>
      <c r="R16" s="220">
        <v>0</v>
      </c>
      <c r="S16" s="220">
        <v>0</v>
      </c>
    </row>
    <row r="17" spans="1:19">
      <c r="A17" s="216">
        <v>1240180</v>
      </c>
      <c r="B17" s="220">
        <v>664</v>
      </c>
      <c r="C17" s="220">
        <v>266</v>
      </c>
      <c r="D17" s="220">
        <v>0</v>
      </c>
      <c r="E17" s="220">
        <v>0</v>
      </c>
      <c r="F17" s="220">
        <v>404</v>
      </c>
      <c r="G17" s="222">
        <v>404</v>
      </c>
      <c r="H17" s="220">
        <v>318</v>
      </c>
      <c r="I17" s="220">
        <v>404</v>
      </c>
      <c r="J17" s="220">
        <v>286</v>
      </c>
      <c r="K17" s="220">
        <v>0</v>
      </c>
      <c r="L17" s="220">
        <v>0</v>
      </c>
      <c r="M17" s="220">
        <v>610</v>
      </c>
      <c r="N17" s="220">
        <v>824</v>
      </c>
      <c r="O17" s="220">
        <v>164</v>
      </c>
      <c r="P17" s="220">
        <v>426</v>
      </c>
      <c r="Q17" s="220">
        <v>316</v>
      </c>
      <c r="R17" s="220">
        <v>0</v>
      </c>
      <c r="S17" s="220">
        <v>0</v>
      </c>
    </row>
    <row r="18" spans="1:19">
      <c r="A18" s="216">
        <v>1240184</v>
      </c>
      <c r="B18" s="220">
        <v>410</v>
      </c>
      <c r="C18" s="220">
        <v>70</v>
      </c>
      <c r="D18" s="220">
        <v>0</v>
      </c>
      <c r="E18" s="220">
        <v>0</v>
      </c>
      <c r="F18" s="220">
        <v>404</v>
      </c>
      <c r="G18" s="222">
        <v>404</v>
      </c>
      <c r="H18" s="220">
        <v>318</v>
      </c>
      <c r="I18" s="220">
        <v>404</v>
      </c>
      <c r="J18" s="220">
        <v>286</v>
      </c>
      <c r="K18" s="220">
        <v>0</v>
      </c>
      <c r="L18" s="220">
        <v>0</v>
      </c>
      <c r="M18" s="220">
        <v>610</v>
      </c>
      <c r="N18" s="220">
        <v>640</v>
      </c>
      <c r="O18" s="220">
        <v>164</v>
      </c>
      <c r="P18" s="220">
        <v>426</v>
      </c>
      <c r="Q18" s="220">
        <v>316</v>
      </c>
      <c r="R18" s="220">
        <v>0</v>
      </c>
      <c r="S18" s="220">
        <v>0</v>
      </c>
    </row>
    <row r="19" spans="1:19">
      <c r="A19" s="216">
        <v>1240308</v>
      </c>
      <c r="B19" s="220">
        <v>420</v>
      </c>
      <c r="C19" s="220">
        <v>0</v>
      </c>
      <c r="D19" s="220">
        <v>0</v>
      </c>
      <c r="E19" s="220">
        <v>0</v>
      </c>
      <c r="F19" s="220">
        <v>0</v>
      </c>
      <c r="G19" s="220">
        <v>0</v>
      </c>
      <c r="H19" s="220">
        <v>0</v>
      </c>
      <c r="I19" s="220">
        <v>450</v>
      </c>
      <c r="J19" s="220">
        <v>376</v>
      </c>
      <c r="K19" s="220">
        <v>0</v>
      </c>
      <c r="L19" s="220">
        <v>0</v>
      </c>
      <c r="M19" s="220">
        <v>350</v>
      </c>
      <c r="N19" s="220">
        <v>150</v>
      </c>
      <c r="O19" s="220">
        <v>0</v>
      </c>
      <c r="P19" s="220">
        <v>400</v>
      </c>
      <c r="Q19" s="220">
        <v>0</v>
      </c>
      <c r="R19" s="220">
        <v>0</v>
      </c>
      <c r="S19" s="220">
        <v>0</v>
      </c>
    </row>
    <row r="20" spans="1:19">
      <c r="A20" s="216">
        <v>1241601</v>
      </c>
      <c r="B20" s="220">
        <v>508</v>
      </c>
      <c r="C20" s="220">
        <v>892</v>
      </c>
      <c r="D20" s="220">
        <v>0</v>
      </c>
      <c r="E20" s="220">
        <v>0</v>
      </c>
      <c r="F20" s="220">
        <v>852</v>
      </c>
      <c r="G20" s="222">
        <v>908</v>
      </c>
      <c r="H20" s="220">
        <v>528</v>
      </c>
      <c r="I20" s="220">
        <v>1018</v>
      </c>
      <c r="J20" s="220">
        <v>1084</v>
      </c>
      <c r="K20" s="220">
        <v>0</v>
      </c>
      <c r="L20" s="220">
        <v>0</v>
      </c>
      <c r="M20" s="220">
        <v>1482</v>
      </c>
      <c r="N20" s="220">
        <v>1032</v>
      </c>
      <c r="O20" s="220">
        <v>594</v>
      </c>
      <c r="P20" s="220">
        <v>1396</v>
      </c>
      <c r="Q20" s="220">
        <v>1476</v>
      </c>
      <c r="R20" s="220">
        <v>0</v>
      </c>
      <c r="S20" s="220">
        <v>0</v>
      </c>
    </row>
    <row r="23" spans="1:19">
      <c r="A23" s="25" t="s">
        <v>0</v>
      </c>
      <c r="B23" s="14" t="s">
        <v>1000</v>
      </c>
      <c r="C23" s="14" t="s">
        <v>1001</v>
      </c>
      <c r="D23" s="14" t="s">
        <v>1002</v>
      </c>
      <c r="E23" s="14" t="s">
        <v>1003</v>
      </c>
      <c r="F23" s="14" t="s">
        <v>1004</v>
      </c>
      <c r="G23" s="14" t="s">
        <v>1005</v>
      </c>
      <c r="H23" s="14" t="s">
        <v>1006</v>
      </c>
      <c r="I23" s="14" t="s">
        <v>1007</v>
      </c>
      <c r="J23" s="14" t="s">
        <v>1008</v>
      </c>
      <c r="K23" s="14" t="s">
        <v>1009</v>
      </c>
      <c r="L23" s="14" t="s">
        <v>1010</v>
      </c>
      <c r="M23" s="14" t="s">
        <v>1011</v>
      </c>
      <c r="N23" s="14" t="s">
        <v>1012</v>
      </c>
      <c r="O23" s="14" t="s">
        <v>1013</v>
      </c>
      <c r="P23" s="14" t="s">
        <v>1014</v>
      </c>
      <c r="Q23" s="14" t="s">
        <v>1015</v>
      </c>
      <c r="R23" s="14" t="s">
        <v>1016</v>
      </c>
      <c r="S23" s="14" t="s">
        <v>1017</v>
      </c>
    </row>
    <row r="24" spans="1:19">
      <c r="A24" s="13">
        <v>1237608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300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</row>
    <row r="25" spans="1:19">
      <c r="A25" s="13">
        <v>1233165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37</v>
      </c>
      <c r="O25" s="14">
        <v>243</v>
      </c>
      <c r="P25" s="14">
        <v>0</v>
      </c>
      <c r="Q25" s="14">
        <v>0</v>
      </c>
      <c r="R25" s="14">
        <v>0</v>
      </c>
      <c r="S25" s="14">
        <v>0</v>
      </c>
    </row>
    <row r="26" spans="1:19">
      <c r="A26" s="13">
        <v>1236387</v>
      </c>
      <c r="B26" s="14">
        <v>0</v>
      </c>
      <c r="C26" s="14">
        <v>0</v>
      </c>
      <c r="D26" s="14">
        <v>0</v>
      </c>
      <c r="E26" s="14">
        <v>0</v>
      </c>
      <c r="F26" s="14">
        <v>176</v>
      </c>
      <c r="G26" s="16">
        <v>357</v>
      </c>
      <c r="H26" s="16">
        <v>163</v>
      </c>
      <c r="I26" s="16">
        <v>104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</row>
    <row r="27" spans="1:19">
      <c r="A27" s="13">
        <v>1232775</v>
      </c>
      <c r="B27" s="14">
        <v>487</v>
      </c>
      <c r="C27" s="14">
        <v>487</v>
      </c>
      <c r="D27" s="14">
        <v>0</v>
      </c>
      <c r="E27" s="14">
        <v>0</v>
      </c>
      <c r="F27" s="14">
        <v>342</v>
      </c>
      <c r="G27" s="16">
        <v>245</v>
      </c>
      <c r="H27" s="16">
        <v>109</v>
      </c>
      <c r="I27" s="16">
        <v>200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18</v>
      </c>
      <c r="P27" s="14">
        <v>245</v>
      </c>
      <c r="Q27" s="14">
        <v>245</v>
      </c>
      <c r="R27" s="14">
        <v>0</v>
      </c>
      <c r="S27" s="14">
        <v>0</v>
      </c>
    </row>
    <row r="28" spans="1:19">
      <c r="A28" s="13">
        <v>1238605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2</v>
      </c>
      <c r="P28" s="14">
        <v>190</v>
      </c>
      <c r="Q28" s="14">
        <v>190</v>
      </c>
      <c r="R28" s="14">
        <v>0</v>
      </c>
      <c r="S28" s="14">
        <v>0</v>
      </c>
    </row>
    <row r="29" spans="1:19">
      <c r="A29" s="13">
        <v>1230685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220</v>
      </c>
      <c r="J29" s="14">
        <v>330</v>
      </c>
      <c r="K29" s="14">
        <v>0</v>
      </c>
      <c r="L29" s="14">
        <v>0</v>
      </c>
      <c r="M29" s="14">
        <v>330</v>
      </c>
      <c r="N29" s="14">
        <v>270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</row>
    <row r="32" spans="1:19">
      <c r="A32" s="25" t="s">
        <v>0</v>
      </c>
      <c r="B32" s="14" t="s">
        <v>1000</v>
      </c>
      <c r="C32" s="14" t="s">
        <v>1001</v>
      </c>
      <c r="D32" s="14" t="s">
        <v>1002</v>
      </c>
      <c r="E32" s="14" t="s">
        <v>1003</v>
      </c>
      <c r="F32" s="14" t="s">
        <v>1004</v>
      </c>
      <c r="G32" s="14" t="s">
        <v>1005</v>
      </c>
      <c r="H32" s="14" t="s">
        <v>1006</v>
      </c>
      <c r="I32" s="14" t="s">
        <v>1007</v>
      </c>
      <c r="J32" s="14" t="s">
        <v>1008</v>
      </c>
      <c r="K32" s="14" t="s">
        <v>1009</v>
      </c>
      <c r="L32" s="14" t="s">
        <v>1010</v>
      </c>
      <c r="M32" s="14" t="s">
        <v>1011</v>
      </c>
      <c r="N32" s="14" t="s">
        <v>1012</v>
      </c>
      <c r="O32" s="14" t="s">
        <v>1013</v>
      </c>
      <c r="P32" s="14" t="s">
        <v>1014</v>
      </c>
      <c r="Q32" s="14" t="s">
        <v>1015</v>
      </c>
      <c r="R32" s="14" t="s">
        <v>1016</v>
      </c>
      <c r="S32" s="14" t="s">
        <v>1017</v>
      </c>
    </row>
    <row r="33" spans="1:23">
      <c r="A33" s="13">
        <v>1234614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216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U33" s="184">
        <f>SUM(B33:S33)</f>
        <v>216</v>
      </c>
      <c r="V33">
        <f>VLOOKUP(A33,[8]sheet1!$A$2:$U$42,21,0)</f>
        <v>216</v>
      </c>
      <c r="W33" s="184">
        <f>+U33-V33</f>
        <v>0</v>
      </c>
    </row>
    <row r="34" spans="1:23">
      <c r="A34" s="13">
        <v>1230692</v>
      </c>
      <c r="B34" s="14">
        <v>200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U34" s="184">
        <f t="shared" ref="U34:U73" si="0">SUM(B34:S34)</f>
        <v>200</v>
      </c>
      <c r="V34">
        <f>VLOOKUP(A34,[8]sheet1!$A$2:$U$42,21,0)</f>
        <v>200</v>
      </c>
      <c r="W34" s="184">
        <f t="shared" ref="W34:W73" si="1">+U34-V34</f>
        <v>0</v>
      </c>
    </row>
    <row r="35" spans="1:23">
      <c r="A35" s="13">
        <v>1227306</v>
      </c>
      <c r="B35" s="14">
        <v>244</v>
      </c>
      <c r="C35" s="14">
        <v>275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510</v>
      </c>
      <c r="Q35" s="14">
        <v>320</v>
      </c>
      <c r="R35" s="14">
        <v>0</v>
      </c>
      <c r="S35" s="14">
        <v>0</v>
      </c>
      <c r="U35" s="184">
        <f t="shared" si="0"/>
        <v>1349</v>
      </c>
      <c r="V35">
        <f>VLOOKUP(A35,[8]sheet1!$A$2:$U$42,21,0)</f>
        <v>1349</v>
      </c>
      <c r="W35" s="184">
        <f t="shared" si="1"/>
        <v>0</v>
      </c>
    </row>
    <row r="36" spans="1:23">
      <c r="A36" s="13">
        <v>1227359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1</v>
      </c>
      <c r="P36" s="14">
        <v>0</v>
      </c>
      <c r="Q36" s="14">
        <v>0</v>
      </c>
      <c r="R36" s="14">
        <v>0</v>
      </c>
      <c r="S36" s="14">
        <v>0</v>
      </c>
      <c r="U36" s="184">
        <f t="shared" si="0"/>
        <v>1</v>
      </c>
      <c r="V36">
        <f>VLOOKUP(A36,[8]sheet1!$A$2:$U$42,21,0)</f>
        <v>1</v>
      </c>
      <c r="W36" s="184">
        <f t="shared" si="1"/>
        <v>0</v>
      </c>
    </row>
    <row r="37" spans="1:23">
      <c r="A37" s="13">
        <v>1231090</v>
      </c>
      <c r="B37" s="14">
        <v>0</v>
      </c>
      <c r="C37" s="14">
        <v>30</v>
      </c>
      <c r="D37" s="14">
        <v>0</v>
      </c>
      <c r="E37" s="14">
        <v>0</v>
      </c>
      <c r="F37" s="14">
        <v>60</v>
      </c>
      <c r="G37" s="14">
        <v>290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510</v>
      </c>
      <c r="N37" s="14">
        <v>0</v>
      </c>
      <c r="O37" s="14">
        <v>550</v>
      </c>
      <c r="P37" s="14">
        <v>550</v>
      </c>
      <c r="Q37" s="14">
        <v>820</v>
      </c>
      <c r="R37" s="14">
        <v>0</v>
      </c>
      <c r="S37" s="14">
        <v>0</v>
      </c>
      <c r="U37" s="184">
        <f t="shared" si="0"/>
        <v>2810</v>
      </c>
      <c r="V37">
        <f>VLOOKUP(A37,[8]sheet1!$A$2:$U$42,21,0)</f>
        <v>2810</v>
      </c>
      <c r="W37" s="184">
        <f t="shared" si="1"/>
        <v>0</v>
      </c>
    </row>
    <row r="38" spans="1:23">
      <c r="A38" s="13">
        <v>1229776</v>
      </c>
      <c r="B38" s="14">
        <v>0</v>
      </c>
      <c r="C38" s="14">
        <v>30</v>
      </c>
      <c r="D38" s="14">
        <v>0</v>
      </c>
      <c r="E38" s="14">
        <v>0</v>
      </c>
      <c r="F38" s="14">
        <v>60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200</v>
      </c>
      <c r="P38" s="14">
        <v>0</v>
      </c>
      <c r="Q38" s="14">
        <v>0</v>
      </c>
      <c r="R38" s="14">
        <v>0</v>
      </c>
      <c r="S38" s="14">
        <v>0</v>
      </c>
      <c r="U38" s="184">
        <f t="shared" si="0"/>
        <v>290</v>
      </c>
      <c r="V38">
        <f>VLOOKUP(A38,[8]sheet1!$A$2:$U$42,21,0)</f>
        <v>290</v>
      </c>
      <c r="W38" s="184">
        <f t="shared" si="1"/>
        <v>0</v>
      </c>
    </row>
    <row r="39" spans="1:23">
      <c r="A39" s="15">
        <v>1225464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550</v>
      </c>
      <c r="Q39" s="14">
        <v>0</v>
      </c>
      <c r="R39" s="14">
        <v>0</v>
      </c>
      <c r="S39" s="14">
        <v>0</v>
      </c>
      <c r="U39" s="184">
        <f t="shared" si="0"/>
        <v>550</v>
      </c>
      <c r="V39">
        <f>VLOOKUP(A39,[8]sheet1!$A$2:$U$42,21,0)</f>
        <v>550</v>
      </c>
      <c r="W39" s="184">
        <f t="shared" si="1"/>
        <v>0</v>
      </c>
    </row>
    <row r="40" spans="1:23">
      <c r="A40" s="13">
        <v>1231797</v>
      </c>
      <c r="B40" s="14">
        <v>130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U40" s="184">
        <f t="shared" si="0"/>
        <v>130</v>
      </c>
      <c r="V40">
        <f>VLOOKUP(A40,[8]sheet1!$A$2:$U$42,21,0)</f>
        <v>130</v>
      </c>
      <c r="W40" s="184">
        <f t="shared" si="1"/>
        <v>0</v>
      </c>
    </row>
    <row r="41" spans="1:23">
      <c r="A41" s="13">
        <v>1232066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200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U41" s="184">
        <f t="shared" si="0"/>
        <v>200</v>
      </c>
      <c r="V41">
        <f>VLOOKUP(A41,[8]sheet1!$A$2:$U$42,21,0)</f>
        <v>200</v>
      </c>
      <c r="W41" s="184">
        <f t="shared" si="1"/>
        <v>0</v>
      </c>
    </row>
    <row r="42" spans="1:23">
      <c r="A42" s="13">
        <v>1229088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5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U42" s="184">
        <f t="shared" si="0"/>
        <v>5</v>
      </c>
      <c r="V42">
        <f>VLOOKUP(A42,[8]sheet1!$A$2:$U$42,21,0)</f>
        <v>5</v>
      </c>
      <c r="W42" s="184">
        <f t="shared" si="1"/>
        <v>0</v>
      </c>
    </row>
    <row r="43" spans="1:23" s="225" customFormat="1">
      <c r="A43" s="223">
        <v>1232693</v>
      </c>
      <c r="B43" s="224">
        <v>0</v>
      </c>
      <c r="C43" s="224">
        <v>0</v>
      </c>
      <c r="D43" s="224">
        <v>0</v>
      </c>
      <c r="E43" s="224">
        <v>0</v>
      </c>
      <c r="F43" s="224">
        <v>0</v>
      </c>
      <c r="G43" s="224">
        <v>0</v>
      </c>
      <c r="H43" s="224">
        <v>0</v>
      </c>
      <c r="I43" s="224">
        <v>0</v>
      </c>
      <c r="J43" s="224">
        <v>291</v>
      </c>
      <c r="K43" s="224">
        <v>0</v>
      </c>
      <c r="L43" s="224">
        <v>0</v>
      </c>
      <c r="M43" s="224">
        <v>989</v>
      </c>
      <c r="N43" s="224">
        <v>463</v>
      </c>
      <c r="O43" s="224">
        <v>0</v>
      </c>
      <c r="P43" s="224">
        <v>0</v>
      </c>
      <c r="Q43" s="224">
        <v>0</v>
      </c>
      <c r="R43" s="224">
        <v>0</v>
      </c>
      <c r="S43" s="224">
        <v>0</v>
      </c>
      <c r="U43" s="226">
        <f t="shared" si="0"/>
        <v>1743</v>
      </c>
      <c r="V43" s="225">
        <f>VLOOKUP(A43,[8]sheet1!$A$2:$U$42,21,0)</f>
        <v>1743</v>
      </c>
      <c r="W43" s="226">
        <f t="shared" si="1"/>
        <v>0</v>
      </c>
    </row>
    <row r="44" spans="1:23" s="225" customFormat="1">
      <c r="A44" s="223">
        <v>1233025</v>
      </c>
      <c r="B44" s="224">
        <v>0</v>
      </c>
      <c r="C44" s="224">
        <v>0</v>
      </c>
      <c r="D44" s="224">
        <v>0</v>
      </c>
      <c r="E44" s="224">
        <v>0</v>
      </c>
      <c r="F44" s="224">
        <v>0</v>
      </c>
      <c r="G44" s="224">
        <v>0</v>
      </c>
      <c r="H44" s="224">
        <v>0</v>
      </c>
      <c r="I44" s="224">
        <v>0</v>
      </c>
      <c r="J44" s="224">
        <v>291</v>
      </c>
      <c r="K44" s="224">
        <v>0</v>
      </c>
      <c r="L44" s="224">
        <v>0</v>
      </c>
      <c r="M44" s="224">
        <v>989</v>
      </c>
      <c r="N44" s="224">
        <v>463</v>
      </c>
      <c r="O44" s="224">
        <v>0</v>
      </c>
      <c r="P44" s="224">
        <v>0</v>
      </c>
      <c r="Q44" s="224">
        <v>0</v>
      </c>
      <c r="R44" s="224">
        <v>0</v>
      </c>
      <c r="S44" s="224">
        <v>0</v>
      </c>
      <c r="U44" s="226">
        <f t="shared" si="0"/>
        <v>1743</v>
      </c>
      <c r="V44" s="225">
        <f>VLOOKUP(A44,[8]sheet1!$A$2:$U$42,21,0)</f>
        <v>1743</v>
      </c>
      <c r="W44" s="226">
        <f t="shared" si="1"/>
        <v>0</v>
      </c>
    </row>
    <row r="45" spans="1:23">
      <c r="A45" s="13">
        <v>1234222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157</v>
      </c>
      <c r="I45" s="14">
        <v>63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U45" s="184">
        <f t="shared" si="0"/>
        <v>220</v>
      </c>
      <c r="V45">
        <f>VLOOKUP(A45,[8]sheet1!$A$2:$U$42,21,0)</f>
        <v>220</v>
      </c>
      <c r="W45" s="184">
        <f t="shared" si="1"/>
        <v>0</v>
      </c>
    </row>
    <row r="46" spans="1:23">
      <c r="A46" s="13">
        <v>1232528</v>
      </c>
      <c r="B46" s="14">
        <v>686</v>
      </c>
      <c r="C46" s="14">
        <v>781</v>
      </c>
      <c r="D46" s="14">
        <v>0</v>
      </c>
      <c r="E46" s="14">
        <v>0</v>
      </c>
      <c r="F46" s="14">
        <v>1372</v>
      </c>
      <c r="G46" s="14">
        <v>753</v>
      </c>
      <c r="H46" s="14">
        <v>420</v>
      </c>
      <c r="I46" s="14">
        <v>0</v>
      </c>
      <c r="J46" s="14">
        <v>0</v>
      </c>
      <c r="K46" s="14">
        <v>0</v>
      </c>
      <c r="L46" s="14">
        <v>0</v>
      </c>
      <c r="M46" s="14">
        <v>951</v>
      </c>
      <c r="N46" s="14">
        <v>700</v>
      </c>
      <c r="O46" s="14">
        <v>600</v>
      </c>
      <c r="P46" s="14">
        <v>600</v>
      </c>
      <c r="Q46" s="14">
        <v>4735</v>
      </c>
      <c r="R46" s="14">
        <v>0</v>
      </c>
      <c r="S46" s="14">
        <v>0</v>
      </c>
      <c r="U46" s="184">
        <f t="shared" si="0"/>
        <v>11598</v>
      </c>
      <c r="V46">
        <f>VLOOKUP(A46,[8]sheet1!$A$2:$U$42,21,0)</f>
        <v>11598</v>
      </c>
      <c r="W46" s="184">
        <f t="shared" si="1"/>
        <v>0</v>
      </c>
    </row>
    <row r="47" spans="1:23">
      <c r="A47" s="13">
        <v>1232846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2</v>
      </c>
      <c r="N47" s="14">
        <v>0</v>
      </c>
      <c r="O47" s="14">
        <v>712</v>
      </c>
      <c r="P47" s="14">
        <v>379</v>
      </c>
      <c r="Q47" s="14">
        <v>0</v>
      </c>
      <c r="R47" s="14">
        <v>0</v>
      </c>
      <c r="S47" s="14">
        <v>0</v>
      </c>
      <c r="U47" s="184">
        <f t="shared" si="0"/>
        <v>1093</v>
      </c>
      <c r="V47">
        <f>VLOOKUP(A47,[8]sheet1!$A$2:$U$42,21,0)</f>
        <v>1093</v>
      </c>
      <c r="W47" s="184">
        <f t="shared" si="1"/>
        <v>0</v>
      </c>
    </row>
    <row r="48" spans="1:23">
      <c r="A48" s="13">
        <v>1229050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151</v>
      </c>
      <c r="P48" s="14">
        <v>0</v>
      </c>
      <c r="Q48" s="14">
        <v>0</v>
      </c>
      <c r="R48" s="14">
        <v>0</v>
      </c>
      <c r="S48" s="14">
        <v>0</v>
      </c>
      <c r="U48" s="184">
        <f t="shared" si="0"/>
        <v>151</v>
      </c>
      <c r="V48">
        <f>VLOOKUP(A48,[8]sheet1!$A$2:$U$42,21,0)</f>
        <v>151</v>
      </c>
      <c r="W48" s="184">
        <f t="shared" si="1"/>
        <v>0</v>
      </c>
    </row>
    <row r="49" spans="1:23">
      <c r="A49" s="13">
        <v>1220847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920</v>
      </c>
      <c r="N49" s="14">
        <v>0</v>
      </c>
      <c r="O49" s="14">
        <v>0</v>
      </c>
      <c r="P49" s="14">
        <v>0</v>
      </c>
      <c r="Q49" s="14">
        <v>4330</v>
      </c>
      <c r="R49" s="14">
        <v>0</v>
      </c>
      <c r="S49" s="14">
        <v>0</v>
      </c>
      <c r="U49" s="184">
        <f t="shared" si="0"/>
        <v>5250</v>
      </c>
      <c r="V49">
        <f>VLOOKUP(A49,[8]sheet1!$A$2:$U$42,21,0)</f>
        <v>5250</v>
      </c>
      <c r="W49" s="184">
        <f t="shared" si="1"/>
        <v>0</v>
      </c>
    </row>
    <row r="50" spans="1:23">
      <c r="A50" s="13">
        <v>1234217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50</v>
      </c>
      <c r="P50" s="14">
        <v>0</v>
      </c>
      <c r="Q50" s="14">
        <v>0</v>
      </c>
      <c r="R50" s="14">
        <v>0</v>
      </c>
      <c r="S50" s="14">
        <v>0</v>
      </c>
      <c r="U50" s="184">
        <f t="shared" si="0"/>
        <v>50</v>
      </c>
      <c r="V50">
        <f>VLOOKUP(A50,[8]sheet1!$A$2:$U$42,21,0)</f>
        <v>50</v>
      </c>
      <c r="W50" s="184">
        <f t="shared" si="1"/>
        <v>0</v>
      </c>
    </row>
    <row r="51" spans="1:23">
      <c r="A51" s="13">
        <v>1234111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50</v>
      </c>
      <c r="P51" s="14">
        <v>0</v>
      </c>
      <c r="Q51" s="14">
        <v>0</v>
      </c>
      <c r="R51" s="14">
        <v>0</v>
      </c>
      <c r="S51" s="14">
        <v>0</v>
      </c>
      <c r="U51" s="184">
        <f t="shared" si="0"/>
        <v>50</v>
      </c>
      <c r="V51">
        <f>VLOOKUP(A51,[8]sheet1!$A$2:$U$42,21,0)</f>
        <v>50</v>
      </c>
      <c r="W51" s="184">
        <f t="shared" si="1"/>
        <v>0</v>
      </c>
    </row>
    <row r="52" spans="1:23">
      <c r="A52" s="13">
        <v>1234110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50</v>
      </c>
      <c r="P52" s="14">
        <v>0</v>
      </c>
      <c r="Q52" s="14">
        <v>0</v>
      </c>
      <c r="R52" s="14">
        <v>0</v>
      </c>
      <c r="S52" s="14">
        <v>0</v>
      </c>
      <c r="U52" s="184">
        <f t="shared" si="0"/>
        <v>50</v>
      </c>
      <c r="V52">
        <f>VLOOKUP(A52,[8]sheet1!$A$2:$U$42,21,0)</f>
        <v>50</v>
      </c>
      <c r="W52" s="184">
        <f t="shared" si="1"/>
        <v>0</v>
      </c>
    </row>
    <row r="53" spans="1:23">
      <c r="A53" s="13">
        <v>1232775</v>
      </c>
      <c r="B53" s="14">
        <v>295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48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183</v>
      </c>
      <c r="R53" s="14">
        <v>0</v>
      </c>
      <c r="S53" s="14">
        <v>0</v>
      </c>
      <c r="U53" s="184">
        <f t="shared" si="0"/>
        <v>526</v>
      </c>
      <c r="V53">
        <f>VLOOKUP(A53,[8]sheet1!$A$2:$U$42,21,0)</f>
        <v>526</v>
      </c>
      <c r="W53" s="184">
        <f t="shared" si="1"/>
        <v>0</v>
      </c>
    </row>
    <row r="54" spans="1:23">
      <c r="A54" s="23">
        <v>1235097</v>
      </c>
      <c r="B54" s="14">
        <v>0</v>
      </c>
      <c r="C54" s="14">
        <v>48</v>
      </c>
      <c r="D54" s="14">
        <v>0</v>
      </c>
      <c r="E54" s="14">
        <v>0</v>
      </c>
      <c r="F54" s="14">
        <v>343</v>
      </c>
      <c r="G54" s="14">
        <v>343</v>
      </c>
      <c r="H54" s="14">
        <v>47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U54" s="184">
        <f t="shared" si="0"/>
        <v>781</v>
      </c>
      <c r="V54">
        <f>VLOOKUP(A54,[8]sheet1!$A$2:$U$42,21,0)</f>
        <v>781</v>
      </c>
      <c r="W54" s="184">
        <f t="shared" si="1"/>
        <v>0</v>
      </c>
    </row>
    <row r="55" spans="1:23">
      <c r="A55" s="13">
        <v>1235958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1</v>
      </c>
      <c r="P55" s="14">
        <v>0</v>
      </c>
      <c r="Q55" s="14">
        <v>0</v>
      </c>
      <c r="R55" s="14">
        <v>0</v>
      </c>
      <c r="S55" s="14">
        <v>0</v>
      </c>
      <c r="U55" s="184">
        <f t="shared" si="0"/>
        <v>1</v>
      </c>
      <c r="V55">
        <f>VLOOKUP(A55,[8]sheet1!$A$2:$U$42,21,0)</f>
        <v>1</v>
      </c>
      <c r="W55" s="184">
        <f t="shared" si="1"/>
        <v>0</v>
      </c>
    </row>
    <row r="56" spans="1:23">
      <c r="A56" s="13">
        <v>1236600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260</v>
      </c>
      <c r="J56" s="14">
        <v>419</v>
      </c>
      <c r="K56" s="14">
        <v>0</v>
      </c>
      <c r="L56" s="14">
        <v>0</v>
      </c>
      <c r="M56" s="14">
        <v>421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U56" s="184">
        <f t="shared" si="0"/>
        <v>1100</v>
      </c>
      <c r="V56">
        <f>VLOOKUP(A56,[8]sheet1!$A$2:$U$42,21,0)</f>
        <v>1100</v>
      </c>
      <c r="W56" s="184">
        <f t="shared" si="1"/>
        <v>0</v>
      </c>
    </row>
    <row r="57" spans="1:23">
      <c r="A57" s="13">
        <v>1236619</v>
      </c>
      <c r="B57" s="14">
        <v>0</v>
      </c>
      <c r="C57" s="14">
        <v>198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U57" s="184">
        <f t="shared" si="0"/>
        <v>198</v>
      </c>
      <c r="V57">
        <f>VLOOKUP(A57,[8]sheet1!$A$2:$U$42,21,0)</f>
        <v>198</v>
      </c>
      <c r="W57" s="184">
        <f t="shared" si="1"/>
        <v>0</v>
      </c>
    </row>
    <row r="58" spans="1:23">
      <c r="A58" s="13">
        <v>1236930</v>
      </c>
      <c r="B58" s="14">
        <v>336</v>
      </c>
      <c r="C58" s="14">
        <v>267</v>
      </c>
      <c r="D58" s="14">
        <v>0</v>
      </c>
      <c r="E58" s="14">
        <v>0</v>
      </c>
      <c r="F58" s="14">
        <v>339</v>
      </c>
      <c r="G58" s="14">
        <v>339</v>
      </c>
      <c r="H58" s="14">
        <v>175</v>
      </c>
      <c r="I58" s="14">
        <v>633</v>
      </c>
      <c r="J58" s="14">
        <v>492</v>
      </c>
      <c r="K58" s="14">
        <v>0</v>
      </c>
      <c r="L58" s="14">
        <v>0</v>
      </c>
      <c r="M58" s="14">
        <v>1062</v>
      </c>
      <c r="N58" s="14">
        <v>664</v>
      </c>
      <c r="O58" s="14">
        <v>145</v>
      </c>
      <c r="P58" s="14">
        <v>0</v>
      </c>
      <c r="Q58" s="14">
        <v>0</v>
      </c>
      <c r="R58" s="14">
        <v>0</v>
      </c>
      <c r="S58" s="14">
        <v>0</v>
      </c>
      <c r="U58" s="184">
        <f t="shared" si="0"/>
        <v>4452</v>
      </c>
      <c r="V58">
        <f>VLOOKUP(A58,[8]sheet1!$A$2:$U$42,21,0)</f>
        <v>4452</v>
      </c>
      <c r="W58" s="184">
        <f t="shared" si="1"/>
        <v>0</v>
      </c>
    </row>
    <row r="59" spans="1:23">
      <c r="A59" s="13">
        <v>1232982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116</v>
      </c>
      <c r="I59" s="14">
        <v>284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U59" s="184">
        <f t="shared" si="0"/>
        <v>400</v>
      </c>
      <c r="V59">
        <f>VLOOKUP(A59,[8]sheet1!$A$2:$U$42,21,0)</f>
        <v>400</v>
      </c>
      <c r="W59" s="184">
        <f t="shared" si="1"/>
        <v>0</v>
      </c>
    </row>
    <row r="60" spans="1:23">
      <c r="A60" s="13">
        <v>1237468</v>
      </c>
      <c r="B60" s="14">
        <v>0</v>
      </c>
      <c r="C60" s="14">
        <v>248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37</v>
      </c>
      <c r="P60" s="14">
        <v>0</v>
      </c>
      <c r="Q60" s="14">
        <v>0</v>
      </c>
      <c r="R60" s="14">
        <v>0</v>
      </c>
      <c r="S60" s="14">
        <v>0</v>
      </c>
      <c r="U60" s="184">
        <f t="shared" si="0"/>
        <v>285</v>
      </c>
      <c r="V60">
        <f>VLOOKUP(A60,[8]sheet1!$A$2:$U$42,21,0)</f>
        <v>285</v>
      </c>
      <c r="W60" s="184">
        <f t="shared" si="1"/>
        <v>0</v>
      </c>
    </row>
    <row r="61" spans="1:23">
      <c r="A61" s="13">
        <v>1237457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56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U61" s="184">
        <f t="shared" si="0"/>
        <v>56</v>
      </c>
      <c r="V61">
        <f>VLOOKUP(A61,[8]sheet1!$A$2:$U$42,21,0)</f>
        <v>56</v>
      </c>
      <c r="W61" s="184">
        <f t="shared" si="1"/>
        <v>0</v>
      </c>
    </row>
    <row r="62" spans="1:23">
      <c r="A62" s="13">
        <v>1237386</v>
      </c>
      <c r="B62" s="14">
        <v>80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22</v>
      </c>
      <c r="P62" s="14">
        <v>0</v>
      </c>
      <c r="Q62" s="14">
        <v>0</v>
      </c>
      <c r="R62" s="14">
        <v>0</v>
      </c>
      <c r="S62" s="14">
        <v>0</v>
      </c>
      <c r="U62" s="184">
        <f t="shared" si="0"/>
        <v>102</v>
      </c>
      <c r="V62">
        <f>VLOOKUP(A62,[8]sheet1!$A$2:$U$42,21,0)</f>
        <v>102</v>
      </c>
      <c r="W62" s="184">
        <f t="shared" si="1"/>
        <v>0</v>
      </c>
    </row>
    <row r="63" spans="1:23">
      <c r="A63" s="13">
        <v>1234905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300</v>
      </c>
      <c r="Q63" s="14">
        <v>480</v>
      </c>
      <c r="R63" s="14">
        <v>0</v>
      </c>
      <c r="S63" s="14">
        <v>0</v>
      </c>
      <c r="U63" s="184">
        <f t="shared" si="0"/>
        <v>780</v>
      </c>
      <c r="V63">
        <f>VLOOKUP(A63,[8]sheet1!$A$2:$U$42,21,0)</f>
        <v>780</v>
      </c>
      <c r="W63" s="184">
        <f t="shared" si="1"/>
        <v>0</v>
      </c>
    </row>
    <row r="64" spans="1:23">
      <c r="A64" s="13">
        <v>1238480</v>
      </c>
      <c r="B64" s="14">
        <v>1528</v>
      </c>
      <c r="C64" s="14">
        <v>615</v>
      </c>
      <c r="D64" s="14">
        <v>0</v>
      </c>
      <c r="E64" s="14">
        <v>0</v>
      </c>
      <c r="F64" s="14">
        <v>868</v>
      </c>
      <c r="G64" s="14">
        <v>797</v>
      </c>
      <c r="H64" s="14">
        <v>586</v>
      </c>
      <c r="I64" s="14">
        <v>1231</v>
      </c>
      <c r="J64" s="14">
        <v>1196</v>
      </c>
      <c r="K64" s="14">
        <v>0</v>
      </c>
      <c r="L64" s="14">
        <v>0</v>
      </c>
      <c r="M64" s="14">
        <v>1805</v>
      </c>
      <c r="N64" s="14">
        <v>2286</v>
      </c>
      <c r="O64" s="14">
        <v>775</v>
      </c>
      <c r="P64" s="14">
        <v>1306</v>
      </c>
      <c r="Q64" s="14">
        <v>1955</v>
      </c>
      <c r="R64" s="14">
        <v>0</v>
      </c>
      <c r="S64" s="14">
        <v>0</v>
      </c>
      <c r="U64" s="184">
        <f t="shared" si="0"/>
        <v>14948</v>
      </c>
      <c r="V64">
        <f>VLOOKUP(A64,[8]sheet1!$A$2:$U$42,21,0)</f>
        <v>14948</v>
      </c>
      <c r="W64" s="184">
        <f t="shared" si="1"/>
        <v>0</v>
      </c>
    </row>
    <row r="65" spans="1:23">
      <c r="A65" s="13">
        <v>1238453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215</v>
      </c>
      <c r="O65" s="14">
        <v>300</v>
      </c>
      <c r="P65" s="14">
        <v>126</v>
      </c>
      <c r="Q65" s="14">
        <v>0</v>
      </c>
      <c r="R65" s="14">
        <v>0</v>
      </c>
      <c r="S65" s="14">
        <v>0</v>
      </c>
      <c r="U65" s="184">
        <f t="shared" si="0"/>
        <v>641</v>
      </c>
      <c r="V65">
        <f>VLOOKUP(A65,[8]sheet1!$A$2:$U$42,21,0)</f>
        <v>641</v>
      </c>
      <c r="W65" s="184">
        <f t="shared" si="1"/>
        <v>0</v>
      </c>
    </row>
    <row r="66" spans="1:23">
      <c r="A66" s="13">
        <v>1240029</v>
      </c>
      <c r="B66" s="14">
        <v>0</v>
      </c>
      <c r="C66" s="14">
        <v>136</v>
      </c>
      <c r="D66" s="14">
        <v>0</v>
      </c>
      <c r="E66" s="14">
        <v>0</v>
      </c>
      <c r="F66" s="14">
        <v>362</v>
      </c>
      <c r="G66" s="14">
        <v>94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U66" s="184">
        <f t="shared" si="0"/>
        <v>592</v>
      </c>
      <c r="V66">
        <f>VLOOKUP(A66,[8]sheet1!$A$2:$U$42,21,0)</f>
        <v>592</v>
      </c>
      <c r="W66" s="184">
        <f t="shared" si="1"/>
        <v>0</v>
      </c>
    </row>
    <row r="67" spans="1:23">
      <c r="A67" s="13">
        <v>1240032</v>
      </c>
      <c r="B67" s="14">
        <v>0</v>
      </c>
      <c r="C67" s="14">
        <v>136</v>
      </c>
      <c r="D67" s="14">
        <v>0</v>
      </c>
      <c r="E67" s="14">
        <v>0</v>
      </c>
      <c r="F67" s="14">
        <v>362</v>
      </c>
      <c r="G67" s="14">
        <v>94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U67" s="184">
        <f t="shared" si="0"/>
        <v>592</v>
      </c>
      <c r="V67">
        <f>VLOOKUP(A67,[8]sheet1!$A$2:$U$42,21,0)</f>
        <v>592</v>
      </c>
      <c r="W67" s="184">
        <f t="shared" si="1"/>
        <v>0</v>
      </c>
    </row>
    <row r="68" spans="1:23">
      <c r="A68" s="15">
        <v>1216452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643</v>
      </c>
      <c r="H68" s="14">
        <v>452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73</v>
      </c>
      <c r="O68" s="14">
        <v>0</v>
      </c>
      <c r="P68" s="14">
        <v>90</v>
      </c>
      <c r="Q68" s="14">
        <v>0</v>
      </c>
      <c r="R68" s="14">
        <v>495</v>
      </c>
      <c r="S68" s="14">
        <v>0</v>
      </c>
      <c r="U68" s="184">
        <f t="shared" si="0"/>
        <v>1753</v>
      </c>
      <c r="V68">
        <f>VLOOKUP(A68,[8]sheet1!$A$2:$U$42,21,0)</f>
        <v>1753</v>
      </c>
      <c r="W68" s="184">
        <f t="shared" si="1"/>
        <v>0</v>
      </c>
    </row>
    <row r="69" spans="1:23">
      <c r="A69" s="13">
        <v>1232894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2</v>
      </c>
      <c r="N69" s="14">
        <v>0</v>
      </c>
      <c r="O69" s="14">
        <v>712</v>
      </c>
      <c r="P69" s="14">
        <v>379</v>
      </c>
      <c r="Q69" s="14">
        <v>0</v>
      </c>
      <c r="R69" s="14">
        <v>0</v>
      </c>
      <c r="S69" s="14">
        <v>0</v>
      </c>
      <c r="U69" s="184">
        <f t="shared" si="0"/>
        <v>1093</v>
      </c>
      <c r="V69">
        <f>VLOOKUP(A69,[8]sheet1!$A$2:$U$42,21,0)</f>
        <v>1093</v>
      </c>
      <c r="W69" s="184">
        <f t="shared" si="1"/>
        <v>0</v>
      </c>
    </row>
    <row r="70" spans="1:23">
      <c r="A70" s="13">
        <v>1233386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512</v>
      </c>
      <c r="P70" s="14">
        <v>0</v>
      </c>
      <c r="Q70" s="14">
        <v>0</v>
      </c>
      <c r="R70" s="14">
        <v>0</v>
      </c>
      <c r="S70" s="14">
        <v>0</v>
      </c>
      <c r="U70" s="184">
        <f t="shared" si="0"/>
        <v>512</v>
      </c>
      <c r="V70">
        <f>VLOOKUP(A70,[8]sheet1!$A$2:$U$42,21,0)</f>
        <v>512</v>
      </c>
      <c r="W70" s="184">
        <f t="shared" si="1"/>
        <v>0</v>
      </c>
    </row>
    <row r="71" spans="1:23">
      <c r="A71" s="13">
        <v>1233387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200</v>
      </c>
      <c r="P71" s="14">
        <v>128</v>
      </c>
      <c r="Q71" s="14">
        <v>0</v>
      </c>
      <c r="R71" s="14">
        <v>0</v>
      </c>
      <c r="S71" s="14">
        <v>0</v>
      </c>
      <c r="U71" s="184">
        <f t="shared" si="0"/>
        <v>328</v>
      </c>
      <c r="V71">
        <f>VLOOKUP(A71,[8]sheet1!$A$2:$U$42,21,0)</f>
        <v>328</v>
      </c>
      <c r="W71" s="184">
        <f t="shared" si="1"/>
        <v>0</v>
      </c>
    </row>
    <row r="72" spans="1:23">
      <c r="A72" s="13">
        <v>1233385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2</v>
      </c>
      <c r="N72" s="14">
        <v>0</v>
      </c>
      <c r="O72" s="14">
        <v>0</v>
      </c>
      <c r="P72" s="14">
        <v>251</v>
      </c>
      <c r="Q72" s="14">
        <v>0</v>
      </c>
      <c r="R72" s="14">
        <v>0</v>
      </c>
      <c r="S72" s="14">
        <v>0</v>
      </c>
      <c r="U72" s="184">
        <f t="shared" si="0"/>
        <v>253</v>
      </c>
      <c r="V72">
        <f>VLOOKUP(A72,[8]sheet1!$A$2:$U$42,21,0)</f>
        <v>253</v>
      </c>
      <c r="W72" s="184">
        <f t="shared" si="1"/>
        <v>0</v>
      </c>
    </row>
    <row r="73" spans="1:23">
      <c r="A73" s="13">
        <v>1233580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81</v>
      </c>
      <c r="J73" s="14">
        <v>119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U73" s="184">
        <f t="shared" si="0"/>
        <v>200</v>
      </c>
      <c r="V73">
        <f>VLOOKUP(A73,[8]sheet1!$A$2:$U$42,21,0)</f>
        <v>200</v>
      </c>
      <c r="W73" s="184">
        <f t="shared" si="1"/>
        <v>0</v>
      </c>
    </row>
    <row r="75" spans="1:23">
      <c r="B75" s="14">
        <f>SUM(B33:B74)</f>
        <v>3499</v>
      </c>
      <c r="C75" s="14">
        <f t="shared" ref="C75:S75" si="2">SUM(C33:C74)</f>
        <v>2764</v>
      </c>
      <c r="D75" s="14">
        <f t="shared" si="2"/>
        <v>0</v>
      </c>
      <c r="E75" s="14">
        <f t="shared" si="2"/>
        <v>0</v>
      </c>
      <c r="F75" s="14">
        <f t="shared" si="2"/>
        <v>3766</v>
      </c>
      <c r="G75" s="14">
        <f t="shared" si="2"/>
        <v>3409</v>
      </c>
      <c r="H75" s="14">
        <f t="shared" si="2"/>
        <v>1953</v>
      </c>
      <c r="I75" s="14">
        <f t="shared" si="2"/>
        <v>2816</v>
      </c>
      <c r="J75" s="14">
        <f t="shared" si="2"/>
        <v>2808</v>
      </c>
      <c r="K75" s="14">
        <f t="shared" si="2"/>
        <v>0</v>
      </c>
      <c r="L75" s="14">
        <f t="shared" si="2"/>
        <v>0</v>
      </c>
      <c r="M75" s="14">
        <f t="shared" si="2"/>
        <v>7653</v>
      </c>
      <c r="N75" s="14">
        <f t="shared" si="2"/>
        <v>5069</v>
      </c>
      <c r="O75" s="14">
        <f t="shared" si="2"/>
        <v>5068</v>
      </c>
      <c r="P75" s="14">
        <f t="shared" si="2"/>
        <v>5169</v>
      </c>
      <c r="Q75" s="14">
        <f t="shared" si="2"/>
        <v>12823</v>
      </c>
      <c r="R75" s="14">
        <f t="shared" si="2"/>
        <v>495</v>
      </c>
      <c r="S75" s="14">
        <f t="shared" si="2"/>
        <v>0</v>
      </c>
      <c r="T75" s="14"/>
    </row>
    <row r="76" spans="1:23">
      <c r="B76" s="14">
        <v>3499</v>
      </c>
      <c r="C76" s="14">
        <v>2764</v>
      </c>
      <c r="D76" s="14">
        <v>0</v>
      </c>
      <c r="E76" s="14">
        <v>0</v>
      </c>
      <c r="F76" s="14">
        <v>3766</v>
      </c>
      <c r="G76" s="14">
        <v>3409</v>
      </c>
      <c r="H76" s="14">
        <v>1953</v>
      </c>
      <c r="I76" s="14">
        <v>2816</v>
      </c>
      <c r="J76" s="14">
        <v>2808</v>
      </c>
      <c r="K76" s="14">
        <v>0</v>
      </c>
      <c r="L76" s="14">
        <v>0</v>
      </c>
      <c r="M76" s="14">
        <v>7653</v>
      </c>
      <c r="N76" s="14">
        <v>5069</v>
      </c>
      <c r="O76" s="14">
        <v>5068</v>
      </c>
      <c r="P76" s="14">
        <v>5169</v>
      </c>
      <c r="Q76" s="14">
        <v>12823</v>
      </c>
      <c r="R76" s="14">
        <v>495</v>
      </c>
      <c r="S76" s="14">
        <v>0</v>
      </c>
    </row>
    <row r="77" spans="1:23">
      <c r="B77" s="14">
        <f>+B75-B76</f>
        <v>0</v>
      </c>
      <c r="C77" s="14">
        <f t="shared" ref="C77:S77" si="3">+C75-C76</f>
        <v>0</v>
      </c>
      <c r="D77" s="14">
        <f t="shared" si="3"/>
        <v>0</v>
      </c>
      <c r="E77" s="14">
        <f t="shared" si="3"/>
        <v>0</v>
      </c>
      <c r="F77" s="14">
        <f t="shared" si="3"/>
        <v>0</v>
      </c>
      <c r="G77" s="14">
        <f t="shared" si="3"/>
        <v>0</v>
      </c>
      <c r="H77" s="14">
        <f t="shared" si="3"/>
        <v>0</v>
      </c>
      <c r="I77" s="14">
        <f t="shared" si="3"/>
        <v>0</v>
      </c>
      <c r="J77" s="14">
        <f t="shared" si="3"/>
        <v>0</v>
      </c>
      <c r="K77" s="14">
        <f t="shared" si="3"/>
        <v>0</v>
      </c>
      <c r="L77" s="14">
        <f t="shared" si="3"/>
        <v>0</v>
      </c>
      <c r="M77" s="14">
        <f t="shared" si="3"/>
        <v>0</v>
      </c>
      <c r="N77" s="14">
        <f t="shared" si="3"/>
        <v>0</v>
      </c>
      <c r="O77" s="14">
        <f t="shared" si="3"/>
        <v>0</v>
      </c>
      <c r="P77" s="14">
        <f t="shared" si="3"/>
        <v>0</v>
      </c>
      <c r="Q77" s="14">
        <f t="shared" si="3"/>
        <v>0</v>
      </c>
      <c r="R77" s="14">
        <f t="shared" si="3"/>
        <v>0</v>
      </c>
      <c r="S77" s="14">
        <f t="shared" si="3"/>
        <v>0</v>
      </c>
    </row>
  </sheetData>
  <autoFilter ref="A1:S20" xr:uid="{6C9AFF84-8431-4E7E-8603-9D786D717D3B}"/>
  <phoneticPr fontId="1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FEAF-55B9-40A1-84ED-BEADB7FD2800}">
  <dimension ref="A1:R72"/>
  <sheetViews>
    <sheetView zoomScaleNormal="100" workbookViewId="0">
      <selection activeCell="R6" sqref="R6"/>
    </sheetView>
  </sheetViews>
  <sheetFormatPr defaultColWidth="9.33203125" defaultRowHeight="12"/>
  <cols>
    <col min="1" max="1" width="10.1640625" style="19" bestFit="1" customWidth="1"/>
    <col min="2" max="2" width="9.33203125" style="9" bestFit="1"/>
    <col min="3" max="17" width="9.1640625" style="9" customWidth="1"/>
    <col min="18" max="18" width="9.33203125" style="9" bestFit="1"/>
    <col min="19" max="16384" width="9.33203125" style="5"/>
  </cols>
  <sheetData>
    <row r="1" spans="1:18">
      <c r="A1" s="19" t="s">
        <v>0</v>
      </c>
      <c r="B1" s="9" t="s">
        <v>924</v>
      </c>
      <c r="C1" s="9" t="s">
        <v>925</v>
      </c>
      <c r="D1" s="9" t="s">
        <v>926</v>
      </c>
      <c r="E1" s="9" t="s">
        <v>932</v>
      </c>
      <c r="F1" s="9" t="s">
        <v>933</v>
      </c>
      <c r="G1" s="18" t="s">
        <v>934</v>
      </c>
      <c r="H1" s="9" t="s">
        <v>935</v>
      </c>
      <c r="I1" s="9" t="s">
        <v>936</v>
      </c>
      <c r="J1" s="9" t="s">
        <v>937</v>
      </c>
      <c r="K1" s="9" t="s">
        <v>938</v>
      </c>
      <c r="L1" s="9" t="s">
        <v>990</v>
      </c>
      <c r="M1" s="9" t="s">
        <v>991</v>
      </c>
      <c r="N1" s="9" t="s">
        <v>992</v>
      </c>
      <c r="O1" s="9" t="s">
        <v>993</v>
      </c>
      <c r="P1" s="9" t="s">
        <v>994</v>
      </c>
      <c r="Q1" s="9" t="s">
        <v>995</v>
      </c>
      <c r="R1" s="9" t="s">
        <v>996</v>
      </c>
    </row>
    <row r="2" spans="1:18">
      <c r="A2" s="19">
        <v>1234614</v>
      </c>
      <c r="B2" s="9">
        <v>0</v>
      </c>
      <c r="C2" s="9">
        <v>0</v>
      </c>
      <c r="D2" s="9">
        <v>0</v>
      </c>
      <c r="E2" s="9">
        <v>192</v>
      </c>
      <c r="F2" s="9">
        <v>308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</row>
    <row r="3" spans="1:18">
      <c r="A3" s="19">
        <v>1229673</v>
      </c>
      <c r="B3" s="9">
        <v>250</v>
      </c>
      <c r="C3" s="9">
        <v>0</v>
      </c>
      <c r="D3" s="9">
        <v>0</v>
      </c>
      <c r="E3" s="9">
        <v>200</v>
      </c>
      <c r="F3" s="9">
        <v>200</v>
      </c>
      <c r="G3" s="18">
        <v>222</v>
      </c>
      <c r="H3" s="9">
        <v>200</v>
      </c>
      <c r="I3" s="9">
        <v>0</v>
      </c>
      <c r="J3" s="9">
        <v>0</v>
      </c>
      <c r="K3" s="9">
        <v>0</v>
      </c>
      <c r="L3" s="9">
        <v>200</v>
      </c>
      <c r="M3" s="9">
        <v>300</v>
      </c>
      <c r="N3" s="9">
        <v>200</v>
      </c>
      <c r="O3" s="9">
        <v>300</v>
      </c>
      <c r="P3" s="9">
        <v>200</v>
      </c>
      <c r="Q3" s="9">
        <v>0</v>
      </c>
      <c r="R3" s="9">
        <v>0</v>
      </c>
    </row>
    <row r="4" spans="1:18">
      <c r="A4" s="19">
        <v>1230854</v>
      </c>
      <c r="B4" s="9">
        <v>0</v>
      </c>
      <c r="C4" s="9">
        <v>0</v>
      </c>
      <c r="D4" s="9">
        <v>0</v>
      </c>
      <c r="E4" s="9">
        <v>100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</row>
    <row r="5" spans="1:18">
      <c r="A5" s="19">
        <v>1235623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198</v>
      </c>
      <c r="N5" s="9">
        <v>358</v>
      </c>
      <c r="O5" s="9">
        <v>934</v>
      </c>
      <c r="P5" s="9">
        <v>382</v>
      </c>
      <c r="Q5" s="9">
        <v>0</v>
      </c>
      <c r="R5" s="9">
        <v>0</v>
      </c>
    </row>
    <row r="6" spans="1:18">
      <c r="A6" s="19">
        <v>1237088</v>
      </c>
      <c r="B6" s="9">
        <v>744</v>
      </c>
      <c r="C6" s="9">
        <v>0</v>
      </c>
      <c r="D6" s="9">
        <v>0</v>
      </c>
      <c r="E6" s="9">
        <v>920</v>
      </c>
      <c r="F6" s="9">
        <v>960</v>
      </c>
      <c r="G6" s="9">
        <v>0</v>
      </c>
      <c r="H6" s="9">
        <v>300</v>
      </c>
      <c r="I6" s="9">
        <v>0</v>
      </c>
      <c r="J6" s="9">
        <v>0</v>
      </c>
      <c r="K6" s="9">
        <v>0</v>
      </c>
      <c r="L6" s="9">
        <v>806</v>
      </c>
      <c r="M6" s="9">
        <v>672</v>
      </c>
      <c r="N6" s="9">
        <v>280</v>
      </c>
      <c r="O6" s="9">
        <v>698</v>
      </c>
      <c r="P6" s="9">
        <v>232</v>
      </c>
      <c r="Q6" s="9">
        <v>0</v>
      </c>
      <c r="R6" s="9">
        <v>0</v>
      </c>
    </row>
    <row r="7" spans="1:18">
      <c r="A7" s="19">
        <v>1237748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522</v>
      </c>
      <c r="I7" s="9">
        <v>50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260</v>
      </c>
      <c r="Q7" s="9">
        <v>0</v>
      </c>
      <c r="R7" s="9">
        <v>0</v>
      </c>
    </row>
    <row r="8" spans="1:18">
      <c r="A8" s="19">
        <v>1236091</v>
      </c>
      <c r="B8" s="9">
        <v>0</v>
      </c>
      <c r="C8" s="9">
        <v>0</v>
      </c>
      <c r="D8" s="9">
        <v>0</v>
      </c>
      <c r="E8" s="9">
        <v>300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>
      <c r="A9" s="19">
        <v>1238128</v>
      </c>
      <c r="B9" s="9">
        <v>464</v>
      </c>
      <c r="C9" s="9">
        <v>0</v>
      </c>
      <c r="D9" s="9">
        <v>0</v>
      </c>
      <c r="E9" s="9">
        <v>234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</row>
    <row r="10" spans="1:18">
      <c r="A10" s="19">
        <v>1236962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18">
        <v>300</v>
      </c>
      <c r="H10" s="9">
        <v>300</v>
      </c>
      <c r="I10" s="9">
        <v>200</v>
      </c>
      <c r="J10" s="9">
        <v>0</v>
      </c>
      <c r="K10" s="9">
        <v>0</v>
      </c>
      <c r="L10" s="9">
        <v>0</v>
      </c>
      <c r="M10" s="9">
        <v>200</v>
      </c>
      <c r="N10" s="9">
        <v>200</v>
      </c>
      <c r="O10" s="9">
        <v>200</v>
      </c>
      <c r="P10" s="9">
        <v>200</v>
      </c>
      <c r="Q10" s="9">
        <v>0</v>
      </c>
      <c r="R10" s="9">
        <v>0</v>
      </c>
    </row>
    <row r="11" spans="1:18">
      <c r="A11" s="19">
        <v>1233761</v>
      </c>
      <c r="B11" s="9">
        <v>300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140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</row>
    <row r="12" spans="1:18">
      <c r="A12" s="19">
        <v>1239651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18">
        <v>500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300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>
      <c r="A13" s="19">
        <v>1241134</v>
      </c>
      <c r="B13" s="9">
        <v>10</v>
      </c>
      <c r="C13" s="9">
        <v>0</v>
      </c>
      <c r="D13" s="9">
        <v>0</v>
      </c>
      <c r="E13" s="9">
        <v>0</v>
      </c>
      <c r="F13" s="9">
        <v>0</v>
      </c>
      <c r="G13" s="18">
        <v>87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18">
      <c r="A14" s="19">
        <v>1239988</v>
      </c>
      <c r="B14" s="9">
        <v>150</v>
      </c>
      <c r="C14" s="9">
        <v>0</v>
      </c>
      <c r="D14" s="9">
        <v>0</v>
      </c>
      <c r="E14" s="9">
        <v>510</v>
      </c>
      <c r="F14" s="9">
        <v>510</v>
      </c>
      <c r="G14" s="18">
        <v>400</v>
      </c>
      <c r="H14" s="9">
        <v>510</v>
      </c>
      <c r="I14" s="9">
        <v>366</v>
      </c>
      <c r="J14" s="9">
        <v>0</v>
      </c>
      <c r="K14" s="9">
        <v>0</v>
      </c>
      <c r="L14" s="9">
        <v>250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18">
      <c r="A15" s="19">
        <v>1240180</v>
      </c>
      <c r="B15" s="9">
        <v>266</v>
      </c>
      <c r="C15" s="9">
        <v>0</v>
      </c>
      <c r="D15" s="9">
        <v>0</v>
      </c>
      <c r="E15" s="9">
        <v>404</v>
      </c>
      <c r="F15" s="9">
        <v>404</v>
      </c>
      <c r="G15" s="18">
        <v>318</v>
      </c>
      <c r="H15" s="9">
        <v>404</v>
      </c>
      <c r="I15" s="9">
        <v>286</v>
      </c>
      <c r="J15" s="9">
        <v>0</v>
      </c>
      <c r="K15" s="9">
        <v>0</v>
      </c>
      <c r="L15" s="9">
        <v>610</v>
      </c>
      <c r="M15" s="9">
        <v>824</v>
      </c>
      <c r="N15" s="9">
        <v>164</v>
      </c>
      <c r="O15" s="9">
        <v>426</v>
      </c>
      <c r="P15" s="9">
        <v>316</v>
      </c>
      <c r="Q15" s="9">
        <v>0</v>
      </c>
      <c r="R15" s="9">
        <v>0</v>
      </c>
    </row>
    <row r="16" spans="1:18">
      <c r="A16" s="19">
        <v>1240184</v>
      </c>
      <c r="B16" s="9">
        <v>70</v>
      </c>
      <c r="C16" s="9">
        <v>0</v>
      </c>
      <c r="D16" s="9">
        <v>0</v>
      </c>
      <c r="E16" s="9">
        <v>404</v>
      </c>
      <c r="F16" s="9">
        <v>404</v>
      </c>
      <c r="G16" s="18">
        <v>318</v>
      </c>
      <c r="H16" s="9">
        <v>404</v>
      </c>
      <c r="I16" s="9">
        <v>286</v>
      </c>
      <c r="J16" s="9">
        <v>0</v>
      </c>
      <c r="K16" s="9">
        <v>0</v>
      </c>
      <c r="L16" s="9">
        <v>610</v>
      </c>
      <c r="M16" s="9">
        <v>640</v>
      </c>
      <c r="N16" s="9">
        <v>164</v>
      </c>
      <c r="O16" s="9">
        <v>426</v>
      </c>
      <c r="P16" s="9">
        <v>316</v>
      </c>
      <c r="Q16" s="9">
        <v>0</v>
      </c>
      <c r="R16" s="9">
        <v>0</v>
      </c>
    </row>
    <row r="17" spans="1:18">
      <c r="A17" s="19">
        <v>1240308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450</v>
      </c>
      <c r="I17" s="9">
        <v>376</v>
      </c>
      <c r="J17" s="9">
        <v>0</v>
      </c>
      <c r="K17" s="9">
        <v>0</v>
      </c>
      <c r="L17" s="9">
        <v>350</v>
      </c>
      <c r="M17" s="9">
        <v>150</v>
      </c>
      <c r="N17" s="9">
        <v>0</v>
      </c>
      <c r="O17" s="9">
        <v>400</v>
      </c>
      <c r="P17" s="9">
        <v>0</v>
      </c>
      <c r="Q17" s="9">
        <v>0</v>
      </c>
      <c r="R17" s="9">
        <v>0</v>
      </c>
    </row>
    <row r="18" spans="1:18">
      <c r="A18" s="19">
        <v>1241601</v>
      </c>
      <c r="B18" s="9">
        <v>892</v>
      </c>
      <c r="C18" s="9">
        <v>0</v>
      </c>
      <c r="D18" s="9">
        <v>0</v>
      </c>
      <c r="E18" s="9">
        <v>852</v>
      </c>
      <c r="F18" s="9">
        <v>908</v>
      </c>
      <c r="G18" s="18">
        <v>528</v>
      </c>
      <c r="H18" s="9">
        <v>1018</v>
      </c>
      <c r="I18" s="9">
        <v>1084</v>
      </c>
      <c r="J18" s="9">
        <v>0</v>
      </c>
      <c r="K18" s="9">
        <v>0</v>
      </c>
      <c r="L18" s="9">
        <v>1482</v>
      </c>
      <c r="M18" s="9">
        <v>1032</v>
      </c>
      <c r="N18" s="9">
        <v>594</v>
      </c>
      <c r="O18" s="9">
        <v>1396</v>
      </c>
      <c r="P18" s="9">
        <v>1476</v>
      </c>
      <c r="Q18" s="9">
        <v>0</v>
      </c>
      <c r="R18" s="9">
        <v>0</v>
      </c>
    </row>
    <row r="22" spans="1:18">
      <c r="A22" s="19" t="s">
        <v>0</v>
      </c>
      <c r="B22" s="9" t="s">
        <v>924</v>
      </c>
      <c r="C22" s="9" t="s">
        <v>925</v>
      </c>
      <c r="D22" s="9" t="s">
        <v>926</v>
      </c>
      <c r="E22" s="9" t="s">
        <v>932</v>
      </c>
      <c r="F22" s="9" t="s">
        <v>933</v>
      </c>
      <c r="G22" s="9" t="s">
        <v>934</v>
      </c>
      <c r="H22" s="9" t="s">
        <v>935</v>
      </c>
      <c r="I22" s="9" t="s">
        <v>936</v>
      </c>
      <c r="J22" s="9" t="s">
        <v>937</v>
      </c>
      <c r="K22" s="9" t="s">
        <v>938</v>
      </c>
      <c r="L22" s="9" t="s">
        <v>990</v>
      </c>
      <c r="M22" s="9" t="s">
        <v>991</v>
      </c>
      <c r="N22" s="9" t="s">
        <v>992</v>
      </c>
      <c r="O22" s="9" t="s">
        <v>993</v>
      </c>
      <c r="P22" s="9" t="s">
        <v>994</v>
      </c>
      <c r="Q22" s="9" t="s">
        <v>995</v>
      </c>
      <c r="R22" s="9" t="s">
        <v>996</v>
      </c>
    </row>
    <row r="23" spans="1:18">
      <c r="A23" s="19">
        <v>1237608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300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</row>
    <row r="24" spans="1:18">
      <c r="A24" s="19">
        <v>1233165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37</v>
      </c>
      <c r="N24" s="9">
        <v>243</v>
      </c>
      <c r="O24" s="9">
        <v>0</v>
      </c>
      <c r="P24" s="9">
        <v>0</v>
      </c>
      <c r="Q24" s="9">
        <v>0</v>
      </c>
      <c r="R24" s="9">
        <v>0</v>
      </c>
    </row>
    <row r="25" spans="1:18">
      <c r="A25" s="19">
        <v>1236387</v>
      </c>
      <c r="B25" s="9">
        <v>0</v>
      </c>
      <c r="C25" s="9">
        <v>0</v>
      </c>
      <c r="D25" s="9">
        <v>0</v>
      </c>
      <c r="E25" s="98">
        <v>176</v>
      </c>
      <c r="F25" s="98">
        <v>357</v>
      </c>
      <c r="G25" s="98">
        <v>163</v>
      </c>
      <c r="H25" s="98">
        <v>104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</row>
    <row r="26" spans="1:18">
      <c r="A26" s="19">
        <v>1232775</v>
      </c>
      <c r="B26" s="9">
        <v>487</v>
      </c>
      <c r="C26" s="9">
        <v>0</v>
      </c>
      <c r="D26" s="9">
        <v>0</v>
      </c>
      <c r="E26" s="98">
        <v>342</v>
      </c>
      <c r="F26" s="98">
        <v>245</v>
      </c>
      <c r="G26" s="98">
        <v>109</v>
      </c>
      <c r="H26" s="98">
        <v>200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18</v>
      </c>
      <c r="O26" s="9">
        <v>245</v>
      </c>
      <c r="P26" s="9">
        <v>245</v>
      </c>
      <c r="Q26" s="9">
        <v>0</v>
      </c>
      <c r="R26" s="9">
        <v>0</v>
      </c>
    </row>
    <row r="27" spans="1:18">
      <c r="A27" s="19">
        <v>1238605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</v>
      </c>
      <c r="O27" s="9">
        <v>190</v>
      </c>
      <c r="P27" s="9">
        <v>190</v>
      </c>
      <c r="Q27" s="9">
        <v>0</v>
      </c>
      <c r="R27" s="9">
        <v>0</v>
      </c>
    </row>
    <row r="28" spans="1:18">
      <c r="A28" s="19">
        <v>1230685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220</v>
      </c>
      <c r="I28" s="9">
        <v>330</v>
      </c>
      <c r="J28" s="9">
        <v>0</v>
      </c>
      <c r="K28" s="9">
        <v>0</v>
      </c>
      <c r="L28" s="9">
        <v>330</v>
      </c>
      <c r="M28" s="9">
        <v>270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33" spans="1:18">
      <c r="A33" s="19" t="s">
        <v>0</v>
      </c>
      <c r="B33" s="9" t="s">
        <v>924</v>
      </c>
      <c r="C33" s="9" t="s">
        <v>925</v>
      </c>
      <c r="D33" s="9" t="s">
        <v>926</v>
      </c>
      <c r="E33" s="9" t="s">
        <v>932</v>
      </c>
      <c r="F33" s="9" t="s">
        <v>933</v>
      </c>
      <c r="G33" s="9" t="s">
        <v>934</v>
      </c>
      <c r="H33" s="9" t="s">
        <v>935</v>
      </c>
      <c r="I33" s="9" t="s">
        <v>936</v>
      </c>
      <c r="J33" s="9" t="s">
        <v>937</v>
      </c>
      <c r="K33" s="9" t="s">
        <v>938</v>
      </c>
      <c r="L33" s="9" t="s">
        <v>990</v>
      </c>
      <c r="M33" s="9" t="s">
        <v>991</v>
      </c>
      <c r="N33" s="9" t="s">
        <v>992</v>
      </c>
      <c r="O33" s="9" t="s">
        <v>993</v>
      </c>
      <c r="P33" s="9" t="s">
        <v>994</v>
      </c>
      <c r="Q33" s="9" t="s">
        <v>995</v>
      </c>
      <c r="R33" s="9" t="s">
        <v>996</v>
      </c>
    </row>
    <row r="34" spans="1:18">
      <c r="A34" s="19">
        <v>1234614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216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>
      <c r="A35" s="19">
        <v>1227306</v>
      </c>
      <c r="B35" s="9">
        <v>275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510</v>
      </c>
      <c r="P35" s="9">
        <v>320</v>
      </c>
      <c r="Q35" s="9">
        <v>0</v>
      </c>
      <c r="R35" s="9">
        <v>0</v>
      </c>
    </row>
    <row r="36" spans="1:18">
      <c r="A36" s="19">
        <v>1227359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1</v>
      </c>
      <c r="O36" s="9">
        <v>0</v>
      </c>
      <c r="P36" s="9">
        <v>0</v>
      </c>
      <c r="Q36" s="9">
        <v>0</v>
      </c>
      <c r="R36" s="9">
        <v>0</v>
      </c>
    </row>
    <row r="37" spans="1:18">
      <c r="A37" s="19">
        <v>1231090</v>
      </c>
      <c r="B37" s="9">
        <v>30</v>
      </c>
      <c r="C37" s="9">
        <v>0</v>
      </c>
      <c r="D37" s="9">
        <v>0</v>
      </c>
      <c r="E37" s="9">
        <v>60</v>
      </c>
      <c r="F37" s="9">
        <v>290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510</v>
      </c>
      <c r="M37" s="9">
        <v>0</v>
      </c>
      <c r="N37" s="9">
        <v>550</v>
      </c>
      <c r="O37" s="9">
        <v>550</v>
      </c>
      <c r="P37" s="9">
        <v>820</v>
      </c>
      <c r="Q37" s="9">
        <v>0</v>
      </c>
      <c r="R37" s="9">
        <v>0</v>
      </c>
    </row>
    <row r="38" spans="1:18">
      <c r="A38" s="19">
        <v>1229776</v>
      </c>
      <c r="B38" s="9">
        <v>30</v>
      </c>
      <c r="C38" s="9">
        <v>0</v>
      </c>
      <c r="D38" s="9">
        <v>0</v>
      </c>
      <c r="E38" s="9">
        <v>60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200</v>
      </c>
      <c r="O38" s="9">
        <v>0</v>
      </c>
      <c r="P38" s="9">
        <v>0</v>
      </c>
      <c r="Q38" s="9">
        <v>0</v>
      </c>
      <c r="R38" s="9">
        <v>0</v>
      </c>
    </row>
    <row r="39" spans="1:18">
      <c r="A39" s="100">
        <v>1225464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550</v>
      </c>
      <c r="P39" s="9">
        <v>0</v>
      </c>
      <c r="Q39" s="9">
        <v>0</v>
      </c>
      <c r="R39" s="9">
        <v>0</v>
      </c>
    </row>
    <row r="40" spans="1:18">
      <c r="A40" s="19">
        <v>1232066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200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>
      <c r="A41" s="19">
        <v>1229088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5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</row>
    <row r="42" spans="1:18">
      <c r="A42" s="19">
        <v>1232693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291</v>
      </c>
      <c r="J42" s="9">
        <v>0</v>
      </c>
      <c r="K42" s="9">
        <v>0</v>
      </c>
      <c r="L42" s="9">
        <v>989</v>
      </c>
      <c r="M42" s="9">
        <v>463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>
      <c r="A43" s="19">
        <v>1233025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291</v>
      </c>
      <c r="J43" s="9">
        <v>0</v>
      </c>
      <c r="K43" s="9">
        <v>0</v>
      </c>
      <c r="L43" s="9">
        <v>989</v>
      </c>
      <c r="M43" s="9">
        <v>463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>
      <c r="A44" s="19">
        <v>1234222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157</v>
      </c>
      <c r="H44" s="9">
        <v>63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>
      <c r="A45" s="19">
        <v>1232528</v>
      </c>
      <c r="B45" s="9">
        <v>781</v>
      </c>
      <c r="C45" s="9">
        <v>0</v>
      </c>
      <c r="D45" s="9">
        <v>0</v>
      </c>
      <c r="E45" s="9">
        <v>1372</v>
      </c>
      <c r="F45" s="9">
        <v>753</v>
      </c>
      <c r="G45" s="9">
        <v>420</v>
      </c>
      <c r="H45" s="9">
        <v>0</v>
      </c>
      <c r="I45" s="9">
        <v>0</v>
      </c>
      <c r="J45" s="9">
        <v>0</v>
      </c>
      <c r="K45" s="9">
        <v>0</v>
      </c>
      <c r="L45" s="9">
        <v>445</v>
      </c>
      <c r="M45" s="9">
        <v>0</v>
      </c>
      <c r="N45" s="9">
        <v>2</v>
      </c>
      <c r="O45" s="9">
        <v>780</v>
      </c>
      <c r="P45" s="9">
        <v>3895</v>
      </c>
      <c r="Q45" s="9">
        <v>0</v>
      </c>
      <c r="R45" s="9">
        <v>0</v>
      </c>
    </row>
    <row r="46" spans="1:18">
      <c r="A46" s="100">
        <v>1232846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712</v>
      </c>
      <c r="M46" s="9">
        <v>1000</v>
      </c>
      <c r="N46" s="9">
        <v>1109</v>
      </c>
      <c r="O46" s="9">
        <v>0</v>
      </c>
      <c r="P46" s="9">
        <v>0</v>
      </c>
      <c r="Q46" s="9">
        <v>0</v>
      </c>
      <c r="R46" s="9">
        <v>0</v>
      </c>
    </row>
    <row r="47" spans="1:18">
      <c r="A47" s="19">
        <v>1229050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151</v>
      </c>
      <c r="O47" s="9">
        <v>0</v>
      </c>
      <c r="P47" s="9">
        <v>0</v>
      </c>
      <c r="Q47" s="9">
        <v>0</v>
      </c>
      <c r="R47" s="9">
        <v>0</v>
      </c>
    </row>
    <row r="48" spans="1:18">
      <c r="A48" s="19">
        <v>1220847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920</v>
      </c>
      <c r="M48" s="9">
        <v>0</v>
      </c>
      <c r="N48" s="9">
        <v>0</v>
      </c>
      <c r="O48" s="9">
        <v>0</v>
      </c>
      <c r="P48" s="9">
        <v>4330</v>
      </c>
      <c r="Q48" s="9">
        <v>0</v>
      </c>
      <c r="R48" s="9">
        <v>0</v>
      </c>
    </row>
    <row r="49" spans="1:18">
      <c r="A49" s="19">
        <v>1234217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50</v>
      </c>
      <c r="O49" s="9">
        <v>0</v>
      </c>
      <c r="P49" s="9">
        <v>0</v>
      </c>
      <c r="Q49" s="9">
        <v>0</v>
      </c>
      <c r="R49" s="9">
        <v>0</v>
      </c>
    </row>
    <row r="50" spans="1:18">
      <c r="A50" s="19">
        <v>1234111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50</v>
      </c>
      <c r="O50" s="9">
        <v>0</v>
      </c>
      <c r="P50" s="9">
        <v>0</v>
      </c>
      <c r="Q50" s="9">
        <v>0</v>
      </c>
      <c r="R50" s="9">
        <v>0</v>
      </c>
    </row>
    <row r="51" spans="1:18">
      <c r="A51" s="19">
        <v>1234110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50</v>
      </c>
      <c r="O51" s="9">
        <v>0</v>
      </c>
      <c r="P51" s="9">
        <v>0</v>
      </c>
      <c r="Q51" s="9">
        <v>0</v>
      </c>
      <c r="R51" s="9">
        <v>0</v>
      </c>
    </row>
    <row r="52" spans="1:18">
      <c r="A52" s="19">
        <v>1232775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48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183</v>
      </c>
      <c r="Q52" s="9">
        <v>0</v>
      </c>
      <c r="R52" s="9">
        <v>0</v>
      </c>
    </row>
    <row r="53" spans="1:18">
      <c r="A53" s="19">
        <v>1235097</v>
      </c>
      <c r="B53" s="9">
        <v>48</v>
      </c>
      <c r="C53" s="9">
        <v>0</v>
      </c>
      <c r="D53" s="9">
        <v>0</v>
      </c>
      <c r="E53" s="9">
        <v>343</v>
      </c>
      <c r="F53" s="9">
        <v>343</v>
      </c>
      <c r="G53" s="9">
        <v>47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</row>
    <row r="54" spans="1:18">
      <c r="A54" s="19">
        <v>1235958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1</v>
      </c>
      <c r="O54" s="9">
        <v>0</v>
      </c>
      <c r="P54" s="9">
        <v>0</v>
      </c>
      <c r="Q54" s="9">
        <v>0</v>
      </c>
      <c r="R54" s="9">
        <v>0</v>
      </c>
    </row>
    <row r="55" spans="1:18">
      <c r="A55" s="19">
        <v>1236600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260</v>
      </c>
      <c r="I55" s="9">
        <v>419</v>
      </c>
      <c r="J55" s="9">
        <v>0</v>
      </c>
      <c r="K55" s="9">
        <v>0</v>
      </c>
      <c r="L55" s="9">
        <v>421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</row>
    <row r="56" spans="1:18">
      <c r="A56" s="19">
        <v>1236619</v>
      </c>
      <c r="B56" s="9">
        <v>198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</row>
    <row r="57" spans="1:18">
      <c r="A57" s="19">
        <v>1236930</v>
      </c>
      <c r="B57" s="9">
        <v>267</v>
      </c>
      <c r="C57" s="9">
        <v>0</v>
      </c>
      <c r="D57" s="9">
        <v>0</v>
      </c>
      <c r="E57" s="9">
        <v>339</v>
      </c>
      <c r="F57" s="9">
        <v>339</v>
      </c>
      <c r="G57" s="9">
        <v>175</v>
      </c>
      <c r="H57" s="9">
        <v>633</v>
      </c>
      <c r="I57" s="9">
        <v>492</v>
      </c>
      <c r="J57" s="9">
        <v>0</v>
      </c>
      <c r="K57" s="9">
        <v>0</v>
      </c>
      <c r="L57" s="9">
        <v>1062</v>
      </c>
      <c r="M57" s="9">
        <v>664</v>
      </c>
      <c r="N57" s="9">
        <v>147</v>
      </c>
      <c r="O57" s="9">
        <v>0</v>
      </c>
      <c r="P57" s="9">
        <v>0</v>
      </c>
      <c r="Q57" s="9">
        <v>0</v>
      </c>
      <c r="R57" s="9">
        <v>0</v>
      </c>
    </row>
    <row r="58" spans="1:18">
      <c r="A58" s="19">
        <v>1232982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116</v>
      </c>
      <c r="H58" s="9">
        <v>284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</row>
    <row r="59" spans="1:18">
      <c r="A59" s="19">
        <v>1237468</v>
      </c>
      <c r="B59" s="9">
        <v>248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37</v>
      </c>
      <c r="O59" s="9">
        <v>0</v>
      </c>
      <c r="P59" s="9">
        <v>0</v>
      </c>
      <c r="Q59" s="9">
        <v>0</v>
      </c>
      <c r="R59" s="9">
        <v>0</v>
      </c>
    </row>
    <row r="60" spans="1:18">
      <c r="A60" s="19">
        <v>1237457</v>
      </c>
      <c r="B60" s="9">
        <v>0</v>
      </c>
      <c r="C60" s="9">
        <v>0</v>
      </c>
      <c r="D60" s="9">
        <v>0</v>
      </c>
      <c r="E60" s="9">
        <v>0</v>
      </c>
      <c r="F60" s="9">
        <v>56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</row>
    <row r="61" spans="1:18">
      <c r="A61" s="19">
        <v>1237386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22</v>
      </c>
      <c r="O61" s="9">
        <v>0</v>
      </c>
      <c r="P61" s="9">
        <v>0</v>
      </c>
      <c r="Q61" s="9">
        <v>0</v>
      </c>
      <c r="R61" s="9">
        <v>0</v>
      </c>
    </row>
    <row r="62" spans="1:18">
      <c r="A62" s="19">
        <v>1234905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300</v>
      </c>
      <c r="P62" s="9">
        <v>480</v>
      </c>
      <c r="Q62" s="9">
        <v>0</v>
      </c>
      <c r="R62" s="9">
        <v>0</v>
      </c>
    </row>
    <row r="63" spans="1:18">
      <c r="A63" s="19">
        <v>1238480</v>
      </c>
      <c r="B63" s="9">
        <v>615</v>
      </c>
      <c r="C63" s="9">
        <v>0</v>
      </c>
      <c r="D63" s="9">
        <v>0</v>
      </c>
      <c r="E63" s="9">
        <v>868</v>
      </c>
      <c r="F63" s="9">
        <v>797</v>
      </c>
      <c r="G63" s="9">
        <v>586</v>
      </c>
      <c r="H63" s="9">
        <v>1231</v>
      </c>
      <c r="I63" s="9">
        <v>1196</v>
      </c>
      <c r="J63" s="9">
        <v>0</v>
      </c>
      <c r="K63" s="9">
        <v>0</v>
      </c>
      <c r="L63" s="9">
        <v>1805</v>
      </c>
      <c r="M63" s="9">
        <v>2286</v>
      </c>
      <c r="N63" s="9">
        <v>775</v>
      </c>
      <c r="O63" s="9">
        <v>1306</v>
      </c>
      <c r="P63" s="9">
        <v>1955</v>
      </c>
      <c r="Q63" s="9">
        <v>0</v>
      </c>
      <c r="R63" s="9">
        <v>0</v>
      </c>
    </row>
    <row r="64" spans="1:18">
      <c r="A64" s="19">
        <v>1238453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215</v>
      </c>
      <c r="N64" s="9">
        <v>300</v>
      </c>
      <c r="O64" s="9">
        <v>126</v>
      </c>
      <c r="P64" s="9">
        <v>0</v>
      </c>
      <c r="Q64" s="9">
        <v>0</v>
      </c>
      <c r="R64" s="9">
        <v>0</v>
      </c>
    </row>
    <row r="65" spans="1:18">
      <c r="A65" s="19">
        <v>1240029</v>
      </c>
      <c r="B65" s="9">
        <v>136</v>
      </c>
      <c r="C65" s="9">
        <v>0</v>
      </c>
      <c r="D65" s="9">
        <v>0</v>
      </c>
      <c r="E65" s="9">
        <v>362</v>
      </c>
      <c r="F65" s="9">
        <v>94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</row>
    <row r="66" spans="1:18">
      <c r="A66" s="19">
        <v>1240032</v>
      </c>
      <c r="B66" s="9">
        <v>136</v>
      </c>
      <c r="C66" s="9">
        <v>0</v>
      </c>
      <c r="D66" s="9">
        <v>0</v>
      </c>
      <c r="E66" s="9">
        <v>362</v>
      </c>
      <c r="F66" s="9">
        <v>94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</row>
    <row r="67" spans="1:18">
      <c r="A67" s="100">
        <v>1216452</v>
      </c>
      <c r="B67" s="9">
        <v>0</v>
      </c>
      <c r="C67" s="9">
        <v>0</v>
      </c>
      <c r="D67" s="9">
        <v>0</v>
      </c>
      <c r="E67" s="9">
        <v>0</v>
      </c>
      <c r="F67" s="9">
        <v>643</v>
      </c>
      <c r="G67" s="9">
        <v>452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73</v>
      </c>
      <c r="N67" s="9">
        <v>0</v>
      </c>
      <c r="O67" s="9">
        <v>90</v>
      </c>
      <c r="P67" s="9">
        <v>0</v>
      </c>
      <c r="Q67" s="9">
        <v>495</v>
      </c>
      <c r="R67" s="9">
        <v>0</v>
      </c>
    </row>
    <row r="68" spans="1:18">
      <c r="A68" s="100">
        <v>1232894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712</v>
      </c>
      <c r="M68" s="9">
        <v>1000</v>
      </c>
      <c r="N68" s="9">
        <v>1109</v>
      </c>
      <c r="O68" s="9">
        <v>0</v>
      </c>
      <c r="P68" s="9">
        <v>0</v>
      </c>
      <c r="Q68" s="9">
        <v>0</v>
      </c>
      <c r="R68" s="9">
        <v>0</v>
      </c>
    </row>
    <row r="69" spans="1:18">
      <c r="A69" s="19">
        <v>1233386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512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</row>
    <row r="70" spans="1:18">
      <c r="A70" s="100">
        <v>1233387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200</v>
      </c>
      <c r="M70" s="9">
        <v>1000</v>
      </c>
      <c r="N70" s="9">
        <v>856</v>
      </c>
      <c r="O70" s="9">
        <v>0</v>
      </c>
      <c r="P70" s="9">
        <v>0</v>
      </c>
      <c r="Q70" s="9">
        <v>0</v>
      </c>
      <c r="R70" s="9">
        <v>0</v>
      </c>
    </row>
    <row r="71" spans="1:18">
      <c r="A71" s="19">
        <v>1233385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253</v>
      </c>
      <c r="O71" s="9">
        <v>0</v>
      </c>
      <c r="P71" s="9">
        <v>0</v>
      </c>
      <c r="Q71" s="9">
        <v>0</v>
      </c>
      <c r="R71" s="9">
        <v>0</v>
      </c>
    </row>
    <row r="72" spans="1:18">
      <c r="A72" s="19">
        <v>1233580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81</v>
      </c>
      <c r="I72" s="9">
        <v>119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</row>
  </sheetData>
  <autoFilter ref="A1:R18" xr:uid="{5B51FEAF-55B9-40A1-84ED-BEADB7FD2800}"/>
  <phoneticPr fontId="1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B05F-55EE-469A-9DEA-297782968B6F}">
  <dimension ref="A1:S75"/>
  <sheetViews>
    <sheetView zoomScale="115" zoomScaleNormal="115" workbookViewId="0">
      <selection activeCell="H30" sqref="H30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4" width="9.5" style="9" customWidth="1"/>
    <col min="15" max="15" width="9.5" style="9" bestFit="1" customWidth="1"/>
    <col min="16" max="16384" width="9.33203125" style="5"/>
  </cols>
  <sheetData>
    <row r="1" spans="1:19">
      <c r="A1" s="19" t="s">
        <v>0</v>
      </c>
      <c r="B1" s="9" t="s">
        <v>932</v>
      </c>
      <c r="C1" s="9" t="s">
        <v>933</v>
      </c>
      <c r="D1" s="9" t="s">
        <v>934</v>
      </c>
      <c r="E1" s="18" t="s">
        <v>935</v>
      </c>
      <c r="F1" s="9" t="s">
        <v>936</v>
      </c>
      <c r="G1" s="9" t="s">
        <v>937</v>
      </c>
      <c r="H1" s="9" t="s">
        <v>938</v>
      </c>
      <c r="I1" s="9" t="s">
        <v>990</v>
      </c>
      <c r="J1" s="9" t="s">
        <v>991</v>
      </c>
      <c r="K1" s="9" t="s">
        <v>992</v>
      </c>
      <c r="L1" s="9" t="s">
        <v>993</v>
      </c>
      <c r="M1" s="9" t="s">
        <v>994</v>
      </c>
      <c r="N1" s="9" t="s">
        <v>995</v>
      </c>
      <c r="O1" s="9" t="s">
        <v>996</v>
      </c>
    </row>
    <row r="2" spans="1:19">
      <c r="A2" s="19">
        <v>1234614</v>
      </c>
      <c r="B2" s="9">
        <v>192</v>
      </c>
      <c r="C2" s="9">
        <v>308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Q2" s="78">
        <f t="shared" ref="Q2:Q18" si="0">SUM(B2:O2)</f>
        <v>500</v>
      </c>
      <c r="R2" s="5">
        <f>VLOOKUP(A2,[9]sheet1!$A$2:$Q$18,17,0)</f>
        <v>500</v>
      </c>
      <c r="S2" s="78">
        <f>+Q2-R2</f>
        <v>0</v>
      </c>
    </row>
    <row r="3" spans="1:19">
      <c r="A3" s="19">
        <v>1229673</v>
      </c>
      <c r="B3" s="9">
        <v>200</v>
      </c>
      <c r="C3" s="9">
        <v>200</v>
      </c>
      <c r="D3" s="9">
        <v>222</v>
      </c>
      <c r="E3" s="18">
        <v>200</v>
      </c>
      <c r="F3" s="9">
        <v>0</v>
      </c>
      <c r="G3" s="9">
        <v>0</v>
      </c>
      <c r="H3" s="9">
        <v>0</v>
      </c>
      <c r="I3" s="9">
        <v>200</v>
      </c>
      <c r="J3" s="9">
        <v>300</v>
      </c>
      <c r="K3" s="9">
        <v>200</v>
      </c>
      <c r="L3" s="9">
        <v>300</v>
      </c>
      <c r="M3" s="9">
        <v>200</v>
      </c>
      <c r="N3" s="9">
        <v>0</v>
      </c>
      <c r="O3" s="9">
        <v>0</v>
      </c>
      <c r="Q3" s="78">
        <f t="shared" si="0"/>
        <v>2022</v>
      </c>
      <c r="R3" s="5">
        <f>VLOOKUP(A3,[9]sheet1!$A$2:$Q$18,17,0)</f>
        <v>2022</v>
      </c>
      <c r="S3" s="78">
        <f t="shared" ref="S3:S18" si="1">+Q3-R3</f>
        <v>0</v>
      </c>
    </row>
    <row r="4" spans="1:19">
      <c r="A4" s="19">
        <v>1230854</v>
      </c>
      <c r="B4" s="9">
        <v>100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Q4" s="78">
        <f t="shared" si="0"/>
        <v>100</v>
      </c>
      <c r="R4" s="5">
        <f>VLOOKUP(A4,[9]sheet1!$A$2:$Q$18,17,0)</f>
        <v>100</v>
      </c>
      <c r="S4" s="78">
        <f t="shared" si="1"/>
        <v>0</v>
      </c>
    </row>
    <row r="5" spans="1:19">
      <c r="A5" s="19">
        <v>1235623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198</v>
      </c>
      <c r="K5" s="9">
        <v>358</v>
      </c>
      <c r="L5" s="9">
        <v>934</v>
      </c>
      <c r="M5" s="9">
        <v>382</v>
      </c>
      <c r="N5" s="9">
        <v>0</v>
      </c>
      <c r="O5" s="9">
        <v>0</v>
      </c>
      <c r="Q5" s="78">
        <f t="shared" si="0"/>
        <v>1872</v>
      </c>
      <c r="R5" s="5">
        <f>VLOOKUP(A5,[9]sheet1!$A$2:$Q$18,17,0)</f>
        <v>1872</v>
      </c>
      <c r="S5" s="78">
        <f t="shared" si="1"/>
        <v>0</v>
      </c>
    </row>
    <row r="6" spans="1:19">
      <c r="A6" s="19">
        <v>1237088</v>
      </c>
      <c r="B6" s="9">
        <v>920</v>
      </c>
      <c r="C6" s="9">
        <v>960</v>
      </c>
      <c r="D6" s="9">
        <v>0</v>
      </c>
      <c r="E6" s="18">
        <v>300</v>
      </c>
      <c r="F6" s="9">
        <v>0</v>
      </c>
      <c r="G6" s="9">
        <v>0</v>
      </c>
      <c r="H6" s="9">
        <v>0</v>
      </c>
      <c r="I6" s="9">
        <v>806</v>
      </c>
      <c r="J6" s="9">
        <v>672</v>
      </c>
      <c r="K6" s="9">
        <v>280</v>
      </c>
      <c r="L6" s="9">
        <v>698</v>
      </c>
      <c r="M6" s="9">
        <v>232</v>
      </c>
      <c r="N6" s="9">
        <v>0</v>
      </c>
      <c r="O6" s="9">
        <v>0</v>
      </c>
      <c r="Q6" s="78">
        <f t="shared" si="0"/>
        <v>4868</v>
      </c>
      <c r="R6" s="5">
        <f>VLOOKUP(A6,[9]sheet1!$A$2:$Q$18,17,0)</f>
        <v>4868</v>
      </c>
      <c r="S6" s="78">
        <f t="shared" si="1"/>
        <v>0</v>
      </c>
    </row>
    <row r="7" spans="1:19">
      <c r="A7" s="127">
        <v>1237748</v>
      </c>
      <c r="B7" s="9">
        <v>0</v>
      </c>
      <c r="C7" s="9">
        <v>0</v>
      </c>
      <c r="D7" s="9">
        <v>0</v>
      </c>
      <c r="E7" s="18">
        <v>572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260</v>
      </c>
      <c r="N7" s="9">
        <v>0</v>
      </c>
      <c r="O7" s="9">
        <v>0</v>
      </c>
      <c r="Q7" s="78">
        <f t="shared" si="0"/>
        <v>832</v>
      </c>
      <c r="R7" s="5">
        <f>VLOOKUP(A7,[9]sheet1!$A$2:$Q$18,17,0)</f>
        <v>832</v>
      </c>
      <c r="S7" s="78">
        <f t="shared" si="1"/>
        <v>0</v>
      </c>
    </row>
    <row r="8" spans="1:19">
      <c r="A8" s="19">
        <v>1236091</v>
      </c>
      <c r="B8" s="9">
        <v>300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Q8" s="78">
        <f t="shared" si="0"/>
        <v>300</v>
      </c>
      <c r="R8" s="5">
        <f>VLOOKUP(A8,[9]sheet1!$A$2:$Q$18,17,0)</f>
        <v>300</v>
      </c>
      <c r="S8" s="78">
        <f t="shared" si="1"/>
        <v>0</v>
      </c>
    </row>
    <row r="9" spans="1:19">
      <c r="A9" s="127">
        <v>1238128</v>
      </c>
      <c r="B9" s="9">
        <v>234</v>
      </c>
      <c r="C9" s="9">
        <v>0</v>
      </c>
      <c r="D9" s="9">
        <v>0</v>
      </c>
      <c r="E9" s="9">
        <v>30</v>
      </c>
      <c r="F9" s="9">
        <v>378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Q9" s="78">
        <f t="shared" si="0"/>
        <v>642</v>
      </c>
      <c r="R9" s="5">
        <f>VLOOKUP(A9,[9]sheet1!$A$2:$Q$18,17,0)</f>
        <v>642</v>
      </c>
      <c r="S9" s="78">
        <f t="shared" si="1"/>
        <v>0</v>
      </c>
    </row>
    <row r="10" spans="1:19">
      <c r="A10" s="19">
        <v>1236962</v>
      </c>
      <c r="B10" s="9">
        <v>0</v>
      </c>
      <c r="C10" s="9">
        <v>0</v>
      </c>
      <c r="D10" s="9">
        <v>300</v>
      </c>
      <c r="E10" s="18">
        <v>300</v>
      </c>
      <c r="F10" s="9">
        <v>200</v>
      </c>
      <c r="G10" s="9">
        <v>0</v>
      </c>
      <c r="H10" s="9">
        <v>0</v>
      </c>
      <c r="I10" s="9">
        <v>0</v>
      </c>
      <c r="J10" s="9">
        <v>200</v>
      </c>
      <c r="K10" s="9">
        <v>200</v>
      </c>
      <c r="L10" s="9">
        <v>200</v>
      </c>
      <c r="M10" s="9">
        <v>200</v>
      </c>
      <c r="N10" s="9">
        <v>0</v>
      </c>
      <c r="O10" s="9">
        <v>0</v>
      </c>
      <c r="Q10" s="78">
        <f t="shared" si="0"/>
        <v>1600</v>
      </c>
      <c r="R10" s="5">
        <f>VLOOKUP(A10,[9]sheet1!$A$2:$Q$18,17,0)</f>
        <v>1600</v>
      </c>
      <c r="S10" s="78">
        <f t="shared" si="1"/>
        <v>0</v>
      </c>
    </row>
    <row r="11" spans="1:19">
      <c r="A11" s="19">
        <v>1233761</v>
      </c>
      <c r="B11" s="9">
        <v>0</v>
      </c>
      <c r="C11" s="9">
        <v>0</v>
      </c>
      <c r="D11" s="9">
        <v>0</v>
      </c>
      <c r="E11" s="9">
        <v>0</v>
      </c>
      <c r="F11" s="9">
        <v>140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Q11" s="78">
        <f t="shared" si="0"/>
        <v>140</v>
      </c>
      <c r="R11" s="5">
        <f>VLOOKUP(A11,[9]sheet1!$A$2:$Q$18,17,0)</f>
        <v>140</v>
      </c>
      <c r="S11" s="78">
        <f t="shared" si="1"/>
        <v>0</v>
      </c>
    </row>
    <row r="12" spans="1:19">
      <c r="A12" s="19">
        <v>1239651</v>
      </c>
      <c r="B12" s="9">
        <v>0</v>
      </c>
      <c r="C12" s="9">
        <v>0</v>
      </c>
      <c r="D12" s="9">
        <v>500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300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Q12" s="78">
        <f t="shared" si="0"/>
        <v>800</v>
      </c>
      <c r="R12" s="5">
        <f>VLOOKUP(A12,[9]sheet1!$A$2:$Q$18,17,0)</f>
        <v>800</v>
      </c>
      <c r="S12" s="78">
        <f t="shared" si="1"/>
        <v>0</v>
      </c>
    </row>
    <row r="13" spans="1:19">
      <c r="A13" s="19">
        <v>1239988</v>
      </c>
      <c r="B13" s="9">
        <v>510</v>
      </c>
      <c r="C13" s="9">
        <v>510</v>
      </c>
      <c r="D13" s="9">
        <v>400</v>
      </c>
      <c r="E13" s="18">
        <v>510</v>
      </c>
      <c r="F13" s="9">
        <v>366</v>
      </c>
      <c r="G13" s="9">
        <v>0</v>
      </c>
      <c r="H13" s="9">
        <v>0</v>
      </c>
      <c r="I13" s="9">
        <v>250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Q13" s="78">
        <f t="shared" si="0"/>
        <v>2546</v>
      </c>
      <c r="R13" s="5">
        <f>VLOOKUP(A13,[9]sheet1!$A$2:$Q$18,17,0)</f>
        <v>2546</v>
      </c>
      <c r="S13" s="78">
        <f t="shared" si="1"/>
        <v>0</v>
      </c>
    </row>
    <row r="14" spans="1:19">
      <c r="A14" s="127">
        <v>1240180</v>
      </c>
      <c r="B14" s="9">
        <v>404</v>
      </c>
      <c r="C14" s="9">
        <v>200</v>
      </c>
      <c r="D14" s="9">
        <v>286</v>
      </c>
      <c r="E14" s="18">
        <v>592</v>
      </c>
      <c r="F14" s="9">
        <v>592</v>
      </c>
      <c r="G14" s="9">
        <v>0</v>
      </c>
      <c r="H14" s="9">
        <v>0</v>
      </c>
      <c r="I14" s="9">
        <v>610</v>
      </c>
      <c r="J14" s="9">
        <v>824</v>
      </c>
      <c r="K14" s="9">
        <v>164</v>
      </c>
      <c r="L14" s="9">
        <v>426</v>
      </c>
      <c r="M14" s="9">
        <v>316</v>
      </c>
      <c r="N14" s="9">
        <v>0</v>
      </c>
      <c r="O14" s="9">
        <v>0</v>
      </c>
      <c r="Q14" s="78">
        <f t="shared" si="0"/>
        <v>4414</v>
      </c>
      <c r="R14" s="5">
        <f>VLOOKUP(A14,[9]sheet1!$A$2:$Q$18,17,0)</f>
        <v>4414</v>
      </c>
      <c r="S14" s="78">
        <f t="shared" si="1"/>
        <v>0</v>
      </c>
    </row>
    <row r="15" spans="1:19">
      <c r="A15" s="127">
        <v>1240184</v>
      </c>
      <c r="B15" s="9">
        <v>404</v>
      </c>
      <c r="C15" s="9">
        <v>200</v>
      </c>
      <c r="D15" s="9">
        <v>286</v>
      </c>
      <c r="E15" s="18">
        <v>592</v>
      </c>
      <c r="F15" s="9">
        <v>592</v>
      </c>
      <c r="G15" s="9">
        <v>0</v>
      </c>
      <c r="H15" s="9">
        <v>0</v>
      </c>
      <c r="I15" s="9">
        <v>610</v>
      </c>
      <c r="J15" s="9">
        <v>640</v>
      </c>
      <c r="K15" s="9">
        <v>164</v>
      </c>
      <c r="L15" s="9">
        <v>426</v>
      </c>
      <c r="M15" s="9">
        <v>316</v>
      </c>
      <c r="N15" s="9">
        <v>0</v>
      </c>
      <c r="O15" s="9">
        <v>0</v>
      </c>
      <c r="Q15" s="78">
        <f t="shared" si="0"/>
        <v>4230</v>
      </c>
      <c r="R15" s="5">
        <f>VLOOKUP(A15,[9]sheet1!$A$2:$Q$18,17,0)</f>
        <v>4230</v>
      </c>
      <c r="S15" s="78">
        <f t="shared" si="1"/>
        <v>0</v>
      </c>
    </row>
    <row r="16" spans="1:19">
      <c r="A16" s="19">
        <v>1240308</v>
      </c>
      <c r="B16" s="9">
        <v>0</v>
      </c>
      <c r="C16" s="9">
        <v>0</v>
      </c>
      <c r="D16" s="9">
        <v>0</v>
      </c>
      <c r="E16" s="18">
        <v>450</v>
      </c>
      <c r="F16" s="9">
        <v>376</v>
      </c>
      <c r="G16" s="9">
        <v>0</v>
      </c>
      <c r="H16" s="9">
        <v>0</v>
      </c>
      <c r="I16" s="9">
        <v>350</v>
      </c>
      <c r="J16" s="9">
        <v>150</v>
      </c>
      <c r="K16" s="9">
        <v>0</v>
      </c>
      <c r="L16" s="9">
        <v>400</v>
      </c>
      <c r="M16" s="9">
        <v>0</v>
      </c>
      <c r="N16" s="9">
        <v>0</v>
      </c>
      <c r="O16" s="9">
        <v>0</v>
      </c>
      <c r="Q16" s="78">
        <f t="shared" si="0"/>
        <v>1726</v>
      </c>
      <c r="R16" s="5">
        <f>VLOOKUP(A16,[9]sheet1!$A$2:$Q$18,17,0)</f>
        <v>1726</v>
      </c>
      <c r="S16" s="78">
        <f t="shared" si="1"/>
        <v>0</v>
      </c>
    </row>
    <row r="17" spans="1:19">
      <c r="A17" s="19">
        <v>1241134</v>
      </c>
      <c r="B17" s="9">
        <v>0</v>
      </c>
      <c r="C17" s="9">
        <v>0</v>
      </c>
      <c r="D17" s="9">
        <v>87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Q17" s="78">
        <f t="shared" si="0"/>
        <v>87</v>
      </c>
      <c r="R17" s="5">
        <f>VLOOKUP(A17,[9]sheet1!$A$2:$Q$18,17,0)</f>
        <v>87</v>
      </c>
      <c r="S17" s="78">
        <f t="shared" si="1"/>
        <v>0</v>
      </c>
    </row>
    <row r="18" spans="1:19">
      <c r="A18" s="127">
        <v>1241601</v>
      </c>
      <c r="B18" s="9">
        <v>852</v>
      </c>
      <c r="C18" s="9">
        <v>372</v>
      </c>
      <c r="D18" s="9">
        <v>770</v>
      </c>
      <c r="E18" s="18">
        <v>0</v>
      </c>
      <c r="F18" s="9">
        <v>0</v>
      </c>
      <c r="G18" s="9">
        <v>0</v>
      </c>
      <c r="H18" s="9">
        <v>0</v>
      </c>
      <c r="I18" s="9">
        <v>1482</v>
      </c>
      <c r="J18" s="9">
        <v>1032</v>
      </c>
      <c r="K18" s="9">
        <v>594</v>
      </c>
      <c r="L18" s="9">
        <v>1396</v>
      </c>
      <c r="M18" s="9">
        <v>1476</v>
      </c>
      <c r="N18" s="9">
        <v>0</v>
      </c>
      <c r="O18" s="9">
        <v>0</v>
      </c>
      <c r="Q18" s="78">
        <f t="shared" si="0"/>
        <v>7974</v>
      </c>
      <c r="R18" s="5">
        <f>VLOOKUP(A18,[9]sheet1!$A$2:$Q$18,17,0)</f>
        <v>7974</v>
      </c>
      <c r="S18" s="78">
        <f t="shared" si="1"/>
        <v>0</v>
      </c>
    </row>
    <row r="20" spans="1:19">
      <c r="B20" s="9">
        <f>SUM(B2:B19)</f>
        <v>4116</v>
      </c>
      <c r="C20" s="9">
        <f t="shared" ref="C20:O20" si="2">SUM(C2:C19)</f>
        <v>2750</v>
      </c>
      <c r="D20" s="9">
        <f t="shared" si="2"/>
        <v>2851</v>
      </c>
      <c r="E20" s="9">
        <f t="shared" si="2"/>
        <v>3546</v>
      </c>
      <c r="F20" s="9">
        <f t="shared" si="2"/>
        <v>2644</v>
      </c>
      <c r="G20" s="9">
        <f t="shared" si="2"/>
        <v>0</v>
      </c>
      <c r="H20" s="9">
        <f t="shared" si="2"/>
        <v>0</v>
      </c>
      <c r="I20" s="9">
        <f t="shared" si="2"/>
        <v>4308</v>
      </c>
      <c r="J20" s="9">
        <f t="shared" si="2"/>
        <v>4316</v>
      </c>
      <c r="K20" s="9">
        <f t="shared" si="2"/>
        <v>1960</v>
      </c>
      <c r="L20" s="9">
        <f t="shared" si="2"/>
        <v>4780</v>
      </c>
      <c r="M20" s="9">
        <f t="shared" si="2"/>
        <v>3382</v>
      </c>
      <c r="N20" s="9">
        <f t="shared" si="2"/>
        <v>0</v>
      </c>
      <c r="O20" s="9">
        <f t="shared" si="2"/>
        <v>0</v>
      </c>
    </row>
    <row r="21" spans="1:19">
      <c r="B21" s="9">
        <v>4116</v>
      </c>
      <c r="C21" s="9">
        <v>2750</v>
      </c>
      <c r="D21" s="9">
        <v>2851</v>
      </c>
      <c r="E21" s="9">
        <v>3546</v>
      </c>
      <c r="F21" s="9">
        <v>2644</v>
      </c>
      <c r="G21" s="9">
        <v>0</v>
      </c>
      <c r="H21" s="9">
        <v>0</v>
      </c>
      <c r="I21" s="9">
        <v>4308</v>
      </c>
      <c r="J21" s="9">
        <v>4316</v>
      </c>
      <c r="K21" s="9">
        <v>1960</v>
      </c>
      <c r="L21" s="9">
        <v>4780</v>
      </c>
      <c r="M21" s="9">
        <v>3382</v>
      </c>
      <c r="N21" s="9">
        <v>0</v>
      </c>
      <c r="O21" s="9">
        <v>0</v>
      </c>
    </row>
    <row r="22" spans="1:19">
      <c r="B22" s="9">
        <f>+B20-B21</f>
        <v>0</v>
      </c>
      <c r="C22" s="9">
        <f t="shared" ref="C22:O22" si="3">+C20-C21</f>
        <v>0</v>
      </c>
      <c r="D22" s="9">
        <f t="shared" si="3"/>
        <v>0</v>
      </c>
      <c r="E22" s="9">
        <f t="shared" si="3"/>
        <v>0</v>
      </c>
      <c r="F22" s="9">
        <f t="shared" si="3"/>
        <v>0</v>
      </c>
      <c r="G22" s="9">
        <f t="shared" si="3"/>
        <v>0</v>
      </c>
      <c r="H22" s="9">
        <f t="shared" si="3"/>
        <v>0</v>
      </c>
      <c r="I22" s="9">
        <f t="shared" si="3"/>
        <v>0</v>
      </c>
      <c r="J22" s="9">
        <f t="shared" si="3"/>
        <v>0</v>
      </c>
      <c r="K22" s="9">
        <f t="shared" si="3"/>
        <v>0</v>
      </c>
      <c r="L22" s="9">
        <f t="shared" si="3"/>
        <v>0</v>
      </c>
      <c r="M22" s="9">
        <f t="shared" si="3"/>
        <v>0</v>
      </c>
      <c r="N22" s="9">
        <f t="shared" si="3"/>
        <v>0</v>
      </c>
      <c r="O22" s="9">
        <f t="shared" si="3"/>
        <v>0</v>
      </c>
    </row>
    <row r="25" spans="1:19">
      <c r="A25" s="19" t="s">
        <v>0</v>
      </c>
      <c r="B25" s="9" t="s">
        <v>932</v>
      </c>
      <c r="C25" s="9" t="s">
        <v>933</v>
      </c>
      <c r="D25" s="9" t="s">
        <v>934</v>
      </c>
      <c r="E25" s="9" t="s">
        <v>935</v>
      </c>
      <c r="F25" s="9" t="s">
        <v>936</v>
      </c>
      <c r="G25" s="9" t="s">
        <v>937</v>
      </c>
      <c r="H25" s="9" t="s">
        <v>938</v>
      </c>
      <c r="I25" s="9" t="s">
        <v>990</v>
      </c>
      <c r="J25" s="9" t="s">
        <v>991</v>
      </c>
      <c r="K25" s="9" t="s">
        <v>992</v>
      </c>
      <c r="L25" s="9" t="s">
        <v>993</v>
      </c>
      <c r="M25" s="9" t="s">
        <v>994</v>
      </c>
      <c r="N25" s="9" t="s">
        <v>995</v>
      </c>
      <c r="O25" s="9" t="s">
        <v>996</v>
      </c>
    </row>
    <row r="26" spans="1:19">
      <c r="A26" s="19">
        <v>1237608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300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</row>
    <row r="27" spans="1:19">
      <c r="A27" s="19">
        <v>1233165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37</v>
      </c>
      <c r="K27" s="9">
        <v>243</v>
      </c>
      <c r="L27" s="9">
        <v>0</v>
      </c>
      <c r="M27" s="9">
        <v>0</v>
      </c>
      <c r="N27" s="9">
        <v>0</v>
      </c>
      <c r="O27" s="9">
        <v>0</v>
      </c>
    </row>
    <row r="28" spans="1:19">
      <c r="A28" s="19">
        <v>1236387</v>
      </c>
      <c r="B28" s="9">
        <v>176</v>
      </c>
      <c r="C28" s="9">
        <v>357</v>
      </c>
      <c r="D28" s="9">
        <v>163</v>
      </c>
      <c r="E28" s="9">
        <v>104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9">
      <c r="A29" s="19">
        <v>1232775</v>
      </c>
      <c r="B29" s="9">
        <v>342</v>
      </c>
      <c r="C29" s="9">
        <v>245</v>
      </c>
      <c r="D29" s="9">
        <v>109</v>
      </c>
      <c r="E29" s="9">
        <v>200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18</v>
      </c>
      <c r="L29" s="9">
        <v>245</v>
      </c>
      <c r="M29" s="9">
        <v>245</v>
      </c>
      <c r="N29" s="9">
        <v>0</v>
      </c>
      <c r="O29" s="9">
        <v>0</v>
      </c>
    </row>
    <row r="30" spans="1:19">
      <c r="A30" s="19">
        <v>1238605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2</v>
      </c>
      <c r="L30" s="9">
        <v>190</v>
      </c>
      <c r="M30" s="9">
        <v>190</v>
      </c>
      <c r="N30" s="9">
        <v>0</v>
      </c>
      <c r="O30" s="9">
        <v>0</v>
      </c>
    </row>
    <row r="31" spans="1:19">
      <c r="A31" s="19">
        <v>1230685</v>
      </c>
      <c r="B31" s="9">
        <v>0</v>
      </c>
      <c r="C31" s="9">
        <v>0</v>
      </c>
      <c r="D31" s="9">
        <v>0</v>
      </c>
      <c r="E31" s="9">
        <v>220</v>
      </c>
      <c r="F31" s="9">
        <v>330</v>
      </c>
      <c r="G31" s="9">
        <v>0</v>
      </c>
      <c r="H31" s="9">
        <v>0</v>
      </c>
      <c r="I31" s="9">
        <v>330</v>
      </c>
      <c r="J31" s="9">
        <v>270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</row>
    <row r="34" spans="1:19">
      <c r="A34" s="19" t="s">
        <v>0</v>
      </c>
      <c r="B34" s="9" t="s">
        <v>932</v>
      </c>
      <c r="C34" s="9" t="s">
        <v>933</v>
      </c>
      <c r="D34" s="9" t="s">
        <v>934</v>
      </c>
      <c r="E34" s="9" t="s">
        <v>935</v>
      </c>
      <c r="F34" s="9" t="s">
        <v>936</v>
      </c>
      <c r="G34" s="9" t="s">
        <v>937</v>
      </c>
      <c r="H34" s="9" t="s">
        <v>938</v>
      </c>
      <c r="I34" s="9" t="s">
        <v>990</v>
      </c>
      <c r="J34" s="9" t="s">
        <v>991</v>
      </c>
      <c r="K34" s="9" t="s">
        <v>992</v>
      </c>
      <c r="L34" s="9" t="s">
        <v>993</v>
      </c>
      <c r="M34" s="9" t="s">
        <v>994</v>
      </c>
      <c r="N34" s="9" t="s">
        <v>995</v>
      </c>
      <c r="O34" s="9" t="s">
        <v>996</v>
      </c>
    </row>
    <row r="35" spans="1:19">
      <c r="A35" s="19">
        <v>1234614</v>
      </c>
      <c r="B35" s="9">
        <v>0</v>
      </c>
      <c r="C35" s="9">
        <v>0</v>
      </c>
      <c r="D35" s="9">
        <v>0</v>
      </c>
      <c r="E35" s="18">
        <v>216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Q35" s="78">
        <f>SUM(B35:O35)</f>
        <v>216</v>
      </c>
      <c r="R35" s="5">
        <f>VLOOKUP(A35,[10]sheet1!$A$2:$Q$38,17,0)</f>
        <v>216</v>
      </c>
      <c r="S35" s="78">
        <f>+Q35-R35</f>
        <v>0</v>
      </c>
    </row>
    <row r="36" spans="1:19">
      <c r="A36" s="19">
        <v>1227359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1</v>
      </c>
      <c r="L36" s="9">
        <v>0</v>
      </c>
      <c r="M36" s="9">
        <v>0</v>
      </c>
      <c r="N36" s="9">
        <v>0</v>
      </c>
      <c r="O36" s="9">
        <v>0</v>
      </c>
      <c r="Q36" s="78">
        <f t="shared" ref="Q36:Q71" si="4">SUM(B36:O36)</f>
        <v>1</v>
      </c>
      <c r="R36" s="5">
        <f>VLOOKUP(A36,[10]sheet1!$A$2:$Q$38,17,0)</f>
        <v>1</v>
      </c>
      <c r="S36" s="78">
        <f t="shared" ref="S36:S71" si="5">+Q36-R36</f>
        <v>0</v>
      </c>
    </row>
    <row r="37" spans="1:19">
      <c r="A37" s="19">
        <v>1231090</v>
      </c>
      <c r="B37" s="9">
        <v>60</v>
      </c>
      <c r="C37" s="9">
        <v>290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510</v>
      </c>
      <c r="J37" s="9">
        <v>200</v>
      </c>
      <c r="K37" s="9">
        <v>350</v>
      </c>
      <c r="L37" s="9">
        <v>550</v>
      </c>
      <c r="M37" s="9">
        <v>820</v>
      </c>
      <c r="N37" s="9">
        <v>0</v>
      </c>
      <c r="O37" s="9">
        <v>0</v>
      </c>
      <c r="Q37" s="78">
        <f t="shared" si="4"/>
        <v>2780</v>
      </c>
      <c r="R37" s="5">
        <f>VLOOKUP(A37,[10]sheet1!$A$2:$Q$38,17,0)</f>
        <v>2780</v>
      </c>
      <c r="S37" s="78">
        <f t="shared" si="5"/>
        <v>0</v>
      </c>
    </row>
    <row r="38" spans="1:19">
      <c r="A38" s="19">
        <v>1229776</v>
      </c>
      <c r="B38" s="9">
        <v>60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200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Q38" s="78">
        <f t="shared" si="4"/>
        <v>260</v>
      </c>
      <c r="R38" s="5">
        <f>VLOOKUP(A38,[10]sheet1!$A$2:$Q$38,17,0)</f>
        <v>260</v>
      </c>
      <c r="S38" s="78">
        <f t="shared" si="5"/>
        <v>0</v>
      </c>
    </row>
    <row r="39" spans="1:19">
      <c r="A39" s="100">
        <v>1225464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550</v>
      </c>
      <c r="M39" s="9">
        <v>0</v>
      </c>
      <c r="N39" s="9">
        <v>0</v>
      </c>
      <c r="O39" s="9">
        <v>0</v>
      </c>
      <c r="Q39" s="78">
        <f t="shared" si="4"/>
        <v>550</v>
      </c>
      <c r="R39" s="5">
        <f>VLOOKUP(A39,[10]sheet1!$A$2:$Q$38,17,0)</f>
        <v>550</v>
      </c>
      <c r="S39" s="78">
        <f t="shared" si="5"/>
        <v>0</v>
      </c>
    </row>
    <row r="40" spans="1:19">
      <c r="A40" s="19">
        <v>1232066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200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Q40" s="78">
        <f t="shared" si="4"/>
        <v>200</v>
      </c>
      <c r="R40" s="5">
        <f>VLOOKUP(A40,[10]sheet1!$A$2:$Q$38,17,0)</f>
        <v>200</v>
      </c>
      <c r="S40" s="78">
        <f t="shared" si="5"/>
        <v>0</v>
      </c>
    </row>
    <row r="41" spans="1:19">
      <c r="A41" s="19">
        <v>1229088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5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Q41" s="78">
        <f t="shared" si="4"/>
        <v>5</v>
      </c>
      <c r="R41" s="5">
        <f>VLOOKUP(A41,[10]sheet1!$A$2:$Q$38,17,0)</f>
        <v>5</v>
      </c>
      <c r="S41" s="78">
        <f t="shared" si="5"/>
        <v>0</v>
      </c>
    </row>
    <row r="42" spans="1:19">
      <c r="A42" s="19">
        <v>1232693</v>
      </c>
      <c r="B42" s="9">
        <v>0</v>
      </c>
      <c r="C42" s="9">
        <v>0</v>
      </c>
      <c r="D42" s="9">
        <v>0</v>
      </c>
      <c r="E42" s="9">
        <v>0</v>
      </c>
      <c r="F42" s="9">
        <v>291</v>
      </c>
      <c r="G42" s="9">
        <v>0</v>
      </c>
      <c r="H42" s="9">
        <v>0</v>
      </c>
      <c r="I42" s="9">
        <v>989</v>
      </c>
      <c r="J42" s="9">
        <v>463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Q42" s="78">
        <f t="shared" si="4"/>
        <v>1743</v>
      </c>
      <c r="R42" s="5">
        <f>VLOOKUP(A42,[10]sheet1!$A$2:$Q$38,17,0)</f>
        <v>1743</v>
      </c>
      <c r="S42" s="78">
        <f t="shared" si="5"/>
        <v>0</v>
      </c>
    </row>
    <row r="43" spans="1:19">
      <c r="A43" s="19">
        <v>1233025</v>
      </c>
      <c r="B43" s="9">
        <v>0</v>
      </c>
      <c r="C43" s="9">
        <v>0</v>
      </c>
      <c r="D43" s="9">
        <v>0</v>
      </c>
      <c r="E43" s="9">
        <v>0</v>
      </c>
      <c r="F43" s="9">
        <v>291</v>
      </c>
      <c r="G43" s="9">
        <v>0</v>
      </c>
      <c r="H43" s="9">
        <v>0</v>
      </c>
      <c r="I43" s="9">
        <v>989</v>
      </c>
      <c r="J43" s="9">
        <v>463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Q43" s="78">
        <f t="shared" si="4"/>
        <v>1743</v>
      </c>
      <c r="R43" s="5">
        <f>VLOOKUP(A43,[10]sheet1!$A$2:$Q$38,17,0)</f>
        <v>1743</v>
      </c>
      <c r="S43" s="78">
        <f t="shared" si="5"/>
        <v>0</v>
      </c>
    </row>
    <row r="44" spans="1:19">
      <c r="A44" s="19">
        <v>1234222</v>
      </c>
      <c r="B44" s="9">
        <v>0</v>
      </c>
      <c r="C44" s="9">
        <v>0</v>
      </c>
      <c r="D44" s="9">
        <v>157</v>
      </c>
      <c r="E44" s="18">
        <v>63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Q44" s="78">
        <f t="shared" si="4"/>
        <v>220</v>
      </c>
      <c r="R44" s="5">
        <f>VLOOKUP(A44,[10]sheet1!$A$2:$Q$38,17,0)</f>
        <v>220</v>
      </c>
      <c r="S44" s="78">
        <f t="shared" si="5"/>
        <v>0</v>
      </c>
    </row>
    <row r="45" spans="1:19">
      <c r="A45" s="19">
        <v>1232528</v>
      </c>
      <c r="B45" s="9">
        <v>1372</v>
      </c>
      <c r="C45" s="9">
        <v>753</v>
      </c>
      <c r="D45" s="9">
        <v>420</v>
      </c>
      <c r="E45" s="9">
        <v>0</v>
      </c>
      <c r="F45" s="9">
        <v>0</v>
      </c>
      <c r="G45" s="9">
        <v>0</v>
      </c>
      <c r="H45" s="9">
        <v>0</v>
      </c>
      <c r="I45" s="9">
        <v>445</v>
      </c>
      <c r="J45" s="9">
        <v>0</v>
      </c>
      <c r="K45" s="9">
        <v>2</v>
      </c>
      <c r="L45" s="9">
        <v>780</v>
      </c>
      <c r="M45" s="9">
        <v>3895</v>
      </c>
      <c r="N45" s="9">
        <v>0</v>
      </c>
      <c r="O45" s="9">
        <v>0</v>
      </c>
      <c r="Q45" s="78">
        <f t="shared" si="4"/>
        <v>7667</v>
      </c>
      <c r="R45" s="5">
        <f>VLOOKUP(A45,[10]sheet1!$A$2:$Q$38,17,0)</f>
        <v>7667</v>
      </c>
      <c r="S45" s="78">
        <f t="shared" si="5"/>
        <v>0</v>
      </c>
    </row>
    <row r="46" spans="1:19">
      <c r="A46" s="100">
        <v>1232846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712</v>
      </c>
      <c r="J46" s="9">
        <v>1000</v>
      </c>
      <c r="K46" s="9">
        <v>1109</v>
      </c>
      <c r="L46" s="9">
        <v>0</v>
      </c>
      <c r="M46" s="9">
        <v>0</v>
      </c>
      <c r="N46" s="9">
        <v>0</v>
      </c>
      <c r="O46" s="9">
        <v>0</v>
      </c>
      <c r="Q46" s="78">
        <f t="shared" si="4"/>
        <v>2821</v>
      </c>
      <c r="R46" s="5">
        <f>VLOOKUP(A46,[10]sheet1!$A$2:$Q$38,17,0)</f>
        <v>2821</v>
      </c>
      <c r="S46" s="78">
        <f t="shared" si="5"/>
        <v>0</v>
      </c>
    </row>
    <row r="47" spans="1:19">
      <c r="A47" s="19">
        <v>1229050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151</v>
      </c>
      <c r="L47" s="9">
        <v>0</v>
      </c>
      <c r="M47" s="9">
        <v>0</v>
      </c>
      <c r="N47" s="9">
        <v>0</v>
      </c>
      <c r="O47" s="9">
        <v>0</v>
      </c>
      <c r="Q47" s="78">
        <f t="shared" si="4"/>
        <v>151</v>
      </c>
      <c r="R47" s="5">
        <f>VLOOKUP(A47,[10]sheet1!$A$2:$Q$38,17,0)</f>
        <v>151</v>
      </c>
      <c r="S47" s="78">
        <f t="shared" si="5"/>
        <v>0</v>
      </c>
    </row>
    <row r="48" spans="1:19">
      <c r="A48" s="19">
        <v>1220847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920</v>
      </c>
      <c r="J48" s="9">
        <v>0</v>
      </c>
      <c r="K48" s="9">
        <v>0</v>
      </c>
      <c r="L48" s="9">
        <v>0</v>
      </c>
      <c r="M48" s="9">
        <v>4330</v>
      </c>
      <c r="N48" s="9">
        <v>0</v>
      </c>
      <c r="O48" s="9">
        <v>0</v>
      </c>
      <c r="Q48" s="78">
        <f t="shared" si="4"/>
        <v>5250</v>
      </c>
      <c r="R48" s="5">
        <f>VLOOKUP(A48,[10]sheet1!$A$2:$Q$38,17,0)</f>
        <v>5250</v>
      </c>
      <c r="S48" s="78">
        <f t="shared" si="5"/>
        <v>0</v>
      </c>
    </row>
    <row r="49" spans="1:19">
      <c r="A49" s="19">
        <v>1234217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50</v>
      </c>
      <c r="L49" s="9">
        <v>0</v>
      </c>
      <c r="M49" s="9">
        <v>0</v>
      </c>
      <c r="N49" s="9">
        <v>0</v>
      </c>
      <c r="O49" s="9">
        <v>0</v>
      </c>
      <c r="Q49" s="78">
        <f t="shared" si="4"/>
        <v>50</v>
      </c>
      <c r="R49" s="5">
        <f>VLOOKUP(A49,[10]sheet1!$A$2:$Q$38,17,0)</f>
        <v>50</v>
      </c>
      <c r="S49" s="78">
        <f t="shared" si="5"/>
        <v>0</v>
      </c>
    </row>
    <row r="50" spans="1:19">
      <c r="A50" s="19">
        <v>1234111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50</v>
      </c>
      <c r="L50" s="9">
        <v>0</v>
      </c>
      <c r="M50" s="9">
        <v>0</v>
      </c>
      <c r="N50" s="9">
        <v>0</v>
      </c>
      <c r="O50" s="9">
        <v>0</v>
      </c>
      <c r="Q50" s="78">
        <f t="shared" si="4"/>
        <v>50</v>
      </c>
      <c r="R50" s="5">
        <f>VLOOKUP(A50,[10]sheet1!$A$2:$Q$38,17,0)</f>
        <v>50</v>
      </c>
      <c r="S50" s="78">
        <f t="shared" si="5"/>
        <v>0</v>
      </c>
    </row>
    <row r="51" spans="1:19">
      <c r="A51" s="19">
        <v>1234110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50</v>
      </c>
      <c r="L51" s="9">
        <v>0</v>
      </c>
      <c r="M51" s="9">
        <v>0</v>
      </c>
      <c r="N51" s="9">
        <v>0</v>
      </c>
      <c r="O51" s="9">
        <v>0</v>
      </c>
      <c r="Q51" s="78">
        <f t="shared" si="4"/>
        <v>50</v>
      </c>
      <c r="R51" s="5">
        <f>VLOOKUP(A51,[10]sheet1!$A$2:$Q$38,17,0)</f>
        <v>50</v>
      </c>
      <c r="S51" s="78">
        <f t="shared" si="5"/>
        <v>0</v>
      </c>
    </row>
    <row r="52" spans="1:19">
      <c r="A52" s="19">
        <v>1232775</v>
      </c>
      <c r="B52" s="9">
        <v>0</v>
      </c>
      <c r="C52" s="9">
        <v>0</v>
      </c>
      <c r="D52" s="9">
        <v>0</v>
      </c>
      <c r="E52" s="18">
        <v>48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183</v>
      </c>
      <c r="N52" s="9">
        <v>0</v>
      </c>
      <c r="O52" s="9">
        <v>0</v>
      </c>
      <c r="Q52" s="78">
        <f t="shared" si="4"/>
        <v>231</v>
      </c>
      <c r="R52" s="5">
        <f>VLOOKUP(A52,[10]sheet1!$A$2:$Q$38,17,0)</f>
        <v>231</v>
      </c>
      <c r="S52" s="78">
        <f t="shared" si="5"/>
        <v>0</v>
      </c>
    </row>
    <row r="53" spans="1:19">
      <c r="A53" s="19">
        <v>1235097</v>
      </c>
      <c r="B53" s="9">
        <v>343</v>
      </c>
      <c r="C53" s="9">
        <v>343</v>
      </c>
      <c r="D53" s="9">
        <v>47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Q53" s="78">
        <f t="shared" si="4"/>
        <v>733</v>
      </c>
      <c r="R53" s="5">
        <f>VLOOKUP(A53,[10]sheet1!$A$2:$Q$38,17,0)</f>
        <v>733</v>
      </c>
      <c r="S53" s="78">
        <f t="shared" si="5"/>
        <v>0</v>
      </c>
    </row>
    <row r="54" spans="1:19">
      <c r="A54" s="19">
        <v>1235958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</v>
      </c>
      <c r="L54" s="9">
        <v>0</v>
      </c>
      <c r="M54" s="9">
        <v>0</v>
      </c>
      <c r="N54" s="9">
        <v>0</v>
      </c>
      <c r="O54" s="9">
        <v>0</v>
      </c>
      <c r="Q54" s="78">
        <f t="shared" si="4"/>
        <v>1</v>
      </c>
      <c r="R54" s="5">
        <f>VLOOKUP(A54,[10]sheet1!$A$2:$Q$38,17,0)</f>
        <v>1</v>
      </c>
      <c r="S54" s="78">
        <f t="shared" si="5"/>
        <v>0</v>
      </c>
    </row>
    <row r="55" spans="1:19">
      <c r="A55" s="19">
        <v>1236600</v>
      </c>
      <c r="B55" s="9">
        <v>0</v>
      </c>
      <c r="C55" s="9">
        <v>0</v>
      </c>
      <c r="D55" s="9">
        <v>0</v>
      </c>
      <c r="E55" s="18">
        <v>260</v>
      </c>
      <c r="F55" s="9">
        <v>419</v>
      </c>
      <c r="G55" s="9">
        <v>0</v>
      </c>
      <c r="H55" s="9">
        <v>0</v>
      </c>
      <c r="I55" s="9">
        <v>421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Q55" s="78">
        <f t="shared" si="4"/>
        <v>1100</v>
      </c>
      <c r="R55" s="5">
        <f>VLOOKUP(A55,[10]sheet1!$A$2:$Q$38,17,0)</f>
        <v>1100</v>
      </c>
      <c r="S55" s="78">
        <f t="shared" si="5"/>
        <v>0</v>
      </c>
    </row>
    <row r="56" spans="1:19">
      <c r="A56" s="19">
        <v>1236930</v>
      </c>
      <c r="B56" s="9">
        <v>339</v>
      </c>
      <c r="C56" s="9">
        <v>339</v>
      </c>
      <c r="D56" s="9">
        <v>175</v>
      </c>
      <c r="E56" s="9">
        <v>633</v>
      </c>
      <c r="F56" s="18">
        <v>492</v>
      </c>
      <c r="G56" s="9">
        <v>0</v>
      </c>
      <c r="H56" s="9">
        <v>0</v>
      </c>
      <c r="I56" s="9">
        <v>1062</v>
      </c>
      <c r="J56" s="9">
        <v>664</v>
      </c>
      <c r="K56" s="9">
        <v>147</v>
      </c>
      <c r="L56" s="9">
        <v>0</v>
      </c>
      <c r="M56" s="9">
        <v>0</v>
      </c>
      <c r="N56" s="9">
        <v>0</v>
      </c>
      <c r="O56" s="9">
        <v>0</v>
      </c>
      <c r="Q56" s="78">
        <f t="shared" si="4"/>
        <v>3851</v>
      </c>
      <c r="R56" s="5">
        <f>VLOOKUP(A56,[10]sheet1!$A$2:$Q$38,17,0)</f>
        <v>3851</v>
      </c>
      <c r="S56" s="78">
        <f t="shared" si="5"/>
        <v>0</v>
      </c>
    </row>
    <row r="57" spans="1:19">
      <c r="A57" s="19">
        <v>1232982</v>
      </c>
      <c r="B57" s="9">
        <v>0</v>
      </c>
      <c r="C57" s="9">
        <v>0</v>
      </c>
      <c r="D57" s="9">
        <v>116</v>
      </c>
      <c r="E57" s="9">
        <v>284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Q57" s="78">
        <f t="shared" si="4"/>
        <v>400</v>
      </c>
      <c r="R57" s="5">
        <f>VLOOKUP(A57,[10]sheet1!$A$2:$Q$38,17,0)</f>
        <v>400</v>
      </c>
      <c r="S57" s="78">
        <f t="shared" si="5"/>
        <v>0</v>
      </c>
    </row>
    <row r="58" spans="1:19">
      <c r="A58" s="19">
        <v>1237468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37</v>
      </c>
      <c r="L58" s="9">
        <v>0</v>
      </c>
      <c r="M58" s="9">
        <v>0</v>
      </c>
      <c r="N58" s="9">
        <v>0</v>
      </c>
      <c r="O58" s="9">
        <v>0</v>
      </c>
      <c r="Q58" s="78">
        <f t="shared" si="4"/>
        <v>37</v>
      </c>
      <c r="R58" s="5">
        <f>VLOOKUP(A58,[10]sheet1!$A$2:$Q$38,17,0)</f>
        <v>37</v>
      </c>
      <c r="S58" s="78">
        <f t="shared" si="5"/>
        <v>0</v>
      </c>
    </row>
    <row r="59" spans="1:19">
      <c r="A59" s="19">
        <v>1237457</v>
      </c>
      <c r="B59" s="9">
        <v>0</v>
      </c>
      <c r="C59" s="9">
        <v>56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Q59" s="78">
        <f t="shared" si="4"/>
        <v>56</v>
      </c>
      <c r="R59" s="5">
        <f>VLOOKUP(A59,[10]sheet1!$A$2:$Q$38,17,0)</f>
        <v>56</v>
      </c>
      <c r="S59" s="78">
        <f t="shared" si="5"/>
        <v>0</v>
      </c>
    </row>
    <row r="60" spans="1:19">
      <c r="A60" s="19">
        <v>1237386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22</v>
      </c>
      <c r="L60" s="9">
        <v>0</v>
      </c>
      <c r="M60" s="9">
        <v>0</v>
      </c>
      <c r="N60" s="9">
        <v>0</v>
      </c>
      <c r="O60" s="9">
        <v>0</v>
      </c>
      <c r="Q60" s="78">
        <f t="shared" si="4"/>
        <v>22</v>
      </c>
      <c r="R60" s="5">
        <f>VLOOKUP(A60,[10]sheet1!$A$2:$Q$38,17,0)</f>
        <v>22</v>
      </c>
      <c r="S60" s="78">
        <f t="shared" si="5"/>
        <v>0</v>
      </c>
    </row>
    <row r="61" spans="1:19">
      <c r="A61" s="19">
        <v>1234905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300</v>
      </c>
      <c r="M61" s="9">
        <v>480</v>
      </c>
      <c r="N61" s="9">
        <v>0</v>
      </c>
      <c r="O61" s="9">
        <v>0</v>
      </c>
      <c r="Q61" s="78">
        <f t="shared" si="4"/>
        <v>780</v>
      </c>
      <c r="R61" s="5">
        <f>VLOOKUP(A61,[10]sheet1!$A$2:$Q$38,17,0)</f>
        <v>780</v>
      </c>
      <c r="S61" s="78">
        <f t="shared" si="5"/>
        <v>0</v>
      </c>
    </row>
    <row r="62" spans="1:19">
      <c r="A62" s="19">
        <v>1238480</v>
      </c>
      <c r="B62" s="9">
        <v>868</v>
      </c>
      <c r="C62" s="9">
        <v>797</v>
      </c>
      <c r="D62" s="9">
        <v>586</v>
      </c>
      <c r="E62" s="18">
        <v>1231</v>
      </c>
      <c r="F62" s="9">
        <v>1196</v>
      </c>
      <c r="G62" s="9">
        <v>0</v>
      </c>
      <c r="H62" s="9">
        <v>0</v>
      </c>
      <c r="I62" s="9">
        <v>1511</v>
      </c>
      <c r="J62" s="9">
        <v>1322</v>
      </c>
      <c r="K62" s="9">
        <v>1327</v>
      </c>
      <c r="L62" s="9">
        <v>1892</v>
      </c>
      <c r="M62" s="9">
        <v>1955</v>
      </c>
      <c r="N62" s="9">
        <v>0</v>
      </c>
      <c r="O62" s="9">
        <v>0</v>
      </c>
      <c r="Q62" s="78">
        <f t="shared" si="4"/>
        <v>12685</v>
      </c>
      <c r="R62" s="5">
        <f>VLOOKUP(A62,[10]sheet1!$A$2:$Q$38,17,0)</f>
        <v>12685</v>
      </c>
      <c r="S62" s="78">
        <f t="shared" si="5"/>
        <v>0</v>
      </c>
    </row>
    <row r="63" spans="1:19">
      <c r="A63" s="19">
        <v>1238453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215</v>
      </c>
      <c r="K63" s="9">
        <v>300</v>
      </c>
      <c r="L63" s="9">
        <v>126</v>
      </c>
      <c r="M63" s="9">
        <v>0</v>
      </c>
      <c r="N63" s="9">
        <v>0</v>
      </c>
      <c r="O63" s="9">
        <v>0</v>
      </c>
      <c r="Q63" s="78">
        <f t="shared" si="4"/>
        <v>641</v>
      </c>
      <c r="R63" s="5">
        <f>VLOOKUP(A63,[10]sheet1!$A$2:$Q$38,17,0)</f>
        <v>641</v>
      </c>
      <c r="S63" s="78">
        <f t="shared" si="5"/>
        <v>0</v>
      </c>
    </row>
    <row r="64" spans="1:19">
      <c r="A64" s="19">
        <v>1240029</v>
      </c>
      <c r="B64" s="9">
        <v>362</v>
      </c>
      <c r="C64" s="9">
        <v>94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Q64" s="78">
        <f t="shared" si="4"/>
        <v>456</v>
      </c>
      <c r="R64" s="5">
        <f>VLOOKUP(A64,[10]sheet1!$A$2:$Q$38,17,0)</f>
        <v>456</v>
      </c>
      <c r="S64" s="78">
        <f t="shared" si="5"/>
        <v>0</v>
      </c>
    </row>
    <row r="65" spans="1:19">
      <c r="A65" s="19">
        <v>1240032</v>
      </c>
      <c r="B65" s="9">
        <v>362</v>
      </c>
      <c r="C65" s="9">
        <v>94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Q65" s="78">
        <f t="shared" si="4"/>
        <v>456</v>
      </c>
      <c r="R65" s="5">
        <f>VLOOKUP(A65,[10]sheet1!$A$2:$Q$38,17,0)</f>
        <v>456</v>
      </c>
      <c r="S65" s="78">
        <f t="shared" si="5"/>
        <v>0</v>
      </c>
    </row>
    <row r="66" spans="1:19">
      <c r="A66" s="19">
        <v>1216452</v>
      </c>
      <c r="B66" s="9">
        <v>0</v>
      </c>
      <c r="C66" s="9">
        <v>643</v>
      </c>
      <c r="D66" s="18">
        <v>452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73</v>
      </c>
      <c r="K66" s="9">
        <v>782</v>
      </c>
      <c r="L66" s="9">
        <v>90</v>
      </c>
      <c r="M66" s="9">
        <v>0</v>
      </c>
      <c r="N66" s="9">
        <v>495</v>
      </c>
      <c r="O66" s="9">
        <v>0</v>
      </c>
      <c r="Q66" s="78">
        <f t="shared" si="4"/>
        <v>2535</v>
      </c>
      <c r="R66" s="5">
        <f>VLOOKUP(A66,[10]sheet1!$A$2:$Q$38,17,0)</f>
        <v>2535</v>
      </c>
      <c r="S66" s="78">
        <f t="shared" si="5"/>
        <v>0</v>
      </c>
    </row>
    <row r="67" spans="1:19">
      <c r="A67" s="100">
        <v>1232894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712</v>
      </c>
      <c r="J67" s="9">
        <v>1000</v>
      </c>
      <c r="K67" s="9">
        <v>1109</v>
      </c>
      <c r="L67" s="9">
        <v>0</v>
      </c>
      <c r="M67" s="9">
        <v>0</v>
      </c>
      <c r="N67" s="9">
        <v>0</v>
      </c>
      <c r="O67" s="9">
        <v>0</v>
      </c>
      <c r="Q67" s="78">
        <f t="shared" si="4"/>
        <v>2821</v>
      </c>
      <c r="R67" s="5">
        <f>VLOOKUP(A67,[10]sheet1!$A$2:$Q$38,17,0)</f>
        <v>2821</v>
      </c>
      <c r="S67" s="78">
        <f t="shared" si="5"/>
        <v>0</v>
      </c>
    </row>
    <row r="68" spans="1:19">
      <c r="A68" s="19">
        <v>1233386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512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Q68" s="78">
        <f t="shared" si="4"/>
        <v>512</v>
      </c>
      <c r="R68" s="5">
        <f>VLOOKUP(A68,[10]sheet1!$A$2:$Q$38,17,0)</f>
        <v>512</v>
      </c>
      <c r="S68" s="78">
        <f t="shared" si="5"/>
        <v>0</v>
      </c>
    </row>
    <row r="69" spans="1:19">
      <c r="A69" s="100">
        <v>1233387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200</v>
      </c>
      <c r="J69" s="9">
        <v>1000</v>
      </c>
      <c r="K69" s="9">
        <v>856</v>
      </c>
      <c r="L69" s="9">
        <v>0</v>
      </c>
      <c r="M69" s="9">
        <v>0</v>
      </c>
      <c r="N69" s="9">
        <v>0</v>
      </c>
      <c r="O69" s="9">
        <v>0</v>
      </c>
      <c r="Q69" s="78">
        <f t="shared" si="4"/>
        <v>2056</v>
      </c>
      <c r="R69" s="5">
        <f>VLOOKUP(A69,[10]sheet1!$A$2:$Q$38,17,0)</f>
        <v>2056</v>
      </c>
      <c r="S69" s="78">
        <f t="shared" si="5"/>
        <v>0</v>
      </c>
    </row>
    <row r="70" spans="1:19">
      <c r="A70" s="19">
        <v>1233385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253</v>
      </c>
      <c r="L70" s="9">
        <v>0</v>
      </c>
      <c r="M70" s="9">
        <v>0</v>
      </c>
      <c r="N70" s="9">
        <v>0</v>
      </c>
      <c r="O70" s="9">
        <v>0</v>
      </c>
      <c r="Q70" s="78">
        <f t="shared" si="4"/>
        <v>253</v>
      </c>
      <c r="R70" s="5">
        <f>VLOOKUP(A70,[10]sheet1!$A$2:$Q$38,17,0)</f>
        <v>253</v>
      </c>
      <c r="S70" s="78">
        <f t="shared" si="5"/>
        <v>0</v>
      </c>
    </row>
    <row r="71" spans="1:19">
      <c r="A71" s="19">
        <v>1233580</v>
      </c>
      <c r="B71" s="9">
        <v>0</v>
      </c>
      <c r="C71" s="9">
        <v>0</v>
      </c>
      <c r="D71" s="9">
        <v>0</v>
      </c>
      <c r="E71" s="9">
        <v>81</v>
      </c>
      <c r="F71" s="9">
        <v>119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Q71" s="78">
        <f t="shared" si="4"/>
        <v>200</v>
      </c>
      <c r="R71" s="5">
        <f>VLOOKUP(A71,[10]sheet1!$A$2:$Q$38,17,0)</f>
        <v>200</v>
      </c>
      <c r="S71" s="78">
        <f t="shared" si="5"/>
        <v>0</v>
      </c>
    </row>
    <row r="73" spans="1:19">
      <c r="B73" s="9">
        <f>SUM(B35:B72)</f>
        <v>3766</v>
      </c>
      <c r="C73" s="9">
        <f t="shared" ref="C73:O73" si="6">SUM(C35:C72)</f>
        <v>3409</v>
      </c>
      <c r="D73" s="9">
        <f t="shared" si="6"/>
        <v>1953</v>
      </c>
      <c r="E73" s="9">
        <f t="shared" si="6"/>
        <v>2816</v>
      </c>
      <c r="F73" s="9">
        <f t="shared" si="6"/>
        <v>2808</v>
      </c>
      <c r="G73" s="9">
        <f t="shared" si="6"/>
        <v>0</v>
      </c>
      <c r="H73" s="9">
        <f t="shared" si="6"/>
        <v>0</v>
      </c>
      <c r="I73" s="9">
        <f t="shared" si="6"/>
        <v>8983</v>
      </c>
      <c r="J73" s="9">
        <f t="shared" si="6"/>
        <v>6805</v>
      </c>
      <c r="K73" s="9">
        <f t="shared" si="6"/>
        <v>6597</v>
      </c>
      <c r="L73" s="9">
        <f t="shared" si="6"/>
        <v>4288</v>
      </c>
      <c r="M73" s="9">
        <f t="shared" si="6"/>
        <v>11663</v>
      </c>
      <c r="N73" s="9">
        <f t="shared" si="6"/>
        <v>495</v>
      </c>
      <c r="O73" s="9">
        <f t="shared" si="6"/>
        <v>0</v>
      </c>
    </row>
    <row r="74" spans="1:19">
      <c r="B74" s="9">
        <v>3766</v>
      </c>
      <c r="C74" s="9">
        <v>3409</v>
      </c>
      <c r="D74" s="9">
        <v>1953</v>
      </c>
      <c r="E74" s="9">
        <v>2816</v>
      </c>
      <c r="F74" s="9">
        <v>2808</v>
      </c>
      <c r="G74" s="9">
        <v>0</v>
      </c>
      <c r="H74" s="9">
        <v>0</v>
      </c>
      <c r="I74" s="9">
        <v>8983</v>
      </c>
      <c r="J74" s="9">
        <v>6805</v>
      </c>
      <c r="K74" s="9">
        <v>6597</v>
      </c>
      <c r="L74" s="9">
        <v>4288</v>
      </c>
      <c r="M74" s="9">
        <v>11663</v>
      </c>
      <c r="N74" s="9">
        <v>495</v>
      </c>
      <c r="O74" s="9">
        <v>0</v>
      </c>
    </row>
    <row r="75" spans="1:19">
      <c r="B75" s="9">
        <f>+B73-B74</f>
        <v>0</v>
      </c>
      <c r="C75" s="9">
        <f t="shared" ref="C75:O75" si="7">+C73-C74</f>
        <v>0</v>
      </c>
      <c r="D75" s="9">
        <f t="shared" si="7"/>
        <v>0</v>
      </c>
      <c r="E75" s="9">
        <f t="shared" si="7"/>
        <v>0</v>
      </c>
      <c r="F75" s="9">
        <f t="shared" si="7"/>
        <v>0</v>
      </c>
      <c r="G75" s="9">
        <f t="shared" si="7"/>
        <v>0</v>
      </c>
      <c r="H75" s="9">
        <f t="shared" si="7"/>
        <v>0</v>
      </c>
      <c r="I75" s="9">
        <f t="shared" si="7"/>
        <v>0</v>
      </c>
      <c r="J75" s="9">
        <f t="shared" si="7"/>
        <v>0</v>
      </c>
      <c r="K75" s="9">
        <f t="shared" si="7"/>
        <v>0</v>
      </c>
      <c r="L75" s="9">
        <f t="shared" si="7"/>
        <v>0</v>
      </c>
      <c r="M75" s="9">
        <f t="shared" si="7"/>
        <v>0</v>
      </c>
      <c r="N75" s="9">
        <f t="shared" si="7"/>
        <v>0</v>
      </c>
      <c r="O75" s="9">
        <f t="shared" si="7"/>
        <v>0</v>
      </c>
    </row>
  </sheetData>
  <autoFilter ref="A1:O18" xr:uid="{B408B05F-55EE-469A-9DEA-297782968B6F}"/>
  <phoneticPr fontId="1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4A2-9657-4FA5-81DF-8B2789795CB3}">
  <dimension ref="A1:Y77"/>
  <sheetViews>
    <sheetView zoomScale="115" zoomScaleNormal="115" workbookViewId="0">
      <selection activeCell="Z6" sqref="Z6"/>
    </sheetView>
  </sheetViews>
  <sheetFormatPr defaultRowHeight="11.25"/>
  <cols>
    <col min="1" max="1" width="9.1640625" style="13"/>
    <col min="2" max="2" width="9.1640625" style="14"/>
    <col min="3" max="20" width="9.1640625" style="14" customWidth="1"/>
    <col min="21" max="21" width="9.1640625" style="14"/>
  </cols>
  <sheetData>
    <row r="1" spans="1:25">
      <c r="A1" s="25" t="s">
        <v>0</v>
      </c>
      <c r="B1" s="14" t="s">
        <v>1018</v>
      </c>
      <c r="C1" s="14" t="s">
        <v>1019</v>
      </c>
      <c r="D1" s="14" t="s">
        <v>1020</v>
      </c>
      <c r="E1" s="16" t="s">
        <v>1021</v>
      </c>
      <c r="F1" s="14" t="s">
        <v>1022</v>
      </c>
      <c r="G1" s="14" t="s">
        <v>1023</v>
      </c>
      <c r="H1" s="14" t="s">
        <v>1024</v>
      </c>
      <c r="I1" s="14" t="s">
        <v>1025</v>
      </c>
      <c r="J1" s="14" t="s">
        <v>1026</v>
      </c>
      <c r="K1" s="14" t="s">
        <v>1027</v>
      </c>
      <c r="L1" s="14" t="s">
        <v>1028</v>
      </c>
      <c r="M1" s="14" t="s">
        <v>1029</v>
      </c>
      <c r="N1" s="14" t="s">
        <v>1030</v>
      </c>
      <c r="O1" s="14" t="s">
        <v>1031</v>
      </c>
      <c r="P1" s="14" t="s">
        <v>1032</v>
      </c>
      <c r="Q1" s="14" t="s">
        <v>1033</v>
      </c>
      <c r="R1" s="14" t="s">
        <v>1034</v>
      </c>
      <c r="S1" s="14" t="s">
        <v>1035</v>
      </c>
      <c r="T1" s="14" t="s">
        <v>1036</v>
      </c>
      <c r="U1" s="14" t="s">
        <v>1037</v>
      </c>
    </row>
    <row r="2" spans="1:25">
      <c r="A2" s="13">
        <v>1234614</v>
      </c>
      <c r="B2" s="14">
        <v>308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24</v>
      </c>
      <c r="P2" s="14">
        <v>276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W2" s="184">
        <f t="shared" ref="W2:W20" si="0">SUM(B2:U2)</f>
        <v>608</v>
      </c>
      <c r="Y2" s="184"/>
    </row>
    <row r="3" spans="1:25">
      <c r="A3" s="13">
        <v>1229673</v>
      </c>
      <c r="B3" s="14">
        <v>200</v>
      </c>
      <c r="C3" s="14">
        <v>222</v>
      </c>
      <c r="D3" s="14">
        <v>200</v>
      </c>
      <c r="E3" s="14">
        <v>0</v>
      </c>
      <c r="F3" s="14">
        <v>0</v>
      </c>
      <c r="G3" s="14">
        <v>0</v>
      </c>
      <c r="H3" s="14">
        <v>200</v>
      </c>
      <c r="I3" s="14">
        <v>300</v>
      </c>
      <c r="J3" s="14">
        <v>200</v>
      </c>
      <c r="K3" s="14">
        <v>300</v>
      </c>
      <c r="L3" s="14">
        <v>200</v>
      </c>
      <c r="M3" s="14">
        <v>0</v>
      </c>
      <c r="N3" s="14">
        <v>0</v>
      </c>
      <c r="O3" s="14">
        <v>300</v>
      </c>
      <c r="P3" s="14">
        <v>0</v>
      </c>
      <c r="Q3" s="14">
        <v>0</v>
      </c>
      <c r="R3" s="14">
        <v>252</v>
      </c>
      <c r="S3" s="14">
        <v>0</v>
      </c>
      <c r="T3" s="14">
        <v>0</v>
      </c>
      <c r="U3" s="14">
        <v>0</v>
      </c>
      <c r="W3" s="184">
        <f t="shared" si="0"/>
        <v>2374</v>
      </c>
      <c r="Y3" s="184"/>
    </row>
    <row r="4" spans="1:25">
      <c r="A4" s="13">
        <v>1233492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356</v>
      </c>
      <c r="Q4" s="14">
        <v>144</v>
      </c>
      <c r="R4" s="14">
        <v>0</v>
      </c>
      <c r="S4" s="14">
        <v>0</v>
      </c>
      <c r="T4" s="14">
        <v>0</v>
      </c>
      <c r="U4" s="14">
        <v>0</v>
      </c>
      <c r="W4" s="184">
        <f t="shared" si="0"/>
        <v>500</v>
      </c>
      <c r="Y4" s="184"/>
    </row>
    <row r="5" spans="1:25">
      <c r="A5" s="13">
        <v>1233498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356</v>
      </c>
      <c r="Q5" s="14">
        <v>144</v>
      </c>
      <c r="R5" s="14">
        <v>0</v>
      </c>
      <c r="S5" s="14">
        <v>0</v>
      </c>
      <c r="T5" s="14">
        <v>0</v>
      </c>
      <c r="U5" s="14">
        <v>0</v>
      </c>
      <c r="W5" s="184">
        <f t="shared" si="0"/>
        <v>500</v>
      </c>
      <c r="Y5" s="184"/>
    </row>
    <row r="6" spans="1:25">
      <c r="A6" s="13">
        <v>1233623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356</v>
      </c>
      <c r="Q6" s="14">
        <v>144</v>
      </c>
      <c r="R6" s="14">
        <v>0</v>
      </c>
      <c r="S6" s="14">
        <v>0</v>
      </c>
      <c r="T6" s="14">
        <v>0</v>
      </c>
      <c r="U6" s="14">
        <v>0</v>
      </c>
      <c r="W6" s="184">
        <f t="shared" si="0"/>
        <v>500</v>
      </c>
      <c r="Y6" s="184"/>
    </row>
    <row r="7" spans="1:25">
      <c r="A7" s="13">
        <v>1235623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52</v>
      </c>
      <c r="M7" s="14">
        <v>0</v>
      </c>
      <c r="N7" s="14">
        <v>0</v>
      </c>
      <c r="O7" s="14">
        <v>884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W7" s="184">
        <f t="shared" si="0"/>
        <v>936</v>
      </c>
      <c r="Y7" s="184"/>
    </row>
    <row r="8" spans="1:25">
      <c r="A8" s="13">
        <v>1237088</v>
      </c>
      <c r="B8" s="14">
        <v>960</v>
      </c>
      <c r="C8" s="14">
        <v>0</v>
      </c>
      <c r="D8" s="14">
        <v>300</v>
      </c>
      <c r="E8" s="14">
        <v>0</v>
      </c>
      <c r="F8" s="14">
        <v>0</v>
      </c>
      <c r="G8" s="14">
        <v>0</v>
      </c>
      <c r="H8" s="14">
        <v>1004</v>
      </c>
      <c r="I8" s="14">
        <v>474</v>
      </c>
      <c r="J8" s="14">
        <v>260</v>
      </c>
      <c r="K8" s="14">
        <v>678</v>
      </c>
      <c r="L8" s="14">
        <v>232</v>
      </c>
      <c r="M8" s="14">
        <v>0</v>
      </c>
      <c r="N8" s="14">
        <v>0</v>
      </c>
      <c r="O8" s="14">
        <v>736</v>
      </c>
      <c r="P8" s="14">
        <v>816</v>
      </c>
      <c r="Q8" s="14">
        <v>788</v>
      </c>
      <c r="R8" s="14">
        <v>500</v>
      </c>
      <c r="S8" s="14">
        <v>870</v>
      </c>
      <c r="T8" s="14">
        <v>0</v>
      </c>
      <c r="U8" s="14">
        <v>0</v>
      </c>
      <c r="W8" s="184">
        <f t="shared" si="0"/>
        <v>7618</v>
      </c>
      <c r="Y8" s="184"/>
    </row>
    <row r="9" spans="1:25">
      <c r="A9" s="13">
        <v>1237748</v>
      </c>
      <c r="B9" s="14">
        <v>0</v>
      </c>
      <c r="C9" s="14">
        <v>0</v>
      </c>
      <c r="D9" s="14">
        <v>572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312</v>
      </c>
      <c r="R9" s="14">
        <v>0</v>
      </c>
      <c r="S9" s="14">
        <v>0</v>
      </c>
      <c r="T9" s="14">
        <v>0</v>
      </c>
      <c r="U9" s="14">
        <v>0</v>
      </c>
      <c r="W9" s="184">
        <f t="shared" si="0"/>
        <v>884</v>
      </c>
      <c r="Y9" s="184"/>
    </row>
    <row r="10" spans="1:25">
      <c r="A10" s="13">
        <v>1238128</v>
      </c>
      <c r="B10" s="14">
        <v>0</v>
      </c>
      <c r="C10" s="14">
        <v>0</v>
      </c>
      <c r="D10" s="14">
        <v>30</v>
      </c>
      <c r="E10" s="16">
        <v>378</v>
      </c>
      <c r="F10" s="14">
        <v>0</v>
      </c>
      <c r="G10" s="14">
        <v>0</v>
      </c>
      <c r="H10" s="14">
        <v>72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92</v>
      </c>
      <c r="R10" s="14">
        <v>590</v>
      </c>
      <c r="S10" s="14">
        <v>464</v>
      </c>
      <c r="T10" s="14">
        <v>0</v>
      </c>
      <c r="U10" s="14">
        <v>0</v>
      </c>
      <c r="W10" s="184">
        <f t="shared" si="0"/>
        <v>1626</v>
      </c>
      <c r="Y10" s="184"/>
    </row>
    <row r="11" spans="1:25">
      <c r="A11" s="13">
        <v>1238480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60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W11" s="184">
        <f t="shared" si="0"/>
        <v>60</v>
      </c>
      <c r="Y11" s="184"/>
    </row>
    <row r="12" spans="1:25">
      <c r="A12" s="13">
        <v>1236962</v>
      </c>
      <c r="B12" s="14">
        <v>0</v>
      </c>
      <c r="C12" s="14">
        <v>300</v>
      </c>
      <c r="D12" s="14">
        <v>300</v>
      </c>
      <c r="E12" s="16">
        <v>200</v>
      </c>
      <c r="F12" s="14">
        <v>0</v>
      </c>
      <c r="G12" s="14">
        <v>0</v>
      </c>
      <c r="H12" s="14">
        <v>0</v>
      </c>
      <c r="I12" s="14">
        <v>200</v>
      </c>
      <c r="J12" s="14">
        <v>200</v>
      </c>
      <c r="K12" s="14">
        <v>200</v>
      </c>
      <c r="L12" s="14">
        <v>200</v>
      </c>
      <c r="M12" s="14">
        <v>0</v>
      </c>
      <c r="N12" s="14">
        <v>0</v>
      </c>
      <c r="O12" s="14">
        <v>200</v>
      </c>
      <c r="P12" s="14">
        <v>200</v>
      </c>
      <c r="Q12" s="14">
        <v>300</v>
      </c>
      <c r="R12" s="14">
        <v>300</v>
      </c>
      <c r="S12" s="14">
        <v>200</v>
      </c>
      <c r="T12" s="14">
        <v>0</v>
      </c>
      <c r="U12" s="14">
        <v>0</v>
      </c>
      <c r="W12" s="184">
        <f t="shared" si="0"/>
        <v>2800</v>
      </c>
      <c r="Y12" s="184"/>
    </row>
    <row r="13" spans="1:25">
      <c r="A13" s="13">
        <v>1233761</v>
      </c>
      <c r="B13" s="14">
        <v>0</v>
      </c>
      <c r="C13" s="14">
        <v>0</v>
      </c>
      <c r="D13" s="14">
        <v>0</v>
      </c>
      <c r="E13" s="16">
        <v>140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W13" s="184">
        <f t="shared" si="0"/>
        <v>140</v>
      </c>
      <c r="Y13" s="184"/>
    </row>
    <row r="14" spans="1:25">
      <c r="A14" s="13">
        <v>1239651</v>
      </c>
      <c r="B14" s="14">
        <v>0</v>
      </c>
      <c r="C14" s="14">
        <v>500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300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200</v>
      </c>
      <c r="P14" s="14">
        <v>300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W14" s="184">
        <f t="shared" si="0"/>
        <v>1300</v>
      </c>
      <c r="Y14" s="184"/>
    </row>
    <row r="15" spans="1:25">
      <c r="A15" s="13">
        <v>1239988</v>
      </c>
      <c r="B15" s="14">
        <v>510</v>
      </c>
      <c r="C15" s="14">
        <v>400</v>
      </c>
      <c r="D15" s="14">
        <v>510</v>
      </c>
      <c r="E15" s="16">
        <v>366</v>
      </c>
      <c r="F15" s="14">
        <v>0</v>
      </c>
      <c r="G15" s="14">
        <v>0</v>
      </c>
      <c r="H15" s="14">
        <v>250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440</v>
      </c>
      <c r="S15" s="14">
        <v>400</v>
      </c>
      <c r="T15" s="14">
        <v>0</v>
      </c>
      <c r="U15" s="14">
        <v>0</v>
      </c>
      <c r="W15" s="184">
        <f t="shared" si="0"/>
        <v>2876</v>
      </c>
      <c r="Y15" s="184"/>
    </row>
    <row r="16" spans="1:25">
      <c r="A16" s="13">
        <v>1240180</v>
      </c>
      <c r="B16" s="14">
        <v>200</v>
      </c>
      <c r="C16" s="14">
        <v>286</v>
      </c>
      <c r="D16" s="14">
        <v>592</v>
      </c>
      <c r="E16" s="16">
        <v>592</v>
      </c>
      <c r="F16" s="14">
        <v>0</v>
      </c>
      <c r="G16" s="14">
        <v>0</v>
      </c>
      <c r="H16" s="14">
        <v>660</v>
      </c>
      <c r="I16" s="14">
        <v>824</v>
      </c>
      <c r="J16" s="14">
        <v>164</v>
      </c>
      <c r="K16" s="14">
        <v>426</v>
      </c>
      <c r="L16" s="14">
        <v>316</v>
      </c>
      <c r="M16" s="14">
        <v>0</v>
      </c>
      <c r="N16" s="14">
        <v>0</v>
      </c>
      <c r="O16" s="14">
        <v>426</v>
      </c>
      <c r="P16" s="14">
        <v>426</v>
      </c>
      <c r="Q16" s="14">
        <v>334</v>
      </c>
      <c r="R16" s="14">
        <v>304</v>
      </c>
      <c r="S16" s="14">
        <v>322</v>
      </c>
      <c r="T16" s="14">
        <v>0</v>
      </c>
      <c r="U16" s="14">
        <v>0</v>
      </c>
      <c r="W16" s="184">
        <f t="shared" si="0"/>
        <v>5872</v>
      </c>
      <c r="Y16" s="184"/>
    </row>
    <row r="17" spans="1:25">
      <c r="A17" s="13">
        <v>1240184</v>
      </c>
      <c r="B17" s="14">
        <v>200</v>
      </c>
      <c r="C17" s="14">
        <v>286</v>
      </c>
      <c r="D17" s="14">
        <v>592</v>
      </c>
      <c r="E17" s="16">
        <v>592</v>
      </c>
      <c r="F17" s="14">
        <v>0</v>
      </c>
      <c r="G17" s="14">
        <v>0</v>
      </c>
      <c r="H17" s="14">
        <v>660</v>
      </c>
      <c r="I17" s="14">
        <v>640</v>
      </c>
      <c r="J17" s="14">
        <v>164</v>
      </c>
      <c r="K17" s="14">
        <v>426</v>
      </c>
      <c r="L17" s="14">
        <v>316</v>
      </c>
      <c r="M17" s="14">
        <v>0</v>
      </c>
      <c r="N17" s="14">
        <v>0</v>
      </c>
      <c r="O17" s="14">
        <v>426</v>
      </c>
      <c r="P17" s="14">
        <v>426</v>
      </c>
      <c r="Q17" s="14">
        <v>334</v>
      </c>
      <c r="R17" s="14">
        <v>304</v>
      </c>
      <c r="S17" s="14">
        <v>322</v>
      </c>
      <c r="T17" s="14">
        <v>0</v>
      </c>
      <c r="U17" s="14">
        <v>0</v>
      </c>
      <c r="W17" s="184">
        <f t="shared" si="0"/>
        <v>5688</v>
      </c>
      <c r="Y17" s="184"/>
    </row>
    <row r="18" spans="1:25">
      <c r="A18" s="13">
        <v>1240308</v>
      </c>
      <c r="B18" s="14">
        <v>0</v>
      </c>
      <c r="C18" s="14">
        <v>0</v>
      </c>
      <c r="D18" s="14">
        <v>450</v>
      </c>
      <c r="E18" s="16">
        <v>376</v>
      </c>
      <c r="F18" s="14">
        <v>0</v>
      </c>
      <c r="G18" s="14">
        <v>0</v>
      </c>
      <c r="H18" s="14">
        <v>200</v>
      </c>
      <c r="I18" s="14">
        <v>300</v>
      </c>
      <c r="J18" s="14">
        <v>0</v>
      </c>
      <c r="K18" s="14">
        <v>400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270</v>
      </c>
      <c r="S18" s="14">
        <v>0</v>
      </c>
      <c r="T18" s="14">
        <v>0</v>
      </c>
      <c r="U18" s="14">
        <v>0</v>
      </c>
      <c r="W18" s="184">
        <f t="shared" si="0"/>
        <v>1996</v>
      </c>
      <c r="Y18" s="184"/>
    </row>
    <row r="19" spans="1:25">
      <c r="A19" s="13">
        <v>1241134</v>
      </c>
      <c r="B19" s="14">
        <v>0</v>
      </c>
      <c r="C19" s="14">
        <v>87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W19" s="184">
        <f t="shared" si="0"/>
        <v>87</v>
      </c>
      <c r="Y19" s="184"/>
    </row>
    <row r="20" spans="1:25">
      <c r="A20" s="13">
        <v>1241601</v>
      </c>
      <c r="B20" s="14">
        <v>372</v>
      </c>
      <c r="C20" s="14">
        <v>770</v>
      </c>
      <c r="D20" s="14">
        <v>0</v>
      </c>
      <c r="E20" s="14">
        <v>0</v>
      </c>
      <c r="F20" s="14">
        <v>0</v>
      </c>
      <c r="G20" s="14">
        <v>0</v>
      </c>
      <c r="H20" s="14">
        <v>1266</v>
      </c>
      <c r="I20" s="14">
        <v>1176</v>
      </c>
      <c r="J20" s="14">
        <v>862</v>
      </c>
      <c r="K20" s="14">
        <v>2246</v>
      </c>
      <c r="L20" s="14">
        <v>1600</v>
      </c>
      <c r="M20" s="14">
        <v>0</v>
      </c>
      <c r="N20" s="14">
        <v>0</v>
      </c>
      <c r="O20" s="14">
        <v>1564</v>
      </c>
      <c r="P20" s="14">
        <v>1564</v>
      </c>
      <c r="Q20" s="14">
        <v>1228</v>
      </c>
      <c r="R20" s="14">
        <v>966</v>
      </c>
      <c r="S20" s="14">
        <v>338</v>
      </c>
      <c r="T20" s="14">
        <v>0</v>
      </c>
      <c r="U20" s="14">
        <v>0</v>
      </c>
      <c r="W20" s="184">
        <f t="shared" si="0"/>
        <v>13952</v>
      </c>
      <c r="Y20" s="184"/>
    </row>
    <row r="22" spans="1:25">
      <c r="B22" s="14">
        <f>SUM(B2:B21)</f>
        <v>2750</v>
      </c>
      <c r="C22" s="14">
        <f t="shared" ref="C22:U22" si="1">SUM(C2:C21)</f>
        <v>2851</v>
      </c>
      <c r="D22" s="14">
        <f t="shared" si="1"/>
        <v>3546</v>
      </c>
      <c r="E22" s="14">
        <f t="shared" si="1"/>
        <v>2644</v>
      </c>
      <c r="F22" s="14">
        <f t="shared" si="1"/>
        <v>0</v>
      </c>
      <c r="G22" s="14">
        <f t="shared" si="1"/>
        <v>0</v>
      </c>
      <c r="H22" s="14">
        <f t="shared" si="1"/>
        <v>4312</v>
      </c>
      <c r="I22" s="14">
        <f t="shared" si="1"/>
        <v>4274</v>
      </c>
      <c r="J22" s="14">
        <f t="shared" si="1"/>
        <v>1850</v>
      </c>
      <c r="K22" s="14">
        <f t="shared" si="1"/>
        <v>4676</v>
      </c>
      <c r="L22" s="14">
        <f t="shared" si="1"/>
        <v>2916</v>
      </c>
      <c r="M22" s="14">
        <f t="shared" si="1"/>
        <v>0</v>
      </c>
      <c r="N22" s="14">
        <f t="shared" si="1"/>
        <v>0</v>
      </c>
      <c r="O22" s="14">
        <f t="shared" si="1"/>
        <v>4760</v>
      </c>
      <c r="P22" s="14">
        <f t="shared" si="1"/>
        <v>5076</v>
      </c>
      <c r="Q22" s="14">
        <f t="shared" si="1"/>
        <v>3820</v>
      </c>
      <c r="R22" s="14">
        <f t="shared" si="1"/>
        <v>3926</v>
      </c>
      <c r="S22" s="14">
        <f t="shared" si="1"/>
        <v>2916</v>
      </c>
      <c r="T22" s="14">
        <f t="shared" si="1"/>
        <v>0</v>
      </c>
      <c r="U22" s="14">
        <f t="shared" si="1"/>
        <v>0</v>
      </c>
    </row>
    <row r="23" spans="1:25">
      <c r="B23" s="14">
        <v>2750</v>
      </c>
      <c r="C23" s="14">
        <v>2851</v>
      </c>
      <c r="D23" s="14">
        <v>3546</v>
      </c>
      <c r="E23" s="14">
        <v>2644</v>
      </c>
      <c r="F23" s="14">
        <v>0</v>
      </c>
      <c r="G23" s="14">
        <v>0</v>
      </c>
      <c r="H23" s="14">
        <v>4312</v>
      </c>
      <c r="I23" s="14">
        <v>4274</v>
      </c>
      <c r="J23" s="14">
        <v>1850</v>
      </c>
      <c r="K23" s="14">
        <v>4676</v>
      </c>
      <c r="L23" s="14">
        <v>2916</v>
      </c>
      <c r="M23" s="14">
        <v>0</v>
      </c>
      <c r="N23" s="14">
        <v>0</v>
      </c>
      <c r="O23" s="14">
        <v>4760</v>
      </c>
      <c r="P23" s="14">
        <v>5076</v>
      </c>
      <c r="Q23" s="14">
        <v>3820</v>
      </c>
      <c r="R23" s="14">
        <v>3926</v>
      </c>
      <c r="S23" s="14">
        <v>2916</v>
      </c>
      <c r="T23" s="14">
        <v>0</v>
      </c>
      <c r="U23" s="14">
        <v>0</v>
      </c>
    </row>
    <row r="24" spans="1:25">
      <c r="B24" s="14">
        <f>+B22-B23</f>
        <v>0</v>
      </c>
      <c r="C24" s="14">
        <f t="shared" ref="C24:U24" si="2">+C22-C23</f>
        <v>0</v>
      </c>
      <c r="D24" s="14">
        <f t="shared" si="2"/>
        <v>0</v>
      </c>
      <c r="E24" s="14">
        <f t="shared" si="2"/>
        <v>0</v>
      </c>
      <c r="F24" s="14">
        <f t="shared" si="2"/>
        <v>0</v>
      </c>
      <c r="G24" s="14">
        <f t="shared" si="2"/>
        <v>0</v>
      </c>
      <c r="H24" s="14">
        <f t="shared" si="2"/>
        <v>0</v>
      </c>
      <c r="I24" s="14">
        <f t="shared" si="2"/>
        <v>0</v>
      </c>
      <c r="J24" s="14">
        <f t="shared" si="2"/>
        <v>0</v>
      </c>
      <c r="K24" s="14">
        <f t="shared" si="2"/>
        <v>0</v>
      </c>
      <c r="L24" s="14">
        <f t="shared" si="2"/>
        <v>0</v>
      </c>
      <c r="M24" s="14">
        <f t="shared" si="2"/>
        <v>0</v>
      </c>
      <c r="N24" s="14">
        <f t="shared" si="2"/>
        <v>0</v>
      </c>
      <c r="O24" s="14">
        <f t="shared" si="2"/>
        <v>0</v>
      </c>
      <c r="P24" s="14">
        <f t="shared" si="2"/>
        <v>0</v>
      </c>
      <c r="Q24" s="14">
        <f t="shared" si="2"/>
        <v>0</v>
      </c>
      <c r="R24" s="14">
        <f t="shared" si="2"/>
        <v>0</v>
      </c>
      <c r="S24" s="14">
        <f t="shared" si="2"/>
        <v>0</v>
      </c>
      <c r="T24" s="14">
        <f t="shared" si="2"/>
        <v>0</v>
      </c>
      <c r="U24" s="14">
        <f t="shared" si="2"/>
        <v>0</v>
      </c>
    </row>
    <row r="28" spans="1:25">
      <c r="A28" s="25" t="s">
        <v>0</v>
      </c>
      <c r="B28" s="14" t="s">
        <v>1018</v>
      </c>
      <c r="C28" s="14" t="s">
        <v>1019</v>
      </c>
      <c r="D28" s="14" t="s">
        <v>1020</v>
      </c>
      <c r="E28" s="14" t="s">
        <v>1021</v>
      </c>
      <c r="F28" s="14" t="s">
        <v>1022</v>
      </c>
      <c r="G28" s="14" t="s">
        <v>1023</v>
      </c>
      <c r="H28" s="14" t="s">
        <v>1024</v>
      </c>
      <c r="I28" s="14" t="s">
        <v>1025</v>
      </c>
      <c r="J28" s="14" t="s">
        <v>1026</v>
      </c>
      <c r="K28" s="14" t="s">
        <v>1027</v>
      </c>
      <c r="L28" s="14" t="s">
        <v>1028</v>
      </c>
      <c r="M28" s="14" t="s">
        <v>1029</v>
      </c>
      <c r="N28" s="14" t="s">
        <v>1030</v>
      </c>
      <c r="O28" s="14" t="s">
        <v>1031</v>
      </c>
      <c r="P28" s="14" t="s">
        <v>1032</v>
      </c>
      <c r="Q28" s="14" t="s">
        <v>1033</v>
      </c>
      <c r="R28" s="14" t="s">
        <v>1034</v>
      </c>
      <c r="S28" s="14" t="s">
        <v>1035</v>
      </c>
      <c r="T28" s="14" t="s">
        <v>1036</v>
      </c>
      <c r="U28" s="14" t="s">
        <v>1037</v>
      </c>
    </row>
    <row r="29" spans="1:25">
      <c r="A29" s="13">
        <v>1237608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300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300</v>
      </c>
      <c r="R29" s="14">
        <v>0</v>
      </c>
      <c r="S29" s="14">
        <v>0</v>
      </c>
      <c r="T29" s="14">
        <v>0</v>
      </c>
      <c r="U29" s="14">
        <v>0</v>
      </c>
    </row>
    <row r="30" spans="1:25">
      <c r="A30" s="13">
        <v>1233165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37</v>
      </c>
      <c r="J30" s="14">
        <v>243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</row>
    <row r="31" spans="1:25">
      <c r="A31" s="13">
        <v>1236387</v>
      </c>
      <c r="B31" s="14">
        <v>357</v>
      </c>
      <c r="C31" s="14">
        <v>163</v>
      </c>
      <c r="D31" s="14">
        <v>104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</row>
    <row r="32" spans="1:25">
      <c r="A32" s="15">
        <v>1232775</v>
      </c>
      <c r="B32" s="14">
        <v>245</v>
      </c>
      <c r="C32" s="14">
        <v>109</v>
      </c>
      <c r="D32" s="14">
        <v>200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3</v>
      </c>
      <c r="K32" s="14">
        <v>245</v>
      </c>
      <c r="L32" s="14">
        <v>245</v>
      </c>
      <c r="M32" s="14">
        <v>0</v>
      </c>
      <c r="N32" s="14">
        <v>0</v>
      </c>
      <c r="O32" s="14">
        <v>242</v>
      </c>
      <c r="P32" s="14">
        <v>242</v>
      </c>
      <c r="Q32" s="14">
        <v>245</v>
      </c>
      <c r="R32" s="14">
        <v>242</v>
      </c>
      <c r="S32" s="14">
        <v>242</v>
      </c>
      <c r="T32" s="14">
        <v>0</v>
      </c>
      <c r="U32" s="14">
        <v>0</v>
      </c>
    </row>
    <row r="33" spans="1:23">
      <c r="A33" s="13">
        <v>1238605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2</v>
      </c>
      <c r="K33" s="14">
        <v>190</v>
      </c>
      <c r="L33" s="14">
        <v>190</v>
      </c>
      <c r="M33" s="14">
        <v>0</v>
      </c>
      <c r="N33" s="14">
        <v>0</v>
      </c>
      <c r="O33" s="14">
        <v>192</v>
      </c>
      <c r="P33" s="14">
        <v>190</v>
      </c>
      <c r="Q33" s="14">
        <v>192</v>
      </c>
      <c r="R33" s="14">
        <v>190</v>
      </c>
      <c r="S33" s="14">
        <v>190</v>
      </c>
      <c r="T33" s="14">
        <v>0</v>
      </c>
      <c r="U33" s="14">
        <v>0</v>
      </c>
    </row>
    <row r="34" spans="1:23">
      <c r="A34" s="13">
        <v>1230685</v>
      </c>
      <c r="B34" s="14">
        <v>0</v>
      </c>
      <c r="C34" s="14">
        <v>0</v>
      </c>
      <c r="D34" s="16">
        <v>220</v>
      </c>
      <c r="E34" s="16">
        <v>330</v>
      </c>
      <c r="F34" s="14">
        <v>0</v>
      </c>
      <c r="G34" s="14">
        <v>0</v>
      </c>
      <c r="H34" s="14">
        <v>330</v>
      </c>
      <c r="I34" s="14">
        <v>270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</row>
    <row r="38" spans="1:23">
      <c r="A38" s="25" t="s">
        <v>0</v>
      </c>
      <c r="B38" s="14" t="s">
        <v>1018</v>
      </c>
      <c r="C38" s="14" t="s">
        <v>1019</v>
      </c>
      <c r="D38" s="14" t="s">
        <v>1020</v>
      </c>
      <c r="E38" s="14" t="s">
        <v>1021</v>
      </c>
      <c r="F38" s="14" t="s">
        <v>1022</v>
      </c>
      <c r="G38" s="14" t="s">
        <v>1023</v>
      </c>
      <c r="H38" s="14" t="s">
        <v>1024</v>
      </c>
      <c r="I38" s="14" t="s">
        <v>1025</v>
      </c>
      <c r="J38" s="14" t="s">
        <v>1026</v>
      </c>
      <c r="K38" s="14" t="s">
        <v>1027</v>
      </c>
      <c r="L38" s="14" t="s">
        <v>1028</v>
      </c>
      <c r="M38" s="14" t="s">
        <v>1029</v>
      </c>
      <c r="N38" s="14" t="s">
        <v>1030</v>
      </c>
      <c r="O38" s="14" t="s">
        <v>1031</v>
      </c>
      <c r="P38" s="14" t="s">
        <v>1032</v>
      </c>
      <c r="Q38" s="14" t="s">
        <v>1033</v>
      </c>
      <c r="R38" s="14" t="s">
        <v>1034</v>
      </c>
      <c r="S38" s="14" t="s">
        <v>1035</v>
      </c>
      <c r="T38" s="14" t="s">
        <v>1036</v>
      </c>
      <c r="U38" s="14" t="s">
        <v>1037</v>
      </c>
    </row>
    <row r="39" spans="1:23">
      <c r="A39" s="13">
        <v>1234614</v>
      </c>
      <c r="B39" s="14">
        <v>0</v>
      </c>
      <c r="C39" s="14">
        <v>0</v>
      </c>
      <c r="D39" s="14">
        <v>216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252</v>
      </c>
      <c r="S39" s="14">
        <v>0</v>
      </c>
      <c r="T39" s="14">
        <v>0</v>
      </c>
      <c r="U39" s="14">
        <v>0</v>
      </c>
      <c r="W39" s="184"/>
    </row>
    <row r="40" spans="1:23">
      <c r="A40" s="13">
        <v>1227306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300</v>
      </c>
      <c r="P40" s="14">
        <v>210</v>
      </c>
      <c r="Q40" s="14">
        <v>330</v>
      </c>
      <c r="R40" s="14">
        <v>0</v>
      </c>
      <c r="S40" s="14">
        <v>0</v>
      </c>
      <c r="T40" s="14">
        <v>0</v>
      </c>
      <c r="U40" s="14">
        <v>0</v>
      </c>
    </row>
    <row r="41" spans="1:23">
      <c r="A41" s="13">
        <v>1227359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1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</row>
    <row r="42" spans="1:23">
      <c r="A42" s="13">
        <v>1231090</v>
      </c>
      <c r="B42" s="14">
        <v>290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100</v>
      </c>
      <c r="I42" s="14">
        <v>100</v>
      </c>
      <c r="J42" s="14">
        <v>350</v>
      </c>
      <c r="K42" s="14">
        <v>550</v>
      </c>
      <c r="L42" s="14">
        <v>250</v>
      </c>
      <c r="M42" s="14">
        <v>0</v>
      </c>
      <c r="N42" s="14">
        <v>0</v>
      </c>
      <c r="O42" s="14">
        <v>985</v>
      </c>
      <c r="P42" s="14">
        <v>220</v>
      </c>
      <c r="Q42" s="14">
        <v>140</v>
      </c>
      <c r="R42" s="14">
        <v>0</v>
      </c>
      <c r="S42" s="14">
        <v>660</v>
      </c>
      <c r="T42" s="14">
        <v>0</v>
      </c>
      <c r="U42" s="14">
        <v>0</v>
      </c>
    </row>
    <row r="43" spans="1:23">
      <c r="A43" s="13">
        <v>1229776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100</v>
      </c>
      <c r="I43" s="14">
        <v>100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90</v>
      </c>
      <c r="T43" s="14">
        <v>0</v>
      </c>
      <c r="U43" s="14">
        <v>0</v>
      </c>
    </row>
    <row r="44" spans="1:23">
      <c r="A44" s="15">
        <v>1225464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100</v>
      </c>
      <c r="K44" s="14">
        <v>450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486</v>
      </c>
      <c r="R44" s="14">
        <v>0</v>
      </c>
      <c r="S44" s="14">
        <v>0</v>
      </c>
      <c r="T44" s="14">
        <v>0</v>
      </c>
      <c r="U44" s="14">
        <v>0</v>
      </c>
    </row>
    <row r="45" spans="1:23">
      <c r="A45" s="13">
        <v>1232066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200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</row>
    <row r="46" spans="1:23">
      <c r="A46" s="13">
        <v>1229088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5</v>
      </c>
      <c r="T46" s="14">
        <v>0</v>
      </c>
      <c r="U46" s="14">
        <v>0</v>
      </c>
    </row>
    <row r="47" spans="1:23">
      <c r="A47" s="13">
        <v>1232693</v>
      </c>
      <c r="B47" s="14">
        <v>0</v>
      </c>
      <c r="C47" s="14">
        <v>0</v>
      </c>
      <c r="D47" s="14">
        <v>0</v>
      </c>
      <c r="E47" s="16">
        <v>291</v>
      </c>
      <c r="F47" s="14">
        <v>0</v>
      </c>
      <c r="G47" s="14">
        <v>0</v>
      </c>
      <c r="H47" s="14">
        <v>789</v>
      </c>
      <c r="I47" s="14">
        <v>663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</row>
    <row r="48" spans="1:23">
      <c r="A48" s="13">
        <v>1233025</v>
      </c>
      <c r="B48" s="14">
        <v>0</v>
      </c>
      <c r="C48" s="14">
        <v>0</v>
      </c>
      <c r="D48" s="14">
        <v>0</v>
      </c>
      <c r="E48" s="16">
        <v>291</v>
      </c>
      <c r="F48" s="14">
        <v>0</v>
      </c>
      <c r="G48" s="14">
        <v>0</v>
      </c>
      <c r="H48" s="14">
        <v>789</v>
      </c>
      <c r="I48" s="14">
        <v>663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</row>
    <row r="49" spans="1:21">
      <c r="A49" s="13">
        <v>1234222</v>
      </c>
      <c r="B49" s="14">
        <v>0</v>
      </c>
      <c r="C49" s="14">
        <v>157</v>
      </c>
      <c r="D49" s="14">
        <v>63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</row>
    <row r="50" spans="1:21">
      <c r="A50" s="13">
        <v>1232528</v>
      </c>
      <c r="B50" s="14">
        <v>753</v>
      </c>
      <c r="C50" s="14">
        <v>420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500</v>
      </c>
      <c r="J50" s="14">
        <v>582</v>
      </c>
      <c r="K50" s="14">
        <v>700</v>
      </c>
      <c r="L50" s="14">
        <v>1100</v>
      </c>
      <c r="M50" s="14">
        <v>0</v>
      </c>
      <c r="N50" s="14">
        <v>0</v>
      </c>
      <c r="O50" s="14">
        <v>1075</v>
      </c>
      <c r="P50" s="14">
        <v>300</v>
      </c>
      <c r="Q50" s="14">
        <v>1000</v>
      </c>
      <c r="R50" s="14">
        <v>1400</v>
      </c>
      <c r="S50" s="14">
        <v>4195</v>
      </c>
      <c r="T50" s="14">
        <v>0</v>
      </c>
      <c r="U50" s="14">
        <v>0</v>
      </c>
    </row>
    <row r="51" spans="1:21">
      <c r="A51" s="13">
        <v>1232846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6">
        <v>800</v>
      </c>
      <c r="I51" s="14">
        <v>293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1728</v>
      </c>
      <c r="T51" s="14">
        <v>0</v>
      </c>
      <c r="U51" s="14">
        <v>0</v>
      </c>
    </row>
    <row r="52" spans="1:21">
      <c r="A52" s="13">
        <v>1229050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91</v>
      </c>
      <c r="K52" s="14">
        <v>60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</row>
    <row r="53" spans="1:21">
      <c r="A53" s="13">
        <v>1220847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920</v>
      </c>
      <c r="Q53" s="14">
        <v>0</v>
      </c>
      <c r="R53" s="14">
        <v>0</v>
      </c>
      <c r="S53" s="14">
        <v>4360</v>
      </c>
      <c r="T53" s="14">
        <v>0</v>
      </c>
      <c r="U53" s="14">
        <v>0</v>
      </c>
    </row>
    <row r="54" spans="1:21">
      <c r="A54" s="13">
        <v>1234217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50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</row>
    <row r="55" spans="1:21">
      <c r="A55" s="13">
        <v>1234111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50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</row>
    <row r="56" spans="1:21">
      <c r="A56" s="13">
        <v>1234110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50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</row>
    <row r="57" spans="1:21">
      <c r="A57" s="15">
        <v>1232775</v>
      </c>
      <c r="B57" s="14">
        <v>0</v>
      </c>
      <c r="C57" s="14">
        <v>0</v>
      </c>
      <c r="D57" s="14">
        <v>48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183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196</v>
      </c>
      <c r="T57" s="14">
        <v>0</v>
      </c>
      <c r="U57" s="14">
        <v>0</v>
      </c>
    </row>
    <row r="58" spans="1:21">
      <c r="A58" s="13">
        <v>1235097</v>
      </c>
      <c r="B58" s="14">
        <v>343</v>
      </c>
      <c r="C58" s="14">
        <v>47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</row>
    <row r="59" spans="1:21">
      <c r="A59" s="13">
        <v>1235958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1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</row>
    <row r="60" spans="1:21" s="229" customFormat="1">
      <c r="A60" s="227">
        <v>1236600</v>
      </c>
      <c r="B60" s="228">
        <v>0</v>
      </c>
      <c r="C60" s="228">
        <v>0</v>
      </c>
      <c r="D60" s="228">
        <v>260</v>
      </c>
      <c r="E60" s="230">
        <v>419</v>
      </c>
      <c r="F60" s="228">
        <v>0</v>
      </c>
      <c r="G60" s="228">
        <v>0</v>
      </c>
      <c r="H60" s="228">
        <v>421</v>
      </c>
      <c r="I60" s="228">
        <v>0</v>
      </c>
      <c r="J60" s="228">
        <v>0</v>
      </c>
      <c r="K60" s="228">
        <v>0</v>
      </c>
      <c r="L60" s="228">
        <v>0</v>
      </c>
      <c r="M60" s="228">
        <v>0</v>
      </c>
      <c r="N60" s="228">
        <v>0</v>
      </c>
      <c r="O60" s="228">
        <v>0</v>
      </c>
      <c r="P60" s="228">
        <v>0</v>
      </c>
      <c r="Q60" s="228">
        <v>55</v>
      </c>
      <c r="R60" s="228">
        <v>0</v>
      </c>
      <c r="S60" s="228">
        <v>0</v>
      </c>
      <c r="T60" s="228">
        <v>0</v>
      </c>
      <c r="U60" s="228">
        <v>0</v>
      </c>
    </row>
    <row r="61" spans="1:21">
      <c r="A61" s="13">
        <v>1236930</v>
      </c>
      <c r="B61" s="14">
        <v>339</v>
      </c>
      <c r="C61" s="14">
        <v>175</v>
      </c>
      <c r="D61" s="14">
        <v>633</v>
      </c>
      <c r="E61" s="14">
        <v>492</v>
      </c>
      <c r="F61" s="14">
        <v>0</v>
      </c>
      <c r="G61" s="14">
        <v>0</v>
      </c>
      <c r="H61" s="16">
        <v>642</v>
      </c>
      <c r="I61" s="14">
        <v>664</v>
      </c>
      <c r="J61" s="14">
        <v>147</v>
      </c>
      <c r="K61" s="14">
        <v>0</v>
      </c>
      <c r="L61" s="14">
        <v>0</v>
      </c>
      <c r="M61" s="14">
        <v>0</v>
      </c>
      <c r="N61" s="14">
        <v>0</v>
      </c>
      <c r="O61" s="14">
        <v>620</v>
      </c>
      <c r="P61" s="14">
        <v>130</v>
      </c>
      <c r="Q61" s="14">
        <v>270</v>
      </c>
      <c r="R61" s="14">
        <v>462</v>
      </c>
      <c r="S61" s="14">
        <v>506</v>
      </c>
      <c r="T61" s="14">
        <v>0</v>
      </c>
      <c r="U61" s="14">
        <v>0</v>
      </c>
    </row>
    <row r="62" spans="1:21">
      <c r="A62" s="13">
        <v>1232982</v>
      </c>
      <c r="B62" s="14">
        <v>0</v>
      </c>
      <c r="C62" s="14">
        <v>116</v>
      </c>
      <c r="D62" s="14">
        <v>284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</row>
    <row r="63" spans="1:21">
      <c r="A63" s="13">
        <v>1237468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37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96</v>
      </c>
      <c r="T63" s="14">
        <v>0</v>
      </c>
      <c r="U63" s="14">
        <v>0</v>
      </c>
    </row>
    <row r="64" spans="1:21">
      <c r="A64" s="13">
        <v>1237210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140</v>
      </c>
      <c r="R64" s="14">
        <v>0</v>
      </c>
      <c r="S64" s="14">
        <v>0</v>
      </c>
      <c r="T64" s="14">
        <v>0</v>
      </c>
      <c r="U64" s="14">
        <v>0</v>
      </c>
    </row>
    <row r="65" spans="1:21">
      <c r="A65" s="13">
        <v>1237457</v>
      </c>
      <c r="B65" s="14">
        <v>56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</row>
    <row r="66" spans="1:21">
      <c r="A66" s="13">
        <v>1237386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22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</row>
    <row r="67" spans="1:21">
      <c r="A67" s="13">
        <v>1234905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200</v>
      </c>
      <c r="M67" s="14">
        <v>0</v>
      </c>
      <c r="N67" s="14">
        <v>0</v>
      </c>
      <c r="O67" s="14">
        <v>80</v>
      </c>
      <c r="P67" s="14">
        <v>0</v>
      </c>
      <c r="Q67" s="14">
        <v>0</v>
      </c>
      <c r="R67" s="14">
        <v>200</v>
      </c>
      <c r="S67" s="14">
        <v>300</v>
      </c>
      <c r="T67" s="14">
        <v>0</v>
      </c>
      <c r="U67" s="14">
        <v>0</v>
      </c>
    </row>
    <row r="68" spans="1:21">
      <c r="A68" s="13">
        <v>1238480</v>
      </c>
      <c r="B68" s="14">
        <v>797</v>
      </c>
      <c r="C68" s="14">
        <v>586</v>
      </c>
      <c r="D68" s="14">
        <v>1231</v>
      </c>
      <c r="E68" s="16">
        <v>1196</v>
      </c>
      <c r="F68" s="14">
        <v>0</v>
      </c>
      <c r="G68" s="14">
        <v>0</v>
      </c>
      <c r="H68" s="14">
        <v>1061</v>
      </c>
      <c r="I68" s="14">
        <v>1622</v>
      </c>
      <c r="J68" s="14">
        <v>1097</v>
      </c>
      <c r="K68" s="14">
        <v>1892</v>
      </c>
      <c r="L68" s="14">
        <v>1123</v>
      </c>
      <c r="M68" s="14">
        <v>0</v>
      </c>
      <c r="N68" s="14">
        <v>0</v>
      </c>
      <c r="O68" s="14">
        <v>2327</v>
      </c>
      <c r="P68" s="14">
        <v>516</v>
      </c>
      <c r="Q68" s="14">
        <v>776</v>
      </c>
      <c r="R68" s="14">
        <v>1156</v>
      </c>
      <c r="S68" s="14">
        <v>2008</v>
      </c>
      <c r="T68" s="14">
        <v>0</v>
      </c>
      <c r="U68" s="14">
        <v>0</v>
      </c>
    </row>
    <row r="69" spans="1:21">
      <c r="A69" s="13">
        <v>1238453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265</v>
      </c>
      <c r="K69" s="14">
        <v>340</v>
      </c>
      <c r="L69" s="14">
        <v>36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</row>
    <row r="70" spans="1:21">
      <c r="A70" s="13">
        <v>1240029</v>
      </c>
      <c r="B70" s="14">
        <v>94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</row>
    <row r="71" spans="1:21">
      <c r="A71" s="13">
        <v>1240032</v>
      </c>
      <c r="B71" s="14">
        <v>94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</row>
    <row r="72" spans="1:21">
      <c r="A72" s="15">
        <v>1216452</v>
      </c>
      <c r="B72" s="14">
        <v>643</v>
      </c>
      <c r="C72" s="14">
        <v>452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539</v>
      </c>
      <c r="L72" s="14">
        <v>406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1354</v>
      </c>
      <c r="S72" s="14">
        <v>288</v>
      </c>
      <c r="T72" s="14">
        <v>0</v>
      </c>
      <c r="U72" s="14">
        <v>0</v>
      </c>
    </row>
    <row r="73" spans="1:21">
      <c r="A73" s="13">
        <v>1232894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800</v>
      </c>
      <c r="I73" s="14">
        <v>293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1728</v>
      </c>
    </row>
    <row r="74" spans="1:21">
      <c r="A74" s="13">
        <v>1233386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512</v>
      </c>
    </row>
    <row r="75" spans="1:21">
      <c r="A75" s="13">
        <v>1233387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800</v>
      </c>
      <c r="I75" s="14">
        <v>293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963</v>
      </c>
    </row>
    <row r="76" spans="1:21">
      <c r="A76" s="13">
        <v>1233385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253</v>
      </c>
    </row>
    <row r="77" spans="1:21">
      <c r="A77" s="13">
        <v>1233580</v>
      </c>
      <c r="B77" s="14">
        <v>0</v>
      </c>
      <c r="C77" s="14">
        <v>0</v>
      </c>
      <c r="D77" s="16">
        <v>81</v>
      </c>
      <c r="E77" s="14">
        <v>119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</row>
  </sheetData>
  <autoFilter ref="A1:U20" xr:uid="{9DEDD4A2-9657-4FA5-81DF-8B2789795CB3}"/>
  <phoneticPr fontId="1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A0A7-03D2-4995-8794-2CDF9504630B}">
  <dimension ref="A1:X73"/>
  <sheetViews>
    <sheetView topLeftCell="A18" zoomScaleNormal="100" workbookViewId="0">
      <selection activeCell="J32" sqref="J32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9" width="9.5" style="9" customWidth="1"/>
    <col min="20" max="20" width="9.5" style="9" bestFit="1" customWidth="1"/>
    <col min="21" max="21" width="9.33203125" style="5"/>
    <col min="22" max="23" width="10" style="9" bestFit="1" customWidth="1"/>
    <col min="24" max="24" width="9.5" style="9" bestFit="1" customWidth="1"/>
    <col min="25" max="16384" width="9.33203125" style="5"/>
  </cols>
  <sheetData>
    <row r="1" spans="1:20">
      <c r="A1" s="19" t="s">
        <v>0</v>
      </c>
      <c r="B1" s="9" t="s">
        <v>934</v>
      </c>
      <c r="C1" s="9" t="s">
        <v>935</v>
      </c>
      <c r="D1" s="9" t="s">
        <v>936</v>
      </c>
      <c r="E1" s="9" t="s">
        <v>937</v>
      </c>
      <c r="F1" s="9" t="s">
        <v>938</v>
      </c>
      <c r="G1" s="18" t="s">
        <v>990</v>
      </c>
      <c r="H1" s="9" t="s">
        <v>991</v>
      </c>
      <c r="I1" s="9" t="s">
        <v>992</v>
      </c>
      <c r="J1" s="9" t="s">
        <v>993</v>
      </c>
      <c r="K1" s="9" t="s">
        <v>994</v>
      </c>
      <c r="L1" s="9" t="s">
        <v>995</v>
      </c>
      <c r="M1" s="9" t="s">
        <v>996</v>
      </c>
      <c r="N1" s="9" t="s">
        <v>1038</v>
      </c>
      <c r="O1" s="9" t="s">
        <v>1039</v>
      </c>
      <c r="P1" s="9" t="s">
        <v>1040</v>
      </c>
      <c r="Q1" s="9" t="s">
        <v>1041</v>
      </c>
      <c r="R1" s="9" t="s">
        <v>1042</v>
      </c>
      <c r="S1" s="9" t="s">
        <v>1043</v>
      </c>
      <c r="T1" s="9" t="s">
        <v>1044</v>
      </c>
    </row>
    <row r="2" spans="1:20">
      <c r="A2" s="19">
        <v>1234614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24</v>
      </c>
      <c r="O2" s="9">
        <v>276</v>
      </c>
      <c r="P2" s="9">
        <v>0</v>
      </c>
      <c r="Q2" s="9">
        <v>0</v>
      </c>
      <c r="R2" s="9">
        <v>0</v>
      </c>
      <c r="S2" s="9">
        <v>0</v>
      </c>
      <c r="T2" s="9">
        <v>0</v>
      </c>
    </row>
    <row r="3" spans="1:20">
      <c r="A3" s="19">
        <v>1229673</v>
      </c>
      <c r="B3" s="9">
        <v>222</v>
      </c>
      <c r="C3" s="9">
        <v>200</v>
      </c>
      <c r="D3" s="9">
        <v>0</v>
      </c>
      <c r="E3" s="9">
        <v>0</v>
      </c>
      <c r="F3" s="9">
        <v>0</v>
      </c>
      <c r="G3" s="18">
        <v>200</v>
      </c>
      <c r="H3" s="9">
        <v>300</v>
      </c>
      <c r="I3" s="9">
        <v>200</v>
      </c>
      <c r="J3" s="9">
        <v>300</v>
      </c>
      <c r="K3" s="9">
        <v>200</v>
      </c>
      <c r="L3" s="9">
        <v>0</v>
      </c>
      <c r="M3" s="9">
        <v>0</v>
      </c>
      <c r="N3" s="9">
        <v>300</v>
      </c>
      <c r="O3" s="9">
        <v>0</v>
      </c>
      <c r="P3" s="9">
        <v>0</v>
      </c>
      <c r="Q3" s="9">
        <v>252</v>
      </c>
      <c r="R3" s="9">
        <v>0</v>
      </c>
      <c r="S3" s="9">
        <v>0</v>
      </c>
      <c r="T3" s="9">
        <v>0</v>
      </c>
    </row>
    <row r="4" spans="1:20">
      <c r="A4" s="19">
        <v>1233492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356</v>
      </c>
      <c r="P4" s="9">
        <v>144</v>
      </c>
      <c r="Q4" s="9">
        <v>0</v>
      </c>
      <c r="R4" s="9">
        <v>0</v>
      </c>
      <c r="S4" s="9">
        <v>0</v>
      </c>
      <c r="T4" s="9">
        <v>0</v>
      </c>
    </row>
    <row r="5" spans="1:20">
      <c r="A5" s="19">
        <v>1233498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356</v>
      </c>
      <c r="P5" s="9">
        <v>144</v>
      </c>
      <c r="Q5" s="9">
        <v>0</v>
      </c>
      <c r="R5" s="9">
        <v>0</v>
      </c>
      <c r="S5" s="9">
        <v>0</v>
      </c>
      <c r="T5" s="9">
        <v>0</v>
      </c>
    </row>
    <row r="6" spans="1:20">
      <c r="A6" s="19">
        <v>1233623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356</v>
      </c>
      <c r="P6" s="9">
        <v>144</v>
      </c>
      <c r="Q6" s="9">
        <v>0</v>
      </c>
      <c r="R6" s="9">
        <v>0</v>
      </c>
      <c r="S6" s="9">
        <v>0</v>
      </c>
      <c r="T6" s="9">
        <v>0</v>
      </c>
    </row>
    <row r="7" spans="1:20">
      <c r="A7" s="19">
        <v>1235623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52</v>
      </c>
      <c r="L7" s="9">
        <v>0</v>
      </c>
      <c r="M7" s="9">
        <v>0</v>
      </c>
      <c r="N7" s="9">
        <v>884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</row>
    <row r="8" spans="1:20">
      <c r="A8" s="19">
        <v>1237088</v>
      </c>
      <c r="B8" s="9">
        <v>0</v>
      </c>
      <c r="C8" s="9">
        <v>300</v>
      </c>
      <c r="D8" s="9">
        <v>0</v>
      </c>
      <c r="E8" s="9">
        <v>0</v>
      </c>
      <c r="F8" s="9">
        <v>0</v>
      </c>
      <c r="G8" s="18">
        <v>1004</v>
      </c>
      <c r="H8" s="9">
        <v>474</v>
      </c>
      <c r="I8" s="9">
        <v>260</v>
      </c>
      <c r="J8" s="9">
        <v>678</v>
      </c>
      <c r="K8" s="9">
        <v>232</v>
      </c>
      <c r="L8" s="9">
        <v>0</v>
      </c>
      <c r="M8" s="9">
        <v>0</v>
      </c>
      <c r="N8" s="9">
        <v>736</v>
      </c>
      <c r="O8" s="9">
        <v>816</v>
      </c>
      <c r="P8" s="9">
        <v>788</v>
      </c>
      <c r="Q8" s="9">
        <v>500</v>
      </c>
      <c r="R8" s="9">
        <v>870</v>
      </c>
      <c r="S8" s="9">
        <v>0</v>
      </c>
      <c r="T8" s="9">
        <v>0</v>
      </c>
    </row>
    <row r="9" spans="1:20">
      <c r="A9" s="19">
        <v>1237748</v>
      </c>
      <c r="B9" s="9">
        <v>0</v>
      </c>
      <c r="C9" s="9">
        <v>572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312</v>
      </c>
      <c r="Q9" s="9">
        <v>0</v>
      </c>
      <c r="R9" s="9">
        <v>0</v>
      </c>
      <c r="S9" s="9">
        <v>0</v>
      </c>
      <c r="T9" s="9">
        <v>0</v>
      </c>
    </row>
    <row r="10" spans="1:20">
      <c r="A10" s="19">
        <v>1238128</v>
      </c>
      <c r="B10" s="9">
        <v>0</v>
      </c>
      <c r="C10" s="9">
        <v>30</v>
      </c>
      <c r="D10" s="9">
        <v>378</v>
      </c>
      <c r="E10" s="9">
        <v>0</v>
      </c>
      <c r="F10" s="9">
        <v>0</v>
      </c>
      <c r="G10" s="18">
        <v>72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92</v>
      </c>
      <c r="Q10" s="9">
        <v>590</v>
      </c>
      <c r="R10" s="9">
        <v>464</v>
      </c>
      <c r="S10" s="9">
        <v>0</v>
      </c>
      <c r="T10" s="9">
        <v>0</v>
      </c>
    </row>
    <row r="11" spans="1:20">
      <c r="A11" s="19">
        <v>1238480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60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</row>
    <row r="12" spans="1:20">
      <c r="A12" s="19">
        <v>1236962</v>
      </c>
      <c r="B12" s="9">
        <v>300</v>
      </c>
      <c r="C12" s="9">
        <v>300</v>
      </c>
      <c r="D12" s="9">
        <v>200</v>
      </c>
      <c r="E12" s="9">
        <v>0</v>
      </c>
      <c r="F12" s="9">
        <v>0</v>
      </c>
      <c r="G12" s="9">
        <v>0</v>
      </c>
      <c r="H12" s="9">
        <v>200</v>
      </c>
      <c r="I12" s="9">
        <v>200</v>
      </c>
      <c r="J12" s="9">
        <v>200</v>
      </c>
      <c r="K12" s="9">
        <v>200</v>
      </c>
      <c r="L12" s="9">
        <v>0</v>
      </c>
      <c r="M12" s="9">
        <v>0</v>
      </c>
      <c r="N12" s="9">
        <v>200</v>
      </c>
      <c r="O12" s="9">
        <v>200</v>
      </c>
      <c r="P12" s="9">
        <v>300</v>
      </c>
      <c r="Q12" s="9">
        <v>300</v>
      </c>
      <c r="R12" s="9">
        <v>200</v>
      </c>
      <c r="S12" s="9">
        <v>0</v>
      </c>
      <c r="T12" s="9">
        <v>0</v>
      </c>
    </row>
    <row r="13" spans="1:20">
      <c r="A13" s="19">
        <v>1233761</v>
      </c>
      <c r="B13" s="9">
        <v>0</v>
      </c>
      <c r="C13" s="9">
        <v>0</v>
      </c>
      <c r="D13" s="9">
        <v>140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</row>
    <row r="14" spans="1:20">
      <c r="A14" s="19">
        <v>1239651</v>
      </c>
      <c r="B14" s="9">
        <v>500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300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200</v>
      </c>
      <c r="O14" s="9">
        <v>300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</row>
    <row r="15" spans="1:20">
      <c r="A15" s="19">
        <v>1239988</v>
      </c>
      <c r="B15" s="9">
        <v>400</v>
      </c>
      <c r="C15" s="9">
        <v>510</v>
      </c>
      <c r="D15" s="9">
        <v>366</v>
      </c>
      <c r="E15" s="9">
        <v>0</v>
      </c>
      <c r="F15" s="9">
        <v>0</v>
      </c>
      <c r="G15" s="18">
        <v>250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440</v>
      </c>
      <c r="R15" s="9">
        <v>400</v>
      </c>
      <c r="S15" s="9">
        <v>0</v>
      </c>
      <c r="T15" s="9">
        <v>0</v>
      </c>
    </row>
    <row r="16" spans="1:20">
      <c r="A16" s="19">
        <v>1240180</v>
      </c>
      <c r="B16" s="9">
        <v>286</v>
      </c>
      <c r="C16" s="9">
        <v>592</v>
      </c>
      <c r="D16" s="9">
        <v>592</v>
      </c>
      <c r="E16" s="9">
        <v>0</v>
      </c>
      <c r="F16" s="9">
        <v>0</v>
      </c>
      <c r="G16" s="18">
        <v>660</v>
      </c>
      <c r="H16" s="9">
        <v>824</v>
      </c>
      <c r="I16" s="9">
        <v>164</v>
      </c>
      <c r="J16" s="9">
        <v>426</v>
      </c>
      <c r="K16" s="9">
        <v>316</v>
      </c>
      <c r="L16" s="9">
        <v>0</v>
      </c>
      <c r="M16" s="9">
        <v>0</v>
      </c>
      <c r="N16" s="9">
        <v>426</v>
      </c>
      <c r="O16" s="9">
        <v>426</v>
      </c>
      <c r="P16" s="9">
        <v>334</v>
      </c>
      <c r="Q16" s="9">
        <v>304</v>
      </c>
      <c r="R16" s="9">
        <v>322</v>
      </c>
      <c r="S16" s="9">
        <v>0</v>
      </c>
      <c r="T16" s="9">
        <v>0</v>
      </c>
    </row>
    <row r="17" spans="1:20">
      <c r="A17" s="19">
        <v>1240184</v>
      </c>
      <c r="B17" s="9">
        <v>286</v>
      </c>
      <c r="C17" s="9">
        <v>592</v>
      </c>
      <c r="D17" s="9">
        <v>592</v>
      </c>
      <c r="E17" s="9">
        <v>0</v>
      </c>
      <c r="F17" s="9">
        <v>0</v>
      </c>
      <c r="G17" s="18">
        <v>660</v>
      </c>
      <c r="H17" s="9">
        <v>640</v>
      </c>
      <c r="I17" s="9">
        <v>164</v>
      </c>
      <c r="J17" s="9">
        <v>426</v>
      </c>
      <c r="K17" s="9">
        <v>316</v>
      </c>
      <c r="L17" s="9">
        <v>0</v>
      </c>
      <c r="M17" s="9">
        <v>0</v>
      </c>
      <c r="N17" s="9">
        <v>426</v>
      </c>
      <c r="O17" s="9">
        <v>426</v>
      </c>
      <c r="P17" s="9">
        <v>334</v>
      </c>
      <c r="Q17" s="9">
        <v>304</v>
      </c>
      <c r="R17" s="9">
        <v>322</v>
      </c>
      <c r="S17" s="9">
        <v>0</v>
      </c>
      <c r="T17" s="9">
        <v>0</v>
      </c>
    </row>
    <row r="18" spans="1:20">
      <c r="A18" s="19">
        <v>1240308</v>
      </c>
      <c r="B18" s="9">
        <v>0</v>
      </c>
      <c r="C18" s="9">
        <v>450</v>
      </c>
      <c r="D18" s="9">
        <v>376</v>
      </c>
      <c r="E18" s="9">
        <v>0</v>
      </c>
      <c r="F18" s="9">
        <v>0</v>
      </c>
      <c r="G18" s="18">
        <v>200</v>
      </c>
      <c r="H18" s="9">
        <v>300</v>
      </c>
      <c r="I18" s="9">
        <v>0</v>
      </c>
      <c r="J18" s="9">
        <v>400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270</v>
      </c>
      <c r="R18" s="9">
        <v>0</v>
      </c>
      <c r="S18" s="9">
        <v>0</v>
      </c>
      <c r="T18" s="9">
        <v>0</v>
      </c>
    </row>
    <row r="19" spans="1:20">
      <c r="A19" s="19">
        <v>1241134</v>
      </c>
      <c r="B19" s="9">
        <v>87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</row>
    <row r="20" spans="1:20">
      <c r="A20" s="19">
        <v>1241601</v>
      </c>
      <c r="B20" s="9">
        <v>770</v>
      </c>
      <c r="C20" s="9">
        <v>0</v>
      </c>
      <c r="D20" s="9">
        <v>0</v>
      </c>
      <c r="E20" s="9">
        <v>0</v>
      </c>
      <c r="F20" s="9">
        <v>0</v>
      </c>
      <c r="G20" s="18">
        <v>1266</v>
      </c>
      <c r="H20" s="9">
        <v>1176</v>
      </c>
      <c r="I20" s="9">
        <v>862</v>
      </c>
      <c r="J20" s="9">
        <v>2246</v>
      </c>
      <c r="K20" s="9">
        <v>1600</v>
      </c>
      <c r="L20" s="9">
        <v>0</v>
      </c>
      <c r="M20" s="9">
        <v>0</v>
      </c>
      <c r="N20" s="9">
        <v>1564</v>
      </c>
      <c r="O20" s="9">
        <v>1564</v>
      </c>
      <c r="P20" s="9">
        <v>1228</v>
      </c>
      <c r="Q20" s="9">
        <v>966</v>
      </c>
      <c r="R20" s="9">
        <v>338</v>
      </c>
      <c r="S20" s="9">
        <v>0</v>
      </c>
      <c r="T20" s="9">
        <v>0</v>
      </c>
    </row>
    <row r="24" spans="1:20">
      <c r="A24" s="19" t="s">
        <v>0</v>
      </c>
      <c r="B24" s="9" t="s">
        <v>934</v>
      </c>
      <c r="C24" s="9" t="s">
        <v>935</v>
      </c>
      <c r="D24" s="9" t="s">
        <v>936</v>
      </c>
      <c r="E24" s="9" t="s">
        <v>937</v>
      </c>
      <c r="F24" s="9" t="s">
        <v>938</v>
      </c>
      <c r="G24" s="9" t="s">
        <v>990</v>
      </c>
      <c r="H24" s="9" t="s">
        <v>991</v>
      </c>
      <c r="I24" s="9" t="s">
        <v>992</v>
      </c>
      <c r="J24" s="9" t="s">
        <v>993</v>
      </c>
      <c r="K24" s="9" t="s">
        <v>994</v>
      </c>
      <c r="L24" s="9" t="s">
        <v>995</v>
      </c>
      <c r="M24" s="9" t="s">
        <v>996</v>
      </c>
      <c r="N24" s="9" t="s">
        <v>1038</v>
      </c>
      <c r="O24" s="9" t="s">
        <v>1039</v>
      </c>
      <c r="P24" s="9" t="s">
        <v>1040</v>
      </c>
      <c r="Q24" s="9" t="s">
        <v>1041</v>
      </c>
      <c r="R24" s="9" t="s">
        <v>1042</v>
      </c>
      <c r="S24" s="9" t="s">
        <v>1043</v>
      </c>
      <c r="T24" s="9" t="s">
        <v>1044</v>
      </c>
    </row>
    <row r="25" spans="1:20">
      <c r="A25" s="19">
        <v>1237608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18">
        <v>300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300</v>
      </c>
      <c r="Q25" s="9">
        <v>0</v>
      </c>
      <c r="R25" s="9">
        <v>0</v>
      </c>
      <c r="S25" s="9">
        <v>0</v>
      </c>
      <c r="T25" s="9">
        <v>0</v>
      </c>
    </row>
    <row r="26" spans="1:20">
      <c r="A26" s="19">
        <v>1233165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18">
        <v>37</v>
      </c>
      <c r="I26" s="11">
        <v>243</v>
      </c>
      <c r="J26" s="9">
        <v>0</v>
      </c>
      <c r="K26" s="9" t="s">
        <v>718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</row>
    <row r="27" spans="1:20">
      <c r="A27" s="19">
        <v>1236387</v>
      </c>
      <c r="B27" s="9">
        <v>163</v>
      </c>
      <c r="C27" s="9">
        <v>104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</row>
    <row r="28" spans="1:20">
      <c r="A28" s="19">
        <v>1232775</v>
      </c>
      <c r="B28" s="9">
        <v>109</v>
      </c>
      <c r="C28" s="9">
        <v>200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3</v>
      </c>
      <c r="J28" s="9">
        <v>245</v>
      </c>
      <c r="K28" s="9">
        <v>245</v>
      </c>
      <c r="L28" s="9">
        <v>0</v>
      </c>
      <c r="M28" s="9">
        <v>0</v>
      </c>
      <c r="N28" s="9">
        <v>242</v>
      </c>
      <c r="O28" s="9">
        <v>242</v>
      </c>
      <c r="P28" s="9">
        <v>245</v>
      </c>
      <c r="Q28" s="9">
        <v>242</v>
      </c>
      <c r="R28" s="9">
        <v>242</v>
      </c>
      <c r="S28" s="9">
        <v>0</v>
      </c>
      <c r="T28" s="9">
        <v>0</v>
      </c>
    </row>
    <row r="29" spans="1:20">
      <c r="A29" s="19">
        <v>1238605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2</v>
      </c>
      <c r="J29" s="9">
        <v>190</v>
      </c>
      <c r="K29" s="9">
        <v>190</v>
      </c>
      <c r="L29" s="9">
        <v>0</v>
      </c>
      <c r="M29" s="9">
        <v>0</v>
      </c>
      <c r="N29" s="9">
        <v>192</v>
      </c>
      <c r="O29" s="9">
        <v>190</v>
      </c>
      <c r="P29" s="9">
        <v>192</v>
      </c>
      <c r="Q29" s="9">
        <v>190</v>
      </c>
      <c r="R29" s="9">
        <v>190</v>
      </c>
      <c r="S29" s="9">
        <v>0</v>
      </c>
      <c r="T29" s="9">
        <v>0</v>
      </c>
    </row>
    <row r="30" spans="1:20">
      <c r="A30" s="19">
        <v>1230685</v>
      </c>
      <c r="B30" s="9">
        <v>0</v>
      </c>
      <c r="C30" s="9">
        <v>220</v>
      </c>
      <c r="D30" s="9">
        <v>330</v>
      </c>
      <c r="E30" s="9">
        <v>0</v>
      </c>
      <c r="F30" s="9">
        <v>0</v>
      </c>
      <c r="G30" s="18">
        <v>330</v>
      </c>
      <c r="H30" s="18">
        <v>270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</row>
    <row r="35" spans="1:24">
      <c r="A35" s="19" t="s">
        <v>0</v>
      </c>
      <c r="B35" s="9" t="s">
        <v>934</v>
      </c>
      <c r="C35" s="9" t="s">
        <v>935</v>
      </c>
      <c r="D35" s="9" t="s">
        <v>936</v>
      </c>
      <c r="E35" s="9" t="s">
        <v>937</v>
      </c>
      <c r="F35" s="9" t="s">
        <v>938</v>
      </c>
      <c r="G35" s="9" t="s">
        <v>990</v>
      </c>
      <c r="H35" s="9" t="s">
        <v>991</v>
      </c>
      <c r="I35" s="9" t="s">
        <v>992</v>
      </c>
      <c r="J35" s="9" t="s">
        <v>993</v>
      </c>
      <c r="K35" s="9" t="s">
        <v>994</v>
      </c>
      <c r="L35" s="9" t="s">
        <v>995</v>
      </c>
      <c r="M35" s="9" t="s">
        <v>996</v>
      </c>
      <c r="N35" s="9" t="s">
        <v>1038</v>
      </c>
      <c r="O35" s="9" t="s">
        <v>1039</v>
      </c>
      <c r="P35" s="9" t="s">
        <v>1040</v>
      </c>
      <c r="Q35" s="9" t="s">
        <v>1041</v>
      </c>
      <c r="R35" s="9" t="s">
        <v>1042</v>
      </c>
      <c r="S35" s="9" t="s">
        <v>1043</v>
      </c>
      <c r="T35" s="9" t="s">
        <v>1044</v>
      </c>
    </row>
    <row r="36" spans="1:24">
      <c r="A36" s="19">
        <v>1234614</v>
      </c>
      <c r="B36" s="9">
        <v>0</v>
      </c>
      <c r="C36" s="9">
        <v>216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V36" s="9">
        <f>SUM(B36:T36)</f>
        <v>216</v>
      </c>
      <c r="X36" s="9">
        <f>+V36-W36</f>
        <v>216</v>
      </c>
    </row>
    <row r="37" spans="1:24">
      <c r="A37" s="19">
        <v>1227306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302</v>
      </c>
      <c r="K37" s="9">
        <v>338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V37" s="9">
        <f t="shared" ref="V37:V69" si="0">SUM(B37:T37)</f>
        <v>640</v>
      </c>
      <c r="X37" s="9">
        <f t="shared" ref="X37:X69" si="1">+V37-W37</f>
        <v>640</v>
      </c>
    </row>
    <row r="38" spans="1:24">
      <c r="A38" s="19">
        <v>1227359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1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V38" s="9">
        <f t="shared" si="0"/>
        <v>1</v>
      </c>
      <c r="X38" s="9">
        <f t="shared" si="1"/>
        <v>1</v>
      </c>
    </row>
    <row r="39" spans="1:24">
      <c r="A39" s="19">
        <v>1231090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73</v>
      </c>
      <c r="H39" s="9">
        <v>127</v>
      </c>
      <c r="I39" s="9">
        <v>57</v>
      </c>
      <c r="J39" s="9">
        <v>551</v>
      </c>
      <c r="K39" s="9">
        <v>433</v>
      </c>
      <c r="L39" s="9">
        <v>0</v>
      </c>
      <c r="M39" s="9">
        <v>0</v>
      </c>
      <c r="N39" s="9">
        <v>1094</v>
      </c>
      <c r="O39" s="9">
        <v>220</v>
      </c>
      <c r="P39" s="9">
        <v>140</v>
      </c>
      <c r="Q39" s="9">
        <v>0</v>
      </c>
      <c r="R39" s="9">
        <v>570</v>
      </c>
      <c r="S39" s="9">
        <v>0</v>
      </c>
      <c r="T39" s="9">
        <v>0</v>
      </c>
      <c r="V39" s="9">
        <f t="shared" si="0"/>
        <v>3265</v>
      </c>
      <c r="X39" s="9">
        <f t="shared" si="1"/>
        <v>3265</v>
      </c>
    </row>
    <row r="40" spans="1:24">
      <c r="A40" s="19">
        <v>1229776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18">
        <v>73</v>
      </c>
      <c r="H40" s="9">
        <v>127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V40" s="9">
        <f t="shared" si="0"/>
        <v>200</v>
      </c>
      <c r="X40" s="9">
        <f t="shared" si="1"/>
        <v>200</v>
      </c>
    </row>
    <row r="41" spans="1:24">
      <c r="A41" s="100">
        <v>1225464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107</v>
      </c>
      <c r="J41" s="9">
        <v>23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906</v>
      </c>
      <c r="S41" s="9">
        <v>0</v>
      </c>
      <c r="T41" s="9">
        <v>0</v>
      </c>
      <c r="V41" s="9">
        <f t="shared" si="0"/>
        <v>1036</v>
      </c>
      <c r="X41" s="9">
        <f t="shared" si="1"/>
        <v>1036</v>
      </c>
    </row>
    <row r="42" spans="1:24">
      <c r="A42" s="19">
        <v>1232066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18">
        <v>120</v>
      </c>
      <c r="H42" s="9">
        <v>80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V42" s="9">
        <f t="shared" si="0"/>
        <v>200</v>
      </c>
      <c r="X42" s="9">
        <f t="shared" si="1"/>
        <v>200</v>
      </c>
    </row>
    <row r="43" spans="1:24">
      <c r="A43" s="19">
        <v>1229088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5</v>
      </c>
      <c r="S43" s="9">
        <v>0</v>
      </c>
      <c r="T43" s="9">
        <v>0</v>
      </c>
      <c r="V43" s="9">
        <f t="shared" si="0"/>
        <v>5</v>
      </c>
      <c r="X43" s="9">
        <f t="shared" si="1"/>
        <v>5</v>
      </c>
    </row>
    <row r="44" spans="1:24">
      <c r="A44" s="19">
        <v>1232693</v>
      </c>
      <c r="B44" s="9">
        <v>0</v>
      </c>
      <c r="C44" s="9">
        <v>0</v>
      </c>
      <c r="D44" s="9">
        <v>291</v>
      </c>
      <c r="E44" s="9">
        <v>0</v>
      </c>
      <c r="F44" s="9">
        <v>0</v>
      </c>
      <c r="G44" s="18">
        <v>777</v>
      </c>
      <c r="H44" s="9">
        <v>675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V44" s="9">
        <f t="shared" si="0"/>
        <v>1743</v>
      </c>
      <c r="X44" s="9">
        <f t="shared" si="1"/>
        <v>1743</v>
      </c>
    </row>
    <row r="45" spans="1:24">
      <c r="A45" s="19">
        <v>1233025</v>
      </c>
      <c r="B45" s="9">
        <v>0</v>
      </c>
      <c r="C45" s="9">
        <v>0</v>
      </c>
      <c r="D45" s="9">
        <v>291</v>
      </c>
      <c r="E45" s="9">
        <v>0</v>
      </c>
      <c r="F45" s="9">
        <v>0</v>
      </c>
      <c r="G45" s="18">
        <v>777</v>
      </c>
      <c r="H45" s="9">
        <v>675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V45" s="9">
        <f t="shared" si="0"/>
        <v>1743</v>
      </c>
      <c r="X45" s="9">
        <f t="shared" si="1"/>
        <v>1743</v>
      </c>
    </row>
    <row r="46" spans="1:24">
      <c r="A46" s="19">
        <v>1234222</v>
      </c>
      <c r="B46" s="9">
        <v>157</v>
      </c>
      <c r="C46" s="9">
        <v>63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V46" s="9">
        <f t="shared" si="0"/>
        <v>220</v>
      </c>
      <c r="X46" s="9">
        <f t="shared" si="1"/>
        <v>220</v>
      </c>
    </row>
    <row r="47" spans="1:24">
      <c r="A47" s="100">
        <v>1232528</v>
      </c>
      <c r="B47" s="9">
        <v>420</v>
      </c>
      <c r="C47" s="9">
        <v>0</v>
      </c>
      <c r="D47" s="9">
        <v>0</v>
      </c>
      <c r="E47" s="9">
        <v>0</v>
      </c>
      <c r="F47" s="9">
        <v>0</v>
      </c>
      <c r="G47" s="18">
        <v>507</v>
      </c>
      <c r="H47" s="9">
        <v>685</v>
      </c>
      <c r="I47" s="9">
        <v>539</v>
      </c>
      <c r="J47" s="9">
        <v>686</v>
      </c>
      <c r="K47" s="9">
        <v>526</v>
      </c>
      <c r="L47" s="9">
        <v>0</v>
      </c>
      <c r="M47" s="9">
        <v>0</v>
      </c>
      <c r="N47" s="9">
        <v>1130</v>
      </c>
      <c r="O47" s="9">
        <v>300</v>
      </c>
      <c r="P47" s="9">
        <v>1500</v>
      </c>
      <c r="Q47" s="9">
        <v>1400</v>
      </c>
      <c r="R47" s="9">
        <v>4495</v>
      </c>
      <c r="S47" s="9">
        <v>0</v>
      </c>
      <c r="T47" s="9">
        <v>0</v>
      </c>
      <c r="V47" s="9">
        <f t="shared" si="0"/>
        <v>12188</v>
      </c>
      <c r="X47" s="9">
        <f t="shared" si="1"/>
        <v>12188</v>
      </c>
    </row>
    <row r="48" spans="1:24">
      <c r="A48" s="19">
        <v>1232846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800</v>
      </c>
      <c r="O48" s="9">
        <v>228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V48" s="9">
        <f t="shared" si="0"/>
        <v>1028</v>
      </c>
      <c r="X48" s="9">
        <f t="shared" si="1"/>
        <v>1028</v>
      </c>
    </row>
    <row r="49" spans="1:24">
      <c r="A49" s="19">
        <v>1229050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25</v>
      </c>
      <c r="L49" s="9">
        <v>0</v>
      </c>
      <c r="M49" s="9">
        <v>0</v>
      </c>
      <c r="N49" s="9">
        <v>126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V49" s="9">
        <f t="shared" si="0"/>
        <v>151</v>
      </c>
      <c r="X49" s="9">
        <f t="shared" si="1"/>
        <v>151</v>
      </c>
    </row>
    <row r="50" spans="1:24">
      <c r="A50" s="19">
        <v>1220847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920</v>
      </c>
      <c r="P50" s="9">
        <v>0</v>
      </c>
      <c r="Q50" s="9">
        <v>0</v>
      </c>
      <c r="R50" s="9">
        <v>4360</v>
      </c>
      <c r="S50" s="9">
        <v>0</v>
      </c>
      <c r="T50" s="9">
        <v>0</v>
      </c>
      <c r="V50" s="9">
        <f t="shared" si="0"/>
        <v>5280</v>
      </c>
      <c r="X50" s="9">
        <f t="shared" si="1"/>
        <v>5280</v>
      </c>
    </row>
    <row r="51" spans="1:24">
      <c r="A51" s="19">
        <v>1234217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50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V51" s="9">
        <f t="shared" si="0"/>
        <v>50</v>
      </c>
      <c r="X51" s="9">
        <f t="shared" si="1"/>
        <v>50</v>
      </c>
    </row>
    <row r="52" spans="1:24">
      <c r="A52" s="19">
        <v>1234111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18">
        <v>50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V52" s="9">
        <f t="shared" si="0"/>
        <v>50</v>
      </c>
      <c r="X52" s="9">
        <f t="shared" si="1"/>
        <v>50</v>
      </c>
    </row>
    <row r="53" spans="1:24">
      <c r="A53" s="19">
        <v>1234110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18">
        <v>50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V53" s="9">
        <f t="shared" si="0"/>
        <v>50</v>
      </c>
      <c r="X53" s="9">
        <f t="shared" si="1"/>
        <v>50</v>
      </c>
    </row>
    <row r="54" spans="1:24">
      <c r="A54" s="19">
        <v>1232775</v>
      </c>
      <c r="B54" s="9">
        <v>0</v>
      </c>
      <c r="C54" s="9">
        <v>48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183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196</v>
      </c>
      <c r="S54" s="9">
        <v>0</v>
      </c>
      <c r="T54" s="9">
        <v>0</v>
      </c>
      <c r="V54" s="9">
        <f t="shared" si="0"/>
        <v>427</v>
      </c>
      <c r="X54" s="9">
        <f t="shared" si="1"/>
        <v>427</v>
      </c>
    </row>
    <row r="55" spans="1:24">
      <c r="A55" s="19">
        <v>1235097</v>
      </c>
      <c r="B55" s="9">
        <v>47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V55" s="9">
        <f t="shared" si="0"/>
        <v>47</v>
      </c>
      <c r="X55" s="9">
        <f t="shared" si="1"/>
        <v>47</v>
      </c>
    </row>
    <row r="56" spans="1:24">
      <c r="A56" s="19">
        <v>1235958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1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V56" s="9">
        <f t="shared" si="0"/>
        <v>1</v>
      </c>
      <c r="X56" s="9">
        <f t="shared" si="1"/>
        <v>1</v>
      </c>
    </row>
    <row r="57" spans="1:24">
      <c r="A57" s="19">
        <v>1236600</v>
      </c>
      <c r="B57" s="9">
        <v>0</v>
      </c>
      <c r="C57" s="9">
        <v>260</v>
      </c>
      <c r="D57" s="9">
        <v>419</v>
      </c>
      <c r="E57" s="9">
        <v>0</v>
      </c>
      <c r="F57" s="9">
        <v>0</v>
      </c>
      <c r="G57" s="18">
        <v>421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1</v>
      </c>
      <c r="O57" s="9">
        <v>0</v>
      </c>
      <c r="P57" s="9">
        <v>55</v>
      </c>
      <c r="Q57" s="9">
        <v>0</v>
      </c>
      <c r="R57" s="9">
        <v>0</v>
      </c>
      <c r="S57" s="9">
        <v>0</v>
      </c>
      <c r="T57" s="9">
        <v>0</v>
      </c>
      <c r="V57" s="9">
        <f t="shared" si="0"/>
        <v>1156</v>
      </c>
      <c r="X57" s="9">
        <f t="shared" si="1"/>
        <v>1156</v>
      </c>
    </row>
    <row r="58" spans="1:24">
      <c r="A58" s="19">
        <v>1236930</v>
      </c>
      <c r="B58" s="9">
        <v>175</v>
      </c>
      <c r="C58" s="9">
        <v>620</v>
      </c>
      <c r="D58" s="9">
        <v>492</v>
      </c>
      <c r="E58" s="9">
        <v>0</v>
      </c>
      <c r="F58" s="9">
        <v>0</v>
      </c>
      <c r="G58" s="9">
        <v>636</v>
      </c>
      <c r="H58" s="18">
        <v>626</v>
      </c>
      <c r="I58" s="9">
        <v>189</v>
      </c>
      <c r="J58" s="9">
        <v>0</v>
      </c>
      <c r="K58" s="9">
        <v>0</v>
      </c>
      <c r="L58" s="9">
        <v>0</v>
      </c>
      <c r="M58" s="9">
        <v>0</v>
      </c>
      <c r="N58" s="9">
        <v>622</v>
      </c>
      <c r="O58" s="9">
        <v>130</v>
      </c>
      <c r="P58" s="9">
        <v>270</v>
      </c>
      <c r="Q58" s="9">
        <v>462</v>
      </c>
      <c r="R58" s="9">
        <v>506</v>
      </c>
      <c r="S58" s="9">
        <v>0</v>
      </c>
      <c r="T58" s="9">
        <v>0</v>
      </c>
      <c r="V58" s="9">
        <f t="shared" si="0"/>
        <v>4728</v>
      </c>
      <c r="X58" s="9">
        <f t="shared" si="1"/>
        <v>4728</v>
      </c>
    </row>
    <row r="59" spans="1:24">
      <c r="A59" s="19">
        <v>1232982</v>
      </c>
      <c r="B59" s="9">
        <v>116</v>
      </c>
      <c r="C59" s="9">
        <v>284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V59" s="9">
        <f t="shared" si="0"/>
        <v>400</v>
      </c>
      <c r="X59" s="9">
        <f t="shared" si="1"/>
        <v>400</v>
      </c>
    </row>
    <row r="60" spans="1:24">
      <c r="A60" s="19">
        <v>1237468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38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96</v>
      </c>
      <c r="S60" s="9">
        <v>0</v>
      </c>
      <c r="T60" s="9">
        <v>0</v>
      </c>
      <c r="V60" s="9">
        <f t="shared" si="0"/>
        <v>134</v>
      </c>
      <c r="X60" s="9">
        <f t="shared" si="1"/>
        <v>134</v>
      </c>
    </row>
    <row r="61" spans="1:24">
      <c r="A61" s="19">
        <v>1237210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140</v>
      </c>
      <c r="Q61" s="9">
        <v>0</v>
      </c>
      <c r="R61" s="9">
        <v>0</v>
      </c>
      <c r="S61" s="9">
        <v>0</v>
      </c>
      <c r="T61" s="9">
        <v>0</v>
      </c>
      <c r="V61" s="9">
        <f t="shared" si="0"/>
        <v>140</v>
      </c>
      <c r="X61" s="9">
        <f t="shared" si="1"/>
        <v>140</v>
      </c>
    </row>
    <row r="62" spans="1:24">
      <c r="A62" s="19">
        <v>1237386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22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V62" s="9">
        <f t="shared" si="0"/>
        <v>22</v>
      </c>
      <c r="X62" s="9">
        <f t="shared" si="1"/>
        <v>22</v>
      </c>
    </row>
    <row r="63" spans="1:24">
      <c r="A63" s="19">
        <v>1234905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64</v>
      </c>
      <c r="L63" s="9">
        <v>0</v>
      </c>
      <c r="M63" s="9">
        <v>0</v>
      </c>
      <c r="N63" s="9">
        <v>216</v>
      </c>
      <c r="O63" s="9">
        <v>0</v>
      </c>
      <c r="P63" s="9">
        <v>0</v>
      </c>
      <c r="Q63" s="9">
        <v>200</v>
      </c>
      <c r="R63" s="9">
        <v>300</v>
      </c>
      <c r="S63" s="9">
        <v>0</v>
      </c>
      <c r="T63" s="9">
        <v>0</v>
      </c>
      <c r="V63" s="9">
        <f t="shared" si="0"/>
        <v>780</v>
      </c>
      <c r="X63" s="9">
        <f t="shared" si="1"/>
        <v>780</v>
      </c>
    </row>
    <row r="64" spans="1:24">
      <c r="A64" s="19">
        <v>1238480</v>
      </c>
      <c r="B64" s="9">
        <v>586</v>
      </c>
      <c r="C64" s="9">
        <v>1231</v>
      </c>
      <c r="D64" s="9">
        <v>1186</v>
      </c>
      <c r="E64" s="9">
        <v>0</v>
      </c>
      <c r="F64" s="9">
        <v>0</v>
      </c>
      <c r="G64" s="18">
        <v>1061</v>
      </c>
      <c r="H64" s="9">
        <v>1159</v>
      </c>
      <c r="I64" s="9">
        <v>1157</v>
      </c>
      <c r="J64" s="9">
        <v>1207</v>
      </c>
      <c r="K64" s="9">
        <v>1006</v>
      </c>
      <c r="L64" s="9">
        <v>0</v>
      </c>
      <c r="M64" s="9">
        <v>0</v>
      </c>
      <c r="N64" s="9">
        <v>1740</v>
      </c>
      <c r="O64" s="9">
        <v>516</v>
      </c>
      <c r="P64" s="9">
        <v>1477</v>
      </c>
      <c r="Q64" s="9">
        <v>1885</v>
      </c>
      <c r="R64" s="9">
        <v>2368</v>
      </c>
      <c r="S64" s="9">
        <v>0</v>
      </c>
      <c r="T64" s="9">
        <v>0</v>
      </c>
      <c r="V64" s="9">
        <f t="shared" si="0"/>
        <v>16579</v>
      </c>
      <c r="X64" s="9">
        <f t="shared" si="1"/>
        <v>16579</v>
      </c>
    </row>
    <row r="65" spans="1:24">
      <c r="A65" s="19">
        <v>1238453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229</v>
      </c>
      <c r="J65" s="9">
        <v>336</v>
      </c>
      <c r="K65" s="9">
        <v>76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V65" s="9">
        <f t="shared" si="0"/>
        <v>641</v>
      </c>
      <c r="X65" s="9">
        <f t="shared" si="1"/>
        <v>641</v>
      </c>
    </row>
    <row r="66" spans="1:24">
      <c r="A66" s="100">
        <v>1216452</v>
      </c>
      <c r="B66" s="9">
        <v>452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73</v>
      </c>
      <c r="J66" s="9">
        <v>872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499</v>
      </c>
      <c r="R66" s="9">
        <v>288</v>
      </c>
      <c r="S66" s="9">
        <v>0</v>
      </c>
      <c r="T66" s="9">
        <v>0</v>
      </c>
      <c r="V66" s="9">
        <f t="shared" si="0"/>
        <v>2184</v>
      </c>
      <c r="X66" s="9">
        <f t="shared" si="1"/>
        <v>2184</v>
      </c>
    </row>
    <row r="67" spans="1:24">
      <c r="A67" s="19">
        <v>1232894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800</v>
      </c>
      <c r="O67" s="9">
        <v>228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V67" s="9">
        <f t="shared" si="0"/>
        <v>1028</v>
      </c>
      <c r="X67" s="9">
        <f t="shared" si="1"/>
        <v>1028</v>
      </c>
    </row>
    <row r="68" spans="1:24">
      <c r="A68" s="19">
        <v>1233387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800</v>
      </c>
      <c r="O68" s="9">
        <v>228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V68" s="9">
        <f t="shared" si="0"/>
        <v>1028</v>
      </c>
      <c r="X68" s="9">
        <f t="shared" si="1"/>
        <v>1028</v>
      </c>
    </row>
    <row r="69" spans="1:24">
      <c r="A69" s="19">
        <v>1233580</v>
      </c>
      <c r="B69" s="9">
        <v>0</v>
      </c>
      <c r="C69" s="9">
        <v>71</v>
      </c>
      <c r="D69" s="18">
        <v>129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V69" s="9">
        <f t="shared" si="0"/>
        <v>200</v>
      </c>
      <c r="X69" s="9">
        <f t="shared" si="1"/>
        <v>200</v>
      </c>
    </row>
    <row r="71" spans="1:24">
      <c r="B71" s="9">
        <f>SUM(B36:B70)</f>
        <v>1953</v>
      </c>
      <c r="C71" s="9">
        <f t="shared" ref="C71:T71" si="2">SUM(C36:C70)</f>
        <v>2793</v>
      </c>
      <c r="D71" s="9">
        <f t="shared" si="2"/>
        <v>2808</v>
      </c>
      <c r="E71" s="9">
        <f t="shared" si="2"/>
        <v>0</v>
      </c>
      <c r="F71" s="9">
        <f t="shared" si="2"/>
        <v>0</v>
      </c>
      <c r="G71" s="9">
        <f t="shared" si="2"/>
        <v>4445</v>
      </c>
      <c r="H71" s="9">
        <f t="shared" si="2"/>
        <v>4342</v>
      </c>
      <c r="I71" s="9">
        <f t="shared" si="2"/>
        <v>2373</v>
      </c>
      <c r="J71" s="9">
        <f t="shared" si="2"/>
        <v>3977</v>
      </c>
      <c r="K71" s="9">
        <f t="shared" si="2"/>
        <v>2653</v>
      </c>
      <c r="L71" s="9">
        <f t="shared" si="2"/>
        <v>0</v>
      </c>
      <c r="M71" s="9">
        <f t="shared" si="2"/>
        <v>0</v>
      </c>
      <c r="N71" s="9">
        <f t="shared" si="2"/>
        <v>7329</v>
      </c>
      <c r="O71" s="9">
        <f t="shared" si="2"/>
        <v>2770</v>
      </c>
      <c r="P71" s="9">
        <f t="shared" si="2"/>
        <v>3582</v>
      </c>
      <c r="Q71" s="9">
        <f t="shared" si="2"/>
        <v>4446</v>
      </c>
      <c r="R71" s="9">
        <f t="shared" si="2"/>
        <v>14090</v>
      </c>
      <c r="S71" s="9">
        <f t="shared" si="2"/>
        <v>0</v>
      </c>
      <c r="T71" s="9">
        <f t="shared" si="2"/>
        <v>0</v>
      </c>
    </row>
    <row r="73" spans="1:24">
      <c r="B73" s="9">
        <f>+B71-B72</f>
        <v>1953</v>
      </c>
      <c r="C73" s="9">
        <f t="shared" ref="C73:T73" si="3">+C71-C72</f>
        <v>2793</v>
      </c>
      <c r="D73" s="9">
        <f t="shared" si="3"/>
        <v>2808</v>
      </c>
      <c r="E73" s="9">
        <f t="shared" si="3"/>
        <v>0</v>
      </c>
      <c r="F73" s="9">
        <f t="shared" si="3"/>
        <v>0</v>
      </c>
      <c r="G73" s="9">
        <f t="shared" si="3"/>
        <v>4445</v>
      </c>
      <c r="H73" s="9">
        <f t="shared" si="3"/>
        <v>4342</v>
      </c>
      <c r="I73" s="9">
        <f t="shared" si="3"/>
        <v>2373</v>
      </c>
      <c r="J73" s="9">
        <f t="shared" si="3"/>
        <v>3977</v>
      </c>
      <c r="K73" s="9">
        <f t="shared" si="3"/>
        <v>2653</v>
      </c>
      <c r="L73" s="9">
        <f t="shared" si="3"/>
        <v>0</v>
      </c>
      <c r="M73" s="9">
        <f t="shared" si="3"/>
        <v>0</v>
      </c>
      <c r="N73" s="9">
        <f t="shared" si="3"/>
        <v>7329</v>
      </c>
      <c r="O73" s="9">
        <f t="shared" si="3"/>
        <v>2770</v>
      </c>
      <c r="P73" s="9">
        <f t="shared" si="3"/>
        <v>3582</v>
      </c>
      <c r="Q73" s="9">
        <f t="shared" si="3"/>
        <v>4446</v>
      </c>
      <c r="R73" s="9">
        <f t="shared" si="3"/>
        <v>14090</v>
      </c>
      <c r="S73" s="9">
        <f t="shared" si="3"/>
        <v>0</v>
      </c>
      <c r="T73" s="9">
        <f t="shared" si="3"/>
        <v>0</v>
      </c>
    </row>
  </sheetData>
  <autoFilter ref="A1:T20" xr:uid="{E500A0A7-03D2-4995-8794-2CDF9504630B}"/>
  <phoneticPr fontId="1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49F4-1D76-4B2B-A5BE-59E035434B44}">
  <sheetPr>
    <tabColor rgb="FFFFFF00"/>
  </sheetPr>
  <dimension ref="A1:BS95"/>
  <sheetViews>
    <sheetView zoomScale="115" zoomScaleNormal="115" workbookViewId="0">
      <pane xSplit="2" ySplit="2" topLeftCell="C35" activePane="bottomRight" state="frozen"/>
      <selection pane="topRight" activeCell="C1" sqref="C1"/>
      <selection pane="bottomLeft" activeCell="A3" sqref="A3"/>
      <selection pane="bottomRight" activeCell="B48" sqref="A48:XFD48"/>
    </sheetView>
  </sheetViews>
  <sheetFormatPr defaultColWidth="9.33203125" defaultRowHeight="12"/>
  <cols>
    <col min="1" max="1" width="9.5" style="5" bestFit="1" customWidth="1"/>
    <col min="2" max="2" width="10.1640625" style="19" bestFit="1" customWidth="1"/>
    <col min="3" max="3" width="13.6640625" style="9" customWidth="1"/>
    <col min="4" max="9" width="13.6640625" style="9" hidden="1" customWidth="1"/>
    <col min="10" max="10" width="13.6640625" style="9" customWidth="1"/>
    <col min="11" max="16" width="13.6640625" style="9" hidden="1" customWidth="1"/>
    <col min="17" max="17" width="13.6640625" style="9" customWidth="1"/>
    <col min="18" max="23" width="13.6640625" style="9" hidden="1" customWidth="1"/>
    <col min="24" max="24" width="13.6640625" style="9" customWidth="1"/>
    <col min="25" max="30" width="13.6640625" style="9" hidden="1" customWidth="1"/>
    <col min="31" max="31" width="13.6640625" style="9" customWidth="1"/>
    <col min="32" max="37" width="13.6640625" style="9" hidden="1" customWidth="1"/>
    <col min="38" max="38" width="13.6640625" style="9" customWidth="1"/>
    <col min="39" max="44" width="13.6640625" style="9" hidden="1" customWidth="1"/>
    <col min="45" max="45" width="13.6640625" style="9" customWidth="1"/>
    <col min="46" max="51" width="13.6640625" style="9" hidden="1" customWidth="1"/>
    <col min="52" max="52" width="13.6640625" style="9" customWidth="1"/>
    <col min="53" max="58" width="13.6640625" style="9" hidden="1" customWidth="1"/>
    <col min="59" max="59" width="13.6640625" style="9" customWidth="1"/>
    <col min="60" max="65" width="13.6640625" style="9" hidden="1" customWidth="1"/>
    <col min="66" max="66" width="13.6640625" style="9" customWidth="1"/>
    <col min="67" max="67" width="9.33203125" style="9"/>
    <col min="68" max="68" width="10" style="12" bestFit="1" customWidth="1"/>
    <col min="69" max="71" width="9.33203125" style="9"/>
    <col min="72" max="16384" width="9.33203125" style="5"/>
  </cols>
  <sheetData>
    <row r="1" spans="1:71" s="22" customFormat="1">
      <c r="A1" s="22" t="s">
        <v>24</v>
      </c>
      <c r="B1" s="22" t="s">
        <v>0</v>
      </c>
      <c r="C1" s="87" t="s">
        <v>773</v>
      </c>
      <c r="D1" s="87"/>
      <c r="E1" s="87"/>
      <c r="F1" s="87"/>
      <c r="G1" s="87"/>
      <c r="H1" s="87"/>
      <c r="I1" s="87"/>
      <c r="J1" s="87" t="s">
        <v>796</v>
      </c>
      <c r="K1" s="87"/>
      <c r="L1" s="87"/>
      <c r="M1" s="87"/>
      <c r="N1" s="87"/>
      <c r="O1" s="87"/>
      <c r="P1" s="87"/>
      <c r="Q1" s="87" t="s">
        <v>823</v>
      </c>
      <c r="R1" s="87"/>
      <c r="S1" s="87"/>
      <c r="T1" s="87"/>
      <c r="U1" s="87"/>
      <c r="V1" s="87"/>
      <c r="W1" s="87"/>
      <c r="X1" s="87" t="s">
        <v>847</v>
      </c>
      <c r="Y1" s="87"/>
      <c r="Z1" s="87"/>
      <c r="AA1" s="87"/>
      <c r="AB1" s="87"/>
      <c r="AC1" s="87"/>
      <c r="AD1" s="87"/>
      <c r="AE1" s="87" t="s">
        <v>876</v>
      </c>
      <c r="AF1" s="87"/>
      <c r="AG1" s="87"/>
      <c r="AH1" s="87"/>
      <c r="AI1" s="87"/>
      <c r="AJ1" s="87"/>
      <c r="AK1" s="87"/>
      <c r="AL1" s="87" t="s">
        <v>902</v>
      </c>
      <c r="AM1" s="87"/>
      <c r="AN1" s="87"/>
      <c r="AO1" s="87"/>
      <c r="AP1" s="87"/>
      <c r="AQ1" s="87"/>
      <c r="AR1" s="87"/>
      <c r="AS1" s="87" t="s">
        <v>927</v>
      </c>
      <c r="AT1" s="87"/>
      <c r="AU1" s="87"/>
      <c r="AV1" s="87"/>
      <c r="AW1" s="87"/>
      <c r="AX1" s="87"/>
      <c r="AY1" s="87"/>
      <c r="AZ1" s="87" t="s">
        <v>939</v>
      </c>
      <c r="BA1" s="87"/>
      <c r="BB1" s="87"/>
      <c r="BC1" s="87"/>
      <c r="BD1" s="87"/>
      <c r="BE1" s="87"/>
      <c r="BF1" s="87"/>
      <c r="BG1" s="87" t="s">
        <v>997</v>
      </c>
      <c r="BH1" s="87"/>
      <c r="BI1" s="87"/>
      <c r="BJ1" s="87"/>
      <c r="BK1" s="87"/>
      <c r="BL1" s="87"/>
      <c r="BM1" s="87"/>
      <c r="BN1" s="87" t="s">
        <v>1045</v>
      </c>
      <c r="BO1" s="87"/>
      <c r="BP1" s="231"/>
      <c r="BQ1" s="87"/>
      <c r="BR1" s="87"/>
      <c r="BS1" s="87"/>
    </row>
    <row r="2" spans="1:71" s="22" customFormat="1">
      <c r="C2" s="87" t="s">
        <v>774</v>
      </c>
      <c r="D2" s="87"/>
      <c r="E2" s="87"/>
      <c r="F2" s="87"/>
      <c r="G2" s="87"/>
      <c r="H2" s="87"/>
      <c r="I2" s="87"/>
      <c r="J2" s="87" t="s">
        <v>797</v>
      </c>
      <c r="K2" s="87"/>
      <c r="L2" s="87"/>
      <c r="M2" s="87"/>
      <c r="N2" s="87"/>
      <c r="O2" s="87"/>
      <c r="P2" s="87"/>
      <c r="Q2" s="87" t="s">
        <v>824</v>
      </c>
      <c r="R2" s="87"/>
      <c r="S2" s="87"/>
      <c r="T2" s="87"/>
      <c r="U2" s="87"/>
      <c r="V2" s="87"/>
      <c r="W2" s="87"/>
      <c r="X2" s="87" t="s">
        <v>848</v>
      </c>
      <c r="Y2" s="87"/>
      <c r="Z2" s="87"/>
      <c r="AA2" s="87"/>
      <c r="AB2" s="87"/>
      <c r="AC2" s="87"/>
      <c r="AD2" s="87"/>
      <c r="AE2" s="87" t="s">
        <v>877</v>
      </c>
      <c r="AF2" s="87"/>
      <c r="AG2" s="87"/>
      <c r="AH2" s="87"/>
      <c r="AI2" s="87"/>
      <c r="AJ2" s="87"/>
      <c r="AK2" s="87"/>
      <c r="AL2" s="87" t="s">
        <v>903</v>
      </c>
      <c r="AM2" s="87"/>
      <c r="AN2" s="87"/>
      <c r="AO2" s="87"/>
      <c r="AP2" s="87"/>
      <c r="AQ2" s="87"/>
      <c r="AR2" s="87"/>
      <c r="AS2" s="87" t="s">
        <v>928</v>
      </c>
      <c r="AT2" s="87"/>
      <c r="AU2" s="87"/>
      <c r="AV2" s="87"/>
      <c r="AW2" s="87"/>
      <c r="AX2" s="87"/>
      <c r="AY2" s="87"/>
      <c r="AZ2" s="87" t="s">
        <v>998</v>
      </c>
      <c r="BA2" s="87"/>
      <c r="BB2" s="87"/>
      <c r="BC2" s="87"/>
      <c r="BD2" s="87"/>
      <c r="BE2" s="87"/>
      <c r="BF2" s="87"/>
      <c r="BG2" s="87" t="s">
        <v>999</v>
      </c>
      <c r="BH2" s="87"/>
      <c r="BI2" s="87"/>
      <c r="BJ2" s="87"/>
      <c r="BK2" s="87"/>
      <c r="BL2" s="87"/>
      <c r="BM2" s="87"/>
      <c r="BN2" s="87" t="s">
        <v>1046</v>
      </c>
      <c r="BO2" s="87"/>
      <c r="BP2" s="231"/>
      <c r="BQ2" s="87"/>
      <c r="BR2" s="87"/>
      <c r="BS2" s="87"/>
    </row>
    <row r="3" spans="1:71">
      <c r="B3" s="19">
        <v>1226384</v>
      </c>
      <c r="C3" s="9">
        <v>0</v>
      </c>
      <c r="J3" s="9">
        <v>0</v>
      </c>
      <c r="Q3" s="9">
        <v>826</v>
      </c>
      <c r="X3" s="9">
        <v>0</v>
      </c>
      <c r="AE3" s="9">
        <v>0</v>
      </c>
      <c r="AL3" s="9">
        <v>505</v>
      </c>
      <c r="AS3" s="9">
        <v>0</v>
      </c>
      <c r="AZ3" s="9">
        <v>1037</v>
      </c>
      <c r="BG3" s="9">
        <v>0</v>
      </c>
      <c r="BN3" s="9">
        <v>0</v>
      </c>
      <c r="BP3" s="12">
        <f t="shared" ref="BP3:BP31" si="0">SUM(C3:BN3)</f>
        <v>2368</v>
      </c>
    </row>
    <row r="4" spans="1:71">
      <c r="B4" s="19">
        <v>1226388</v>
      </c>
      <c r="C4" s="9">
        <v>0</v>
      </c>
      <c r="J4" s="9">
        <v>0</v>
      </c>
      <c r="Q4" s="9">
        <v>826</v>
      </c>
      <c r="X4" s="9">
        <v>0</v>
      </c>
      <c r="AE4" s="9">
        <v>0</v>
      </c>
      <c r="AL4" s="9">
        <v>505</v>
      </c>
      <c r="AS4" s="9">
        <v>0</v>
      </c>
      <c r="AZ4" s="9">
        <v>1037</v>
      </c>
      <c r="BG4" s="9">
        <v>0</v>
      </c>
      <c r="BN4" s="9">
        <v>0</v>
      </c>
      <c r="BP4" s="12">
        <f t="shared" si="0"/>
        <v>2368</v>
      </c>
    </row>
    <row r="5" spans="1:71">
      <c r="B5" s="19">
        <v>1229673</v>
      </c>
      <c r="C5" s="9">
        <v>648</v>
      </c>
      <c r="J5" s="9">
        <v>900</v>
      </c>
      <c r="Q5" s="9">
        <v>900</v>
      </c>
      <c r="X5" s="9">
        <v>0</v>
      </c>
      <c r="AE5" s="9">
        <v>800</v>
      </c>
      <c r="AL5" s="9">
        <v>900</v>
      </c>
      <c r="AS5" s="9">
        <v>900</v>
      </c>
      <c r="AZ5" s="9">
        <v>0</v>
      </c>
      <c r="BG5" s="9">
        <v>800</v>
      </c>
      <c r="BN5" s="9">
        <v>800</v>
      </c>
      <c r="BP5" s="12">
        <f t="shared" si="0"/>
        <v>6648</v>
      </c>
    </row>
    <row r="6" spans="1:71">
      <c r="B6" s="19">
        <v>1230692</v>
      </c>
      <c r="C6" s="9">
        <v>1500</v>
      </c>
      <c r="J6" s="9">
        <v>1400</v>
      </c>
      <c r="Q6" s="9">
        <v>1300</v>
      </c>
      <c r="X6" s="9">
        <v>800</v>
      </c>
      <c r="AE6" s="9">
        <v>700</v>
      </c>
      <c r="AL6" s="9">
        <v>600</v>
      </c>
      <c r="AS6" s="9">
        <v>600</v>
      </c>
      <c r="AZ6" s="9">
        <v>600</v>
      </c>
      <c r="BG6" s="9">
        <v>900</v>
      </c>
      <c r="BN6" s="9">
        <v>900</v>
      </c>
      <c r="BP6" s="12">
        <f t="shared" si="0"/>
        <v>9300</v>
      </c>
    </row>
    <row r="7" spans="1:71">
      <c r="B7" s="19">
        <v>1230696</v>
      </c>
      <c r="C7" s="9">
        <v>200</v>
      </c>
      <c r="J7" s="9">
        <v>200</v>
      </c>
      <c r="Q7" s="9">
        <v>0</v>
      </c>
      <c r="X7" s="9">
        <v>0</v>
      </c>
      <c r="AE7" s="9">
        <v>100</v>
      </c>
      <c r="AL7" s="9">
        <v>200</v>
      </c>
      <c r="AS7" s="9">
        <v>100</v>
      </c>
      <c r="AZ7" s="9">
        <v>100</v>
      </c>
      <c r="BG7" s="9">
        <v>200</v>
      </c>
      <c r="BN7" s="9">
        <v>200</v>
      </c>
      <c r="BP7" s="12">
        <f t="shared" si="0"/>
        <v>1300</v>
      </c>
    </row>
    <row r="8" spans="1:71">
      <c r="B8" s="19">
        <v>1230854</v>
      </c>
      <c r="C8" s="9">
        <v>200</v>
      </c>
      <c r="J8" s="9">
        <v>100</v>
      </c>
      <c r="Q8" s="9">
        <v>0</v>
      </c>
      <c r="X8" s="9">
        <v>0</v>
      </c>
      <c r="AE8" s="9">
        <v>200</v>
      </c>
      <c r="AL8" s="9">
        <v>0</v>
      </c>
      <c r="AS8" s="9">
        <v>0</v>
      </c>
      <c r="AZ8" s="9">
        <v>0</v>
      </c>
      <c r="BG8" s="9">
        <v>0</v>
      </c>
      <c r="BN8" s="9">
        <v>0</v>
      </c>
      <c r="BP8" s="12">
        <f t="shared" si="0"/>
        <v>500</v>
      </c>
    </row>
    <row r="9" spans="1:71">
      <c r="B9" s="19">
        <v>1231202</v>
      </c>
      <c r="C9" s="9">
        <v>0</v>
      </c>
      <c r="J9" s="9">
        <v>0</v>
      </c>
      <c r="Q9" s="9">
        <v>0</v>
      </c>
      <c r="X9" s="9">
        <v>0</v>
      </c>
      <c r="AE9" s="9">
        <v>0</v>
      </c>
      <c r="AL9" s="9">
        <v>100</v>
      </c>
      <c r="AS9" s="9">
        <v>0</v>
      </c>
      <c r="AZ9" s="9">
        <v>0</v>
      </c>
      <c r="BG9" s="9">
        <v>0</v>
      </c>
      <c r="BN9" s="9">
        <v>0</v>
      </c>
      <c r="BP9" s="12">
        <f t="shared" si="0"/>
        <v>100</v>
      </c>
    </row>
    <row r="10" spans="1:71">
      <c r="B10" s="19">
        <v>1231898</v>
      </c>
      <c r="C10" s="9">
        <v>1344</v>
      </c>
      <c r="J10" s="9">
        <v>1344</v>
      </c>
      <c r="Q10" s="9">
        <v>1344</v>
      </c>
      <c r="X10" s="9">
        <v>0</v>
      </c>
      <c r="AE10" s="9">
        <v>1792</v>
      </c>
      <c r="AL10" s="9">
        <v>1344</v>
      </c>
      <c r="AS10" s="9">
        <v>1344</v>
      </c>
      <c r="AZ10" s="9">
        <v>448</v>
      </c>
      <c r="BG10" s="9">
        <v>1304</v>
      </c>
      <c r="BN10" s="9">
        <v>2240</v>
      </c>
      <c r="BP10" s="12">
        <f t="shared" si="0"/>
        <v>12504</v>
      </c>
    </row>
    <row r="11" spans="1:71">
      <c r="B11" s="19">
        <v>1233492</v>
      </c>
      <c r="C11" s="9">
        <v>0</v>
      </c>
      <c r="J11" s="9">
        <v>0</v>
      </c>
      <c r="Q11" s="9">
        <v>0</v>
      </c>
      <c r="X11" s="9">
        <v>0</v>
      </c>
      <c r="AE11" s="9">
        <v>500</v>
      </c>
      <c r="AL11" s="9">
        <v>500</v>
      </c>
      <c r="AS11" s="9">
        <v>0</v>
      </c>
      <c r="AZ11" s="9">
        <v>0</v>
      </c>
      <c r="BG11" s="9">
        <v>500</v>
      </c>
      <c r="BN11" s="9">
        <v>500</v>
      </c>
      <c r="BP11" s="12">
        <f t="shared" si="0"/>
        <v>2000</v>
      </c>
    </row>
    <row r="12" spans="1:71">
      <c r="B12" s="19">
        <v>1233498</v>
      </c>
      <c r="C12" s="9">
        <v>0</v>
      </c>
      <c r="J12" s="9">
        <v>0</v>
      </c>
      <c r="Q12" s="9">
        <v>0</v>
      </c>
      <c r="X12" s="9">
        <v>0</v>
      </c>
      <c r="AE12" s="9">
        <v>500</v>
      </c>
      <c r="AL12" s="9">
        <v>500</v>
      </c>
      <c r="AS12" s="9">
        <v>0</v>
      </c>
      <c r="AZ12" s="9">
        <v>0</v>
      </c>
      <c r="BG12" s="9">
        <v>500</v>
      </c>
      <c r="BN12" s="9">
        <v>500</v>
      </c>
      <c r="BP12" s="12">
        <f t="shared" si="0"/>
        <v>2000</v>
      </c>
    </row>
    <row r="13" spans="1:71">
      <c r="B13" s="19">
        <v>1233623</v>
      </c>
      <c r="C13" s="9">
        <v>0</v>
      </c>
      <c r="J13" s="9">
        <v>0</v>
      </c>
      <c r="Q13" s="9">
        <v>0</v>
      </c>
      <c r="X13" s="9">
        <v>0</v>
      </c>
      <c r="AE13" s="9">
        <v>500</v>
      </c>
      <c r="AL13" s="9">
        <v>500</v>
      </c>
      <c r="AS13" s="9">
        <v>0</v>
      </c>
      <c r="AZ13" s="9">
        <v>0</v>
      </c>
      <c r="BG13" s="9">
        <v>500</v>
      </c>
      <c r="BN13" s="9">
        <v>500</v>
      </c>
      <c r="BP13" s="12">
        <f t="shared" si="0"/>
        <v>2000</v>
      </c>
    </row>
    <row r="14" spans="1:71">
      <c r="B14" s="19">
        <v>1233761</v>
      </c>
      <c r="C14" s="9">
        <v>200</v>
      </c>
      <c r="J14" s="9">
        <v>250</v>
      </c>
      <c r="Q14" s="9">
        <v>200</v>
      </c>
      <c r="X14" s="9">
        <v>0</v>
      </c>
      <c r="AE14" s="9">
        <v>0</v>
      </c>
      <c r="AL14" s="9">
        <v>150</v>
      </c>
      <c r="AS14" s="9">
        <v>200</v>
      </c>
      <c r="AZ14" s="9">
        <v>100</v>
      </c>
      <c r="BG14" s="9">
        <v>0</v>
      </c>
      <c r="BN14" s="9">
        <v>100</v>
      </c>
      <c r="BP14" s="12">
        <f t="shared" si="0"/>
        <v>1200</v>
      </c>
    </row>
    <row r="15" spans="1:71">
      <c r="B15" s="19">
        <v>1233877</v>
      </c>
      <c r="C15" s="9">
        <v>0</v>
      </c>
      <c r="J15" s="9">
        <v>0</v>
      </c>
      <c r="Q15" s="9">
        <v>0</v>
      </c>
      <c r="X15" s="9">
        <v>0</v>
      </c>
      <c r="AE15" s="9">
        <v>0</v>
      </c>
      <c r="AL15" s="9">
        <v>0</v>
      </c>
      <c r="AS15" s="9">
        <v>120</v>
      </c>
      <c r="AZ15" s="9">
        <v>0</v>
      </c>
      <c r="BG15" s="9">
        <v>0</v>
      </c>
      <c r="BN15" s="9">
        <v>0</v>
      </c>
      <c r="BP15" s="12">
        <f t="shared" si="0"/>
        <v>120</v>
      </c>
    </row>
    <row r="16" spans="1:71">
      <c r="B16" s="19">
        <v>1234614</v>
      </c>
      <c r="C16" s="9">
        <v>300</v>
      </c>
      <c r="J16" s="9">
        <v>0</v>
      </c>
      <c r="Q16" s="9">
        <v>300</v>
      </c>
      <c r="X16" s="9">
        <v>0</v>
      </c>
      <c r="AE16" s="9">
        <v>300</v>
      </c>
      <c r="AL16" s="9">
        <v>300</v>
      </c>
      <c r="AS16" s="9">
        <v>300</v>
      </c>
      <c r="AZ16" s="9">
        <v>0</v>
      </c>
      <c r="BG16" s="9">
        <v>300</v>
      </c>
      <c r="BN16" s="9">
        <v>300</v>
      </c>
      <c r="BP16" s="12">
        <f t="shared" si="0"/>
        <v>2100</v>
      </c>
    </row>
    <row r="17" spans="2:68">
      <c r="B17" s="19">
        <v>1235623</v>
      </c>
      <c r="C17" s="9">
        <v>1872</v>
      </c>
      <c r="J17" s="9">
        <v>0</v>
      </c>
      <c r="Q17" s="9">
        <v>0</v>
      </c>
      <c r="X17" s="9">
        <v>0</v>
      </c>
      <c r="AE17" s="9">
        <v>0</v>
      </c>
      <c r="AL17" s="9">
        <v>0</v>
      </c>
      <c r="AS17" s="9">
        <v>0</v>
      </c>
      <c r="AZ17" s="9">
        <v>1872</v>
      </c>
      <c r="BG17" s="9">
        <v>0</v>
      </c>
      <c r="BN17" s="9">
        <v>0</v>
      </c>
      <c r="BP17" s="12">
        <f t="shared" si="0"/>
        <v>3744</v>
      </c>
    </row>
    <row r="18" spans="2:68">
      <c r="B18" s="19">
        <v>1236091</v>
      </c>
      <c r="C18" s="9">
        <v>200</v>
      </c>
      <c r="J18" s="9">
        <v>300</v>
      </c>
      <c r="Q18" s="9">
        <v>0</v>
      </c>
      <c r="X18" s="9">
        <v>0</v>
      </c>
      <c r="AE18" s="9">
        <v>250</v>
      </c>
      <c r="AL18" s="9">
        <v>250</v>
      </c>
      <c r="AS18" s="9">
        <v>0</v>
      </c>
      <c r="AZ18" s="9">
        <v>0</v>
      </c>
      <c r="BG18" s="9">
        <v>0</v>
      </c>
      <c r="BN18" s="9">
        <v>200</v>
      </c>
      <c r="BP18" s="12">
        <f t="shared" si="0"/>
        <v>1200</v>
      </c>
    </row>
    <row r="19" spans="2:68">
      <c r="B19" s="19">
        <v>1236488</v>
      </c>
      <c r="C19" s="9">
        <v>800</v>
      </c>
      <c r="J19" s="9">
        <v>800</v>
      </c>
      <c r="Q19" s="9">
        <v>900</v>
      </c>
      <c r="X19" s="9">
        <v>1400</v>
      </c>
      <c r="AE19" s="9">
        <v>700</v>
      </c>
      <c r="AL19" s="9">
        <v>700</v>
      </c>
      <c r="AS19" s="9">
        <v>700</v>
      </c>
      <c r="AZ19" s="9">
        <v>600</v>
      </c>
      <c r="BG19" s="9">
        <v>700</v>
      </c>
      <c r="BN19" s="9">
        <v>800</v>
      </c>
      <c r="BP19" s="12">
        <f t="shared" si="0"/>
        <v>8100</v>
      </c>
    </row>
    <row r="20" spans="2:68">
      <c r="B20" s="19">
        <v>1236534</v>
      </c>
      <c r="C20" s="9">
        <v>0</v>
      </c>
      <c r="J20" s="9">
        <v>200</v>
      </c>
      <c r="Q20" s="9">
        <v>200</v>
      </c>
      <c r="X20" s="9">
        <v>0</v>
      </c>
      <c r="AE20" s="9">
        <v>300</v>
      </c>
      <c r="AL20" s="9">
        <v>200</v>
      </c>
      <c r="AS20" s="9">
        <v>0</v>
      </c>
      <c r="AZ20" s="9">
        <v>0</v>
      </c>
      <c r="BG20" s="9">
        <v>300</v>
      </c>
      <c r="BN20" s="9">
        <v>300</v>
      </c>
      <c r="BP20" s="12">
        <f t="shared" si="0"/>
        <v>1500</v>
      </c>
    </row>
    <row r="21" spans="2:68">
      <c r="B21" s="19">
        <v>1236962</v>
      </c>
      <c r="C21" s="9">
        <v>1000</v>
      </c>
      <c r="J21" s="9">
        <v>1000</v>
      </c>
      <c r="Q21" s="9">
        <v>900</v>
      </c>
      <c r="X21" s="9">
        <v>400</v>
      </c>
      <c r="AE21" s="9">
        <v>700</v>
      </c>
      <c r="AL21" s="9">
        <v>600</v>
      </c>
      <c r="AS21" s="9">
        <v>700</v>
      </c>
      <c r="AZ21" s="9">
        <v>600</v>
      </c>
      <c r="BG21" s="9">
        <v>700</v>
      </c>
      <c r="BN21" s="9">
        <v>600</v>
      </c>
      <c r="BP21" s="12">
        <f t="shared" si="0"/>
        <v>7200</v>
      </c>
    </row>
    <row r="22" spans="2:68">
      <c r="B22" s="19">
        <v>1237088</v>
      </c>
      <c r="C22" s="9">
        <v>5092</v>
      </c>
      <c r="J22" s="9">
        <v>3292</v>
      </c>
      <c r="Q22" s="9">
        <v>4140</v>
      </c>
      <c r="X22" s="9">
        <v>1200</v>
      </c>
      <c r="AE22" s="9">
        <v>3340</v>
      </c>
      <c r="AL22" s="9">
        <v>4236</v>
      </c>
      <c r="AS22" s="9">
        <v>3090</v>
      </c>
      <c r="AZ22" s="9">
        <v>1944</v>
      </c>
      <c r="BG22" s="9">
        <v>2644</v>
      </c>
      <c r="BN22" s="9">
        <v>3092</v>
      </c>
      <c r="BP22" s="12">
        <f t="shared" si="0"/>
        <v>32070</v>
      </c>
    </row>
    <row r="23" spans="2:68">
      <c r="B23" s="19">
        <v>1237586</v>
      </c>
      <c r="C23" s="9">
        <v>1344</v>
      </c>
      <c r="J23" s="9">
        <v>1344</v>
      </c>
      <c r="Q23" s="9">
        <v>1344</v>
      </c>
      <c r="X23" s="9">
        <v>0</v>
      </c>
      <c r="AE23" s="9">
        <v>1792</v>
      </c>
      <c r="AL23" s="9">
        <v>1344</v>
      </c>
      <c r="AS23" s="9">
        <v>1344</v>
      </c>
      <c r="AZ23" s="9">
        <v>448</v>
      </c>
      <c r="BG23" s="9">
        <v>1304</v>
      </c>
      <c r="BN23" s="9">
        <v>2240</v>
      </c>
      <c r="BP23" s="12">
        <f t="shared" si="0"/>
        <v>12504</v>
      </c>
    </row>
    <row r="24" spans="2:68">
      <c r="B24" s="19">
        <v>1237748</v>
      </c>
      <c r="C24" s="9">
        <v>150</v>
      </c>
      <c r="J24" s="9">
        <v>0</v>
      </c>
      <c r="Q24" s="9">
        <v>0</v>
      </c>
      <c r="X24" s="9">
        <v>572</v>
      </c>
      <c r="AE24" s="9">
        <v>450</v>
      </c>
      <c r="AL24" s="9">
        <v>0</v>
      </c>
      <c r="AS24" s="9">
        <v>0</v>
      </c>
      <c r="AZ24" s="9">
        <v>676</v>
      </c>
      <c r="BG24" s="9">
        <v>0</v>
      </c>
      <c r="BN24" s="9">
        <v>376</v>
      </c>
      <c r="BP24" s="12">
        <f t="shared" si="0"/>
        <v>2224</v>
      </c>
    </row>
    <row r="25" spans="2:68">
      <c r="B25" s="19">
        <v>1238128</v>
      </c>
      <c r="C25" s="9">
        <v>4390</v>
      </c>
      <c r="J25" s="9">
        <v>1736</v>
      </c>
      <c r="Q25" s="9">
        <v>1896</v>
      </c>
      <c r="X25" s="9">
        <v>2536</v>
      </c>
      <c r="AE25" s="9">
        <v>2752</v>
      </c>
      <c r="AL25" s="9">
        <v>2004</v>
      </c>
      <c r="AS25" s="9">
        <v>2116</v>
      </c>
      <c r="AZ25" s="9">
        <v>3500</v>
      </c>
      <c r="BG25" s="9">
        <v>3076</v>
      </c>
      <c r="BN25" s="9">
        <v>1248</v>
      </c>
      <c r="BP25" s="12">
        <f t="shared" si="0"/>
        <v>25254</v>
      </c>
    </row>
    <row r="26" spans="2:68">
      <c r="B26" s="19">
        <v>1239651</v>
      </c>
      <c r="C26" s="9">
        <v>400</v>
      </c>
      <c r="J26" s="9">
        <v>500</v>
      </c>
      <c r="Q26" s="9">
        <v>450</v>
      </c>
      <c r="X26" s="9">
        <v>150</v>
      </c>
      <c r="AE26" s="9">
        <v>400</v>
      </c>
      <c r="AL26" s="9">
        <v>400</v>
      </c>
      <c r="AS26" s="9">
        <v>450</v>
      </c>
      <c r="AZ26" s="9">
        <v>0</v>
      </c>
      <c r="BG26" s="9">
        <v>300</v>
      </c>
      <c r="BN26" s="9">
        <v>200</v>
      </c>
      <c r="BP26" s="12">
        <f t="shared" si="0"/>
        <v>3250</v>
      </c>
    </row>
    <row r="27" spans="2:68">
      <c r="B27" s="19">
        <v>1239988</v>
      </c>
      <c r="C27" s="9">
        <v>1614</v>
      </c>
      <c r="J27" s="9">
        <v>1200</v>
      </c>
      <c r="Q27" s="9">
        <v>1009</v>
      </c>
      <c r="X27" s="9">
        <v>600</v>
      </c>
      <c r="AE27" s="9">
        <v>3106</v>
      </c>
      <c r="AL27" s="9">
        <v>1524</v>
      </c>
      <c r="AS27" s="9">
        <v>0</v>
      </c>
      <c r="AZ27" s="9">
        <v>0</v>
      </c>
      <c r="BG27" s="9">
        <v>600</v>
      </c>
      <c r="BN27" s="9">
        <v>1250</v>
      </c>
      <c r="BP27" s="12">
        <f t="shared" si="0"/>
        <v>10903</v>
      </c>
    </row>
    <row r="28" spans="2:68">
      <c r="B28" s="19">
        <v>1240180</v>
      </c>
      <c r="C28" s="9">
        <v>1218</v>
      </c>
      <c r="J28" s="9">
        <v>1718</v>
      </c>
      <c r="Q28" s="9">
        <v>1455</v>
      </c>
      <c r="X28" s="9">
        <v>820</v>
      </c>
      <c r="AE28" s="9">
        <v>1606</v>
      </c>
      <c r="AL28" s="9">
        <v>1819</v>
      </c>
      <c r="AS28" s="9">
        <v>1750</v>
      </c>
      <c r="AZ28" s="9">
        <v>1000</v>
      </c>
      <c r="BG28" s="9">
        <v>1350</v>
      </c>
      <c r="BN28" s="9">
        <v>1900</v>
      </c>
      <c r="BP28" s="12">
        <f t="shared" si="0"/>
        <v>14636</v>
      </c>
    </row>
    <row r="29" spans="2:68">
      <c r="B29" s="19">
        <v>1240184</v>
      </c>
      <c r="C29" s="9">
        <v>1018</v>
      </c>
      <c r="J29" s="9">
        <v>1718</v>
      </c>
      <c r="Q29" s="9">
        <v>1305</v>
      </c>
      <c r="X29" s="9">
        <v>820</v>
      </c>
      <c r="AE29" s="9">
        <v>1606</v>
      </c>
      <c r="AL29" s="9">
        <v>1453</v>
      </c>
      <c r="AS29" s="9">
        <v>1650</v>
      </c>
      <c r="AZ29" s="9">
        <v>900</v>
      </c>
      <c r="BG29" s="9">
        <v>1350</v>
      </c>
      <c r="BN29" s="9">
        <v>1700</v>
      </c>
      <c r="BP29" s="12">
        <f t="shared" si="0"/>
        <v>13520</v>
      </c>
    </row>
    <row r="30" spans="2:68">
      <c r="B30" s="19">
        <v>1240308</v>
      </c>
      <c r="C30" s="9">
        <v>1150</v>
      </c>
      <c r="J30" s="9">
        <v>818</v>
      </c>
      <c r="Q30" s="9">
        <v>556</v>
      </c>
      <c r="X30" s="9">
        <v>0</v>
      </c>
      <c r="AE30" s="9">
        <v>0</v>
      </c>
      <c r="AL30" s="9">
        <v>850</v>
      </c>
      <c r="AS30" s="9">
        <v>200</v>
      </c>
      <c r="AZ30" s="9">
        <v>0</v>
      </c>
      <c r="BG30" s="9">
        <v>0</v>
      </c>
      <c r="BN30" s="9">
        <v>700</v>
      </c>
      <c r="BP30" s="12">
        <f t="shared" si="0"/>
        <v>4274</v>
      </c>
    </row>
    <row r="31" spans="2:68">
      <c r="B31" s="19">
        <v>1241601</v>
      </c>
      <c r="C31" s="9">
        <v>7056</v>
      </c>
      <c r="J31" s="9">
        <v>6910</v>
      </c>
      <c r="Q31" s="9">
        <v>6382</v>
      </c>
      <c r="X31" s="9">
        <v>4078</v>
      </c>
      <c r="AE31" s="9">
        <v>4300</v>
      </c>
      <c r="AL31" s="9">
        <v>4300</v>
      </c>
      <c r="AS31" s="9">
        <v>4600</v>
      </c>
      <c r="AZ31" s="9">
        <v>3450</v>
      </c>
      <c r="BG31" s="9">
        <v>3900</v>
      </c>
      <c r="BN31" s="9">
        <v>4300</v>
      </c>
      <c r="BP31" s="12">
        <f t="shared" si="0"/>
        <v>49276</v>
      </c>
    </row>
    <row r="35" spans="1:71" s="19" customFormat="1">
      <c r="A35" s="19" t="s">
        <v>24</v>
      </c>
      <c r="B35" s="19" t="s">
        <v>0</v>
      </c>
      <c r="C35" s="96" t="s">
        <v>773</v>
      </c>
      <c r="D35" s="96"/>
      <c r="E35" s="96"/>
      <c r="F35" s="96"/>
      <c r="G35" s="96"/>
      <c r="H35" s="96"/>
      <c r="I35" s="96"/>
      <c r="J35" s="96" t="s">
        <v>796</v>
      </c>
      <c r="K35" s="96"/>
      <c r="L35" s="96"/>
      <c r="M35" s="96"/>
      <c r="N35" s="96"/>
      <c r="O35" s="96"/>
      <c r="P35" s="96"/>
      <c r="Q35" s="96" t="s">
        <v>823</v>
      </c>
      <c r="R35" s="96"/>
      <c r="S35" s="96"/>
      <c r="T35" s="96"/>
      <c r="U35" s="96"/>
      <c r="V35" s="96"/>
      <c r="W35" s="96"/>
      <c r="X35" s="96" t="s">
        <v>847</v>
      </c>
      <c r="Y35" s="96"/>
      <c r="Z35" s="96"/>
      <c r="AA35" s="96"/>
      <c r="AB35" s="96"/>
      <c r="AC35" s="96"/>
      <c r="AD35" s="96"/>
      <c r="AE35" s="96" t="s">
        <v>876</v>
      </c>
      <c r="AF35" s="96"/>
      <c r="AG35" s="96"/>
      <c r="AH35" s="96"/>
      <c r="AI35" s="96"/>
      <c r="AJ35" s="96"/>
      <c r="AK35" s="96"/>
      <c r="AL35" s="96" t="s">
        <v>902</v>
      </c>
      <c r="AM35" s="96"/>
      <c r="AN35" s="96"/>
      <c r="AO35" s="96"/>
      <c r="AP35" s="96"/>
      <c r="AQ35" s="96"/>
      <c r="AR35" s="96"/>
      <c r="AS35" s="96" t="s">
        <v>927</v>
      </c>
      <c r="AT35" s="96"/>
      <c r="AU35" s="96"/>
      <c r="AV35" s="96"/>
      <c r="AW35" s="96"/>
      <c r="AX35" s="96"/>
      <c r="AY35" s="96"/>
      <c r="AZ35" s="96" t="s">
        <v>939</v>
      </c>
      <c r="BA35" s="96"/>
      <c r="BB35" s="96"/>
      <c r="BC35" s="96"/>
      <c r="BD35" s="96"/>
      <c r="BE35" s="96"/>
      <c r="BF35" s="96"/>
      <c r="BG35" s="96" t="s">
        <v>997</v>
      </c>
      <c r="BH35" s="96"/>
      <c r="BI35" s="96"/>
      <c r="BJ35" s="96"/>
      <c r="BK35" s="96"/>
      <c r="BL35" s="96"/>
      <c r="BM35" s="96"/>
      <c r="BN35" s="96" t="s">
        <v>1045</v>
      </c>
      <c r="BO35" s="96"/>
      <c r="BP35" s="232"/>
      <c r="BQ35" s="96"/>
      <c r="BR35" s="96"/>
      <c r="BS35" s="96"/>
    </row>
    <row r="36" spans="1:71" s="19" customFormat="1">
      <c r="C36" s="96" t="s">
        <v>774</v>
      </c>
      <c r="D36" s="96"/>
      <c r="E36" s="96"/>
      <c r="F36" s="96"/>
      <c r="G36" s="96"/>
      <c r="H36" s="96"/>
      <c r="I36" s="96"/>
      <c r="J36" s="96" t="s">
        <v>797</v>
      </c>
      <c r="K36" s="96"/>
      <c r="L36" s="96"/>
      <c r="M36" s="96"/>
      <c r="N36" s="96"/>
      <c r="O36" s="96"/>
      <c r="P36" s="96"/>
      <c r="Q36" s="96" t="s">
        <v>824</v>
      </c>
      <c r="R36" s="96"/>
      <c r="S36" s="96"/>
      <c r="T36" s="96"/>
      <c r="U36" s="96"/>
      <c r="V36" s="96"/>
      <c r="W36" s="96"/>
      <c r="X36" s="96" t="s">
        <v>848</v>
      </c>
      <c r="Y36" s="96"/>
      <c r="Z36" s="96"/>
      <c r="AA36" s="96"/>
      <c r="AB36" s="96"/>
      <c r="AC36" s="96"/>
      <c r="AD36" s="96"/>
      <c r="AE36" s="96" t="s">
        <v>877</v>
      </c>
      <c r="AF36" s="96"/>
      <c r="AG36" s="96"/>
      <c r="AH36" s="96"/>
      <c r="AI36" s="96"/>
      <c r="AJ36" s="96"/>
      <c r="AK36" s="96"/>
      <c r="AL36" s="96" t="s">
        <v>903</v>
      </c>
      <c r="AM36" s="96"/>
      <c r="AN36" s="96"/>
      <c r="AO36" s="96"/>
      <c r="AP36" s="96"/>
      <c r="AQ36" s="96"/>
      <c r="AR36" s="96"/>
      <c r="AS36" s="96" t="s">
        <v>928</v>
      </c>
      <c r="AT36" s="96"/>
      <c r="AU36" s="96"/>
      <c r="AV36" s="96"/>
      <c r="AW36" s="96"/>
      <c r="AX36" s="96"/>
      <c r="AY36" s="96"/>
      <c r="AZ36" s="96" t="s">
        <v>998</v>
      </c>
      <c r="BA36" s="96"/>
      <c r="BB36" s="96"/>
      <c r="BC36" s="96"/>
      <c r="BD36" s="96"/>
      <c r="BE36" s="96"/>
      <c r="BF36" s="96"/>
      <c r="BG36" s="96" t="s">
        <v>999</v>
      </c>
      <c r="BH36" s="96"/>
      <c r="BI36" s="96"/>
      <c r="BJ36" s="96"/>
      <c r="BK36" s="96"/>
      <c r="BL36" s="96"/>
      <c r="BM36" s="96"/>
      <c r="BN36" s="96" t="s">
        <v>1046</v>
      </c>
      <c r="BO36" s="96"/>
      <c r="BP36" s="232"/>
      <c r="BQ36" s="96"/>
      <c r="BR36" s="96"/>
      <c r="BS36" s="96"/>
    </row>
    <row r="37" spans="1:71">
      <c r="B37" s="19">
        <v>1216452</v>
      </c>
      <c r="C37" s="9">
        <v>0</v>
      </c>
      <c r="J37" s="9">
        <v>0</v>
      </c>
      <c r="Q37" s="9">
        <v>324</v>
      </c>
      <c r="X37" s="9">
        <v>1152</v>
      </c>
      <c r="AE37" s="9">
        <v>2304</v>
      </c>
      <c r="AL37" s="9">
        <v>0</v>
      </c>
      <c r="AS37" s="9">
        <v>324</v>
      </c>
      <c r="AZ37" s="9">
        <v>0</v>
      </c>
      <c r="BG37" s="9">
        <v>900</v>
      </c>
      <c r="BN37" s="9">
        <v>0</v>
      </c>
      <c r="BP37" s="12">
        <f t="shared" ref="BP37:BP95" si="1">SUM(C37:BN37)</f>
        <v>5004</v>
      </c>
    </row>
    <row r="38" spans="1:71">
      <c r="B38" s="19">
        <v>1220847</v>
      </c>
      <c r="C38" s="9">
        <v>1260</v>
      </c>
      <c r="J38" s="9">
        <v>0</v>
      </c>
      <c r="Q38" s="9">
        <v>0</v>
      </c>
      <c r="X38" s="9">
        <v>0</v>
      </c>
      <c r="AE38" s="9">
        <v>50</v>
      </c>
      <c r="AL38" s="9">
        <v>1050</v>
      </c>
      <c r="AS38" s="9">
        <v>0</v>
      </c>
      <c r="AZ38" s="9">
        <v>0</v>
      </c>
      <c r="BG38" s="9">
        <v>0</v>
      </c>
      <c r="BN38" s="9">
        <v>784</v>
      </c>
      <c r="BP38" s="12">
        <f t="shared" si="1"/>
        <v>3144</v>
      </c>
    </row>
    <row r="39" spans="1:71">
      <c r="B39" s="19">
        <v>1221967</v>
      </c>
      <c r="C39" s="9">
        <v>170</v>
      </c>
      <c r="J39" s="9">
        <v>0</v>
      </c>
      <c r="Q39" s="9">
        <v>0</v>
      </c>
      <c r="X39" s="9">
        <v>0</v>
      </c>
      <c r="AE39" s="9">
        <v>0</v>
      </c>
      <c r="AL39" s="9">
        <v>0</v>
      </c>
      <c r="AS39" s="9">
        <v>0</v>
      </c>
      <c r="AZ39" s="9">
        <v>351</v>
      </c>
      <c r="BG39" s="9">
        <v>0</v>
      </c>
      <c r="BN39" s="9">
        <v>68</v>
      </c>
      <c r="BP39" s="12">
        <f t="shared" si="1"/>
        <v>589</v>
      </c>
    </row>
    <row r="40" spans="1:71">
      <c r="B40" s="19">
        <v>1225464</v>
      </c>
      <c r="C40" s="9">
        <v>756</v>
      </c>
      <c r="J40" s="9">
        <v>0</v>
      </c>
      <c r="Q40" s="9">
        <v>0</v>
      </c>
      <c r="X40" s="9">
        <v>0</v>
      </c>
      <c r="AE40" s="9">
        <v>0</v>
      </c>
      <c r="AL40" s="9">
        <v>756</v>
      </c>
      <c r="AS40" s="9">
        <v>0</v>
      </c>
      <c r="AZ40" s="9">
        <v>0</v>
      </c>
      <c r="BG40" s="9">
        <v>0</v>
      </c>
      <c r="BN40" s="9">
        <v>1578</v>
      </c>
      <c r="BP40" s="12">
        <f t="shared" si="1"/>
        <v>3090</v>
      </c>
    </row>
    <row r="41" spans="1:71">
      <c r="B41" s="19">
        <v>1227306</v>
      </c>
      <c r="C41" s="9">
        <v>1100</v>
      </c>
      <c r="J41" s="9">
        <v>890</v>
      </c>
      <c r="Q41" s="9">
        <v>500</v>
      </c>
      <c r="X41" s="9">
        <v>0</v>
      </c>
      <c r="AE41" s="9">
        <v>0</v>
      </c>
      <c r="AL41" s="9">
        <v>1050</v>
      </c>
      <c r="AS41" s="9">
        <v>100</v>
      </c>
      <c r="AZ41" s="9">
        <v>0</v>
      </c>
      <c r="BG41" s="9">
        <v>400</v>
      </c>
      <c r="BN41" s="9">
        <v>850</v>
      </c>
      <c r="BP41" s="12">
        <f t="shared" si="1"/>
        <v>4890</v>
      </c>
    </row>
    <row r="42" spans="1:71">
      <c r="B42" s="19">
        <v>1229050</v>
      </c>
      <c r="C42" s="9">
        <v>0</v>
      </c>
      <c r="J42" s="9">
        <v>0</v>
      </c>
      <c r="Q42" s="9">
        <v>0</v>
      </c>
      <c r="X42" s="9">
        <v>205</v>
      </c>
      <c r="AE42" s="9">
        <v>0</v>
      </c>
      <c r="AL42" s="9">
        <v>0</v>
      </c>
      <c r="AS42" s="9">
        <v>0</v>
      </c>
      <c r="AZ42" s="9">
        <v>225</v>
      </c>
      <c r="BG42" s="9">
        <v>0</v>
      </c>
      <c r="BN42" s="9">
        <v>0</v>
      </c>
      <c r="BP42" s="12">
        <f t="shared" si="1"/>
        <v>430</v>
      </c>
    </row>
    <row r="43" spans="1:71">
      <c r="B43" s="19">
        <v>1229088</v>
      </c>
      <c r="C43" s="9">
        <v>200</v>
      </c>
      <c r="J43" s="9">
        <v>0</v>
      </c>
      <c r="Q43" s="9">
        <v>0</v>
      </c>
      <c r="X43" s="9">
        <v>0</v>
      </c>
      <c r="AE43" s="9">
        <v>150</v>
      </c>
      <c r="AL43" s="9">
        <v>0</v>
      </c>
      <c r="AS43" s="9">
        <v>0</v>
      </c>
      <c r="AZ43" s="9">
        <v>0</v>
      </c>
      <c r="BG43" s="9">
        <v>0</v>
      </c>
      <c r="BN43" s="9">
        <v>50</v>
      </c>
      <c r="BP43" s="12">
        <f t="shared" si="1"/>
        <v>400</v>
      </c>
    </row>
    <row r="44" spans="1:71">
      <c r="B44" s="19">
        <v>1229776</v>
      </c>
      <c r="C44" s="9">
        <v>90</v>
      </c>
      <c r="J44" s="9">
        <v>380</v>
      </c>
      <c r="Q44" s="9">
        <v>0</v>
      </c>
      <c r="X44" s="9">
        <v>0</v>
      </c>
      <c r="AE44" s="9">
        <v>0</v>
      </c>
      <c r="AL44" s="9">
        <v>100</v>
      </c>
      <c r="AS44" s="9">
        <v>0</v>
      </c>
      <c r="AZ44" s="9">
        <v>90</v>
      </c>
      <c r="BG44" s="9">
        <v>0</v>
      </c>
      <c r="BN44" s="9">
        <v>0</v>
      </c>
      <c r="BP44" s="12">
        <f t="shared" si="1"/>
        <v>660</v>
      </c>
    </row>
    <row r="45" spans="1:71">
      <c r="B45" s="19">
        <v>1230685</v>
      </c>
      <c r="C45" s="9">
        <v>200</v>
      </c>
      <c r="J45" s="9">
        <v>200</v>
      </c>
      <c r="Q45" s="9">
        <v>0</v>
      </c>
      <c r="X45" s="9">
        <v>0</v>
      </c>
      <c r="AE45" s="9">
        <v>0</v>
      </c>
      <c r="AL45" s="9">
        <v>250</v>
      </c>
      <c r="AS45" s="9">
        <v>0</v>
      </c>
      <c r="AZ45" s="9">
        <v>0</v>
      </c>
      <c r="BG45" s="9">
        <v>0</v>
      </c>
      <c r="BN45" s="9">
        <v>200</v>
      </c>
      <c r="BP45" s="12">
        <f t="shared" si="1"/>
        <v>850</v>
      </c>
    </row>
    <row r="46" spans="1:71">
      <c r="B46" s="19">
        <v>1230791</v>
      </c>
      <c r="C46" s="9">
        <v>0</v>
      </c>
      <c r="J46" s="9">
        <v>0</v>
      </c>
      <c r="Q46" s="9">
        <v>0</v>
      </c>
      <c r="X46" s="9">
        <v>0</v>
      </c>
      <c r="AE46" s="9">
        <v>0</v>
      </c>
      <c r="AL46" s="9">
        <v>0</v>
      </c>
      <c r="AS46" s="9">
        <v>0</v>
      </c>
      <c r="AZ46" s="9">
        <v>0</v>
      </c>
      <c r="BG46" s="9">
        <v>0</v>
      </c>
      <c r="BN46" s="9">
        <v>421</v>
      </c>
      <c r="BP46" s="12">
        <f t="shared" si="1"/>
        <v>421</v>
      </c>
    </row>
    <row r="47" spans="1:71">
      <c r="B47" s="19">
        <v>1231011</v>
      </c>
      <c r="C47" s="9">
        <v>0</v>
      </c>
      <c r="J47" s="9">
        <v>300</v>
      </c>
      <c r="Q47" s="9">
        <v>0</v>
      </c>
      <c r="X47" s="9">
        <v>0</v>
      </c>
      <c r="AE47" s="9">
        <v>0</v>
      </c>
      <c r="AL47" s="9">
        <v>0</v>
      </c>
      <c r="AS47" s="9">
        <v>0</v>
      </c>
      <c r="AZ47" s="9">
        <v>0</v>
      </c>
      <c r="BG47" s="9">
        <v>0</v>
      </c>
      <c r="BN47" s="9">
        <v>0</v>
      </c>
      <c r="BP47" s="12">
        <f t="shared" si="1"/>
        <v>300</v>
      </c>
    </row>
    <row r="48" spans="1:71">
      <c r="B48" s="19">
        <v>1231090</v>
      </c>
      <c r="C48" s="9">
        <v>710</v>
      </c>
      <c r="J48" s="9">
        <v>380</v>
      </c>
      <c r="Q48" s="9">
        <v>0</v>
      </c>
      <c r="X48" s="9">
        <v>1250</v>
      </c>
      <c r="AE48" s="9">
        <v>0</v>
      </c>
      <c r="AL48" s="9">
        <v>100</v>
      </c>
      <c r="AS48" s="9">
        <v>0</v>
      </c>
      <c r="AZ48" s="9">
        <v>1080</v>
      </c>
      <c r="BG48" s="9">
        <v>0</v>
      </c>
      <c r="BN48" s="9">
        <v>300</v>
      </c>
      <c r="BP48" s="12">
        <f t="shared" si="1"/>
        <v>3820</v>
      </c>
    </row>
    <row r="49" spans="2:68">
      <c r="B49" s="19">
        <v>1231578</v>
      </c>
      <c r="C49" s="9">
        <v>600</v>
      </c>
      <c r="J49" s="9">
        <v>400</v>
      </c>
      <c r="Q49" s="9">
        <v>600</v>
      </c>
      <c r="X49" s="9">
        <v>0</v>
      </c>
      <c r="AE49" s="9">
        <v>0</v>
      </c>
      <c r="AL49" s="9">
        <v>0</v>
      </c>
      <c r="AS49" s="9">
        <v>100</v>
      </c>
      <c r="AZ49" s="9">
        <v>0</v>
      </c>
      <c r="BG49" s="9">
        <v>0</v>
      </c>
      <c r="BN49" s="9">
        <v>200</v>
      </c>
      <c r="BP49" s="12">
        <f t="shared" si="1"/>
        <v>1900</v>
      </c>
    </row>
    <row r="50" spans="2:68">
      <c r="B50" s="19">
        <v>1231797</v>
      </c>
      <c r="C50" s="9">
        <v>0</v>
      </c>
      <c r="J50" s="9">
        <v>0</v>
      </c>
      <c r="Q50" s="9">
        <v>154</v>
      </c>
      <c r="X50" s="9">
        <v>0</v>
      </c>
      <c r="AE50" s="9">
        <v>0</v>
      </c>
      <c r="AL50" s="9">
        <v>0</v>
      </c>
      <c r="AS50" s="9">
        <v>154</v>
      </c>
      <c r="AZ50" s="9">
        <v>0</v>
      </c>
      <c r="BG50" s="9">
        <v>0</v>
      </c>
      <c r="BN50" s="9">
        <v>0</v>
      </c>
      <c r="BP50" s="12">
        <f t="shared" si="1"/>
        <v>308</v>
      </c>
    </row>
    <row r="51" spans="2:68">
      <c r="B51" s="19">
        <v>1231860</v>
      </c>
      <c r="C51" s="9">
        <v>0</v>
      </c>
      <c r="J51" s="9">
        <v>0</v>
      </c>
      <c r="Q51" s="9">
        <v>0</v>
      </c>
      <c r="X51" s="9">
        <v>100</v>
      </c>
      <c r="AE51" s="9">
        <v>0</v>
      </c>
      <c r="AL51" s="9">
        <v>0</v>
      </c>
      <c r="AS51" s="9">
        <v>0</v>
      </c>
      <c r="AZ51" s="9">
        <v>0</v>
      </c>
      <c r="BG51" s="9">
        <v>0</v>
      </c>
      <c r="BN51" s="9">
        <v>0</v>
      </c>
      <c r="BP51" s="12">
        <f t="shared" si="1"/>
        <v>100</v>
      </c>
    </row>
    <row r="52" spans="2:68">
      <c r="B52" s="19">
        <v>1232066</v>
      </c>
      <c r="C52" s="9">
        <v>0</v>
      </c>
      <c r="J52" s="9">
        <v>0</v>
      </c>
      <c r="Q52" s="9">
        <v>0</v>
      </c>
      <c r="X52" s="9">
        <v>252</v>
      </c>
      <c r="AE52" s="9">
        <v>0</v>
      </c>
      <c r="AL52" s="9">
        <v>0</v>
      </c>
      <c r="AS52" s="9">
        <v>0</v>
      </c>
      <c r="AZ52" s="9">
        <v>252</v>
      </c>
      <c r="BG52" s="9">
        <v>0</v>
      </c>
      <c r="BN52" s="9">
        <v>0</v>
      </c>
      <c r="BP52" s="12">
        <f t="shared" si="1"/>
        <v>504</v>
      </c>
    </row>
    <row r="53" spans="2:68">
      <c r="B53" s="19">
        <v>1232528</v>
      </c>
      <c r="C53" s="9">
        <v>4849</v>
      </c>
      <c r="J53" s="9">
        <v>3000</v>
      </c>
      <c r="Q53" s="9">
        <v>2000</v>
      </c>
      <c r="X53" s="9">
        <v>1854</v>
      </c>
      <c r="AE53" s="9">
        <v>5063</v>
      </c>
      <c r="AL53" s="9">
        <v>540</v>
      </c>
      <c r="AS53" s="9">
        <v>0</v>
      </c>
      <c r="AZ53" s="9">
        <v>1836</v>
      </c>
      <c r="BG53" s="9">
        <v>0</v>
      </c>
      <c r="BN53" s="9">
        <v>6386</v>
      </c>
      <c r="BP53" s="12">
        <f t="shared" si="1"/>
        <v>25528</v>
      </c>
    </row>
    <row r="54" spans="2:68">
      <c r="B54" s="19">
        <v>1232553</v>
      </c>
      <c r="C54" s="9">
        <v>0</v>
      </c>
      <c r="J54" s="9">
        <v>0</v>
      </c>
      <c r="Q54" s="9">
        <v>0</v>
      </c>
      <c r="X54" s="9">
        <v>0</v>
      </c>
      <c r="AE54" s="9">
        <v>0</v>
      </c>
      <c r="AL54" s="9">
        <v>0</v>
      </c>
      <c r="AS54" s="9">
        <v>0</v>
      </c>
      <c r="AZ54" s="9">
        <v>108</v>
      </c>
      <c r="BG54" s="9">
        <v>0</v>
      </c>
      <c r="BN54" s="9">
        <v>0</v>
      </c>
      <c r="BP54" s="12">
        <f t="shared" si="1"/>
        <v>108</v>
      </c>
    </row>
    <row r="55" spans="2:68">
      <c r="B55" s="19">
        <v>1232693</v>
      </c>
      <c r="C55" s="9">
        <v>0</v>
      </c>
      <c r="J55" s="9">
        <v>0</v>
      </c>
      <c r="Q55" s="9">
        <v>0</v>
      </c>
      <c r="X55" s="9">
        <v>1890</v>
      </c>
      <c r="AE55" s="9">
        <v>0</v>
      </c>
      <c r="AL55" s="9">
        <v>0</v>
      </c>
      <c r="AS55" s="9">
        <v>0</v>
      </c>
      <c r="AZ55" s="9">
        <v>1953</v>
      </c>
      <c r="BG55" s="9">
        <v>0</v>
      </c>
      <c r="BN55" s="9">
        <v>82</v>
      </c>
      <c r="BP55" s="12">
        <f t="shared" si="1"/>
        <v>3925</v>
      </c>
    </row>
    <row r="56" spans="2:68">
      <c r="B56" s="19">
        <v>1232775</v>
      </c>
      <c r="C56" s="9">
        <v>1598</v>
      </c>
      <c r="J56" s="9">
        <v>771</v>
      </c>
      <c r="Q56" s="9">
        <v>1059</v>
      </c>
      <c r="X56" s="9">
        <v>0</v>
      </c>
      <c r="AE56" s="9">
        <v>320</v>
      </c>
      <c r="AL56" s="9">
        <v>1200</v>
      </c>
      <c r="AS56" s="9">
        <v>110</v>
      </c>
      <c r="AZ56" s="9">
        <v>161</v>
      </c>
      <c r="BG56" s="9">
        <v>0</v>
      </c>
      <c r="BN56" s="9">
        <v>1101</v>
      </c>
      <c r="BP56" s="12">
        <f t="shared" si="1"/>
        <v>6320</v>
      </c>
    </row>
    <row r="57" spans="2:68">
      <c r="B57" s="19">
        <v>1232846</v>
      </c>
      <c r="C57" s="9">
        <v>2501</v>
      </c>
      <c r="J57" s="9">
        <v>697</v>
      </c>
      <c r="Q57" s="9">
        <v>576</v>
      </c>
      <c r="X57" s="9">
        <v>344</v>
      </c>
      <c r="AE57" s="9">
        <v>1012</v>
      </c>
      <c r="AL57" s="9">
        <v>1076</v>
      </c>
      <c r="AS57" s="9">
        <v>472</v>
      </c>
      <c r="AZ57" s="9">
        <v>492</v>
      </c>
      <c r="BG57" s="9">
        <v>300</v>
      </c>
      <c r="BN57" s="9">
        <v>1090</v>
      </c>
      <c r="BP57" s="12">
        <f t="shared" si="1"/>
        <v>8560</v>
      </c>
    </row>
    <row r="58" spans="2:68">
      <c r="B58" s="19">
        <v>1232894</v>
      </c>
      <c r="C58" s="9">
        <v>2401</v>
      </c>
      <c r="J58" s="9">
        <v>0</v>
      </c>
      <c r="Q58" s="9">
        <v>0</v>
      </c>
      <c r="X58" s="9">
        <v>144</v>
      </c>
      <c r="AE58" s="9">
        <v>512</v>
      </c>
      <c r="AL58" s="9">
        <v>576</v>
      </c>
      <c r="AS58" s="9">
        <v>0</v>
      </c>
      <c r="AZ58" s="9">
        <v>192</v>
      </c>
      <c r="BG58" s="9">
        <v>0</v>
      </c>
      <c r="BN58" s="9">
        <v>790</v>
      </c>
      <c r="BP58" s="12">
        <f t="shared" si="1"/>
        <v>4615</v>
      </c>
    </row>
    <row r="59" spans="2:68">
      <c r="B59" s="19">
        <v>1232895</v>
      </c>
      <c r="C59" s="9">
        <v>100</v>
      </c>
      <c r="J59" s="9">
        <v>697</v>
      </c>
      <c r="Q59" s="9">
        <v>576</v>
      </c>
      <c r="X59" s="9">
        <v>200</v>
      </c>
      <c r="AE59" s="9">
        <v>500</v>
      </c>
      <c r="AL59" s="9">
        <v>500</v>
      </c>
      <c r="AS59" s="9">
        <v>472</v>
      </c>
      <c r="AZ59" s="9">
        <v>300</v>
      </c>
      <c r="BG59" s="9">
        <v>300</v>
      </c>
      <c r="BN59" s="9">
        <v>300</v>
      </c>
      <c r="BP59" s="12">
        <f t="shared" si="1"/>
        <v>3945</v>
      </c>
    </row>
    <row r="60" spans="2:68">
      <c r="B60" s="19">
        <v>1232922</v>
      </c>
      <c r="C60" s="9">
        <v>0</v>
      </c>
      <c r="J60" s="9">
        <v>0</v>
      </c>
      <c r="Q60" s="9">
        <v>276</v>
      </c>
      <c r="X60" s="9">
        <v>0</v>
      </c>
      <c r="AE60" s="9">
        <v>0</v>
      </c>
      <c r="AL60" s="9">
        <v>0</v>
      </c>
      <c r="AS60" s="9">
        <v>272</v>
      </c>
      <c r="AZ60" s="9">
        <v>0</v>
      </c>
      <c r="BG60" s="9">
        <v>0</v>
      </c>
      <c r="BN60" s="9">
        <v>0</v>
      </c>
      <c r="BP60" s="12">
        <f t="shared" si="1"/>
        <v>548</v>
      </c>
    </row>
    <row r="61" spans="2:68">
      <c r="B61" s="19">
        <v>1232982</v>
      </c>
      <c r="C61" s="9">
        <v>450</v>
      </c>
      <c r="J61" s="9">
        <v>0</v>
      </c>
      <c r="Q61" s="9">
        <v>0</v>
      </c>
      <c r="X61" s="9">
        <v>0</v>
      </c>
      <c r="AE61" s="9">
        <v>0</v>
      </c>
      <c r="AL61" s="9">
        <v>0</v>
      </c>
      <c r="AS61" s="9">
        <v>0</v>
      </c>
      <c r="AZ61" s="9">
        <v>0</v>
      </c>
      <c r="BG61" s="9">
        <v>0</v>
      </c>
      <c r="BN61" s="9">
        <v>0</v>
      </c>
      <c r="BP61" s="12">
        <f t="shared" si="1"/>
        <v>450</v>
      </c>
    </row>
    <row r="62" spans="2:68">
      <c r="B62" s="19">
        <v>1233025</v>
      </c>
      <c r="C62" s="9">
        <v>0</v>
      </c>
      <c r="J62" s="9">
        <v>0</v>
      </c>
      <c r="Q62" s="9">
        <v>0</v>
      </c>
      <c r="X62" s="9">
        <v>1890</v>
      </c>
      <c r="AE62" s="9">
        <v>0</v>
      </c>
      <c r="AL62" s="9">
        <v>0</v>
      </c>
      <c r="AS62" s="9">
        <v>0</v>
      </c>
      <c r="AZ62" s="9">
        <v>1953</v>
      </c>
      <c r="BG62" s="9">
        <v>0</v>
      </c>
      <c r="BN62" s="9">
        <v>82</v>
      </c>
      <c r="BP62" s="12">
        <f t="shared" si="1"/>
        <v>3925</v>
      </c>
    </row>
    <row r="63" spans="2:68">
      <c r="B63" s="19">
        <v>1233165</v>
      </c>
      <c r="C63" s="9">
        <v>0</v>
      </c>
      <c r="J63" s="9">
        <v>0</v>
      </c>
      <c r="Q63" s="9">
        <v>0</v>
      </c>
      <c r="X63" s="9">
        <v>0</v>
      </c>
      <c r="AE63" s="9">
        <v>0</v>
      </c>
      <c r="AL63" s="9">
        <v>370</v>
      </c>
      <c r="AS63" s="9">
        <v>0</v>
      </c>
      <c r="AZ63" s="9">
        <v>0</v>
      </c>
      <c r="BG63" s="9">
        <v>0</v>
      </c>
      <c r="BN63" s="9">
        <v>0</v>
      </c>
      <c r="BP63" s="12">
        <f t="shared" si="1"/>
        <v>370</v>
      </c>
    </row>
    <row r="64" spans="2:68">
      <c r="B64" s="19">
        <v>1233383</v>
      </c>
      <c r="C64" s="9">
        <v>0</v>
      </c>
      <c r="J64" s="9">
        <v>0</v>
      </c>
      <c r="Q64" s="9">
        <v>159</v>
      </c>
      <c r="X64" s="9">
        <v>0</v>
      </c>
      <c r="AE64" s="9">
        <v>0</v>
      </c>
      <c r="AL64" s="9">
        <v>0</v>
      </c>
      <c r="AS64" s="9">
        <v>151</v>
      </c>
      <c r="AZ64" s="9">
        <v>0</v>
      </c>
      <c r="BG64" s="9">
        <v>0</v>
      </c>
      <c r="BN64" s="9">
        <v>0</v>
      </c>
      <c r="BP64" s="12">
        <f t="shared" si="1"/>
        <v>310</v>
      </c>
    </row>
    <row r="65" spans="2:68">
      <c r="B65" s="19">
        <v>1233384</v>
      </c>
      <c r="C65" s="9">
        <v>0</v>
      </c>
      <c r="J65" s="9">
        <v>697</v>
      </c>
      <c r="Q65" s="9">
        <v>300</v>
      </c>
      <c r="X65" s="9">
        <v>200</v>
      </c>
      <c r="AE65" s="9">
        <v>500</v>
      </c>
      <c r="AL65" s="9">
        <v>500</v>
      </c>
      <c r="AS65" s="9">
        <v>200</v>
      </c>
      <c r="AZ65" s="9">
        <v>300</v>
      </c>
      <c r="BG65" s="9">
        <v>300</v>
      </c>
      <c r="BN65" s="9">
        <v>300</v>
      </c>
      <c r="BP65" s="12">
        <f t="shared" si="1"/>
        <v>3297</v>
      </c>
    </row>
    <row r="66" spans="2:68">
      <c r="B66" s="19">
        <v>1233385</v>
      </c>
      <c r="C66" s="9">
        <v>253</v>
      </c>
      <c r="J66" s="9">
        <v>0</v>
      </c>
      <c r="Q66" s="9">
        <v>0</v>
      </c>
      <c r="X66" s="9">
        <v>144</v>
      </c>
      <c r="AE66" s="9">
        <v>0</v>
      </c>
      <c r="AL66" s="9">
        <v>0</v>
      </c>
      <c r="AS66" s="9">
        <v>0</v>
      </c>
      <c r="AZ66" s="9">
        <v>192</v>
      </c>
      <c r="BG66" s="9">
        <v>0</v>
      </c>
      <c r="BN66" s="9">
        <v>0</v>
      </c>
      <c r="BP66" s="12">
        <f t="shared" si="1"/>
        <v>589</v>
      </c>
    </row>
    <row r="67" spans="2:68">
      <c r="B67" s="19">
        <v>1233386</v>
      </c>
      <c r="C67" s="9">
        <v>1120</v>
      </c>
      <c r="J67" s="9">
        <v>0</v>
      </c>
      <c r="Q67" s="9">
        <v>0</v>
      </c>
      <c r="X67" s="9">
        <v>0</v>
      </c>
      <c r="AE67" s="9">
        <v>512</v>
      </c>
      <c r="AL67" s="9">
        <v>0</v>
      </c>
      <c r="AS67" s="9">
        <v>0</v>
      </c>
      <c r="AZ67" s="9">
        <v>0</v>
      </c>
      <c r="BG67" s="9">
        <v>0</v>
      </c>
      <c r="BN67" s="9">
        <v>353</v>
      </c>
      <c r="BP67" s="12">
        <f t="shared" si="1"/>
        <v>1985</v>
      </c>
    </row>
    <row r="68" spans="2:68">
      <c r="B68" s="19">
        <v>1233387</v>
      </c>
      <c r="C68" s="9">
        <v>1128</v>
      </c>
      <c r="J68" s="9">
        <v>0</v>
      </c>
      <c r="Q68" s="9">
        <v>0</v>
      </c>
      <c r="X68" s="9">
        <v>0</v>
      </c>
      <c r="AE68" s="9">
        <v>0</v>
      </c>
      <c r="AL68" s="9">
        <v>576</v>
      </c>
      <c r="AS68" s="9">
        <v>0</v>
      </c>
      <c r="AZ68" s="9">
        <v>0</v>
      </c>
      <c r="BG68" s="9">
        <v>0</v>
      </c>
      <c r="BN68" s="9">
        <v>437</v>
      </c>
      <c r="BP68" s="12">
        <f t="shared" si="1"/>
        <v>2141</v>
      </c>
    </row>
    <row r="69" spans="2:68">
      <c r="B69" s="19">
        <v>1233580</v>
      </c>
      <c r="C69" s="9">
        <v>0</v>
      </c>
      <c r="J69" s="9">
        <v>0</v>
      </c>
      <c r="Q69" s="9">
        <v>50</v>
      </c>
      <c r="X69" s="9">
        <v>0</v>
      </c>
      <c r="AE69" s="9">
        <v>0</v>
      </c>
      <c r="AL69" s="9">
        <v>0</v>
      </c>
      <c r="AS69" s="9">
        <v>0</v>
      </c>
      <c r="AZ69" s="9">
        <v>0</v>
      </c>
      <c r="BG69" s="9">
        <v>0</v>
      </c>
      <c r="BN69" s="9">
        <v>0</v>
      </c>
      <c r="BP69" s="12">
        <f t="shared" si="1"/>
        <v>50</v>
      </c>
    </row>
    <row r="70" spans="2:68">
      <c r="B70" s="19">
        <v>1233587</v>
      </c>
      <c r="C70" s="9">
        <v>0</v>
      </c>
      <c r="J70" s="9">
        <v>0</v>
      </c>
      <c r="Q70" s="9">
        <v>10</v>
      </c>
      <c r="X70" s="9">
        <v>0</v>
      </c>
      <c r="AE70" s="9">
        <v>0</v>
      </c>
      <c r="AL70" s="9">
        <v>0</v>
      </c>
      <c r="AS70" s="9">
        <v>0</v>
      </c>
      <c r="AZ70" s="9">
        <v>0</v>
      </c>
      <c r="BG70" s="9">
        <v>0</v>
      </c>
      <c r="BN70" s="9">
        <v>0</v>
      </c>
      <c r="BP70" s="12">
        <f t="shared" si="1"/>
        <v>10</v>
      </c>
    </row>
    <row r="71" spans="2:68">
      <c r="B71" s="19">
        <v>1234110</v>
      </c>
      <c r="C71" s="9">
        <v>0</v>
      </c>
      <c r="J71" s="9">
        <v>0</v>
      </c>
      <c r="Q71" s="9">
        <v>0</v>
      </c>
      <c r="X71" s="9">
        <v>0</v>
      </c>
      <c r="AE71" s="9">
        <v>0</v>
      </c>
      <c r="AL71" s="9">
        <v>170</v>
      </c>
      <c r="AS71" s="9">
        <v>0</v>
      </c>
      <c r="AZ71" s="9">
        <v>0</v>
      </c>
      <c r="BG71" s="9">
        <v>0</v>
      </c>
      <c r="BN71" s="9">
        <v>0</v>
      </c>
      <c r="BP71" s="12">
        <f t="shared" si="1"/>
        <v>170</v>
      </c>
    </row>
    <row r="72" spans="2:68">
      <c r="B72" s="19">
        <v>1234111</v>
      </c>
      <c r="C72" s="9">
        <v>0</v>
      </c>
      <c r="J72" s="9">
        <v>0</v>
      </c>
      <c r="Q72" s="9">
        <v>0</v>
      </c>
      <c r="X72" s="9">
        <v>0</v>
      </c>
      <c r="AE72" s="9">
        <v>0</v>
      </c>
      <c r="AL72" s="9">
        <v>170</v>
      </c>
      <c r="AS72" s="9">
        <v>0</v>
      </c>
      <c r="AZ72" s="9">
        <v>0</v>
      </c>
      <c r="BG72" s="9">
        <v>0</v>
      </c>
      <c r="BN72" s="9">
        <v>0</v>
      </c>
      <c r="BP72" s="12">
        <f t="shared" si="1"/>
        <v>170</v>
      </c>
    </row>
    <row r="73" spans="2:68">
      <c r="B73" s="19">
        <v>1234217</v>
      </c>
      <c r="C73" s="9">
        <v>0</v>
      </c>
      <c r="J73" s="9">
        <v>0</v>
      </c>
      <c r="Q73" s="9">
        <v>0</v>
      </c>
      <c r="X73" s="9">
        <v>0</v>
      </c>
      <c r="AE73" s="9">
        <v>0</v>
      </c>
      <c r="AL73" s="9">
        <v>170</v>
      </c>
      <c r="AS73" s="9">
        <v>0</v>
      </c>
      <c r="AZ73" s="9">
        <v>0</v>
      </c>
      <c r="BG73" s="9">
        <v>0</v>
      </c>
      <c r="BN73" s="9">
        <v>0</v>
      </c>
      <c r="BP73" s="12">
        <f t="shared" si="1"/>
        <v>170</v>
      </c>
    </row>
    <row r="74" spans="2:68">
      <c r="B74" s="19">
        <v>1234222</v>
      </c>
      <c r="C74" s="9">
        <v>1060</v>
      </c>
      <c r="J74" s="9">
        <v>0</v>
      </c>
      <c r="Q74" s="9">
        <v>73</v>
      </c>
      <c r="X74" s="9">
        <v>0</v>
      </c>
      <c r="AE74" s="9">
        <v>426</v>
      </c>
      <c r="AL74" s="9">
        <v>0</v>
      </c>
      <c r="AS74" s="9">
        <v>0</v>
      </c>
      <c r="AZ74" s="9">
        <v>868</v>
      </c>
      <c r="BG74" s="9">
        <v>0</v>
      </c>
      <c r="BN74" s="9">
        <v>0</v>
      </c>
      <c r="BP74" s="12">
        <f t="shared" si="1"/>
        <v>2427</v>
      </c>
    </row>
    <row r="75" spans="2:68">
      <c r="B75" s="19">
        <v>1234614</v>
      </c>
      <c r="C75" s="9">
        <v>252</v>
      </c>
      <c r="J75" s="9">
        <v>216</v>
      </c>
      <c r="Q75" s="9">
        <v>0</v>
      </c>
      <c r="X75" s="9">
        <v>0</v>
      </c>
      <c r="AE75" s="9">
        <v>0</v>
      </c>
      <c r="AL75" s="9">
        <v>0</v>
      </c>
      <c r="AS75" s="9">
        <v>0</v>
      </c>
      <c r="AZ75" s="9">
        <v>324</v>
      </c>
      <c r="BG75" s="9">
        <v>0</v>
      </c>
      <c r="BN75" s="9">
        <v>0</v>
      </c>
      <c r="BP75" s="12">
        <f t="shared" si="1"/>
        <v>792</v>
      </c>
    </row>
    <row r="76" spans="2:68">
      <c r="B76" s="19">
        <v>1234905</v>
      </c>
      <c r="C76" s="9">
        <v>1247</v>
      </c>
      <c r="J76" s="9">
        <v>1050</v>
      </c>
      <c r="Q76" s="9">
        <v>750</v>
      </c>
      <c r="X76" s="9">
        <v>0</v>
      </c>
      <c r="AE76" s="9">
        <v>950</v>
      </c>
      <c r="AL76" s="9">
        <v>300</v>
      </c>
      <c r="AS76" s="9">
        <v>450</v>
      </c>
      <c r="AZ76" s="9">
        <v>750</v>
      </c>
      <c r="BG76" s="9">
        <v>750</v>
      </c>
      <c r="BN76" s="9">
        <v>950</v>
      </c>
      <c r="BP76" s="12">
        <f t="shared" si="1"/>
        <v>7197</v>
      </c>
    </row>
    <row r="77" spans="2:68">
      <c r="B77" s="19">
        <v>1235097</v>
      </c>
      <c r="C77" s="9">
        <v>0</v>
      </c>
      <c r="J77" s="9">
        <v>400</v>
      </c>
      <c r="Q77" s="9">
        <v>400</v>
      </c>
      <c r="X77" s="9">
        <v>0</v>
      </c>
      <c r="AE77" s="9">
        <v>321</v>
      </c>
      <c r="AL77" s="9">
        <v>0</v>
      </c>
      <c r="AS77" s="9">
        <v>0</v>
      </c>
      <c r="AZ77" s="9">
        <v>374</v>
      </c>
      <c r="BG77" s="9">
        <v>300</v>
      </c>
      <c r="BN77" s="9">
        <v>300</v>
      </c>
      <c r="BP77" s="12">
        <f t="shared" si="1"/>
        <v>2095</v>
      </c>
    </row>
    <row r="78" spans="2:68">
      <c r="B78" s="19">
        <v>1235845</v>
      </c>
      <c r="C78" s="9">
        <v>2100</v>
      </c>
      <c r="J78" s="9">
        <v>0</v>
      </c>
      <c r="Q78" s="9">
        <v>0</v>
      </c>
      <c r="X78" s="9">
        <v>0</v>
      </c>
      <c r="AE78" s="9">
        <v>0</v>
      </c>
      <c r="AL78" s="9">
        <v>0</v>
      </c>
      <c r="AS78" s="9">
        <v>0</v>
      </c>
      <c r="AZ78" s="9">
        <v>359</v>
      </c>
      <c r="BG78" s="9">
        <v>0</v>
      </c>
      <c r="BN78" s="9">
        <v>0</v>
      </c>
      <c r="BP78" s="12">
        <f t="shared" si="1"/>
        <v>2459</v>
      </c>
    </row>
    <row r="79" spans="2:68">
      <c r="B79" s="19">
        <v>1236387</v>
      </c>
      <c r="C79" s="9">
        <v>498</v>
      </c>
      <c r="J79" s="9">
        <v>819</v>
      </c>
      <c r="Q79" s="9">
        <v>0</v>
      </c>
      <c r="X79" s="9">
        <v>0</v>
      </c>
      <c r="AE79" s="9">
        <v>0</v>
      </c>
      <c r="AL79" s="9">
        <v>600</v>
      </c>
      <c r="AS79" s="9">
        <v>400</v>
      </c>
      <c r="AZ79" s="9">
        <v>0</v>
      </c>
      <c r="BG79" s="9">
        <v>0</v>
      </c>
      <c r="BN79" s="9">
        <v>400</v>
      </c>
      <c r="BP79" s="12">
        <f t="shared" si="1"/>
        <v>2717</v>
      </c>
    </row>
    <row r="80" spans="2:68">
      <c r="B80" s="19">
        <v>1236600</v>
      </c>
      <c r="C80" s="9">
        <v>0</v>
      </c>
      <c r="J80" s="9">
        <v>0</v>
      </c>
      <c r="Q80" s="9">
        <v>935</v>
      </c>
      <c r="X80" s="9">
        <v>0</v>
      </c>
      <c r="AE80" s="9">
        <v>0</v>
      </c>
      <c r="AL80" s="9">
        <v>0</v>
      </c>
      <c r="AS80" s="9">
        <v>913</v>
      </c>
      <c r="AZ80" s="9">
        <v>0</v>
      </c>
      <c r="BG80" s="9">
        <v>0</v>
      </c>
      <c r="BN80" s="9">
        <v>0</v>
      </c>
      <c r="BP80" s="12">
        <f t="shared" si="1"/>
        <v>1848</v>
      </c>
    </row>
    <row r="81" spans="2:68">
      <c r="B81" s="19">
        <v>1236601</v>
      </c>
      <c r="C81" s="9">
        <v>0</v>
      </c>
      <c r="J81" s="9">
        <v>0</v>
      </c>
      <c r="Q81" s="9">
        <v>107</v>
      </c>
      <c r="X81" s="9">
        <v>0</v>
      </c>
      <c r="AE81" s="9">
        <v>0</v>
      </c>
      <c r="AL81" s="9">
        <v>0</v>
      </c>
      <c r="AS81" s="9">
        <v>105</v>
      </c>
      <c r="AZ81" s="9">
        <v>0</v>
      </c>
      <c r="BG81" s="9">
        <v>0</v>
      </c>
      <c r="BN81" s="9">
        <v>0</v>
      </c>
      <c r="BP81" s="12">
        <f t="shared" si="1"/>
        <v>212</v>
      </c>
    </row>
    <row r="82" spans="2:68">
      <c r="B82" s="19">
        <v>1236930</v>
      </c>
      <c r="C82" s="9">
        <v>2466</v>
      </c>
      <c r="J82" s="9">
        <v>1250</v>
      </c>
      <c r="Q82" s="9">
        <v>1179</v>
      </c>
      <c r="X82" s="9">
        <v>1104</v>
      </c>
      <c r="AE82" s="9">
        <v>1452</v>
      </c>
      <c r="AL82" s="9">
        <v>1820</v>
      </c>
      <c r="AS82" s="9">
        <v>950</v>
      </c>
      <c r="AZ82" s="9">
        <v>1772</v>
      </c>
      <c r="BG82" s="9">
        <v>850</v>
      </c>
      <c r="BN82" s="9">
        <v>2311</v>
      </c>
      <c r="BP82" s="12">
        <f t="shared" si="1"/>
        <v>15154</v>
      </c>
    </row>
    <row r="83" spans="2:68">
      <c r="B83" s="19">
        <v>1237210</v>
      </c>
      <c r="C83" s="9">
        <v>0</v>
      </c>
      <c r="J83" s="9">
        <v>0</v>
      </c>
      <c r="Q83" s="9">
        <v>160</v>
      </c>
      <c r="X83" s="9">
        <v>0</v>
      </c>
      <c r="AE83" s="9">
        <v>0</v>
      </c>
      <c r="AL83" s="9">
        <v>0</v>
      </c>
      <c r="AS83" s="9">
        <v>0</v>
      </c>
      <c r="AZ83" s="9">
        <v>375</v>
      </c>
      <c r="BG83" s="9">
        <v>160</v>
      </c>
      <c r="BN83" s="9">
        <v>0</v>
      </c>
      <c r="BP83" s="12">
        <f t="shared" si="1"/>
        <v>695</v>
      </c>
    </row>
    <row r="84" spans="2:68">
      <c r="B84" s="19">
        <v>1237468</v>
      </c>
      <c r="C84" s="9">
        <v>294</v>
      </c>
      <c r="J84" s="9">
        <v>0</v>
      </c>
      <c r="Q84" s="9">
        <v>87</v>
      </c>
      <c r="X84" s="9">
        <v>0</v>
      </c>
      <c r="AE84" s="9">
        <v>0</v>
      </c>
      <c r="AL84" s="9">
        <v>0</v>
      </c>
      <c r="AS84" s="9">
        <v>82</v>
      </c>
      <c r="AZ84" s="9">
        <v>270</v>
      </c>
      <c r="BG84" s="9">
        <v>0</v>
      </c>
      <c r="BN84" s="9">
        <v>0</v>
      </c>
      <c r="BP84" s="12">
        <f t="shared" si="1"/>
        <v>733</v>
      </c>
    </row>
    <row r="85" spans="2:68">
      <c r="B85" s="19">
        <v>1238092</v>
      </c>
      <c r="C85" s="9">
        <v>144</v>
      </c>
      <c r="J85" s="9">
        <v>0</v>
      </c>
      <c r="Q85" s="9">
        <v>0</v>
      </c>
      <c r="X85" s="9">
        <v>0</v>
      </c>
      <c r="AE85" s="9">
        <v>0</v>
      </c>
      <c r="AL85" s="9">
        <v>0</v>
      </c>
      <c r="AS85" s="9">
        <v>0</v>
      </c>
      <c r="AZ85" s="9">
        <v>0</v>
      </c>
      <c r="BG85" s="9">
        <v>0</v>
      </c>
      <c r="BN85" s="9">
        <v>0</v>
      </c>
      <c r="BP85" s="12">
        <f t="shared" si="1"/>
        <v>144</v>
      </c>
    </row>
    <row r="86" spans="2:68">
      <c r="B86" s="19">
        <v>1238453</v>
      </c>
      <c r="C86" s="9">
        <v>0</v>
      </c>
      <c r="J86" s="9">
        <v>0</v>
      </c>
      <c r="Q86" s="9">
        <v>191</v>
      </c>
      <c r="X86" s="9">
        <v>0</v>
      </c>
      <c r="AE86" s="9">
        <v>0</v>
      </c>
      <c r="AL86" s="9">
        <v>0</v>
      </c>
      <c r="AS86" s="9">
        <v>190</v>
      </c>
      <c r="AZ86" s="9">
        <v>0</v>
      </c>
      <c r="BG86" s="9">
        <v>0</v>
      </c>
      <c r="BN86" s="9">
        <v>0</v>
      </c>
      <c r="BP86" s="12">
        <f t="shared" si="1"/>
        <v>381</v>
      </c>
    </row>
    <row r="87" spans="2:68">
      <c r="B87" s="19">
        <v>1238480</v>
      </c>
      <c r="C87" s="9">
        <v>4514</v>
      </c>
      <c r="J87" s="9">
        <v>1880</v>
      </c>
      <c r="Q87" s="9">
        <v>3703</v>
      </c>
      <c r="X87" s="9">
        <v>8802</v>
      </c>
      <c r="AE87" s="9">
        <v>5045</v>
      </c>
      <c r="AL87" s="9">
        <v>4465</v>
      </c>
      <c r="AS87" s="9">
        <v>3190</v>
      </c>
      <c r="AZ87" s="9">
        <v>7444</v>
      </c>
      <c r="BG87" s="9">
        <v>2485</v>
      </c>
      <c r="BN87" s="9">
        <v>3719</v>
      </c>
      <c r="BP87" s="12">
        <f t="shared" si="1"/>
        <v>45247</v>
      </c>
    </row>
    <row r="88" spans="2:68">
      <c r="B88" s="19">
        <v>1238605</v>
      </c>
      <c r="C88" s="9">
        <v>0</v>
      </c>
      <c r="J88" s="9">
        <v>600</v>
      </c>
      <c r="Q88" s="9">
        <v>0</v>
      </c>
      <c r="X88" s="9">
        <v>0</v>
      </c>
      <c r="AE88" s="9">
        <v>0</v>
      </c>
      <c r="AL88" s="9">
        <v>426</v>
      </c>
      <c r="AS88" s="9">
        <v>0</v>
      </c>
      <c r="AZ88" s="9">
        <v>0</v>
      </c>
      <c r="BG88" s="9">
        <v>0</v>
      </c>
      <c r="BN88" s="9">
        <v>0</v>
      </c>
      <c r="BP88" s="12">
        <f t="shared" si="1"/>
        <v>1026</v>
      </c>
    </row>
    <row r="89" spans="2:68">
      <c r="B89" s="19">
        <v>1240180</v>
      </c>
      <c r="C89" s="9">
        <v>0</v>
      </c>
      <c r="J89" s="9">
        <v>250</v>
      </c>
      <c r="Q89" s="9">
        <v>300</v>
      </c>
      <c r="X89" s="9">
        <v>0</v>
      </c>
      <c r="AE89" s="9">
        <v>0</v>
      </c>
      <c r="AL89" s="9">
        <v>150</v>
      </c>
      <c r="AS89" s="9">
        <v>202</v>
      </c>
      <c r="AZ89" s="9">
        <v>0</v>
      </c>
      <c r="BG89" s="9">
        <v>0</v>
      </c>
      <c r="BN89" s="9">
        <v>1048</v>
      </c>
      <c r="BP89" s="12">
        <f t="shared" si="1"/>
        <v>1950</v>
      </c>
    </row>
    <row r="90" spans="2:68">
      <c r="B90" s="19">
        <v>1240184</v>
      </c>
      <c r="C90" s="9">
        <v>0</v>
      </c>
      <c r="J90" s="9">
        <v>250</v>
      </c>
      <c r="Q90" s="9">
        <v>300</v>
      </c>
      <c r="X90" s="9">
        <v>0</v>
      </c>
      <c r="AE90" s="9">
        <v>0</v>
      </c>
      <c r="AL90" s="9">
        <v>150</v>
      </c>
      <c r="AS90" s="9">
        <v>202</v>
      </c>
      <c r="AZ90" s="9">
        <v>0</v>
      </c>
      <c r="BG90" s="9">
        <v>0</v>
      </c>
      <c r="BN90" s="9">
        <v>1048</v>
      </c>
      <c r="BP90" s="12">
        <f t="shared" si="1"/>
        <v>1950</v>
      </c>
    </row>
    <row r="91" spans="2:68">
      <c r="B91" s="19">
        <v>1241343</v>
      </c>
      <c r="C91" s="9">
        <v>20</v>
      </c>
      <c r="J91" s="9">
        <v>0</v>
      </c>
      <c r="Q91" s="9">
        <v>0</v>
      </c>
      <c r="X91" s="9">
        <v>0</v>
      </c>
      <c r="AE91" s="9">
        <v>0</v>
      </c>
      <c r="AL91" s="9">
        <v>0</v>
      </c>
      <c r="AS91" s="9">
        <v>0</v>
      </c>
      <c r="AZ91" s="9">
        <v>0</v>
      </c>
      <c r="BG91" s="9">
        <v>0</v>
      </c>
      <c r="BN91" s="9">
        <v>0</v>
      </c>
      <c r="BP91" s="12">
        <f t="shared" si="1"/>
        <v>20</v>
      </c>
    </row>
    <row r="92" spans="2:68">
      <c r="B92" s="19">
        <v>1241347</v>
      </c>
      <c r="C92" s="9">
        <v>20</v>
      </c>
      <c r="J92" s="9">
        <v>0</v>
      </c>
      <c r="Q92" s="9">
        <v>0</v>
      </c>
      <c r="X92" s="9">
        <v>0</v>
      </c>
      <c r="AE92" s="9">
        <v>0</v>
      </c>
      <c r="AL92" s="9">
        <v>0</v>
      </c>
      <c r="AS92" s="9">
        <v>0</v>
      </c>
      <c r="AZ92" s="9">
        <v>0</v>
      </c>
      <c r="BG92" s="9">
        <v>0</v>
      </c>
      <c r="BN92" s="9">
        <v>0</v>
      </c>
      <c r="BP92" s="12">
        <f t="shared" si="1"/>
        <v>20</v>
      </c>
    </row>
    <row r="93" spans="2:68">
      <c r="B93" s="19">
        <v>1241387</v>
      </c>
      <c r="C93" s="9">
        <v>151</v>
      </c>
      <c r="J93" s="9">
        <v>0</v>
      </c>
      <c r="Q93" s="9">
        <v>0</v>
      </c>
      <c r="X93" s="9">
        <v>0</v>
      </c>
      <c r="AE93" s="9">
        <v>0</v>
      </c>
      <c r="AL93" s="9">
        <v>0</v>
      </c>
      <c r="AS93" s="9">
        <v>0</v>
      </c>
      <c r="AZ93" s="9">
        <v>0</v>
      </c>
      <c r="BG93" s="9">
        <v>0</v>
      </c>
      <c r="BN93" s="9">
        <v>0</v>
      </c>
      <c r="BP93" s="12">
        <f t="shared" si="1"/>
        <v>151</v>
      </c>
    </row>
    <row r="94" spans="2:68">
      <c r="B94" s="19">
        <v>1241474</v>
      </c>
      <c r="C94" s="9">
        <v>37</v>
      </c>
      <c r="J94" s="9">
        <v>0</v>
      </c>
      <c r="Q94" s="9">
        <v>0</v>
      </c>
      <c r="X94" s="9">
        <v>0</v>
      </c>
      <c r="AE94" s="9">
        <v>0</v>
      </c>
      <c r="AL94" s="9">
        <v>0</v>
      </c>
      <c r="AS94" s="9">
        <v>0</v>
      </c>
      <c r="AZ94" s="9">
        <v>0</v>
      </c>
      <c r="BG94" s="9">
        <v>0</v>
      </c>
      <c r="BN94" s="9">
        <v>0</v>
      </c>
      <c r="BP94" s="12">
        <f t="shared" si="1"/>
        <v>37</v>
      </c>
    </row>
    <row r="95" spans="2:68">
      <c r="B95" s="19">
        <v>1241480</v>
      </c>
      <c r="C95" s="9">
        <v>26</v>
      </c>
      <c r="J95" s="9">
        <v>0</v>
      </c>
      <c r="Q95" s="9">
        <v>0</v>
      </c>
      <c r="X95" s="9">
        <v>0</v>
      </c>
      <c r="AE95" s="9">
        <v>0</v>
      </c>
      <c r="AL95" s="9">
        <v>0</v>
      </c>
      <c r="AS95" s="9">
        <v>0</v>
      </c>
      <c r="AZ95" s="9">
        <v>0</v>
      </c>
      <c r="BG95" s="9">
        <v>0</v>
      </c>
      <c r="BN95" s="9">
        <v>0</v>
      </c>
      <c r="BP95" s="12">
        <f t="shared" si="1"/>
        <v>26</v>
      </c>
    </row>
  </sheetData>
  <phoneticPr fontId="1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ED48-FDF9-4505-9993-134D3E6FF01A}">
  <dimension ref="A1:S67"/>
  <sheetViews>
    <sheetView topLeftCell="A13" zoomScale="160" zoomScaleNormal="160" workbookViewId="0">
      <selection activeCell="I25" sqref="I25"/>
    </sheetView>
  </sheetViews>
  <sheetFormatPr defaultRowHeight="11.25"/>
  <cols>
    <col min="2" max="2" width="9.1640625" style="14"/>
    <col min="3" max="18" width="9.1640625" style="14" customWidth="1"/>
    <col min="19" max="19" width="9.1640625" style="14"/>
  </cols>
  <sheetData>
    <row r="1" spans="1:19">
      <c r="A1" s="234" t="s">
        <v>0</v>
      </c>
      <c r="B1" s="235" t="s">
        <v>935</v>
      </c>
      <c r="C1" s="235" t="s">
        <v>936</v>
      </c>
      <c r="D1" s="235" t="s">
        <v>937</v>
      </c>
      <c r="E1" s="236" t="s">
        <v>938</v>
      </c>
      <c r="F1" s="235" t="s">
        <v>990</v>
      </c>
      <c r="G1" s="238" t="s">
        <v>991</v>
      </c>
      <c r="H1" s="235" t="s">
        <v>992</v>
      </c>
      <c r="I1" s="235" t="s">
        <v>993</v>
      </c>
      <c r="J1" s="235" t="s">
        <v>994</v>
      </c>
      <c r="K1" s="235" t="s">
        <v>995</v>
      </c>
      <c r="L1" s="236" t="s">
        <v>996</v>
      </c>
      <c r="M1" s="235" t="s">
        <v>1038</v>
      </c>
      <c r="N1" s="235" t="s">
        <v>1039</v>
      </c>
      <c r="O1" s="235" t="s">
        <v>1040</v>
      </c>
      <c r="P1" s="235" t="s">
        <v>1041</v>
      </c>
      <c r="Q1" s="235" t="s">
        <v>1042</v>
      </c>
      <c r="R1" s="235" t="s">
        <v>1043</v>
      </c>
      <c r="S1" s="236" t="s">
        <v>1044</v>
      </c>
    </row>
    <row r="2" spans="1:19">
      <c r="A2" s="233">
        <v>1234614</v>
      </c>
      <c r="B2" s="237">
        <v>0</v>
      </c>
      <c r="C2" s="237">
        <v>0</v>
      </c>
      <c r="D2" s="237">
        <v>0</v>
      </c>
      <c r="E2" s="237">
        <v>0</v>
      </c>
      <c r="F2" s="237">
        <v>0</v>
      </c>
      <c r="G2" s="237">
        <v>0</v>
      </c>
      <c r="H2" s="237">
        <v>0</v>
      </c>
      <c r="I2" s="237">
        <v>0</v>
      </c>
      <c r="J2" s="237">
        <v>0</v>
      </c>
      <c r="K2" s="237">
        <v>0</v>
      </c>
      <c r="L2" s="237">
        <v>0</v>
      </c>
      <c r="M2" s="237">
        <v>24</v>
      </c>
      <c r="N2" s="237">
        <v>276</v>
      </c>
      <c r="O2" s="237">
        <v>0</v>
      </c>
      <c r="P2" s="237">
        <v>0</v>
      </c>
      <c r="Q2" s="237">
        <v>0</v>
      </c>
      <c r="R2" s="237">
        <v>0</v>
      </c>
      <c r="S2" s="237">
        <v>0</v>
      </c>
    </row>
    <row r="3" spans="1:19">
      <c r="A3" s="233">
        <v>1229673</v>
      </c>
      <c r="B3" s="237">
        <v>200</v>
      </c>
      <c r="C3" s="237">
        <v>0</v>
      </c>
      <c r="D3" s="237">
        <v>0</v>
      </c>
      <c r="E3" s="237">
        <v>0</v>
      </c>
      <c r="F3" s="237">
        <v>200</v>
      </c>
      <c r="G3" s="239">
        <v>300</v>
      </c>
      <c r="H3" s="237">
        <v>200</v>
      </c>
      <c r="I3" s="237">
        <v>300</v>
      </c>
      <c r="J3" s="237">
        <v>200</v>
      </c>
      <c r="K3" s="237">
        <v>0</v>
      </c>
      <c r="L3" s="237">
        <v>0</v>
      </c>
      <c r="M3" s="237">
        <v>300</v>
      </c>
      <c r="N3" s="237">
        <v>0</v>
      </c>
      <c r="O3" s="237">
        <v>0</v>
      </c>
      <c r="P3" s="237">
        <v>252</v>
      </c>
      <c r="Q3" s="237">
        <v>0</v>
      </c>
      <c r="R3" s="237">
        <v>0</v>
      </c>
      <c r="S3" s="237">
        <v>0</v>
      </c>
    </row>
    <row r="4" spans="1:19">
      <c r="A4" s="233">
        <v>1233492</v>
      </c>
      <c r="B4" s="237">
        <v>0</v>
      </c>
      <c r="C4" s="237">
        <v>0</v>
      </c>
      <c r="D4" s="237">
        <v>0</v>
      </c>
      <c r="E4" s="237">
        <v>0</v>
      </c>
      <c r="F4" s="237">
        <v>0</v>
      </c>
      <c r="G4" s="237">
        <v>0</v>
      </c>
      <c r="H4" s="237">
        <v>0</v>
      </c>
      <c r="I4" s="237">
        <v>0</v>
      </c>
      <c r="J4" s="237">
        <v>0</v>
      </c>
      <c r="K4" s="237">
        <v>0</v>
      </c>
      <c r="L4" s="237">
        <v>0</v>
      </c>
      <c r="M4" s="237">
        <v>0</v>
      </c>
      <c r="N4" s="237">
        <v>356</v>
      </c>
      <c r="O4" s="237">
        <v>144</v>
      </c>
      <c r="P4" s="237">
        <v>0</v>
      </c>
      <c r="Q4" s="237">
        <v>0</v>
      </c>
      <c r="R4" s="237">
        <v>0</v>
      </c>
      <c r="S4" s="237">
        <v>0</v>
      </c>
    </row>
    <row r="5" spans="1:19">
      <c r="A5" s="233">
        <v>1233498</v>
      </c>
      <c r="B5" s="237">
        <v>0</v>
      </c>
      <c r="C5" s="237">
        <v>0</v>
      </c>
      <c r="D5" s="237">
        <v>0</v>
      </c>
      <c r="E5" s="237">
        <v>0</v>
      </c>
      <c r="F5" s="237">
        <v>0</v>
      </c>
      <c r="G5" s="237">
        <v>0</v>
      </c>
      <c r="H5" s="237">
        <v>0</v>
      </c>
      <c r="I5" s="237">
        <v>0</v>
      </c>
      <c r="J5" s="237">
        <v>0</v>
      </c>
      <c r="K5" s="237">
        <v>0</v>
      </c>
      <c r="L5" s="237">
        <v>0</v>
      </c>
      <c r="M5" s="237">
        <v>0</v>
      </c>
      <c r="N5" s="237">
        <v>356</v>
      </c>
      <c r="O5" s="237">
        <v>144</v>
      </c>
      <c r="P5" s="237">
        <v>0</v>
      </c>
      <c r="Q5" s="237">
        <v>0</v>
      </c>
      <c r="R5" s="237">
        <v>0</v>
      </c>
      <c r="S5" s="237">
        <v>0</v>
      </c>
    </row>
    <row r="6" spans="1:19">
      <c r="A6" s="233">
        <v>1233623</v>
      </c>
      <c r="B6" s="237">
        <v>0</v>
      </c>
      <c r="C6" s="237">
        <v>0</v>
      </c>
      <c r="D6" s="237">
        <v>0</v>
      </c>
      <c r="E6" s="237">
        <v>0</v>
      </c>
      <c r="F6" s="237">
        <v>0</v>
      </c>
      <c r="G6" s="237">
        <v>0</v>
      </c>
      <c r="H6" s="237">
        <v>0</v>
      </c>
      <c r="I6" s="237">
        <v>0</v>
      </c>
      <c r="J6" s="237">
        <v>0</v>
      </c>
      <c r="K6" s="237">
        <v>0</v>
      </c>
      <c r="L6" s="237">
        <v>0</v>
      </c>
      <c r="M6" s="237">
        <v>0</v>
      </c>
      <c r="N6" s="237">
        <v>356</v>
      </c>
      <c r="O6" s="237">
        <v>144</v>
      </c>
      <c r="P6" s="237">
        <v>0</v>
      </c>
      <c r="Q6" s="237">
        <v>0</v>
      </c>
      <c r="R6" s="237">
        <v>0</v>
      </c>
      <c r="S6" s="237">
        <v>0</v>
      </c>
    </row>
    <row r="7" spans="1:19">
      <c r="A7" s="233">
        <v>1235623</v>
      </c>
      <c r="B7" s="237">
        <v>0</v>
      </c>
      <c r="C7" s="237">
        <v>0</v>
      </c>
      <c r="D7" s="237">
        <v>0</v>
      </c>
      <c r="E7" s="237">
        <v>0</v>
      </c>
      <c r="F7" s="237">
        <v>0</v>
      </c>
      <c r="G7" s="237">
        <v>0</v>
      </c>
      <c r="H7" s="237">
        <v>0</v>
      </c>
      <c r="I7" s="237">
        <v>0</v>
      </c>
      <c r="J7" s="237">
        <v>52</v>
      </c>
      <c r="K7" s="237">
        <v>0</v>
      </c>
      <c r="L7" s="237">
        <v>0</v>
      </c>
      <c r="M7" s="237">
        <v>884</v>
      </c>
      <c r="N7" s="237">
        <v>0</v>
      </c>
      <c r="O7" s="237">
        <v>0</v>
      </c>
      <c r="P7" s="237">
        <v>0</v>
      </c>
      <c r="Q7" s="237">
        <v>0</v>
      </c>
      <c r="R7" s="237">
        <v>0</v>
      </c>
      <c r="S7" s="237">
        <v>0</v>
      </c>
    </row>
    <row r="8" spans="1:19">
      <c r="A8" s="233">
        <v>1237088</v>
      </c>
      <c r="B8" s="237">
        <v>300</v>
      </c>
      <c r="C8" s="237">
        <v>0</v>
      </c>
      <c r="D8" s="237">
        <v>0</v>
      </c>
      <c r="E8" s="237">
        <v>0</v>
      </c>
      <c r="F8" s="237">
        <v>1004</v>
      </c>
      <c r="G8" s="239">
        <v>474</v>
      </c>
      <c r="H8" s="237">
        <v>260</v>
      </c>
      <c r="I8" s="237">
        <v>678</v>
      </c>
      <c r="J8" s="237">
        <v>232</v>
      </c>
      <c r="K8" s="237">
        <v>0</v>
      </c>
      <c r="L8" s="237">
        <v>0</v>
      </c>
      <c r="M8" s="237">
        <v>736</v>
      </c>
      <c r="N8" s="237">
        <v>816</v>
      </c>
      <c r="O8" s="237">
        <v>788</v>
      </c>
      <c r="P8" s="237">
        <v>500</v>
      </c>
      <c r="Q8" s="237">
        <v>870</v>
      </c>
      <c r="R8" s="237">
        <v>0</v>
      </c>
      <c r="S8" s="237">
        <v>0</v>
      </c>
    </row>
    <row r="9" spans="1:19">
      <c r="A9" s="233">
        <v>1237748</v>
      </c>
      <c r="B9" s="237">
        <v>572</v>
      </c>
      <c r="C9" s="237">
        <v>0</v>
      </c>
      <c r="D9" s="237">
        <v>0</v>
      </c>
      <c r="E9" s="237">
        <v>0</v>
      </c>
      <c r="F9" s="237">
        <v>0</v>
      </c>
      <c r="G9" s="237">
        <v>0</v>
      </c>
      <c r="H9" s="237">
        <v>0</v>
      </c>
      <c r="I9" s="237">
        <v>0</v>
      </c>
      <c r="J9" s="237">
        <v>0</v>
      </c>
      <c r="K9" s="237">
        <v>0</v>
      </c>
      <c r="L9" s="237">
        <v>0</v>
      </c>
      <c r="M9" s="237">
        <v>0</v>
      </c>
      <c r="N9" s="237">
        <v>0</v>
      </c>
      <c r="O9" s="237">
        <v>312</v>
      </c>
      <c r="P9" s="237">
        <v>0</v>
      </c>
      <c r="Q9" s="237">
        <v>0</v>
      </c>
      <c r="R9" s="237">
        <v>0</v>
      </c>
      <c r="S9" s="237">
        <v>0</v>
      </c>
    </row>
    <row r="10" spans="1:19">
      <c r="A10" s="233">
        <v>1238128</v>
      </c>
      <c r="B10" s="237">
        <v>30</v>
      </c>
      <c r="C10" s="237">
        <v>378</v>
      </c>
      <c r="D10" s="237">
        <v>0</v>
      </c>
      <c r="E10" s="237">
        <v>0</v>
      </c>
      <c r="F10" s="237">
        <v>72</v>
      </c>
      <c r="G10" s="237">
        <v>0</v>
      </c>
      <c r="H10" s="237">
        <v>0</v>
      </c>
      <c r="I10" s="237">
        <v>0</v>
      </c>
      <c r="J10" s="237">
        <v>0</v>
      </c>
      <c r="K10" s="237">
        <v>0</v>
      </c>
      <c r="L10" s="237">
        <v>0</v>
      </c>
      <c r="M10" s="237">
        <v>0</v>
      </c>
      <c r="N10" s="237">
        <v>0</v>
      </c>
      <c r="O10" s="237">
        <v>92</v>
      </c>
      <c r="P10" s="237">
        <v>590</v>
      </c>
      <c r="Q10" s="237">
        <v>464</v>
      </c>
      <c r="R10" s="237">
        <v>0</v>
      </c>
      <c r="S10" s="237">
        <v>0</v>
      </c>
    </row>
    <row r="11" spans="1:19">
      <c r="A11" s="233">
        <v>1238480</v>
      </c>
      <c r="B11" s="237">
        <v>0</v>
      </c>
      <c r="C11" s="237">
        <v>0</v>
      </c>
      <c r="D11" s="237">
        <v>0</v>
      </c>
      <c r="E11" s="237">
        <v>0</v>
      </c>
      <c r="F11" s="237">
        <v>0</v>
      </c>
      <c r="G11" s="239">
        <v>60</v>
      </c>
      <c r="H11" s="237">
        <v>0</v>
      </c>
      <c r="I11" s="237">
        <v>0</v>
      </c>
      <c r="J11" s="237">
        <v>0</v>
      </c>
      <c r="K11" s="237">
        <v>0</v>
      </c>
      <c r="L11" s="237">
        <v>0</v>
      </c>
      <c r="M11" s="237">
        <v>0</v>
      </c>
      <c r="N11" s="237">
        <v>0</v>
      </c>
      <c r="O11" s="237">
        <v>0</v>
      </c>
      <c r="P11" s="237">
        <v>0</v>
      </c>
      <c r="Q11" s="237">
        <v>0</v>
      </c>
      <c r="R11" s="237">
        <v>0</v>
      </c>
      <c r="S11" s="237">
        <v>0</v>
      </c>
    </row>
    <row r="12" spans="1:19">
      <c r="A12" s="233">
        <v>1236962</v>
      </c>
      <c r="B12" s="237">
        <v>300</v>
      </c>
      <c r="C12" s="237">
        <v>200</v>
      </c>
      <c r="D12" s="237">
        <v>0</v>
      </c>
      <c r="E12" s="237">
        <v>0</v>
      </c>
      <c r="F12" s="237">
        <v>0</v>
      </c>
      <c r="G12" s="239">
        <v>200</v>
      </c>
      <c r="H12" s="237">
        <v>200</v>
      </c>
      <c r="I12" s="237">
        <v>200</v>
      </c>
      <c r="J12" s="237">
        <v>200</v>
      </c>
      <c r="K12" s="237">
        <v>0</v>
      </c>
      <c r="L12" s="237">
        <v>0</v>
      </c>
      <c r="M12" s="237">
        <v>200</v>
      </c>
      <c r="N12" s="237">
        <v>200</v>
      </c>
      <c r="O12" s="237">
        <v>300</v>
      </c>
      <c r="P12" s="237">
        <v>300</v>
      </c>
      <c r="Q12" s="237">
        <v>200</v>
      </c>
      <c r="R12" s="237">
        <v>0</v>
      </c>
      <c r="S12" s="237">
        <v>0</v>
      </c>
    </row>
    <row r="13" spans="1:19">
      <c r="A13" s="233">
        <v>1233761</v>
      </c>
      <c r="B13" s="237">
        <v>0</v>
      </c>
      <c r="C13" s="237">
        <v>140</v>
      </c>
      <c r="D13" s="237">
        <v>0</v>
      </c>
      <c r="E13" s="237">
        <v>0</v>
      </c>
      <c r="F13" s="237">
        <v>0</v>
      </c>
      <c r="G13" s="237">
        <v>0</v>
      </c>
      <c r="H13" s="237">
        <v>0</v>
      </c>
      <c r="I13" s="237">
        <v>0</v>
      </c>
      <c r="J13" s="237">
        <v>0</v>
      </c>
      <c r="K13" s="237">
        <v>0</v>
      </c>
      <c r="L13" s="237">
        <v>0</v>
      </c>
      <c r="M13" s="237">
        <v>0</v>
      </c>
      <c r="N13" s="237">
        <v>0</v>
      </c>
      <c r="O13" s="237">
        <v>0</v>
      </c>
      <c r="P13" s="237">
        <v>0</v>
      </c>
      <c r="Q13" s="237">
        <v>0</v>
      </c>
      <c r="R13" s="237">
        <v>0</v>
      </c>
      <c r="S13" s="237">
        <v>0</v>
      </c>
    </row>
    <row r="14" spans="1:19">
      <c r="A14" s="233">
        <v>1239651</v>
      </c>
      <c r="B14" s="237">
        <v>0</v>
      </c>
      <c r="C14" s="237">
        <v>0</v>
      </c>
      <c r="D14" s="237">
        <v>0</v>
      </c>
      <c r="E14" s="237">
        <v>0</v>
      </c>
      <c r="F14" s="237">
        <v>0</v>
      </c>
      <c r="G14" s="239">
        <v>300</v>
      </c>
      <c r="H14" s="237">
        <v>0</v>
      </c>
      <c r="I14" s="237">
        <v>0</v>
      </c>
      <c r="J14" s="237">
        <v>0</v>
      </c>
      <c r="K14" s="237">
        <v>0</v>
      </c>
      <c r="L14" s="237">
        <v>0</v>
      </c>
      <c r="M14" s="237">
        <v>200</v>
      </c>
      <c r="N14" s="237">
        <v>300</v>
      </c>
      <c r="O14" s="237">
        <v>0</v>
      </c>
      <c r="P14" s="237">
        <v>0</v>
      </c>
      <c r="Q14" s="237">
        <v>0</v>
      </c>
      <c r="R14" s="237">
        <v>0</v>
      </c>
      <c r="S14" s="237">
        <v>0</v>
      </c>
    </row>
    <row r="15" spans="1:19">
      <c r="A15" s="233">
        <v>1239988</v>
      </c>
      <c r="B15" s="237">
        <v>510</v>
      </c>
      <c r="C15" s="237">
        <v>366</v>
      </c>
      <c r="D15" s="237">
        <v>0</v>
      </c>
      <c r="E15" s="237">
        <v>0</v>
      </c>
      <c r="F15" s="237">
        <v>250</v>
      </c>
      <c r="G15" s="237">
        <v>0</v>
      </c>
      <c r="H15" s="237">
        <v>0</v>
      </c>
      <c r="I15" s="237">
        <v>0</v>
      </c>
      <c r="J15" s="237">
        <v>0</v>
      </c>
      <c r="K15" s="237">
        <v>0</v>
      </c>
      <c r="L15" s="237">
        <v>0</v>
      </c>
      <c r="M15" s="237">
        <v>0</v>
      </c>
      <c r="N15" s="237">
        <v>0</v>
      </c>
      <c r="O15" s="237">
        <v>0</v>
      </c>
      <c r="P15" s="237">
        <v>440</v>
      </c>
      <c r="Q15" s="237">
        <v>400</v>
      </c>
      <c r="R15" s="237">
        <v>0</v>
      </c>
      <c r="S15" s="237">
        <v>0</v>
      </c>
    </row>
    <row r="16" spans="1:19">
      <c r="A16" s="233">
        <v>1240180</v>
      </c>
      <c r="B16" s="237">
        <v>592</v>
      </c>
      <c r="C16" s="237">
        <v>592</v>
      </c>
      <c r="D16" s="237">
        <v>0</v>
      </c>
      <c r="E16" s="237">
        <v>0</v>
      </c>
      <c r="F16" s="237">
        <v>660</v>
      </c>
      <c r="G16" s="239">
        <v>824</v>
      </c>
      <c r="H16" s="237">
        <v>164</v>
      </c>
      <c r="I16" s="237">
        <v>426</v>
      </c>
      <c r="J16" s="237">
        <v>316</v>
      </c>
      <c r="K16" s="237">
        <v>0</v>
      </c>
      <c r="L16" s="237">
        <v>0</v>
      </c>
      <c r="M16" s="237">
        <v>426</v>
      </c>
      <c r="N16" s="237">
        <v>426</v>
      </c>
      <c r="O16" s="237">
        <v>334</v>
      </c>
      <c r="P16" s="237">
        <v>304</v>
      </c>
      <c r="Q16" s="237">
        <v>322</v>
      </c>
      <c r="R16" s="237">
        <v>0</v>
      </c>
      <c r="S16" s="237">
        <v>0</v>
      </c>
    </row>
    <row r="17" spans="1:19">
      <c r="A17" s="233">
        <v>1240184</v>
      </c>
      <c r="B17" s="237">
        <v>592</v>
      </c>
      <c r="C17" s="237">
        <v>592</v>
      </c>
      <c r="D17" s="237">
        <v>0</v>
      </c>
      <c r="E17" s="237">
        <v>0</v>
      </c>
      <c r="F17" s="237">
        <v>660</v>
      </c>
      <c r="G17" s="239">
        <v>640</v>
      </c>
      <c r="H17" s="237">
        <v>164</v>
      </c>
      <c r="I17" s="237">
        <v>426</v>
      </c>
      <c r="J17" s="237">
        <v>316</v>
      </c>
      <c r="K17" s="237">
        <v>0</v>
      </c>
      <c r="L17" s="237">
        <v>0</v>
      </c>
      <c r="M17" s="237">
        <v>426</v>
      </c>
      <c r="N17" s="237">
        <v>426</v>
      </c>
      <c r="O17" s="237">
        <v>334</v>
      </c>
      <c r="P17" s="237">
        <v>304</v>
      </c>
      <c r="Q17" s="237">
        <v>322</v>
      </c>
      <c r="R17" s="237">
        <v>0</v>
      </c>
      <c r="S17" s="237">
        <v>0</v>
      </c>
    </row>
    <row r="18" spans="1:19">
      <c r="A18" s="233">
        <v>1240308</v>
      </c>
      <c r="B18" s="237">
        <v>450</v>
      </c>
      <c r="C18" s="237">
        <v>376</v>
      </c>
      <c r="D18" s="237">
        <v>0</v>
      </c>
      <c r="E18" s="237">
        <v>0</v>
      </c>
      <c r="F18" s="237">
        <v>200</v>
      </c>
      <c r="G18" s="239">
        <v>300</v>
      </c>
      <c r="H18" s="237">
        <v>0</v>
      </c>
      <c r="I18" s="237">
        <v>400</v>
      </c>
      <c r="J18" s="237">
        <v>0</v>
      </c>
      <c r="K18" s="237">
        <v>0</v>
      </c>
      <c r="L18" s="237">
        <v>0</v>
      </c>
      <c r="M18" s="237">
        <v>0</v>
      </c>
      <c r="N18" s="237">
        <v>0</v>
      </c>
      <c r="O18" s="237">
        <v>0</v>
      </c>
      <c r="P18" s="237">
        <v>270</v>
      </c>
      <c r="Q18" s="237">
        <v>0</v>
      </c>
      <c r="R18" s="237">
        <v>0</v>
      </c>
      <c r="S18" s="237">
        <v>0</v>
      </c>
    </row>
    <row r="19" spans="1:19">
      <c r="A19" s="233">
        <v>1241601</v>
      </c>
      <c r="B19" s="237">
        <v>0</v>
      </c>
      <c r="C19" s="237">
        <v>0</v>
      </c>
      <c r="D19" s="237">
        <v>0</v>
      </c>
      <c r="E19" s="237">
        <v>0</v>
      </c>
      <c r="F19" s="237">
        <v>1266</v>
      </c>
      <c r="G19" s="239">
        <v>1176</v>
      </c>
      <c r="H19" s="237">
        <v>862</v>
      </c>
      <c r="I19" s="237">
        <v>2246</v>
      </c>
      <c r="J19" s="237">
        <v>1600</v>
      </c>
      <c r="K19" s="237">
        <v>0</v>
      </c>
      <c r="L19" s="237">
        <v>0</v>
      </c>
      <c r="M19" s="237">
        <v>1564</v>
      </c>
      <c r="N19" s="237">
        <v>1564</v>
      </c>
      <c r="O19" s="237">
        <v>1228</v>
      </c>
      <c r="P19" s="237">
        <v>966</v>
      </c>
      <c r="Q19" s="237">
        <v>338</v>
      </c>
      <c r="R19" s="237">
        <v>0</v>
      </c>
      <c r="S19" s="237">
        <v>0</v>
      </c>
    </row>
    <row r="23" spans="1:19">
      <c r="A23" s="2" t="s">
        <v>0</v>
      </c>
      <c r="B23" s="14" t="s">
        <v>1047</v>
      </c>
      <c r="C23" s="14" t="s">
        <v>1048</v>
      </c>
      <c r="D23" s="14" t="s">
        <v>1049</v>
      </c>
      <c r="E23" s="14" t="s">
        <v>1050</v>
      </c>
      <c r="F23" s="14" t="s">
        <v>1051</v>
      </c>
      <c r="G23" s="14" t="s">
        <v>1052</v>
      </c>
      <c r="H23" s="14" t="s">
        <v>1053</v>
      </c>
      <c r="I23" s="14" t="s">
        <v>1054</v>
      </c>
      <c r="J23" s="14" t="s">
        <v>1055</v>
      </c>
      <c r="K23" s="14" t="s">
        <v>1056</v>
      </c>
      <c r="L23" s="14" t="s">
        <v>1057</v>
      </c>
      <c r="M23" s="14" t="s">
        <v>1058</v>
      </c>
      <c r="N23" s="14" t="s">
        <v>1059</v>
      </c>
      <c r="O23" s="14" t="s">
        <v>1060</v>
      </c>
      <c r="P23" s="14" t="s">
        <v>1061</v>
      </c>
      <c r="Q23" s="14" t="s">
        <v>1062</v>
      </c>
      <c r="R23" s="14" t="s">
        <v>1063</v>
      </c>
      <c r="S23" s="14" t="s">
        <v>1064</v>
      </c>
    </row>
    <row r="24" spans="1:19">
      <c r="A24">
        <v>1237608</v>
      </c>
      <c r="B24" s="14">
        <v>0</v>
      </c>
      <c r="C24" s="14">
        <v>0</v>
      </c>
      <c r="D24" s="14">
        <v>0</v>
      </c>
      <c r="E24" s="14">
        <v>0</v>
      </c>
      <c r="F24" s="92">
        <v>300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300</v>
      </c>
      <c r="P24" s="14">
        <v>0</v>
      </c>
      <c r="Q24" s="14">
        <v>0</v>
      </c>
      <c r="R24" s="14">
        <v>0</v>
      </c>
      <c r="S24" s="14">
        <v>0</v>
      </c>
    </row>
    <row r="25" spans="1:19">
      <c r="A25">
        <v>1233165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92">
        <v>37</v>
      </c>
      <c r="H25" s="57">
        <v>243</v>
      </c>
      <c r="I25" s="57">
        <v>0</v>
      </c>
      <c r="J25" s="57">
        <v>0</v>
      </c>
      <c r="K25" s="57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</row>
    <row r="26" spans="1:19">
      <c r="A26">
        <v>1236387</v>
      </c>
      <c r="B26" s="14">
        <v>104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57">
        <v>0</v>
      </c>
      <c r="I26" s="57">
        <v>0</v>
      </c>
      <c r="J26" s="57">
        <v>0</v>
      </c>
      <c r="K26" s="57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</row>
    <row r="27" spans="1:19">
      <c r="A27">
        <v>1232775</v>
      </c>
      <c r="B27" s="14">
        <v>200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57">
        <v>3</v>
      </c>
      <c r="I27" s="57">
        <v>245</v>
      </c>
      <c r="J27" s="57">
        <v>245</v>
      </c>
      <c r="K27" s="57">
        <v>0</v>
      </c>
      <c r="L27" s="14">
        <v>0</v>
      </c>
      <c r="M27" s="14">
        <v>242</v>
      </c>
      <c r="N27" s="14">
        <v>242</v>
      </c>
      <c r="O27" s="14">
        <v>245</v>
      </c>
      <c r="P27" s="14">
        <v>242</v>
      </c>
      <c r="Q27" s="14">
        <v>242</v>
      </c>
      <c r="R27" s="14">
        <v>0</v>
      </c>
      <c r="S27" s="14">
        <v>0</v>
      </c>
    </row>
    <row r="28" spans="1:19">
      <c r="A28">
        <v>1238605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57">
        <v>2</v>
      </c>
      <c r="I28" s="57">
        <v>190</v>
      </c>
      <c r="J28" s="57">
        <v>190</v>
      </c>
      <c r="K28" s="57">
        <v>0</v>
      </c>
      <c r="L28" s="14">
        <v>0</v>
      </c>
      <c r="M28" s="14">
        <v>192</v>
      </c>
      <c r="N28" s="14">
        <v>190</v>
      </c>
      <c r="O28" s="14">
        <v>192</v>
      </c>
      <c r="P28" s="14">
        <v>190</v>
      </c>
      <c r="Q28" s="14">
        <v>190</v>
      </c>
      <c r="R28" s="14">
        <v>0</v>
      </c>
      <c r="S28" s="14">
        <v>0</v>
      </c>
    </row>
    <row r="29" spans="1:19">
      <c r="A29">
        <v>1230685</v>
      </c>
      <c r="B29" s="14">
        <v>220</v>
      </c>
      <c r="C29" s="14">
        <v>330</v>
      </c>
      <c r="D29" s="14">
        <v>0</v>
      </c>
      <c r="E29" s="14">
        <v>0</v>
      </c>
      <c r="F29" s="92">
        <v>330</v>
      </c>
      <c r="G29" s="92">
        <v>270</v>
      </c>
      <c r="H29" s="57">
        <v>0</v>
      </c>
      <c r="I29" s="57">
        <v>0</v>
      </c>
      <c r="J29" s="57">
        <v>0</v>
      </c>
      <c r="K29" s="57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</row>
    <row r="30" spans="1:19">
      <c r="H30" s="57"/>
      <c r="I30" s="57"/>
      <c r="J30" s="57"/>
      <c r="K30" s="57"/>
    </row>
    <row r="34" spans="1:19">
      <c r="A34" s="2" t="s">
        <v>0</v>
      </c>
      <c r="B34" s="14" t="s">
        <v>1047</v>
      </c>
      <c r="C34" s="14" t="s">
        <v>1048</v>
      </c>
      <c r="D34" s="14" t="s">
        <v>1049</v>
      </c>
      <c r="E34" s="14" t="s">
        <v>1050</v>
      </c>
      <c r="F34" s="14" t="s">
        <v>1051</v>
      </c>
      <c r="G34" s="14" t="s">
        <v>1052</v>
      </c>
      <c r="H34" s="14" t="s">
        <v>1053</v>
      </c>
      <c r="I34" s="14" t="s">
        <v>1054</v>
      </c>
      <c r="J34" s="14" t="s">
        <v>1055</v>
      </c>
      <c r="K34" s="14" t="s">
        <v>1056</v>
      </c>
      <c r="L34" s="14" t="s">
        <v>1057</v>
      </c>
      <c r="M34" s="14" t="s">
        <v>1058</v>
      </c>
      <c r="N34" s="14" t="s">
        <v>1059</v>
      </c>
      <c r="O34" s="14" t="s">
        <v>1060</v>
      </c>
      <c r="P34" s="14" t="s">
        <v>1061</v>
      </c>
      <c r="Q34" s="14" t="s">
        <v>1062</v>
      </c>
      <c r="R34" s="14" t="s">
        <v>1063</v>
      </c>
      <c r="S34" s="14" t="s">
        <v>1064</v>
      </c>
    </row>
    <row r="35" spans="1:19">
      <c r="A35">
        <v>1234614</v>
      </c>
      <c r="B35" s="14">
        <v>216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</row>
    <row r="36" spans="1:19">
      <c r="A36">
        <v>1227306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302</v>
      </c>
      <c r="J36" s="14">
        <v>338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</row>
    <row r="37" spans="1:19">
      <c r="A37">
        <v>1227359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1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</row>
    <row r="38" spans="1:19">
      <c r="A38">
        <v>1231090</v>
      </c>
      <c r="B38" s="14">
        <v>0</v>
      </c>
      <c r="C38" s="14">
        <v>0</v>
      </c>
      <c r="D38" s="14">
        <v>0</v>
      </c>
      <c r="E38" s="14">
        <v>0</v>
      </c>
      <c r="F38" s="14">
        <v>73</v>
      </c>
      <c r="G38" s="14">
        <v>127</v>
      </c>
      <c r="H38" s="14">
        <v>57</v>
      </c>
      <c r="I38" s="14">
        <v>551</v>
      </c>
      <c r="J38" s="14">
        <v>433</v>
      </c>
      <c r="K38" s="14">
        <v>0</v>
      </c>
      <c r="L38" s="14">
        <v>0</v>
      </c>
      <c r="M38" s="14">
        <v>1094</v>
      </c>
      <c r="N38" s="14">
        <v>220</v>
      </c>
      <c r="O38" s="14">
        <v>140</v>
      </c>
      <c r="P38" s="14">
        <v>0</v>
      </c>
      <c r="Q38" s="14">
        <v>570</v>
      </c>
      <c r="R38" s="14">
        <v>0</v>
      </c>
      <c r="S38" s="14">
        <v>0</v>
      </c>
    </row>
    <row r="39" spans="1:19">
      <c r="A39">
        <v>1229776</v>
      </c>
      <c r="B39" s="14">
        <v>0</v>
      </c>
      <c r="C39" s="14">
        <v>0</v>
      </c>
      <c r="D39" s="14">
        <v>0</v>
      </c>
      <c r="E39" s="14">
        <v>0</v>
      </c>
      <c r="F39" s="14">
        <v>73</v>
      </c>
      <c r="G39" s="14">
        <v>127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</row>
    <row r="40" spans="1:19">
      <c r="A40">
        <v>1225464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107</v>
      </c>
      <c r="I40" s="14">
        <v>23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906</v>
      </c>
      <c r="R40" s="14">
        <v>0</v>
      </c>
      <c r="S40" s="14">
        <v>0</v>
      </c>
    </row>
    <row r="41" spans="1:19">
      <c r="A41">
        <v>1232066</v>
      </c>
      <c r="B41" s="14">
        <v>0</v>
      </c>
      <c r="C41" s="14">
        <v>0</v>
      </c>
      <c r="D41" s="14">
        <v>0</v>
      </c>
      <c r="E41" s="14">
        <v>0</v>
      </c>
      <c r="F41" s="14">
        <v>120</v>
      </c>
      <c r="G41" s="14">
        <v>80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</row>
    <row r="42" spans="1:19">
      <c r="A42">
        <v>1229088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5</v>
      </c>
      <c r="Q42" s="14">
        <v>0</v>
      </c>
      <c r="R42" s="14">
        <v>0</v>
      </c>
      <c r="S42" s="14">
        <v>0</v>
      </c>
    </row>
    <row r="43" spans="1:19">
      <c r="A43">
        <v>1232693</v>
      </c>
      <c r="B43" s="14">
        <v>0</v>
      </c>
      <c r="C43" s="14">
        <v>291</v>
      </c>
      <c r="D43" s="14">
        <v>0</v>
      </c>
      <c r="E43" s="14">
        <v>0</v>
      </c>
      <c r="F43" s="14">
        <v>777</v>
      </c>
      <c r="G43" s="14">
        <v>675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</row>
    <row r="44" spans="1:19">
      <c r="A44">
        <v>1233025</v>
      </c>
      <c r="B44" s="14">
        <v>0</v>
      </c>
      <c r="C44" s="14">
        <v>291</v>
      </c>
      <c r="D44" s="14">
        <v>0</v>
      </c>
      <c r="E44" s="14">
        <v>0</v>
      </c>
      <c r="F44" s="14">
        <v>777</v>
      </c>
      <c r="G44" s="14">
        <v>675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</row>
    <row r="45" spans="1:19">
      <c r="A45">
        <v>1234222</v>
      </c>
      <c r="B45" s="14">
        <v>63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</row>
    <row r="46" spans="1:19">
      <c r="A46">
        <v>1232528</v>
      </c>
      <c r="B46" s="14">
        <v>0</v>
      </c>
      <c r="C46" s="14">
        <v>0</v>
      </c>
      <c r="D46" s="14">
        <v>0</v>
      </c>
      <c r="E46" s="14">
        <v>0</v>
      </c>
      <c r="F46" s="14">
        <v>507</v>
      </c>
      <c r="G46" s="14">
        <v>685</v>
      </c>
      <c r="H46" s="14">
        <v>539</v>
      </c>
      <c r="I46" s="14">
        <v>686</v>
      </c>
      <c r="J46" s="14">
        <v>526</v>
      </c>
      <c r="K46" s="14">
        <v>0</v>
      </c>
      <c r="L46" s="14">
        <v>0</v>
      </c>
      <c r="M46" s="14">
        <v>1130</v>
      </c>
      <c r="N46" s="14">
        <v>300</v>
      </c>
      <c r="O46" s="14">
        <v>1500</v>
      </c>
      <c r="P46" s="14">
        <v>1400</v>
      </c>
      <c r="Q46" s="14">
        <v>4495</v>
      </c>
      <c r="R46" s="14">
        <v>0</v>
      </c>
      <c r="S46" s="14">
        <v>0</v>
      </c>
    </row>
    <row r="47" spans="1:19">
      <c r="A47">
        <v>1232846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300</v>
      </c>
      <c r="N47" s="14">
        <v>200</v>
      </c>
      <c r="O47" s="14">
        <v>428</v>
      </c>
      <c r="P47" s="14">
        <v>100</v>
      </c>
      <c r="Q47" s="14">
        <v>0</v>
      </c>
      <c r="R47" s="14">
        <v>0</v>
      </c>
      <c r="S47" s="14">
        <v>0</v>
      </c>
    </row>
    <row r="48" spans="1:19">
      <c r="A48">
        <v>1229050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25</v>
      </c>
      <c r="K48" s="14">
        <v>0</v>
      </c>
      <c r="L48" s="14">
        <v>0</v>
      </c>
      <c r="M48" s="14">
        <v>126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</row>
    <row r="49" spans="1:19">
      <c r="A49">
        <v>1220847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920</v>
      </c>
      <c r="O49" s="14">
        <v>0</v>
      </c>
      <c r="P49" s="14">
        <v>0</v>
      </c>
      <c r="Q49" s="14">
        <v>4360</v>
      </c>
      <c r="R49" s="14">
        <v>0</v>
      </c>
      <c r="S49" s="14">
        <v>0</v>
      </c>
    </row>
    <row r="50" spans="1:19">
      <c r="A50">
        <v>1234217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50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</row>
    <row r="51" spans="1:19">
      <c r="A51">
        <v>1234111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50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</row>
    <row r="52" spans="1:19">
      <c r="A52">
        <v>1234110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50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</row>
    <row r="53" spans="1:19">
      <c r="A53">
        <v>1232775</v>
      </c>
      <c r="B53" s="14">
        <v>48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183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196</v>
      </c>
      <c r="R53" s="14">
        <v>0</v>
      </c>
      <c r="S53" s="14">
        <v>0</v>
      </c>
    </row>
    <row r="54" spans="1:19">
      <c r="A54">
        <v>1235958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1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</row>
    <row r="55" spans="1:19">
      <c r="A55">
        <v>1236600</v>
      </c>
      <c r="B55" s="14">
        <v>260</v>
      </c>
      <c r="C55" s="14">
        <v>419</v>
      </c>
      <c r="D55" s="14">
        <v>0</v>
      </c>
      <c r="E55" s="14">
        <v>0</v>
      </c>
      <c r="F55" s="14">
        <v>421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1</v>
      </c>
      <c r="N55" s="14">
        <v>0</v>
      </c>
      <c r="O55" s="14">
        <v>55</v>
      </c>
      <c r="P55" s="14">
        <v>0</v>
      </c>
      <c r="Q55" s="14">
        <v>0</v>
      </c>
      <c r="R55" s="14">
        <v>0</v>
      </c>
      <c r="S55" s="14">
        <v>0</v>
      </c>
    </row>
    <row r="56" spans="1:19">
      <c r="A56">
        <v>1236930</v>
      </c>
      <c r="B56" s="14">
        <v>620</v>
      </c>
      <c r="C56" s="14">
        <v>492</v>
      </c>
      <c r="D56" s="14">
        <v>0</v>
      </c>
      <c r="E56" s="14">
        <v>0</v>
      </c>
      <c r="F56" s="14">
        <v>636</v>
      </c>
      <c r="G56" s="14">
        <v>626</v>
      </c>
      <c r="H56" s="14">
        <v>189</v>
      </c>
      <c r="I56" s="14">
        <v>0</v>
      </c>
      <c r="J56" s="14">
        <v>0</v>
      </c>
      <c r="K56" s="14">
        <v>0</v>
      </c>
      <c r="L56" s="14">
        <v>0</v>
      </c>
      <c r="M56" s="14">
        <v>622</v>
      </c>
      <c r="N56" s="14">
        <v>130</v>
      </c>
      <c r="O56" s="14">
        <v>270</v>
      </c>
      <c r="P56" s="14">
        <v>462</v>
      </c>
      <c r="Q56" s="14">
        <v>506</v>
      </c>
      <c r="R56" s="14">
        <v>0</v>
      </c>
      <c r="S56" s="14">
        <v>0</v>
      </c>
    </row>
    <row r="57" spans="1:19">
      <c r="A57">
        <v>1232982</v>
      </c>
      <c r="B57" s="14">
        <v>284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</row>
    <row r="58" spans="1:19">
      <c r="A58">
        <v>1237468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38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96</v>
      </c>
      <c r="R58" s="14">
        <v>0</v>
      </c>
      <c r="S58" s="14">
        <v>0</v>
      </c>
    </row>
    <row r="59" spans="1:19">
      <c r="A59">
        <v>1237210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140</v>
      </c>
      <c r="P59" s="14">
        <v>0</v>
      </c>
      <c r="Q59" s="14">
        <v>0</v>
      </c>
      <c r="R59" s="14">
        <v>0</v>
      </c>
      <c r="S59" s="14">
        <v>0</v>
      </c>
    </row>
    <row r="60" spans="1:19">
      <c r="A60">
        <v>1237386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22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</row>
    <row r="61" spans="1:19">
      <c r="A61">
        <v>1234905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64</v>
      </c>
      <c r="K61" s="14">
        <v>0</v>
      </c>
      <c r="L61" s="14">
        <v>0</v>
      </c>
      <c r="M61" s="14">
        <v>216</v>
      </c>
      <c r="N61" s="14">
        <v>0</v>
      </c>
      <c r="O61" s="14">
        <v>0</v>
      </c>
      <c r="P61" s="14">
        <v>200</v>
      </c>
      <c r="Q61" s="14">
        <v>300</v>
      </c>
      <c r="R61" s="14">
        <v>0</v>
      </c>
      <c r="S61" s="14">
        <v>0</v>
      </c>
    </row>
    <row r="62" spans="1:19">
      <c r="A62">
        <v>1238480</v>
      </c>
      <c r="B62" s="14">
        <v>1231</v>
      </c>
      <c r="C62" s="14">
        <v>1186</v>
      </c>
      <c r="D62" s="14">
        <v>0</v>
      </c>
      <c r="E62" s="14">
        <v>0</v>
      </c>
      <c r="F62" s="14">
        <v>1061</v>
      </c>
      <c r="G62" s="14">
        <v>1159</v>
      </c>
      <c r="H62" s="14">
        <v>1157</v>
      </c>
      <c r="I62" s="14">
        <v>1292</v>
      </c>
      <c r="J62" s="14">
        <v>1015</v>
      </c>
      <c r="K62" s="14">
        <v>0</v>
      </c>
      <c r="L62" s="14">
        <v>0</v>
      </c>
      <c r="M62" s="14">
        <v>1747</v>
      </c>
      <c r="N62" s="14">
        <v>552</v>
      </c>
      <c r="O62" s="14">
        <v>1694</v>
      </c>
      <c r="P62" s="14">
        <v>1531</v>
      </c>
      <c r="Q62" s="14">
        <v>2368</v>
      </c>
      <c r="R62" s="14">
        <v>0</v>
      </c>
      <c r="S62" s="14">
        <v>0</v>
      </c>
    </row>
    <row r="63" spans="1:19">
      <c r="A63">
        <v>1238453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229</v>
      </c>
      <c r="I63" s="14">
        <v>336</v>
      </c>
      <c r="J63" s="14">
        <v>76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</row>
    <row r="64" spans="1:19">
      <c r="A64">
        <v>1216452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73</v>
      </c>
      <c r="I64" s="14">
        <v>741</v>
      </c>
      <c r="J64" s="14">
        <v>131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787</v>
      </c>
      <c r="Q64" s="14">
        <v>0</v>
      </c>
      <c r="R64" s="14">
        <v>0</v>
      </c>
      <c r="S64" s="14">
        <v>0</v>
      </c>
    </row>
    <row r="65" spans="1:19">
      <c r="A65">
        <v>1232894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300</v>
      </c>
      <c r="N65" s="14">
        <v>200</v>
      </c>
      <c r="O65" s="14">
        <v>428</v>
      </c>
      <c r="P65" s="14">
        <v>100</v>
      </c>
      <c r="Q65" s="14">
        <v>0</v>
      </c>
      <c r="R65" s="14">
        <v>0</v>
      </c>
      <c r="S65" s="14">
        <v>0</v>
      </c>
    </row>
    <row r="66" spans="1:19">
      <c r="A66">
        <v>1233387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300</v>
      </c>
      <c r="N66" s="14">
        <v>200</v>
      </c>
      <c r="O66" s="14">
        <v>428</v>
      </c>
      <c r="P66" s="14">
        <v>100</v>
      </c>
      <c r="Q66" s="14">
        <v>0</v>
      </c>
      <c r="R66" s="14">
        <v>0</v>
      </c>
      <c r="S66" s="14">
        <v>0</v>
      </c>
    </row>
    <row r="67" spans="1:19">
      <c r="A67">
        <v>1233580</v>
      </c>
      <c r="B67" s="14">
        <v>71</v>
      </c>
      <c r="C67" s="14">
        <v>129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</row>
  </sheetData>
  <autoFilter ref="A1:S19" xr:uid="{36FDED48-FDF9-4505-9993-134D3E6FF01A}"/>
  <phoneticPr fontId="1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6017-2EC8-4281-BE71-763C2202400E}">
  <dimension ref="A1:R64"/>
  <sheetViews>
    <sheetView topLeftCell="A37" zoomScale="130" zoomScaleNormal="130" workbookViewId="0">
      <selection activeCell="P45" sqref="P45"/>
    </sheetView>
  </sheetViews>
  <sheetFormatPr defaultRowHeight="11.25"/>
  <cols>
    <col min="2" max="2" width="9.1640625" style="14"/>
    <col min="3" max="17" width="9.1640625" style="14" customWidth="1"/>
    <col min="18" max="18" width="9.1640625" style="14"/>
  </cols>
  <sheetData>
    <row r="1" spans="1:18">
      <c r="A1" s="2" t="s">
        <v>0</v>
      </c>
      <c r="B1" s="14" t="s">
        <v>1065</v>
      </c>
      <c r="C1" s="14" t="s">
        <v>1066</v>
      </c>
      <c r="D1" s="14" t="s">
        <v>1067</v>
      </c>
      <c r="E1" s="14" t="s">
        <v>1068</v>
      </c>
      <c r="F1" s="14" t="s">
        <v>1069</v>
      </c>
      <c r="G1" s="14" t="s">
        <v>1070</v>
      </c>
      <c r="H1" s="14" t="s">
        <v>1071</v>
      </c>
      <c r="I1" s="14" t="s">
        <v>1072</v>
      </c>
      <c r="J1" s="14" t="s">
        <v>1073</v>
      </c>
      <c r="K1" s="14" t="s">
        <v>1074</v>
      </c>
      <c r="L1" s="14" t="s">
        <v>1075</v>
      </c>
      <c r="M1" s="14" t="s">
        <v>1076</v>
      </c>
      <c r="N1" s="14" t="s">
        <v>1077</v>
      </c>
      <c r="O1" s="14" t="s">
        <v>1078</v>
      </c>
      <c r="P1" s="14" t="s">
        <v>1079</v>
      </c>
      <c r="Q1" s="14" t="s">
        <v>1080</v>
      </c>
      <c r="R1" s="14" t="s">
        <v>1081</v>
      </c>
    </row>
    <row r="2" spans="1:18">
      <c r="A2">
        <v>1234614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24</v>
      </c>
      <c r="M2" s="14">
        <v>276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</row>
    <row r="3" spans="1:18">
      <c r="A3">
        <v>1229673</v>
      </c>
      <c r="B3" s="14">
        <v>0</v>
      </c>
      <c r="C3" s="14">
        <v>0</v>
      </c>
      <c r="D3" s="14">
        <v>0</v>
      </c>
      <c r="E3" s="14">
        <v>200</v>
      </c>
      <c r="F3" s="14">
        <v>300</v>
      </c>
      <c r="G3" s="16">
        <v>200</v>
      </c>
      <c r="H3" s="14">
        <v>300</v>
      </c>
      <c r="I3" s="14">
        <v>200</v>
      </c>
      <c r="J3" s="14">
        <v>0</v>
      </c>
      <c r="K3" s="14">
        <v>0</v>
      </c>
      <c r="L3" s="14">
        <v>300</v>
      </c>
      <c r="M3" s="14">
        <v>0</v>
      </c>
      <c r="N3" s="14">
        <v>0</v>
      </c>
      <c r="O3" s="14">
        <v>252</v>
      </c>
      <c r="P3" s="14">
        <v>0</v>
      </c>
      <c r="Q3" s="14">
        <v>0</v>
      </c>
      <c r="R3" s="14">
        <v>0</v>
      </c>
    </row>
    <row r="4" spans="1:18">
      <c r="A4">
        <v>1233492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356</v>
      </c>
      <c r="N4" s="14">
        <v>144</v>
      </c>
      <c r="O4" s="14">
        <v>0</v>
      </c>
      <c r="P4" s="14">
        <v>0</v>
      </c>
      <c r="Q4" s="14">
        <v>0</v>
      </c>
      <c r="R4" s="14">
        <v>0</v>
      </c>
    </row>
    <row r="5" spans="1:18">
      <c r="A5">
        <v>1233498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356</v>
      </c>
      <c r="N5" s="14">
        <v>144</v>
      </c>
      <c r="O5" s="14">
        <v>0</v>
      </c>
      <c r="P5" s="14">
        <v>0</v>
      </c>
      <c r="Q5" s="14">
        <v>0</v>
      </c>
      <c r="R5" s="14">
        <v>0</v>
      </c>
    </row>
    <row r="6" spans="1:18">
      <c r="A6">
        <v>1233623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356</v>
      </c>
      <c r="N6" s="14">
        <v>144</v>
      </c>
      <c r="O6" s="14">
        <v>0</v>
      </c>
      <c r="P6" s="14">
        <v>0</v>
      </c>
      <c r="Q6" s="14">
        <v>0</v>
      </c>
      <c r="R6" s="14">
        <v>0</v>
      </c>
    </row>
    <row r="7" spans="1:18">
      <c r="A7">
        <v>1235623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52</v>
      </c>
      <c r="J7" s="14">
        <v>0</v>
      </c>
      <c r="K7" s="14">
        <v>0</v>
      </c>
      <c r="L7" s="14">
        <v>884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</row>
    <row r="8" spans="1:18">
      <c r="A8">
        <v>1237088</v>
      </c>
      <c r="B8" s="14">
        <v>0</v>
      </c>
      <c r="C8" s="14">
        <v>0</v>
      </c>
      <c r="D8" s="14">
        <v>0</v>
      </c>
      <c r="E8" s="14">
        <v>1004</v>
      </c>
      <c r="F8" s="14">
        <v>474</v>
      </c>
      <c r="G8" s="16">
        <v>260</v>
      </c>
      <c r="H8" s="14">
        <v>678</v>
      </c>
      <c r="I8" s="14">
        <v>232</v>
      </c>
      <c r="J8" s="14">
        <v>0</v>
      </c>
      <c r="K8" s="14">
        <v>0</v>
      </c>
      <c r="L8" s="14">
        <v>736</v>
      </c>
      <c r="M8" s="14">
        <v>816</v>
      </c>
      <c r="N8" s="14">
        <v>788</v>
      </c>
      <c r="O8" s="14">
        <v>500</v>
      </c>
      <c r="P8" s="14">
        <v>870</v>
      </c>
      <c r="Q8" s="14">
        <v>0</v>
      </c>
      <c r="R8" s="14">
        <v>0</v>
      </c>
    </row>
    <row r="9" spans="1:18">
      <c r="A9">
        <v>1237748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312</v>
      </c>
      <c r="O9" s="14">
        <v>0</v>
      </c>
      <c r="P9" s="14">
        <v>0</v>
      </c>
      <c r="Q9" s="14">
        <v>0</v>
      </c>
      <c r="R9" s="14">
        <v>0</v>
      </c>
    </row>
    <row r="10" spans="1:18">
      <c r="A10">
        <v>1238128</v>
      </c>
      <c r="B10" s="14">
        <v>378</v>
      </c>
      <c r="C10" s="14">
        <v>0</v>
      </c>
      <c r="D10" s="14">
        <v>0</v>
      </c>
      <c r="E10" s="14">
        <v>72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92</v>
      </c>
      <c r="O10" s="14">
        <v>590</v>
      </c>
      <c r="P10" s="14">
        <v>464</v>
      </c>
      <c r="Q10" s="14">
        <v>0</v>
      </c>
      <c r="R10" s="14">
        <v>0</v>
      </c>
    </row>
    <row r="11" spans="1:18">
      <c r="A11">
        <v>1238480</v>
      </c>
      <c r="B11" s="14">
        <v>0</v>
      </c>
      <c r="C11" s="14">
        <v>0</v>
      </c>
      <c r="D11" s="14">
        <v>0</v>
      </c>
      <c r="E11" s="14">
        <v>0</v>
      </c>
      <c r="F11" s="14">
        <v>60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</row>
    <row r="12" spans="1:18">
      <c r="A12">
        <v>1236962</v>
      </c>
      <c r="B12" s="14">
        <v>200</v>
      </c>
      <c r="C12" s="14">
        <v>0</v>
      </c>
      <c r="D12" s="14">
        <v>0</v>
      </c>
      <c r="E12" s="14">
        <v>0</v>
      </c>
      <c r="F12" s="14">
        <v>200</v>
      </c>
      <c r="G12" s="16">
        <v>200</v>
      </c>
      <c r="H12" s="14">
        <v>200</v>
      </c>
      <c r="I12" s="14">
        <v>200</v>
      </c>
      <c r="J12" s="14">
        <v>0</v>
      </c>
      <c r="K12" s="14">
        <v>0</v>
      </c>
      <c r="L12" s="14">
        <v>200</v>
      </c>
      <c r="M12" s="14">
        <v>200</v>
      </c>
      <c r="N12" s="14">
        <v>300</v>
      </c>
      <c r="O12" s="14">
        <v>300</v>
      </c>
      <c r="P12" s="14">
        <v>200</v>
      </c>
      <c r="Q12" s="14">
        <v>0</v>
      </c>
      <c r="R12" s="14">
        <v>0</v>
      </c>
    </row>
    <row r="13" spans="1:18">
      <c r="A13">
        <v>1233761</v>
      </c>
      <c r="B13" s="14">
        <v>140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</row>
    <row r="14" spans="1:18">
      <c r="A14">
        <v>1239651</v>
      </c>
      <c r="B14" s="14">
        <v>0</v>
      </c>
      <c r="C14" s="14">
        <v>0</v>
      </c>
      <c r="D14" s="14">
        <v>0</v>
      </c>
      <c r="E14" s="14">
        <v>0</v>
      </c>
      <c r="F14" s="14">
        <v>300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200</v>
      </c>
      <c r="M14" s="14">
        <v>300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</row>
    <row r="15" spans="1:18">
      <c r="A15">
        <v>1239988</v>
      </c>
      <c r="B15" s="14">
        <v>366</v>
      </c>
      <c r="C15" s="14">
        <v>0</v>
      </c>
      <c r="D15" s="14">
        <v>0</v>
      </c>
      <c r="E15" s="14">
        <v>250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440</v>
      </c>
      <c r="P15" s="14">
        <v>400</v>
      </c>
      <c r="Q15" s="14">
        <v>0</v>
      </c>
      <c r="R15" s="14">
        <v>0</v>
      </c>
    </row>
    <row r="16" spans="1:18">
      <c r="A16">
        <v>1240180</v>
      </c>
      <c r="B16" s="14">
        <v>592</v>
      </c>
      <c r="C16" s="14">
        <v>0</v>
      </c>
      <c r="D16" s="14">
        <v>0</v>
      </c>
      <c r="E16" s="14">
        <v>660</v>
      </c>
      <c r="F16" s="14">
        <v>824</v>
      </c>
      <c r="G16" s="16">
        <v>164</v>
      </c>
      <c r="H16" s="14">
        <v>426</v>
      </c>
      <c r="I16" s="14">
        <v>316</v>
      </c>
      <c r="J16" s="14">
        <v>0</v>
      </c>
      <c r="K16" s="14">
        <v>0</v>
      </c>
      <c r="L16" s="14">
        <v>426</v>
      </c>
      <c r="M16" s="14">
        <v>426</v>
      </c>
      <c r="N16" s="14">
        <v>334</v>
      </c>
      <c r="O16" s="14">
        <v>304</v>
      </c>
      <c r="P16" s="14">
        <v>322</v>
      </c>
      <c r="Q16" s="14">
        <v>0</v>
      </c>
      <c r="R16" s="14">
        <v>0</v>
      </c>
    </row>
    <row r="17" spans="1:18">
      <c r="A17">
        <v>1240184</v>
      </c>
      <c r="B17" s="14">
        <v>592</v>
      </c>
      <c r="C17" s="14">
        <v>0</v>
      </c>
      <c r="D17" s="14">
        <v>0</v>
      </c>
      <c r="E17" s="14">
        <v>660</v>
      </c>
      <c r="F17" s="14">
        <v>640</v>
      </c>
      <c r="G17" s="16">
        <v>164</v>
      </c>
      <c r="H17" s="14">
        <v>426</v>
      </c>
      <c r="I17" s="14">
        <v>316</v>
      </c>
      <c r="J17" s="14">
        <v>0</v>
      </c>
      <c r="K17" s="14">
        <v>0</v>
      </c>
      <c r="L17" s="14">
        <v>426</v>
      </c>
      <c r="M17" s="14">
        <v>426</v>
      </c>
      <c r="N17" s="14">
        <v>334</v>
      </c>
      <c r="O17" s="14">
        <v>304</v>
      </c>
      <c r="P17" s="14">
        <v>322</v>
      </c>
      <c r="Q17" s="14">
        <v>0</v>
      </c>
      <c r="R17" s="14">
        <v>0</v>
      </c>
    </row>
    <row r="18" spans="1:18">
      <c r="A18">
        <v>1240308</v>
      </c>
      <c r="B18" s="14">
        <v>376</v>
      </c>
      <c r="C18" s="14">
        <v>0</v>
      </c>
      <c r="D18" s="14">
        <v>0</v>
      </c>
      <c r="E18" s="14">
        <v>200</v>
      </c>
      <c r="F18" s="14">
        <v>300</v>
      </c>
      <c r="G18" s="14">
        <v>0</v>
      </c>
      <c r="H18" s="14">
        <v>400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270</v>
      </c>
      <c r="P18" s="14">
        <v>0</v>
      </c>
      <c r="Q18" s="14">
        <v>0</v>
      </c>
      <c r="R18" s="14">
        <v>0</v>
      </c>
    </row>
    <row r="19" spans="1:18">
      <c r="A19">
        <v>1241601</v>
      </c>
      <c r="B19" s="14">
        <v>0</v>
      </c>
      <c r="C19" s="14">
        <v>0</v>
      </c>
      <c r="D19" s="14">
        <v>0</v>
      </c>
      <c r="E19" s="14">
        <v>1266</v>
      </c>
      <c r="F19" s="14">
        <v>1176</v>
      </c>
      <c r="G19" s="16">
        <v>862</v>
      </c>
      <c r="H19" s="14">
        <v>2246</v>
      </c>
      <c r="I19" s="14">
        <v>1600</v>
      </c>
      <c r="J19" s="14">
        <v>0</v>
      </c>
      <c r="K19" s="14">
        <v>0</v>
      </c>
      <c r="L19" s="14">
        <v>1564</v>
      </c>
      <c r="M19" s="14">
        <v>1564</v>
      </c>
      <c r="N19" s="14">
        <v>1228</v>
      </c>
      <c r="O19" s="14">
        <v>966</v>
      </c>
      <c r="P19" s="14">
        <v>338</v>
      </c>
      <c r="Q19" s="14">
        <v>0</v>
      </c>
      <c r="R19" s="14">
        <v>0</v>
      </c>
    </row>
    <row r="24" spans="1:18">
      <c r="A24" s="2" t="s">
        <v>0</v>
      </c>
      <c r="B24" s="14" t="s">
        <v>1065</v>
      </c>
      <c r="C24" s="14" t="s">
        <v>1066</v>
      </c>
      <c r="D24" s="14" t="s">
        <v>1067</v>
      </c>
      <c r="E24" s="14" t="s">
        <v>1068</v>
      </c>
      <c r="F24" s="14" t="s">
        <v>1069</v>
      </c>
      <c r="G24" s="14" t="s">
        <v>1070</v>
      </c>
      <c r="H24" s="14" t="s">
        <v>1071</v>
      </c>
      <c r="I24" s="14" t="s">
        <v>1072</v>
      </c>
      <c r="J24" s="14" t="s">
        <v>1073</v>
      </c>
      <c r="K24" s="14" t="s">
        <v>1074</v>
      </c>
      <c r="L24" s="14" t="s">
        <v>1075</v>
      </c>
      <c r="M24" s="14" t="s">
        <v>1076</v>
      </c>
      <c r="N24" s="14" t="s">
        <v>1077</v>
      </c>
      <c r="O24" s="14" t="s">
        <v>1078</v>
      </c>
      <c r="P24" s="14" t="s">
        <v>1079</v>
      </c>
      <c r="Q24" s="14" t="s">
        <v>1080</v>
      </c>
      <c r="R24" s="14" t="s">
        <v>1081</v>
      </c>
    </row>
    <row r="25" spans="1:18">
      <c r="A25">
        <v>1237608</v>
      </c>
      <c r="B25" s="14">
        <v>0</v>
      </c>
      <c r="C25" s="14">
        <v>0</v>
      </c>
      <c r="D25" s="14">
        <v>0</v>
      </c>
      <c r="E25" s="14">
        <v>300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300</v>
      </c>
      <c r="O25" s="14">
        <v>0</v>
      </c>
      <c r="P25" s="14">
        <v>0</v>
      </c>
      <c r="Q25" s="14">
        <v>0</v>
      </c>
      <c r="R25" s="14">
        <v>0</v>
      </c>
    </row>
    <row r="26" spans="1:18">
      <c r="A26">
        <v>1233165</v>
      </c>
      <c r="B26" s="14">
        <v>0</v>
      </c>
      <c r="C26" s="14">
        <v>0</v>
      </c>
      <c r="D26" s="14">
        <v>0</v>
      </c>
      <c r="E26" s="14">
        <v>0</v>
      </c>
      <c r="F26" s="14">
        <v>37</v>
      </c>
      <c r="G26" s="16">
        <v>243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</row>
    <row r="27" spans="1:18">
      <c r="A27">
        <v>1232775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6">
        <v>3</v>
      </c>
      <c r="H27" s="16">
        <v>245</v>
      </c>
      <c r="I27" s="16">
        <v>245</v>
      </c>
      <c r="J27" s="14">
        <v>0</v>
      </c>
      <c r="K27" s="14">
        <v>0</v>
      </c>
      <c r="L27" s="14">
        <v>242</v>
      </c>
      <c r="M27" s="14">
        <v>242</v>
      </c>
      <c r="N27" s="14">
        <v>245</v>
      </c>
      <c r="O27" s="14">
        <v>242</v>
      </c>
      <c r="P27" s="14">
        <v>242</v>
      </c>
      <c r="Q27" s="14">
        <v>0</v>
      </c>
      <c r="R27" s="14">
        <v>0</v>
      </c>
    </row>
    <row r="28" spans="1:18">
      <c r="A28">
        <v>1238605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6">
        <v>2</v>
      </c>
      <c r="H28" s="16">
        <v>190</v>
      </c>
      <c r="I28" s="16">
        <v>190</v>
      </c>
      <c r="J28" s="14">
        <v>0</v>
      </c>
      <c r="K28" s="14">
        <v>0</v>
      </c>
      <c r="L28" s="14">
        <v>192</v>
      </c>
      <c r="M28" s="14">
        <v>190</v>
      </c>
      <c r="N28" s="14">
        <v>192</v>
      </c>
      <c r="O28" s="14">
        <v>190</v>
      </c>
      <c r="P28" s="14">
        <v>190</v>
      </c>
      <c r="Q28" s="14">
        <v>0</v>
      </c>
      <c r="R28" s="14">
        <v>0</v>
      </c>
    </row>
    <row r="29" spans="1:18">
      <c r="A29">
        <v>1230685</v>
      </c>
      <c r="B29" s="14">
        <v>330</v>
      </c>
      <c r="C29" s="14">
        <v>0</v>
      </c>
      <c r="D29" s="14">
        <v>0</v>
      </c>
      <c r="E29" s="14">
        <v>330</v>
      </c>
      <c r="F29" s="14">
        <v>270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</row>
    <row r="34" spans="1:18">
      <c r="A34" s="2" t="s">
        <v>0</v>
      </c>
      <c r="B34" s="14" t="s">
        <v>1065</v>
      </c>
      <c r="C34" s="14" t="s">
        <v>1066</v>
      </c>
      <c r="D34" s="14" t="s">
        <v>1067</v>
      </c>
      <c r="E34" s="14" t="s">
        <v>1068</v>
      </c>
      <c r="F34" s="14" t="s">
        <v>1069</v>
      </c>
      <c r="G34" s="14" t="s">
        <v>1070</v>
      </c>
      <c r="H34" s="14" t="s">
        <v>1071</v>
      </c>
      <c r="I34" s="14" t="s">
        <v>1072</v>
      </c>
      <c r="J34" s="14" t="s">
        <v>1073</v>
      </c>
      <c r="K34" s="14" t="s">
        <v>1074</v>
      </c>
      <c r="L34" s="14" t="s">
        <v>1075</v>
      </c>
      <c r="M34" s="14" t="s">
        <v>1076</v>
      </c>
      <c r="N34" s="14" t="s">
        <v>1077</v>
      </c>
      <c r="O34" s="14" t="s">
        <v>1078</v>
      </c>
      <c r="P34" s="14" t="s">
        <v>1079</v>
      </c>
      <c r="Q34" s="14" t="s">
        <v>1080</v>
      </c>
      <c r="R34" s="14" t="s">
        <v>1081</v>
      </c>
    </row>
    <row r="35" spans="1:18">
      <c r="A35">
        <v>1227306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6">
        <v>212</v>
      </c>
      <c r="I35" s="14">
        <v>382</v>
      </c>
      <c r="J35" s="14">
        <v>0</v>
      </c>
      <c r="K35" s="14">
        <v>0</v>
      </c>
      <c r="L35" s="14">
        <v>300</v>
      </c>
      <c r="M35" s="14">
        <v>300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</row>
    <row r="36" spans="1:18">
      <c r="A36">
        <v>1227359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1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</row>
    <row r="37" spans="1:18">
      <c r="A37">
        <v>1231090</v>
      </c>
      <c r="B37" s="14">
        <v>0</v>
      </c>
      <c r="C37" s="14">
        <v>0</v>
      </c>
      <c r="D37" s="14">
        <v>0</v>
      </c>
      <c r="E37" s="14">
        <v>73</v>
      </c>
      <c r="F37" s="14">
        <v>127</v>
      </c>
      <c r="G37" s="16">
        <v>42</v>
      </c>
      <c r="H37" s="14">
        <v>551</v>
      </c>
      <c r="I37" s="14">
        <v>433</v>
      </c>
      <c r="J37" s="14">
        <v>0</v>
      </c>
      <c r="K37" s="14">
        <v>0</v>
      </c>
      <c r="L37" s="14">
        <v>1189</v>
      </c>
      <c r="M37" s="14">
        <v>220</v>
      </c>
      <c r="N37" s="14">
        <v>140</v>
      </c>
      <c r="O37" s="14">
        <v>0</v>
      </c>
      <c r="P37" s="14">
        <v>570</v>
      </c>
      <c r="Q37" s="14">
        <v>0</v>
      </c>
      <c r="R37" s="14">
        <v>0</v>
      </c>
    </row>
    <row r="38" spans="1:18">
      <c r="A38">
        <v>1229776</v>
      </c>
      <c r="B38" s="14">
        <v>0</v>
      </c>
      <c r="C38" s="14">
        <v>0</v>
      </c>
      <c r="D38" s="14">
        <v>0</v>
      </c>
      <c r="E38" s="14">
        <v>73</v>
      </c>
      <c r="F38" s="92">
        <v>127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</row>
    <row r="39" spans="1:18">
      <c r="A39">
        <v>1225464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6">
        <v>130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906</v>
      </c>
      <c r="Q39" s="14">
        <v>0</v>
      </c>
      <c r="R39" s="14">
        <v>0</v>
      </c>
    </row>
    <row r="40" spans="1:18">
      <c r="A40">
        <v>1232066</v>
      </c>
      <c r="B40" s="14">
        <v>0</v>
      </c>
      <c r="C40" s="14">
        <v>0</v>
      </c>
      <c r="D40" s="14">
        <v>0</v>
      </c>
      <c r="E40" s="92">
        <v>120</v>
      </c>
      <c r="F40" s="92">
        <v>80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</row>
    <row r="41" spans="1:18">
      <c r="A41">
        <v>1229088</v>
      </c>
      <c r="B41" s="14">
        <v>0</v>
      </c>
      <c r="C41" s="14">
        <v>0</v>
      </c>
      <c r="D41" s="14">
        <v>0</v>
      </c>
      <c r="E41" s="92">
        <v>0</v>
      </c>
      <c r="F41" s="92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5</v>
      </c>
      <c r="P41" s="14">
        <v>0</v>
      </c>
      <c r="Q41" s="14">
        <v>0</v>
      </c>
      <c r="R41" s="14">
        <v>0</v>
      </c>
    </row>
    <row r="42" spans="1:18" s="27" customFormat="1">
      <c r="A42" s="27">
        <v>1232693</v>
      </c>
      <c r="B42" s="92">
        <v>291</v>
      </c>
      <c r="C42" s="92">
        <v>0</v>
      </c>
      <c r="D42" s="92">
        <v>0</v>
      </c>
      <c r="E42" s="92">
        <v>777</v>
      </c>
      <c r="F42" s="92">
        <v>675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</row>
    <row r="43" spans="1:18" s="27" customFormat="1">
      <c r="A43" s="27">
        <v>1233025</v>
      </c>
      <c r="B43" s="92">
        <v>291</v>
      </c>
      <c r="C43" s="92">
        <v>0</v>
      </c>
      <c r="D43" s="92">
        <v>0</v>
      </c>
      <c r="E43" s="92">
        <v>777</v>
      </c>
      <c r="F43" s="92">
        <v>675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</row>
    <row r="44" spans="1:18">
      <c r="A44">
        <v>1232528</v>
      </c>
      <c r="B44" s="14">
        <v>0</v>
      </c>
      <c r="C44" s="14">
        <v>0</v>
      </c>
      <c r="D44" s="14">
        <v>0</v>
      </c>
      <c r="E44" s="14">
        <v>507</v>
      </c>
      <c r="F44" s="14">
        <v>685</v>
      </c>
      <c r="G44" s="16">
        <v>539</v>
      </c>
      <c r="H44" s="14">
        <v>686</v>
      </c>
      <c r="I44" s="14">
        <v>526</v>
      </c>
      <c r="J44" s="14">
        <v>0</v>
      </c>
      <c r="K44" s="14">
        <v>0</v>
      </c>
      <c r="L44" s="14">
        <v>1130</v>
      </c>
      <c r="M44" s="14">
        <v>300</v>
      </c>
      <c r="N44" s="14">
        <v>1500</v>
      </c>
      <c r="O44" s="14">
        <v>1400</v>
      </c>
      <c r="P44" s="14">
        <v>4495</v>
      </c>
      <c r="Q44" s="14">
        <v>0</v>
      </c>
      <c r="R44" s="14">
        <v>0</v>
      </c>
    </row>
    <row r="45" spans="1:18" s="240" customFormat="1">
      <c r="A45" s="240">
        <v>1232846</v>
      </c>
      <c r="B45" s="241">
        <v>0</v>
      </c>
      <c r="C45" s="241">
        <v>0</v>
      </c>
      <c r="D45" s="241">
        <v>0</v>
      </c>
      <c r="E45" s="241">
        <v>0</v>
      </c>
      <c r="F45" s="241">
        <v>0</v>
      </c>
      <c r="G45" s="241">
        <v>0</v>
      </c>
      <c r="H45" s="241">
        <v>0</v>
      </c>
      <c r="I45" s="241">
        <v>0</v>
      </c>
      <c r="J45" s="241">
        <v>0</v>
      </c>
      <c r="K45" s="241">
        <v>0</v>
      </c>
      <c r="L45" s="241">
        <v>300</v>
      </c>
      <c r="M45" s="241">
        <v>200</v>
      </c>
      <c r="N45" s="241">
        <v>428</v>
      </c>
      <c r="O45" s="241">
        <v>100</v>
      </c>
      <c r="P45" s="241">
        <v>0</v>
      </c>
      <c r="Q45" s="241">
        <v>0</v>
      </c>
      <c r="R45" s="241">
        <v>0</v>
      </c>
    </row>
    <row r="46" spans="1:18">
      <c r="A46">
        <v>1229050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151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</row>
    <row r="47" spans="1:18">
      <c r="A47">
        <v>1220847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300</v>
      </c>
      <c r="J47" s="14">
        <v>0</v>
      </c>
      <c r="K47" s="14">
        <v>0</v>
      </c>
      <c r="L47" s="14">
        <v>950</v>
      </c>
      <c r="M47" s="14">
        <v>0</v>
      </c>
      <c r="N47" s="14">
        <v>0</v>
      </c>
      <c r="O47" s="14">
        <v>0</v>
      </c>
      <c r="P47" s="14">
        <v>4330</v>
      </c>
      <c r="Q47" s="14">
        <v>0</v>
      </c>
      <c r="R47" s="14">
        <v>0</v>
      </c>
    </row>
    <row r="48" spans="1:18">
      <c r="A48">
        <v>1234217</v>
      </c>
      <c r="B48" s="14">
        <v>0</v>
      </c>
      <c r="C48" s="14">
        <v>0</v>
      </c>
      <c r="D48" s="14">
        <v>0</v>
      </c>
      <c r="E48" s="14">
        <v>0</v>
      </c>
      <c r="F48" s="92">
        <v>50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</row>
    <row r="49" spans="1:18">
      <c r="A49">
        <v>1234111</v>
      </c>
      <c r="B49" s="14">
        <v>0</v>
      </c>
      <c r="C49" s="14">
        <v>0</v>
      </c>
      <c r="D49" s="14">
        <v>0</v>
      </c>
      <c r="E49" s="14">
        <v>0</v>
      </c>
      <c r="F49" s="92">
        <v>50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</row>
    <row r="50" spans="1:18">
      <c r="A50">
        <v>1234110</v>
      </c>
      <c r="B50" s="14">
        <v>0</v>
      </c>
      <c r="C50" s="14">
        <v>0</v>
      </c>
      <c r="D50" s="14">
        <v>0</v>
      </c>
      <c r="E50" s="14">
        <v>0</v>
      </c>
      <c r="F50" s="92">
        <v>50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</row>
    <row r="51" spans="1:18">
      <c r="A51">
        <v>1232775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183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196</v>
      </c>
      <c r="Q51" s="14">
        <v>0</v>
      </c>
      <c r="R51" s="14">
        <v>0</v>
      </c>
    </row>
    <row r="52" spans="1:18">
      <c r="A52">
        <v>1235958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1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</row>
    <row r="53" spans="1:18">
      <c r="A53">
        <v>1236600</v>
      </c>
      <c r="B53" s="14">
        <v>419</v>
      </c>
      <c r="C53" s="14">
        <v>0</v>
      </c>
      <c r="D53" s="14">
        <v>0</v>
      </c>
      <c r="E53" s="14">
        <v>421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1</v>
      </c>
      <c r="M53" s="14">
        <v>0</v>
      </c>
      <c r="N53" s="14">
        <v>55</v>
      </c>
      <c r="O53" s="14">
        <v>0</v>
      </c>
      <c r="P53" s="14">
        <v>0</v>
      </c>
      <c r="Q53" s="14">
        <v>0</v>
      </c>
      <c r="R53" s="14">
        <v>0</v>
      </c>
    </row>
    <row r="54" spans="1:18">
      <c r="A54">
        <v>1236930</v>
      </c>
      <c r="B54" s="14">
        <v>492</v>
      </c>
      <c r="C54" s="14">
        <v>0</v>
      </c>
      <c r="D54" s="14">
        <v>0</v>
      </c>
      <c r="E54" s="92">
        <v>636</v>
      </c>
      <c r="F54" s="92">
        <v>615</v>
      </c>
      <c r="G54" s="92">
        <v>200</v>
      </c>
      <c r="H54" s="14">
        <v>0</v>
      </c>
      <c r="I54" s="14">
        <v>0</v>
      </c>
      <c r="J54" s="14">
        <v>0</v>
      </c>
      <c r="K54" s="14">
        <v>0</v>
      </c>
      <c r="L54" s="14">
        <v>647</v>
      </c>
      <c r="M54" s="14">
        <v>130</v>
      </c>
      <c r="N54" s="14">
        <v>270</v>
      </c>
      <c r="O54" s="14">
        <v>462</v>
      </c>
      <c r="P54" s="14">
        <v>506</v>
      </c>
      <c r="Q54" s="14">
        <v>0</v>
      </c>
      <c r="R54" s="14">
        <v>0</v>
      </c>
    </row>
    <row r="55" spans="1:18">
      <c r="A55">
        <v>1237468</v>
      </c>
      <c r="B55" s="14">
        <v>0</v>
      </c>
      <c r="C55" s="14">
        <v>0</v>
      </c>
      <c r="D55" s="14">
        <v>0</v>
      </c>
      <c r="E55" s="14">
        <v>0</v>
      </c>
      <c r="F55" s="92">
        <v>38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96</v>
      </c>
      <c r="Q55" s="14">
        <v>0</v>
      </c>
      <c r="R55" s="14">
        <v>0</v>
      </c>
    </row>
    <row r="56" spans="1:18">
      <c r="A56">
        <v>1237210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140</v>
      </c>
      <c r="O56" s="14">
        <v>0</v>
      </c>
      <c r="P56" s="14">
        <v>0</v>
      </c>
      <c r="Q56" s="14">
        <v>0</v>
      </c>
      <c r="R56" s="14">
        <v>0</v>
      </c>
    </row>
    <row r="57" spans="1:18">
      <c r="A57">
        <v>1237386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92">
        <v>22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</row>
    <row r="58" spans="1:18">
      <c r="A58">
        <v>1234905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64</v>
      </c>
      <c r="J58" s="14">
        <v>0</v>
      </c>
      <c r="K58" s="14">
        <v>0</v>
      </c>
      <c r="L58" s="14">
        <v>216</v>
      </c>
      <c r="M58" s="14">
        <v>0</v>
      </c>
      <c r="N58" s="14">
        <v>0</v>
      </c>
      <c r="O58" s="14">
        <v>0</v>
      </c>
      <c r="P58" s="14">
        <v>500</v>
      </c>
      <c r="Q58" s="14">
        <v>0</v>
      </c>
      <c r="R58" s="14">
        <v>0</v>
      </c>
    </row>
    <row r="59" spans="1:18">
      <c r="A59">
        <v>1238480</v>
      </c>
      <c r="B59" s="14">
        <v>1186</v>
      </c>
      <c r="C59" s="14">
        <v>0</v>
      </c>
      <c r="D59" s="14">
        <v>0</v>
      </c>
      <c r="E59" s="14">
        <v>1061</v>
      </c>
      <c r="F59" s="14">
        <v>1163</v>
      </c>
      <c r="G59" s="16">
        <v>1172</v>
      </c>
      <c r="H59" s="14">
        <v>1292</v>
      </c>
      <c r="I59" s="14">
        <v>1015</v>
      </c>
      <c r="J59" s="14">
        <v>0</v>
      </c>
      <c r="K59" s="14">
        <v>0</v>
      </c>
      <c r="L59" s="14">
        <v>1368</v>
      </c>
      <c r="M59" s="14">
        <v>552</v>
      </c>
      <c r="N59" s="14">
        <v>1694</v>
      </c>
      <c r="O59" s="14">
        <v>1731</v>
      </c>
      <c r="P59" s="14">
        <v>2168</v>
      </c>
      <c r="Q59" s="14">
        <v>0</v>
      </c>
      <c r="R59" s="14">
        <v>0</v>
      </c>
    </row>
    <row r="60" spans="1:18">
      <c r="A60">
        <v>1238453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6">
        <v>229</v>
      </c>
      <c r="H60" s="14">
        <v>336</v>
      </c>
      <c r="I60" s="14">
        <v>76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</row>
    <row r="61" spans="1:18">
      <c r="A61">
        <v>1216452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92">
        <v>46</v>
      </c>
      <c r="H61" s="14">
        <v>796</v>
      </c>
      <c r="I61" s="14">
        <v>103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787</v>
      </c>
      <c r="P61" s="14">
        <v>0</v>
      </c>
      <c r="Q61" s="14">
        <v>0</v>
      </c>
      <c r="R61" s="14">
        <v>0</v>
      </c>
    </row>
    <row r="62" spans="1:18">
      <c r="A62">
        <v>1232894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300</v>
      </c>
      <c r="M62" s="14">
        <v>200</v>
      </c>
      <c r="N62" s="14">
        <v>428</v>
      </c>
      <c r="O62" s="14">
        <v>100</v>
      </c>
      <c r="P62" s="14">
        <v>0</v>
      </c>
      <c r="Q62" s="14">
        <v>0</v>
      </c>
      <c r="R62" s="14">
        <v>0</v>
      </c>
    </row>
    <row r="63" spans="1:18">
      <c r="A63">
        <v>1233387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300</v>
      </c>
      <c r="M63" s="14">
        <v>200</v>
      </c>
      <c r="N63" s="14">
        <v>428</v>
      </c>
      <c r="O63" s="14">
        <v>100</v>
      </c>
      <c r="P63" s="14">
        <v>0</v>
      </c>
      <c r="Q63" s="14">
        <v>0</v>
      </c>
      <c r="R63" s="14">
        <v>0</v>
      </c>
    </row>
    <row r="64" spans="1:18">
      <c r="A64">
        <v>1233580</v>
      </c>
      <c r="B64" s="14">
        <v>129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</row>
  </sheetData>
  <autoFilter ref="A1:R19" xr:uid="{99CF6017-2EC8-4281-BE71-763C2202400E}"/>
  <phoneticPr fontId="1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8AFA-7B81-486F-A1BB-B523100D9CD9}">
  <dimension ref="A1:X63"/>
  <sheetViews>
    <sheetView zoomScale="145" zoomScaleNormal="145" workbookViewId="0">
      <selection activeCell="L8" sqref="L8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4" width="9.5" style="9" customWidth="1"/>
    <col min="15" max="15" width="9.5" style="9" bestFit="1" customWidth="1"/>
    <col min="16" max="24" width="9.33203125" style="9"/>
    <col min="25" max="16384" width="9.33203125" style="5"/>
  </cols>
  <sheetData>
    <row r="1" spans="1:19">
      <c r="A1" s="5" t="s">
        <v>0</v>
      </c>
      <c r="B1" s="9" t="s">
        <v>990</v>
      </c>
      <c r="C1" s="9" t="s">
        <v>991</v>
      </c>
      <c r="D1" s="9" t="s">
        <v>992</v>
      </c>
      <c r="E1" s="18" t="s">
        <v>993</v>
      </c>
      <c r="F1" s="9" t="s">
        <v>994</v>
      </c>
      <c r="G1" s="9" t="s">
        <v>995</v>
      </c>
      <c r="H1" s="9" t="s">
        <v>996</v>
      </c>
      <c r="I1" s="9" t="s">
        <v>1038</v>
      </c>
      <c r="J1" s="9" t="s">
        <v>1039</v>
      </c>
      <c r="K1" s="9" t="s">
        <v>1040</v>
      </c>
      <c r="L1" s="9" t="s">
        <v>1041</v>
      </c>
      <c r="M1" s="9" t="s">
        <v>1042</v>
      </c>
      <c r="N1" s="9" t="s">
        <v>1043</v>
      </c>
      <c r="O1" s="9" t="s">
        <v>1044</v>
      </c>
    </row>
    <row r="2" spans="1:19">
      <c r="A2" s="5">
        <v>1234614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24</v>
      </c>
      <c r="J2" s="9">
        <v>276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Q2" s="9">
        <f>SUM(B2:O2)</f>
        <v>300</v>
      </c>
      <c r="R2" s="9">
        <f>VLOOKUP(A2,[11]sheet1!$A$2:$Q$21,17,0)</f>
        <v>300</v>
      </c>
      <c r="S2" s="9">
        <f>+Q2-R2</f>
        <v>0</v>
      </c>
    </row>
    <row r="3" spans="1:19">
      <c r="A3" s="5">
        <v>1229673</v>
      </c>
      <c r="B3" s="9">
        <v>200</v>
      </c>
      <c r="C3" s="9">
        <v>300</v>
      </c>
      <c r="D3" s="9">
        <v>200</v>
      </c>
      <c r="E3" s="18">
        <v>300</v>
      </c>
      <c r="F3" s="9">
        <v>200</v>
      </c>
      <c r="G3" s="9">
        <v>0</v>
      </c>
      <c r="H3" s="9">
        <v>0</v>
      </c>
      <c r="I3" s="9">
        <v>300</v>
      </c>
      <c r="J3" s="9">
        <v>0</v>
      </c>
      <c r="K3" s="9">
        <v>0</v>
      </c>
      <c r="L3" s="9">
        <v>252</v>
      </c>
      <c r="M3" s="9">
        <v>0</v>
      </c>
      <c r="N3" s="9">
        <v>0</v>
      </c>
      <c r="O3" s="9">
        <v>0</v>
      </c>
      <c r="Q3" s="9">
        <f t="shared" ref="Q3:Q19" si="0">SUM(B3:O3)</f>
        <v>1752</v>
      </c>
      <c r="R3" s="9">
        <f>VLOOKUP(A3,[11]sheet1!$A$2:$Q$21,17,0)</f>
        <v>1752</v>
      </c>
      <c r="S3" s="9">
        <f t="shared" ref="S3:S18" si="1">+Q3-R3</f>
        <v>0</v>
      </c>
    </row>
    <row r="4" spans="1:19">
      <c r="A4" s="5">
        <v>1233492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356</v>
      </c>
      <c r="K4" s="9">
        <v>144</v>
      </c>
      <c r="L4" s="9">
        <v>0</v>
      </c>
      <c r="M4" s="9">
        <v>0</v>
      </c>
      <c r="N4" s="9">
        <v>0</v>
      </c>
      <c r="O4" s="9">
        <v>0</v>
      </c>
      <c r="Q4" s="9">
        <f t="shared" si="0"/>
        <v>500</v>
      </c>
      <c r="R4" s="9">
        <f>VLOOKUP(A4,[11]sheet1!$A$2:$Q$21,17,0)</f>
        <v>500</v>
      </c>
      <c r="S4" s="9">
        <f t="shared" si="1"/>
        <v>0</v>
      </c>
    </row>
    <row r="5" spans="1:19">
      <c r="A5" s="5">
        <v>1233498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356</v>
      </c>
      <c r="K5" s="9">
        <v>144</v>
      </c>
      <c r="L5" s="9">
        <v>0</v>
      </c>
      <c r="M5" s="9">
        <v>0</v>
      </c>
      <c r="N5" s="9">
        <v>0</v>
      </c>
      <c r="O5" s="9">
        <v>0</v>
      </c>
      <c r="Q5" s="9">
        <f t="shared" si="0"/>
        <v>500</v>
      </c>
      <c r="R5" s="9">
        <f>VLOOKUP(A5,[11]sheet1!$A$2:$Q$21,17,0)</f>
        <v>500</v>
      </c>
      <c r="S5" s="9">
        <f t="shared" si="1"/>
        <v>0</v>
      </c>
    </row>
    <row r="6" spans="1:19">
      <c r="A6" s="5">
        <v>1233623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356</v>
      </c>
      <c r="K6" s="9">
        <v>144</v>
      </c>
      <c r="L6" s="9">
        <v>0</v>
      </c>
      <c r="M6" s="9">
        <v>0</v>
      </c>
      <c r="N6" s="9">
        <v>0</v>
      </c>
      <c r="O6" s="9">
        <v>0</v>
      </c>
      <c r="Q6" s="9">
        <f t="shared" si="0"/>
        <v>500</v>
      </c>
      <c r="R6" s="9">
        <f>VLOOKUP(A6,[11]sheet1!$A$2:$Q$21,17,0)</f>
        <v>500</v>
      </c>
      <c r="S6" s="9">
        <f t="shared" si="1"/>
        <v>0</v>
      </c>
    </row>
    <row r="7" spans="1:19">
      <c r="A7" s="5">
        <v>1235623</v>
      </c>
      <c r="B7" s="9">
        <v>0</v>
      </c>
      <c r="C7" s="9">
        <v>0</v>
      </c>
      <c r="D7" s="9">
        <v>0</v>
      </c>
      <c r="E7" s="9">
        <v>0</v>
      </c>
      <c r="F7" s="9">
        <v>52</v>
      </c>
      <c r="G7" s="9">
        <v>0</v>
      </c>
      <c r="H7" s="9">
        <v>0</v>
      </c>
      <c r="I7" s="9">
        <v>884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Q7" s="9">
        <f t="shared" si="0"/>
        <v>936</v>
      </c>
      <c r="R7" s="9">
        <f>VLOOKUP(A7,[11]sheet1!$A$2:$Q$21,17,0)</f>
        <v>936</v>
      </c>
      <c r="S7" s="9">
        <f t="shared" si="1"/>
        <v>0</v>
      </c>
    </row>
    <row r="8" spans="1:19">
      <c r="A8" s="5">
        <v>1237088</v>
      </c>
      <c r="B8" s="9">
        <v>1004</v>
      </c>
      <c r="C8" s="9">
        <v>474</v>
      </c>
      <c r="D8" s="9">
        <v>260</v>
      </c>
      <c r="E8" s="18">
        <v>322</v>
      </c>
      <c r="F8" s="9">
        <v>232</v>
      </c>
      <c r="G8" s="9">
        <v>0</v>
      </c>
      <c r="H8" s="9">
        <v>0</v>
      </c>
      <c r="I8" s="9">
        <v>736</v>
      </c>
      <c r="J8" s="9">
        <v>816</v>
      </c>
      <c r="K8" s="9">
        <v>788</v>
      </c>
      <c r="L8" s="9">
        <v>202</v>
      </c>
      <c r="M8" s="9">
        <v>870</v>
      </c>
      <c r="N8" s="9">
        <v>0</v>
      </c>
      <c r="O8" s="9">
        <v>0</v>
      </c>
      <c r="Q8" s="9">
        <f t="shared" si="0"/>
        <v>5704</v>
      </c>
      <c r="R8" s="9">
        <f>VLOOKUP(A8,[11]sheet1!$A$2:$Q$21,17,0)</f>
        <v>5704</v>
      </c>
      <c r="S8" s="9">
        <f t="shared" si="1"/>
        <v>0</v>
      </c>
    </row>
    <row r="9" spans="1:19">
      <c r="A9" s="5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312</v>
      </c>
      <c r="L9" s="9">
        <v>0</v>
      </c>
      <c r="M9" s="9">
        <v>0</v>
      </c>
      <c r="N9" s="9">
        <v>0</v>
      </c>
      <c r="O9" s="9">
        <v>0</v>
      </c>
      <c r="Q9" s="9">
        <f t="shared" si="0"/>
        <v>312</v>
      </c>
      <c r="R9" s="9">
        <f>VLOOKUP(A9,[11]sheet1!$A$2:$Q$21,17,0)</f>
        <v>312</v>
      </c>
      <c r="S9" s="9">
        <f t="shared" si="1"/>
        <v>0</v>
      </c>
    </row>
    <row r="10" spans="1:19">
      <c r="A10" s="5">
        <v>1238128</v>
      </c>
      <c r="B10" s="9">
        <v>72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30</v>
      </c>
      <c r="L10" s="9">
        <v>464</v>
      </c>
      <c r="M10" s="9">
        <v>464</v>
      </c>
      <c r="N10" s="9">
        <v>0</v>
      </c>
      <c r="O10" s="9">
        <v>0</v>
      </c>
      <c r="Q10" s="9">
        <f t="shared" si="0"/>
        <v>1030</v>
      </c>
      <c r="R10" s="9">
        <f>VLOOKUP(A10,[11]sheet1!$A$2:$Q$21,17,0)</f>
        <v>1030</v>
      </c>
      <c r="S10" s="9">
        <f t="shared" si="1"/>
        <v>0</v>
      </c>
    </row>
    <row r="11" spans="1:19">
      <c r="A11" s="5">
        <v>1238480</v>
      </c>
      <c r="B11" s="9">
        <v>0</v>
      </c>
      <c r="C11" s="9">
        <v>60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Q11" s="9">
        <f t="shared" si="0"/>
        <v>60</v>
      </c>
      <c r="R11" s="9">
        <f>VLOOKUP(A11,[11]sheet1!$A$2:$Q$21,17,0)</f>
        <v>60</v>
      </c>
      <c r="S11" s="9">
        <f t="shared" si="1"/>
        <v>0</v>
      </c>
    </row>
    <row r="12" spans="1:19">
      <c r="A12" s="5">
        <v>1236962</v>
      </c>
      <c r="B12" s="9">
        <v>0</v>
      </c>
      <c r="C12" s="9">
        <v>200</v>
      </c>
      <c r="D12" s="9">
        <v>200</v>
      </c>
      <c r="E12" s="18">
        <v>200</v>
      </c>
      <c r="F12" s="9">
        <v>200</v>
      </c>
      <c r="G12" s="9">
        <v>0</v>
      </c>
      <c r="H12" s="9">
        <v>0</v>
      </c>
      <c r="I12" s="9">
        <v>200</v>
      </c>
      <c r="J12" s="9">
        <v>200</v>
      </c>
      <c r="K12" s="9">
        <v>300</v>
      </c>
      <c r="L12" s="9">
        <v>300</v>
      </c>
      <c r="M12" s="9">
        <v>200</v>
      </c>
      <c r="N12" s="9">
        <v>0</v>
      </c>
      <c r="O12" s="9">
        <v>0</v>
      </c>
      <c r="Q12" s="9">
        <f t="shared" si="0"/>
        <v>2000</v>
      </c>
      <c r="R12" s="9">
        <f>VLOOKUP(A12,[11]sheet1!$A$2:$Q$21,17,0)</f>
        <v>2000</v>
      </c>
      <c r="S12" s="9">
        <f t="shared" si="1"/>
        <v>0</v>
      </c>
    </row>
    <row r="13" spans="1:19">
      <c r="A13" s="5">
        <v>1239651</v>
      </c>
      <c r="B13" s="9">
        <v>0</v>
      </c>
      <c r="C13" s="9">
        <v>300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200</v>
      </c>
      <c r="J13" s="9">
        <v>300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Q13" s="9">
        <f t="shared" si="0"/>
        <v>800</v>
      </c>
      <c r="R13" s="9">
        <f>VLOOKUP(A13,[11]sheet1!$A$2:$Q$21,17,0)</f>
        <v>800</v>
      </c>
      <c r="S13" s="9">
        <f t="shared" si="1"/>
        <v>0</v>
      </c>
    </row>
    <row r="14" spans="1:19">
      <c r="A14" s="5">
        <v>1239988</v>
      </c>
      <c r="B14" s="9">
        <v>250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330</v>
      </c>
      <c r="M14" s="9">
        <v>400</v>
      </c>
      <c r="N14" s="9">
        <v>0</v>
      </c>
      <c r="O14" s="9">
        <v>0</v>
      </c>
      <c r="Q14" s="9">
        <f t="shared" si="0"/>
        <v>980</v>
      </c>
      <c r="R14" s="9">
        <f>VLOOKUP(A14,[11]sheet1!$A$2:$Q$21,17,0)</f>
        <v>980</v>
      </c>
      <c r="S14" s="9">
        <f t="shared" si="1"/>
        <v>0</v>
      </c>
    </row>
    <row r="15" spans="1:19">
      <c r="A15" s="5">
        <v>1240180</v>
      </c>
      <c r="B15" s="9">
        <v>660</v>
      </c>
      <c r="C15" s="9">
        <v>824</v>
      </c>
      <c r="D15" s="9">
        <v>164</v>
      </c>
      <c r="E15" s="18">
        <v>334</v>
      </c>
      <c r="F15" s="9">
        <v>316</v>
      </c>
      <c r="G15" s="9">
        <v>0</v>
      </c>
      <c r="H15" s="9">
        <v>0</v>
      </c>
      <c r="I15" s="9">
        <v>426</v>
      </c>
      <c r="J15" s="9">
        <v>426</v>
      </c>
      <c r="K15" s="9">
        <v>334</v>
      </c>
      <c r="L15" s="9">
        <v>216</v>
      </c>
      <c r="M15" s="9">
        <v>322</v>
      </c>
      <c r="N15" s="9">
        <v>0</v>
      </c>
      <c r="O15" s="9">
        <v>0</v>
      </c>
      <c r="Q15" s="9">
        <f t="shared" si="0"/>
        <v>4022</v>
      </c>
      <c r="R15" s="9">
        <f>VLOOKUP(A15,[11]sheet1!$A$2:$Q$21,17,0)</f>
        <v>4022</v>
      </c>
      <c r="S15" s="9">
        <f t="shared" si="1"/>
        <v>0</v>
      </c>
    </row>
    <row r="16" spans="1:19">
      <c r="A16" s="5">
        <v>1240184</v>
      </c>
      <c r="B16" s="9">
        <v>660</v>
      </c>
      <c r="C16" s="9">
        <v>640</v>
      </c>
      <c r="D16" s="9">
        <v>164</v>
      </c>
      <c r="E16" s="18">
        <v>334</v>
      </c>
      <c r="F16" s="9">
        <v>316</v>
      </c>
      <c r="G16" s="9">
        <v>0</v>
      </c>
      <c r="H16" s="9">
        <v>0</v>
      </c>
      <c r="I16" s="9">
        <v>426</v>
      </c>
      <c r="J16" s="9">
        <v>426</v>
      </c>
      <c r="K16" s="9">
        <v>334</v>
      </c>
      <c r="L16" s="9">
        <v>216</v>
      </c>
      <c r="M16" s="9">
        <v>322</v>
      </c>
      <c r="N16" s="9">
        <v>0</v>
      </c>
      <c r="O16" s="9">
        <v>0</v>
      </c>
      <c r="Q16" s="9">
        <f t="shared" si="0"/>
        <v>3838</v>
      </c>
      <c r="R16" s="9">
        <f>VLOOKUP(A16,[11]sheet1!$A$2:$Q$21,17,0)</f>
        <v>3838</v>
      </c>
      <c r="S16" s="9">
        <f t="shared" si="1"/>
        <v>0</v>
      </c>
    </row>
    <row r="17" spans="1:19">
      <c r="A17" s="5">
        <v>1240308</v>
      </c>
      <c r="B17" s="9">
        <v>200</v>
      </c>
      <c r="C17" s="9">
        <v>300</v>
      </c>
      <c r="D17" s="9">
        <v>0</v>
      </c>
      <c r="E17" s="18">
        <v>400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270</v>
      </c>
      <c r="M17" s="9">
        <v>0</v>
      </c>
      <c r="N17" s="9">
        <v>0</v>
      </c>
      <c r="O17" s="9">
        <v>0</v>
      </c>
      <c r="Q17" s="9">
        <f t="shared" si="0"/>
        <v>1170</v>
      </c>
      <c r="R17" s="9">
        <f>VLOOKUP(A17,[11]sheet1!$A$2:$Q$21,17,0)</f>
        <v>1170</v>
      </c>
      <c r="S17" s="9">
        <f t="shared" si="1"/>
        <v>0</v>
      </c>
    </row>
    <row r="18" spans="1:19">
      <c r="A18" s="5">
        <v>1241601</v>
      </c>
      <c r="B18" s="9">
        <v>1266</v>
      </c>
      <c r="C18" s="9">
        <v>1176</v>
      </c>
      <c r="D18" s="9">
        <v>862</v>
      </c>
      <c r="E18" s="18">
        <v>2246</v>
      </c>
      <c r="F18" s="9">
        <v>1600</v>
      </c>
      <c r="G18" s="9">
        <v>0</v>
      </c>
      <c r="H18" s="9">
        <v>0</v>
      </c>
      <c r="I18" s="9">
        <v>1564</v>
      </c>
      <c r="J18" s="9">
        <v>1564</v>
      </c>
      <c r="K18" s="9">
        <v>1228</v>
      </c>
      <c r="L18" s="9">
        <v>798</v>
      </c>
      <c r="M18" s="9">
        <v>338</v>
      </c>
      <c r="N18" s="9">
        <v>0</v>
      </c>
      <c r="O18" s="9">
        <v>0</v>
      </c>
      <c r="Q18" s="9">
        <f t="shared" si="0"/>
        <v>12642</v>
      </c>
      <c r="R18" s="9">
        <f>VLOOKUP(A18,[11]sheet1!$A$2:$Q$21,17,0)</f>
        <v>12642</v>
      </c>
      <c r="S18" s="9">
        <f t="shared" si="1"/>
        <v>0</v>
      </c>
    </row>
    <row r="19" spans="1:19">
      <c r="Q19" s="9">
        <f t="shared" si="0"/>
        <v>0</v>
      </c>
    </row>
    <row r="20" spans="1:19">
      <c r="B20" s="9">
        <f>SUM(B2:B19)</f>
        <v>4312</v>
      </c>
      <c r="C20" s="9">
        <f t="shared" ref="C20:O20" si="2">SUM(C2:C19)</f>
        <v>4274</v>
      </c>
      <c r="D20" s="9">
        <f t="shared" si="2"/>
        <v>1850</v>
      </c>
      <c r="E20" s="9">
        <f t="shared" si="2"/>
        <v>4136</v>
      </c>
      <c r="F20" s="9">
        <f t="shared" si="2"/>
        <v>2916</v>
      </c>
      <c r="G20" s="9">
        <f t="shared" si="2"/>
        <v>0</v>
      </c>
      <c r="H20" s="9">
        <f t="shared" si="2"/>
        <v>0</v>
      </c>
      <c r="I20" s="9">
        <f t="shared" si="2"/>
        <v>4760</v>
      </c>
      <c r="J20" s="9">
        <f t="shared" si="2"/>
        <v>5076</v>
      </c>
      <c r="K20" s="9">
        <f t="shared" si="2"/>
        <v>3758</v>
      </c>
      <c r="L20" s="9">
        <f t="shared" si="2"/>
        <v>3048</v>
      </c>
      <c r="M20" s="9">
        <f t="shared" si="2"/>
        <v>2916</v>
      </c>
      <c r="N20" s="9">
        <f t="shared" si="2"/>
        <v>0</v>
      </c>
      <c r="O20" s="9">
        <f t="shared" si="2"/>
        <v>0</v>
      </c>
    </row>
    <row r="21" spans="1:19">
      <c r="B21" s="9">
        <v>4312</v>
      </c>
      <c r="C21" s="9">
        <v>4274</v>
      </c>
      <c r="D21" s="9">
        <v>1850</v>
      </c>
      <c r="E21" s="9">
        <v>4136</v>
      </c>
      <c r="F21" s="9">
        <v>2916</v>
      </c>
      <c r="G21" s="9">
        <v>0</v>
      </c>
      <c r="H21" s="9">
        <v>0</v>
      </c>
      <c r="I21" s="9">
        <v>4760</v>
      </c>
      <c r="J21" s="9">
        <v>5076</v>
      </c>
      <c r="K21" s="9">
        <v>3758</v>
      </c>
      <c r="L21" s="9">
        <v>3048</v>
      </c>
      <c r="M21" s="9">
        <v>2916</v>
      </c>
      <c r="N21" s="9">
        <v>0</v>
      </c>
      <c r="O21" s="9">
        <v>0</v>
      </c>
    </row>
    <row r="22" spans="1:19">
      <c r="B22" s="9">
        <f>+B20-B21</f>
        <v>0</v>
      </c>
      <c r="C22" s="9">
        <f t="shared" ref="C22:O22" si="3">+C20-C21</f>
        <v>0</v>
      </c>
      <c r="D22" s="9">
        <f t="shared" si="3"/>
        <v>0</v>
      </c>
      <c r="E22" s="9">
        <f t="shared" si="3"/>
        <v>0</v>
      </c>
      <c r="F22" s="9">
        <f t="shared" si="3"/>
        <v>0</v>
      </c>
      <c r="G22" s="9">
        <f t="shared" si="3"/>
        <v>0</v>
      </c>
      <c r="H22" s="9">
        <f t="shared" si="3"/>
        <v>0</v>
      </c>
      <c r="I22" s="9">
        <f t="shared" si="3"/>
        <v>0</v>
      </c>
      <c r="J22" s="9">
        <f t="shared" si="3"/>
        <v>0</v>
      </c>
      <c r="K22" s="9">
        <f t="shared" si="3"/>
        <v>0</v>
      </c>
      <c r="L22" s="9">
        <f t="shared" si="3"/>
        <v>0</v>
      </c>
      <c r="M22" s="9">
        <f t="shared" si="3"/>
        <v>0</v>
      </c>
      <c r="N22" s="9">
        <f t="shared" si="3"/>
        <v>0</v>
      </c>
      <c r="O22" s="9">
        <f t="shared" si="3"/>
        <v>0</v>
      </c>
    </row>
    <row r="25" spans="1:19">
      <c r="A25" s="5" t="s">
        <v>0</v>
      </c>
      <c r="B25" s="9" t="s">
        <v>990</v>
      </c>
      <c r="C25" s="9" t="s">
        <v>991</v>
      </c>
      <c r="D25" s="9" t="s">
        <v>992</v>
      </c>
      <c r="E25" s="9" t="s">
        <v>993</v>
      </c>
      <c r="F25" s="9" t="s">
        <v>994</v>
      </c>
      <c r="G25" s="9" t="s">
        <v>995</v>
      </c>
      <c r="H25" s="9" t="s">
        <v>996</v>
      </c>
      <c r="I25" s="9" t="s">
        <v>1038</v>
      </c>
      <c r="J25" s="9" t="s">
        <v>1039</v>
      </c>
      <c r="K25" s="9" t="s">
        <v>1040</v>
      </c>
      <c r="L25" s="9" t="s">
        <v>1041</v>
      </c>
      <c r="M25" s="9" t="s">
        <v>1042</v>
      </c>
      <c r="N25" s="9" t="s">
        <v>1043</v>
      </c>
      <c r="O25" s="9" t="s">
        <v>1044</v>
      </c>
    </row>
    <row r="26" spans="1:19">
      <c r="A26" s="5">
        <v>1237608</v>
      </c>
      <c r="B26" s="9">
        <v>300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300</v>
      </c>
      <c r="L26" s="9">
        <v>0</v>
      </c>
      <c r="M26" s="9">
        <v>0</v>
      </c>
      <c r="N26" s="9">
        <v>0</v>
      </c>
      <c r="O26" s="9">
        <v>0</v>
      </c>
    </row>
    <row r="27" spans="1:19">
      <c r="A27" s="5">
        <v>1233165</v>
      </c>
      <c r="B27" s="9">
        <v>0</v>
      </c>
      <c r="C27" s="9">
        <v>37</v>
      </c>
      <c r="D27" s="9">
        <v>243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1:19">
      <c r="A28" s="5">
        <v>1232775</v>
      </c>
      <c r="B28" s="9">
        <v>0</v>
      </c>
      <c r="C28" s="9">
        <v>0</v>
      </c>
      <c r="D28" s="9">
        <v>3</v>
      </c>
      <c r="E28" s="9">
        <v>245</v>
      </c>
      <c r="F28" s="9">
        <v>245</v>
      </c>
      <c r="G28" s="9">
        <v>0</v>
      </c>
      <c r="H28" s="9">
        <v>0</v>
      </c>
      <c r="I28" s="9">
        <v>242</v>
      </c>
      <c r="J28" s="9">
        <v>242</v>
      </c>
      <c r="K28" s="9">
        <v>245</v>
      </c>
      <c r="L28" s="9">
        <v>242</v>
      </c>
      <c r="M28" s="9">
        <v>242</v>
      </c>
      <c r="N28" s="9">
        <v>0</v>
      </c>
      <c r="O28" s="9">
        <v>0</v>
      </c>
    </row>
    <row r="29" spans="1:19">
      <c r="A29" s="5">
        <v>1238605</v>
      </c>
      <c r="B29" s="9">
        <v>0</v>
      </c>
      <c r="C29" s="9">
        <v>0</v>
      </c>
      <c r="D29" s="9">
        <v>2</v>
      </c>
      <c r="E29" s="9">
        <v>190</v>
      </c>
      <c r="F29" s="9">
        <v>190</v>
      </c>
      <c r="G29" s="9">
        <v>0</v>
      </c>
      <c r="H29" s="9">
        <v>0</v>
      </c>
      <c r="I29" s="9">
        <v>192</v>
      </c>
      <c r="J29" s="9">
        <v>190</v>
      </c>
      <c r="K29" s="9">
        <v>192</v>
      </c>
      <c r="L29" s="9">
        <v>190</v>
      </c>
      <c r="M29" s="9">
        <v>190</v>
      </c>
      <c r="N29" s="9">
        <v>0</v>
      </c>
      <c r="O29" s="9">
        <v>0</v>
      </c>
    </row>
    <row r="30" spans="1:19">
      <c r="A30" s="5">
        <v>1230685</v>
      </c>
      <c r="B30" s="9">
        <v>330</v>
      </c>
      <c r="C30" s="9">
        <v>270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</row>
    <row r="34" spans="1:15">
      <c r="A34" s="5" t="s">
        <v>0</v>
      </c>
      <c r="B34" s="9" t="s">
        <v>990</v>
      </c>
      <c r="C34" s="9" t="s">
        <v>991</v>
      </c>
      <c r="D34" s="9" t="s">
        <v>992</v>
      </c>
      <c r="E34" s="9" t="s">
        <v>993</v>
      </c>
      <c r="F34" s="9" t="s">
        <v>994</v>
      </c>
      <c r="G34" s="9" t="s">
        <v>995</v>
      </c>
      <c r="H34" s="9" t="s">
        <v>996</v>
      </c>
      <c r="I34" s="9" t="s">
        <v>1038</v>
      </c>
      <c r="J34" s="9" t="s">
        <v>1039</v>
      </c>
      <c r="K34" s="9" t="s">
        <v>1040</v>
      </c>
      <c r="L34" s="9" t="s">
        <v>1041</v>
      </c>
      <c r="M34" s="9" t="s">
        <v>1042</v>
      </c>
      <c r="N34" s="9" t="s">
        <v>1043</v>
      </c>
      <c r="O34" s="9" t="s">
        <v>1044</v>
      </c>
    </row>
    <row r="35" spans="1:15">
      <c r="A35" s="5">
        <v>1227306</v>
      </c>
      <c r="B35" s="9">
        <v>0</v>
      </c>
      <c r="C35" s="9">
        <v>0</v>
      </c>
      <c r="D35" s="9">
        <v>0</v>
      </c>
      <c r="E35" s="9">
        <v>108</v>
      </c>
      <c r="F35" s="18">
        <v>382</v>
      </c>
      <c r="G35" s="9">
        <v>0</v>
      </c>
      <c r="H35" s="9">
        <v>0</v>
      </c>
      <c r="I35" s="9">
        <v>300</v>
      </c>
      <c r="J35" s="9">
        <v>300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>
      <c r="A36" s="5">
        <v>1227359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1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>
      <c r="A37" s="5">
        <v>1231090</v>
      </c>
      <c r="B37" s="9">
        <v>73</v>
      </c>
      <c r="C37" s="9">
        <v>127</v>
      </c>
      <c r="D37" s="9">
        <v>42</v>
      </c>
      <c r="E37" s="18">
        <v>433</v>
      </c>
      <c r="F37" s="9">
        <v>433</v>
      </c>
      <c r="G37" s="9">
        <v>0</v>
      </c>
      <c r="H37" s="9">
        <v>0</v>
      </c>
      <c r="I37" s="9">
        <v>1307</v>
      </c>
      <c r="J37" s="9">
        <v>220</v>
      </c>
      <c r="K37" s="9">
        <v>140</v>
      </c>
      <c r="L37" s="9">
        <v>0</v>
      </c>
      <c r="M37" s="9">
        <v>570</v>
      </c>
      <c r="N37" s="9">
        <v>0</v>
      </c>
      <c r="O37" s="9">
        <v>0</v>
      </c>
    </row>
    <row r="38" spans="1:15">
      <c r="A38" s="5">
        <v>1229776</v>
      </c>
      <c r="B38" s="9">
        <v>73</v>
      </c>
      <c r="C38" s="9">
        <v>127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>
      <c r="A39" s="5">
        <v>1225464</v>
      </c>
      <c r="B39" s="9">
        <v>0</v>
      </c>
      <c r="C39" s="9">
        <v>0</v>
      </c>
      <c r="D39" s="9">
        <v>130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906</v>
      </c>
      <c r="N39" s="9">
        <v>0</v>
      </c>
      <c r="O39" s="9">
        <v>0</v>
      </c>
    </row>
    <row r="40" spans="1:15">
      <c r="A40" s="5">
        <v>1232066</v>
      </c>
      <c r="B40" s="9">
        <v>120</v>
      </c>
      <c r="C40" s="9">
        <v>80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>
      <c r="A41" s="5">
        <v>1229088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5</v>
      </c>
      <c r="M41" s="9">
        <v>0</v>
      </c>
      <c r="N41" s="9">
        <v>0</v>
      </c>
      <c r="O41" s="9">
        <v>0</v>
      </c>
    </row>
    <row r="42" spans="1:15">
      <c r="A42" s="5">
        <v>1232693</v>
      </c>
      <c r="B42" s="9">
        <v>777</v>
      </c>
      <c r="C42" s="9">
        <v>675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>
      <c r="A43" s="5">
        <v>1233025</v>
      </c>
      <c r="B43" s="9">
        <v>777</v>
      </c>
      <c r="C43" s="9">
        <v>675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>
      <c r="A44" s="5">
        <v>1232528</v>
      </c>
      <c r="B44" s="9">
        <v>507</v>
      </c>
      <c r="C44" s="9">
        <v>685</v>
      </c>
      <c r="D44" s="9">
        <v>539</v>
      </c>
      <c r="E44" s="18">
        <v>539</v>
      </c>
      <c r="F44" s="9">
        <v>539</v>
      </c>
      <c r="G44" s="9">
        <v>0</v>
      </c>
      <c r="H44" s="9">
        <v>0</v>
      </c>
      <c r="I44" s="9">
        <v>1149</v>
      </c>
      <c r="J44" s="9">
        <v>300</v>
      </c>
      <c r="K44" s="9">
        <v>1500</v>
      </c>
      <c r="L44" s="9">
        <v>1400</v>
      </c>
      <c r="M44" s="9">
        <v>4610</v>
      </c>
      <c r="N44" s="9">
        <v>0</v>
      </c>
      <c r="O44" s="9">
        <v>0</v>
      </c>
    </row>
    <row r="45" spans="1:15">
      <c r="A45" s="5">
        <v>1232846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300</v>
      </c>
      <c r="J45" s="9">
        <v>200</v>
      </c>
      <c r="K45" s="9">
        <v>428</v>
      </c>
      <c r="L45" s="9">
        <v>100</v>
      </c>
      <c r="M45" s="9">
        <v>0</v>
      </c>
      <c r="N45" s="9">
        <v>0</v>
      </c>
      <c r="O45" s="9">
        <v>0</v>
      </c>
    </row>
    <row r="46" spans="1:15">
      <c r="A46" s="5">
        <v>1229050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151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5">
        <v>1220847</v>
      </c>
      <c r="B47" s="9">
        <v>0</v>
      </c>
      <c r="C47" s="9">
        <v>0</v>
      </c>
      <c r="D47" s="9">
        <v>0</v>
      </c>
      <c r="E47" s="98">
        <v>90</v>
      </c>
      <c r="F47" s="9">
        <v>0</v>
      </c>
      <c r="G47" s="9">
        <v>0</v>
      </c>
      <c r="H47" s="9">
        <v>0</v>
      </c>
      <c r="I47" s="9">
        <v>950</v>
      </c>
      <c r="J47" s="9">
        <v>0</v>
      </c>
      <c r="K47" s="9">
        <v>0</v>
      </c>
      <c r="L47" s="9">
        <v>0</v>
      </c>
      <c r="M47" s="9">
        <v>4330</v>
      </c>
      <c r="N47" s="9">
        <v>0</v>
      </c>
      <c r="O47" s="9">
        <v>0</v>
      </c>
    </row>
    <row r="48" spans="1:15">
      <c r="A48" s="5">
        <v>1234217</v>
      </c>
      <c r="B48" s="9">
        <v>0</v>
      </c>
      <c r="C48" s="9">
        <v>50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>
      <c r="A49" s="5">
        <v>1234111</v>
      </c>
      <c r="B49" s="9">
        <v>0</v>
      </c>
      <c r="C49" s="9">
        <v>50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>
      <c r="A50" s="5">
        <v>1234110</v>
      </c>
      <c r="B50" s="9">
        <v>0</v>
      </c>
      <c r="C50" s="9">
        <v>50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>
      <c r="A51" s="5">
        <v>1235958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1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>
      <c r="A52" s="5">
        <v>1236600</v>
      </c>
      <c r="B52" s="9">
        <v>421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1</v>
      </c>
      <c r="J52" s="9">
        <v>0</v>
      </c>
      <c r="K52" s="9">
        <v>55</v>
      </c>
      <c r="L52" s="9">
        <v>0</v>
      </c>
      <c r="M52" s="9">
        <v>0</v>
      </c>
      <c r="N52" s="9">
        <v>0</v>
      </c>
      <c r="O52" s="9">
        <v>0</v>
      </c>
    </row>
    <row r="53" spans="1:15">
      <c r="A53" s="5">
        <v>1236930</v>
      </c>
      <c r="B53" s="9">
        <v>636</v>
      </c>
      <c r="C53" s="9">
        <v>615</v>
      </c>
      <c r="D53" s="9">
        <v>200</v>
      </c>
      <c r="E53" s="9">
        <v>0</v>
      </c>
      <c r="F53" s="9">
        <v>0</v>
      </c>
      <c r="G53" s="9">
        <v>0</v>
      </c>
      <c r="H53" s="9">
        <v>0</v>
      </c>
      <c r="I53" s="9">
        <v>647</v>
      </c>
      <c r="J53" s="9">
        <v>130</v>
      </c>
      <c r="K53" s="9">
        <v>270</v>
      </c>
      <c r="L53" s="9">
        <v>462</v>
      </c>
      <c r="M53" s="9">
        <v>506</v>
      </c>
      <c r="N53" s="9">
        <v>0</v>
      </c>
      <c r="O53" s="9">
        <v>0</v>
      </c>
    </row>
    <row r="54" spans="1:15">
      <c r="A54" s="5">
        <v>1237468</v>
      </c>
      <c r="B54" s="9">
        <v>0</v>
      </c>
      <c r="C54" s="9">
        <v>38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96</v>
      </c>
      <c r="N54" s="9">
        <v>0</v>
      </c>
      <c r="O54" s="9">
        <v>0</v>
      </c>
    </row>
    <row r="55" spans="1:15">
      <c r="A55" s="5">
        <v>1237210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140</v>
      </c>
      <c r="L55" s="9">
        <v>0</v>
      </c>
      <c r="M55" s="9">
        <v>0</v>
      </c>
      <c r="N55" s="9">
        <v>0</v>
      </c>
      <c r="O55" s="9">
        <v>0</v>
      </c>
    </row>
    <row r="56" spans="1:15">
      <c r="A56" s="5">
        <v>1237386</v>
      </c>
      <c r="B56" s="9">
        <v>0</v>
      </c>
      <c r="C56" s="9">
        <v>0</v>
      </c>
      <c r="D56" s="9">
        <v>22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1:15">
      <c r="A57" s="5">
        <v>1234905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280</v>
      </c>
      <c r="J57" s="9">
        <v>0</v>
      </c>
      <c r="K57" s="9">
        <v>0</v>
      </c>
      <c r="L57" s="9">
        <v>0</v>
      </c>
      <c r="M57" s="9">
        <v>500</v>
      </c>
      <c r="N57" s="9">
        <v>0</v>
      </c>
      <c r="O57" s="9">
        <v>0</v>
      </c>
    </row>
    <row r="58" spans="1:15">
      <c r="A58" s="5">
        <v>1238480</v>
      </c>
      <c r="B58" s="9">
        <v>1061</v>
      </c>
      <c r="C58" s="9">
        <v>1163</v>
      </c>
      <c r="D58" s="9">
        <v>1172</v>
      </c>
      <c r="E58" s="18">
        <v>924</v>
      </c>
      <c r="F58" s="9">
        <v>1015</v>
      </c>
      <c r="G58" s="9">
        <v>0</v>
      </c>
      <c r="H58" s="9">
        <v>0</v>
      </c>
      <c r="I58" s="9">
        <v>1970</v>
      </c>
      <c r="J58" s="9">
        <v>645</v>
      </c>
      <c r="K58" s="9">
        <v>1086</v>
      </c>
      <c r="L58" s="9">
        <v>1733</v>
      </c>
      <c r="M58" s="9">
        <v>1004</v>
      </c>
      <c r="N58" s="9">
        <v>0</v>
      </c>
      <c r="O58" s="9">
        <v>0</v>
      </c>
    </row>
    <row r="59" spans="1:15">
      <c r="A59" s="5">
        <v>1238453</v>
      </c>
      <c r="B59" s="9">
        <v>0</v>
      </c>
      <c r="C59" s="9">
        <v>0</v>
      </c>
      <c r="D59" s="9">
        <v>229</v>
      </c>
      <c r="E59" s="18">
        <v>264</v>
      </c>
      <c r="F59" s="9">
        <v>137</v>
      </c>
      <c r="G59" s="9">
        <v>0</v>
      </c>
      <c r="H59" s="9">
        <v>0</v>
      </c>
      <c r="I59" s="9">
        <v>11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>
      <c r="A60" s="5">
        <v>1232775</v>
      </c>
      <c r="B60" s="9">
        <v>0</v>
      </c>
      <c r="C60" s="9">
        <v>0</v>
      </c>
      <c r="D60" s="9">
        <v>0</v>
      </c>
      <c r="E60" s="9">
        <v>0</v>
      </c>
      <c r="F60" s="9">
        <v>183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196</v>
      </c>
      <c r="N60" s="9">
        <v>0</v>
      </c>
      <c r="O60" s="9">
        <v>0</v>
      </c>
    </row>
    <row r="61" spans="1:15">
      <c r="A61" s="5">
        <v>1216452</v>
      </c>
      <c r="B61" s="9">
        <v>0</v>
      </c>
      <c r="C61" s="9">
        <v>0</v>
      </c>
      <c r="D61" s="18">
        <v>46</v>
      </c>
      <c r="E61" s="9">
        <v>805</v>
      </c>
      <c r="F61" s="9">
        <v>21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787</v>
      </c>
      <c r="M61" s="9">
        <v>0</v>
      </c>
      <c r="N61" s="9">
        <v>0</v>
      </c>
      <c r="O61" s="9">
        <v>0</v>
      </c>
    </row>
    <row r="62" spans="1:15">
      <c r="A62" s="5">
        <v>1232894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300</v>
      </c>
      <c r="J62" s="9">
        <v>200</v>
      </c>
      <c r="K62" s="9">
        <v>428</v>
      </c>
      <c r="L62" s="9">
        <v>100</v>
      </c>
      <c r="M62" s="9">
        <v>0</v>
      </c>
      <c r="N62" s="9">
        <v>0</v>
      </c>
      <c r="O62" s="9">
        <v>0</v>
      </c>
    </row>
    <row r="63" spans="1:15">
      <c r="A63" s="5">
        <v>1233387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300</v>
      </c>
      <c r="J63" s="9">
        <v>200</v>
      </c>
      <c r="K63" s="9">
        <v>428</v>
      </c>
      <c r="L63" s="9">
        <v>100</v>
      </c>
      <c r="M63" s="9">
        <v>0</v>
      </c>
      <c r="N63" s="9">
        <v>0</v>
      </c>
      <c r="O63" s="9">
        <v>0</v>
      </c>
    </row>
  </sheetData>
  <autoFilter ref="A1:O18" xr:uid="{97268AFA-7B81-486F-A1BB-B523100D9CD9}"/>
  <phoneticPr fontId="1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DD63-F705-45B2-BB84-ED638EF41FCE}">
  <dimension ref="A1:U68"/>
  <sheetViews>
    <sheetView topLeftCell="A25" zoomScale="130" zoomScaleNormal="130" workbookViewId="0">
      <selection activeCell="K68" sqref="K68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20" width="9.5" style="9" customWidth="1"/>
    <col min="21" max="21" width="9.5" style="9" bestFit="1" customWidth="1"/>
    <col min="22" max="16384" width="9.33203125" style="5"/>
  </cols>
  <sheetData>
    <row r="1" spans="1:21">
      <c r="A1" s="5" t="s">
        <v>0</v>
      </c>
      <c r="B1" s="9" t="s">
        <v>991</v>
      </c>
      <c r="C1" s="9" t="s">
        <v>992</v>
      </c>
      <c r="D1" s="9" t="s">
        <v>993</v>
      </c>
      <c r="E1" s="18" t="s">
        <v>994</v>
      </c>
      <c r="F1" s="9" t="s">
        <v>995</v>
      </c>
      <c r="G1" s="9" t="s">
        <v>996</v>
      </c>
      <c r="H1" s="9" t="s">
        <v>1038</v>
      </c>
      <c r="I1" s="9" t="s">
        <v>1039</v>
      </c>
      <c r="J1" s="9" t="s">
        <v>1040</v>
      </c>
      <c r="K1" s="9" t="s">
        <v>1041</v>
      </c>
      <c r="L1" s="9" t="s">
        <v>1042</v>
      </c>
      <c r="M1" s="9" t="s">
        <v>1043</v>
      </c>
      <c r="N1" s="9" t="s">
        <v>1044</v>
      </c>
      <c r="O1" s="9" t="s">
        <v>1082</v>
      </c>
      <c r="P1" s="9" t="s">
        <v>1083</v>
      </c>
      <c r="Q1" s="9" t="s">
        <v>1084</v>
      </c>
      <c r="R1" s="9" t="s">
        <v>1085</v>
      </c>
      <c r="S1" s="9" t="s">
        <v>1086</v>
      </c>
      <c r="T1" s="9" t="s">
        <v>1087</v>
      </c>
      <c r="U1" s="9" t="s">
        <v>1088</v>
      </c>
    </row>
    <row r="2" spans="1:21">
      <c r="A2" s="5">
        <v>1234614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24</v>
      </c>
      <c r="I2" s="9">
        <v>276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>
      <c r="A3" s="5">
        <v>1229673</v>
      </c>
      <c r="B3" s="9">
        <v>300</v>
      </c>
      <c r="C3" s="9">
        <v>200</v>
      </c>
      <c r="D3" s="9">
        <v>300</v>
      </c>
      <c r="E3" s="18">
        <v>200</v>
      </c>
      <c r="F3" s="9">
        <v>0</v>
      </c>
      <c r="G3" s="9">
        <v>0</v>
      </c>
      <c r="H3" s="9">
        <v>300</v>
      </c>
      <c r="I3" s="9">
        <v>0</v>
      </c>
      <c r="J3" s="9">
        <v>0</v>
      </c>
      <c r="K3" s="9">
        <v>252</v>
      </c>
      <c r="L3" s="9">
        <v>0</v>
      </c>
      <c r="M3" s="9">
        <v>0</v>
      </c>
      <c r="N3" s="9">
        <v>0</v>
      </c>
      <c r="O3" s="9">
        <v>250</v>
      </c>
      <c r="P3" s="9">
        <v>250</v>
      </c>
      <c r="Q3" s="9">
        <v>250</v>
      </c>
      <c r="R3" s="9">
        <v>250</v>
      </c>
      <c r="S3" s="9">
        <v>300</v>
      </c>
      <c r="T3" s="9">
        <v>0</v>
      </c>
      <c r="U3" s="9">
        <v>0</v>
      </c>
    </row>
    <row r="4" spans="1:21">
      <c r="A4" s="5">
        <v>1230854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200</v>
      </c>
      <c r="S4" s="9">
        <v>0</v>
      </c>
      <c r="T4" s="9">
        <v>0</v>
      </c>
      <c r="U4" s="9">
        <v>0</v>
      </c>
    </row>
    <row r="5" spans="1:21">
      <c r="A5" s="5">
        <v>1233492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356</v>
      </c>
      <c r="J5" s="9">
        <v>144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>
      <c r="A6" s="5">
        <v>1233498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356</v>
      </c>
      <c r="J6" s="9">
        <v>144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</row>
    <row r="7" spans="1:21">
      <c r="A7" s="5">
        <v>1233623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356</v>
      </c>
      <c r="J7" s="9">
        <v>144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>
      <c r="A8" s="5">
        <v>1235623</v>
      </c>
      <c r="B8" s="9">
        <v>0</v>
      </c>
      <c r="C8" s="9">
        <v>0</v>
      </c>
      <c r="D8" s="9">
        <v>0</v>
      </c>
      <c r="E8" s="18">
        <v>52</v>
      </c>
      <c r="F8" s="9">
        <v>0</v>
      </c>
      <c r="G8" s="9">
        <v>0</v>
      </c>
      <c r="H8" s="9">
        <v>884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</row>
    <row r="9" spans="1:21">
      <c r="A9" s="5">
        <v>1237088</v>
      </c>
      <c r="B9" s="9">
        <v>474</v>
      </c>
      <c r="C9" s="9">
        <v>260</v>
      </c>
      <c r="D9" s="9">
        <v>322</v>
      </c>
      <c r="E9" s="18">
        <v>232</v>
      </c>
      <c r="F9" s="9">
        <v>0</v>
      </c>
      <c r="G9" s="9">
        <v>0</v>
      </c>
      <c r="H9" s="9">
        <v>736</v>
      </c>
      <c r="I9" s="9">
        <v>816</v>
      </c>
      <c r="J9" s="9">
        <v>788</v>
      </c>
      <c r="K9" s="9">
        <v>202</v>
      </c>
      <c r="L9" s="9">
        <v>870</v>
      </c>
      <c r="M9" s="9">
        <v>0</v>
      </c>
      <c r="N9" s="9">
        <v>0</v>
      </c>
      <c r="O9" s="9">
        <v>650</v>
      </c>
      <c r="P9" s="9">
        <v>804</v>
      </c>
      <c r="Q9" s="9">
        <v>518</v>
      </c>
      <c r="R9" s="9">
        <v>746</v>
      </c>
      <c r="S9" s="9">
        <v>418</v>
      </c>
      <c r="T9" s="9">
        <v>0</v>
      </c>
      <c r="U9" s="9">
        <v>0</v>
      </c>
    </row>
    <row r="10" spans="1:21">
      <c r="A10" s="5">
        <v>1237748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312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</row>
    <row r="11" spans="1:21">
      <c r="A11" s="5">
        <v>1236091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200</v>
      </c>
      <c r="R11" s="9">
        <v>0</v>
      </c>
      <c r="S11" s="9">
        <v>0</v>
      </c>
      <c r="T11" s="9">
        <v>0</v>
      </c>
      <c r="U11" s="9">
        <v>0</v>
      </c>
    </row>
    <row r="12" spans="1:21">
      <c r="A12" s="5">
        <v>1238128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30</v>
      </c>
      <c r="K12" s="9">
        <v>464</v>
      </c>
      <c r="L12" s="9">
        <v>464</v>
      </c>
      <c r="M12" s="9">
        <v>0</v>
      </c>
      <c r="N12" s="9">
        <v>0</v>
      </c>
      <c r="O12" s="9">
        <v>202</v>
      </c>
      <c r="P12" s="9">
        <v>0</v>
      </c>
      <c r="Q12" s="9">
        <v>0</v>
      </c>
      <c r="R12" s="9">
        <v>32</v>
      </c>
      <c r="S12" s="9">
        <v>464</v>
      </c>
      <c r="T12" s="9">
        <v>0</v>
      </c>
      <c r="U12" s="9">
        <v>0</v>
      </c>
    </row>
    <row r="13" spans="1:21">
      <c r="A13" s="5">
        <v>1238480</v>
      </c>
      <c r="B13" s="9">
        <v>60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</row>
    <row r="14" spans="1:21">
      <c r="A14" s="5">
        <v>1236962</v>
      </c>
      <c r="B14" s="9">
        <v>200</v>
      </c>
      <c r="C14" s="9">
        <v>200</v>
      </c>
      <c r="D14" s="9">
        <v>200</v>
      </c>
      <c r="E14" s="18">
        <v>200</v>
      </c>
      <c r="F14" s="9">
        <v>0</v>
      </c>
      <c r="G14" s="9">
        <v>0</v>
      </c>
      <c r="H14" s="9">
        <v>200</v>
      </c>
      <c r="I14" s="9">
        <v>200</v>
      </c>
      <c r="J14" s="9">
        <v>300</v>
      </c>
      <c r="K14" s="9">
        <v>300</v>
      </c>
      <c r="L14" s="9">
        <v>200</v>
      </c>
      <c r="M14" s="9">
        <v>0</v>
      </c>
      <c r="N14" s="9">
        <v>0</v>
      </c>
      <c r="O14" s="9">
        <v>0</v>
      </c>
      <c r="P14" s="9">
        <v>200</v>
      </c>
      <c r="Q14" s="9">
        <v>200</v>
      </c>
      <c r="R14" s="9">
        <v>300</v>
      </c>
      <c r="S14" s="9">
        <v>0</v>
      </c>
      <c r="T14" s="9">
        <v>0</v>
      </c>
      <c r="U14" s="9">
        <v>0</v>
      </c>
    </row>
    <row r="15" spans="1:21">
      <c r="A15" s="5">
        <v>1233761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200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</row>
    <row r="16" spans="1:21">
      <c r="A16" s="5">
        <v>1239651</v>
      </c>
      <c r="B16" s="9">
        <v>300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200</v>
      </c>
      <c r="I16" s="9">
        <v>300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400</v>
      </c>
      <c r="T16" s="9">
        <v>0</v>
      </c>
      <c r="U16" s="9">
        <v>0</v>
      </c>
    </row>
    <row r="17" spans="1:21">
      <c r="A17" s="5">
        <v>1239988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330</v>
      </c>
      <c r="L17" s="9">
        <v>400</v>
      </c>
      <c r="M17" s="9">
        <v>0</v>
      </c>
      <c r="N17" s="9">
        <v>0</v>
      </c>
      <c r="O17" s="9">
        <v>406</v>
      </c>
      <c r="P17" s="9">
        <v>66</v>
      </c>
      <c r="Q17" s="9">
        <v>200</v>
      </c>
      <c r="R17" s="9">
        <v>0</v>
      </c>
      <c r="S17" s="9">
        <v>0</v>
      </c>
      <c r="T17" s="9">
        <v>0</v>
      </c>
      <c r="U17" s="9">
        <v>0</v>
      </c>
    </row>
    <row r="18" spans="1:21">
      <c r="A18" s="5">
        <v>1240180</v>
      </c>
      <c r="B18" s="9">
        <v>824</v>
      </c>
      <c r="C18" s="9">
        <v>164</v>
      </c>
      <c r="D18" s="9">
        <v>334</v>
      </c>
      <c r="E18" s="18">
        <v>316</v>
      </c>
      <c r="F18" s="9">
        <v>0</v>
      </c>
      <c r="G18" s="9">
        <v>0</v>
      </c>
      <c r="H18" s="9">
        <v>426</v>
      </c>
      <c r="I18" s="9">
        <v>426</v>
      </c>
      <c r="J18" s="9">
        <v>334</v>
      </c>
      <c r="K18" s="9">
        <v>216</v>
      </c>
      <c r="L18" s="9">
        <v>322</v>
      </c>
      <c r="M18" s="9">
        <v>0</v>
      </c>
      <c r="N18" s="9">
        <v>0</v>
      </c>
      <c r="O18" s="9">
        <v>294</v>
      </c>
      <c r="P18" s="9">
        <v>0</v>
      </c>
      <c r="Q18" s="9">
        <v>124</v>
      </c>
      <c r="R18" s="9">
        <v>390</v>
      </c>
      <c r="S18" s="9">
        <v>306</v>
      </c>
      <c r="T18" s="9">
        <v>0</v>
      </c>
      <c r="U18" s="9">
        <v>0</v>
      </c>
    </row>
    <row r="19" spans="1:21">
      <c r="A19" s="5">
        <v>1240184</v>
      </c>
      <c r="B19" s="9">
        <v>640</v>
      </c>
      <c r="C19" s="9">
        <v>164</v>
      </c>
      <c r="D19" s="9">
        <v>334</v>
      </c>
      <c r="E19" s="18">
        <v>316</v>
      </c>
      <c r="F19" s="9">
        <v>0</v>
      </c>
      <c r="G19" s="9">
        <v>0</v>
      </c>
      <c r="H19" s="9">
        <v>426</v>
      </c>
      <c r="I19" s="9">
        <v>426</v>
      </c>
      <c r="J19" s="9">
        <v>334</v>
      </c>
      <c r="K19" s="9">
        <v>216</v>
      </c>
      <c r="L19" s="9">
        <v>322</v>
      </c>
      <c r="M19" s="9">
        <v>0</v>
      </c>
      <c r="N19" s="9">
        <v>0</v>
      </c>
      <c r="O19" s="9">
        <v>294</v>
      </c>
      <c r="P19" s="9">
        <v>0</v>
      </c>
      <c r="Q19" s="9">
        <v>0</v>
      </c>
      <c r="R19" s="9">
        <v>314</v>
      </c>
      <c r="S19" s="9">
        <v>306</v>
      </c>
      <c r="T19" s="9">
        <v>0</v>
      </c>
      <c r="U19" s="9">
        <v>0</v>
      </c>
    </row>
    <row r="20" spans="1:21">
      <c r="A20" s="5">
        <v>1240308</v>
      </c>
      <c r="B20" s="9">
        <v>300</v>
      </c>
      <c r="C20" s="9">
        <v>0</v>
      </c>
      <c r="D20" s="9">
        <v>400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270</v>
      </c>
      <c r="L20" s="9">
        <v>0</v>
      </c>
      <c r="M20" s="9">
        <v>0</v>
      </c>
      <c r="N20" s="9">
        <v>0</v>
      </c>
      <c r="O20" s="9">
        <v>0</v>
      </c>
      <c r="P20" s="9">
        <v>150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</row>
    <row r="21" spans="1:21">
      <c r="A21" s="5">
        <v>1241601</v>
      </c>
      <c r="B21" s="9">
        <v>1176</v>
      </c>
      <c r="C21" s="9">
        <v>862</v>
      </c>
      <c r="D21" s="9">
        <v>2246</v>
      </c>
      <c r="E21" s="18">
        <v>1600</v>
      </c>
      <c r="F21" s="9">
        <v>0</v>
      </c>
      <c r="G21" s="9">
        <v>0</v>
      </c>
      <c r="H21" s="9">
        <v>1564</v>
      </c>
      <c r="I21" s="9">
        <v>1564</v>
      </c>
      <c r="J21" s="9">
        <v>1228</v>
      </c>
      <c r="K21" s="9">
        <v>798</v>
      </c>
      <c r="L21" s="9">
        <v>578</v>
      </c>
      <c r="M21" s="9">
        <v>0</v>
      </c>
      <c r="N21" s="9">
        <v>0</v>
      </c>
      <c r="O21" s="9">
        <v>978</v>
      </c>
      <c r="P21" s="9">
        <v>1598</v>
      </c>
      <c r="Q21" s="9">
        <v>1538</v>
      </c>
      <c r="R21" s="9">
        <v>2124</v>
      </c>
      <c r="S21" s="9">
        <v>1228</v>
      </c>
      <c r="T21" s="9">
        <v>0</v>
      </c>
      <c r="U21" s="9">
        <v>0</v>
      </c>
    </row>
    <row r="24" spans="1:21">
      <c r="A24" s="5" t="s">
        <v>0</v>
      </c>
      <c r="B24" s="9" t="s">
        <v>991</v>
      </c>
      <c r="C24" s="9" t="s">
        <v>992</v>
      </c>
      <c r="D24" s="9" t="s">
        <v>993</v>
      </c>
      <c r="E24" s="9" t="s">
        <v>994</v>
      </c>
      <c r="F24" s="9" t="s">
        <v>995</v>
      </c>
      <c r="G24" s="9" t="s">
        <v>996</v>
      </c>
      <c r="H24" s="9" t="s">
        <v>1038</v>
      </c>
      <c r="I24" s="9" t="s">
        <v>1039</v>
      </c>
      <c r="J24" s="9" t="s">
        <v>1040</v>
      </c>
      <c r="K24" s="9" t="s">
        <v>1041</v>
      </c>
      <c r="L24" s="9" t="s">
        <v>1042</v>
      </c>
      <c r="M24" s="9" t="s">
        <v>1043</v>
      </c>
      <c r="N24" s="9" t="s">
        <v>1044</v>
      </c>
      <c r="O24" s="9" t="s">
        <v>1082</v>
      </c>
      <c r="P24" s="9" t="s">
        <v>1083</v>
      </c>
      <c r="Q24" s="9" t="s">
        <v>1084</v>
      </c>
      <c r="R24" s="9" t="s">
        <v>1085</v>
      </c>
      <c r="S24" s="9" t="s">
        <v>1086</v>
      </c>
      <c r="T24" s="9" t="s">
        <v>1087</v>
      </c>
      <c r="U24" s="9" t="s">
        <v>1088</v>
      </c>
    </row>
    <row r="25" spans="1:21">
      <c r="A25" s="5">
        <v>1237608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300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</row>
    <row r="26" spans="1:21">
      <c r="A26" s="5">
        <v>1233165</v>
      </c>
      <c r="B26" s="9">
        <v>37</v>
      </c>
      <c r="C26" s="9">
        <v>243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>
      <c r="A27" s="5">
        <v>1236387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238</v>
      </c>
      <c r="P27" s="9">
        <v>357</v>
      </c>
      <c r="Q27" s="9">
        <v>357</v>
      </c>
      <c r="R27" s="9">
        <v>255</v>
      </c>
      <c r="S27" s="9">
        <v>0</v>
      </c>
      <c r="T27" s="9">
        <v>0</v>
      </c>
      <c r="U27" s="9">
        <v>0</v>
      </c>
    </row>
    <row r="28" spans="1:21">
      <c r="A28" s="5">
        <v>1232775</v>
      </c>
      <c r="B28" s="9">
        <v>0</v>
      </c>
      <c r="C28" s="9">
        <v>3</v>
      </c>
      <c r="D28" s="9">
        <v>245</v>
      </c>
      <c r="E28" s="9">
        <v>245</v>
      </c>
      <c r="F28" s="9">
        <v>0</v>
      </c>
      <c r="G28" s="9">
        <v>0</v>
      </c>
      <c r="H28" s="9">
        <v>242</v>
      </c>
      <c r="I28" s="9">
        <v>242</v>
      </c>
      <c r="J28" s="9">
        <v>245</v>
      </c>
      <c r="K28" s="9">
        <v>242</v>
      </c>
      <c r="L28" s="9">
        <v>242</v>
      </c>
      <c r="M28" s="9">
        <v>0</v>
      </c>
      <c r="N28" s="9">
        <v>0</v>
      </c>
      <c r="O28" s="9">
        <v>242</v>
      </c>
      <c r="P28" s="9">
        <v>242</v>
      </c>
      <c r="Q28" s="9">
        <v>242</v>
      </c>
      <c r="R28" s="9">
        <v>245</v>
      </c>
      <c r="S28" s="9">
        <v>242</v>
      </c>
      <c r="T28" s="9">
        <v>0</v>
      </c>
      <c r="U28" s="9">
        <v>0</v>
      </c>
    </row>
    <row r="29" spans="1:21">
      <c r="A29" s="5">
        <v>1238605</v>
      </c>
      <c r="B29" s="9">
        <v>0</v>
      </c>
      <c r="C29" s="9">
        <v>2</v>
      </c>
      <c r="D29" s="9">
        <v>190</v>
      </c>
      <c r="E29" s="9">
        <v>190</v>
      </c>
      <c r="F29" s="9">
        <v>0</v>
      </c>
      <c r="G29" s="9">
        <v>0</v>
      </c>
      <c r="H29" s="9">
        <v>192</v>
      </c>
      <c r="I29" s="9">
        <v>190</v>
      </c>
      <c r="J29" s="9">
        <v>192</v>
      </c>
      <c r="K29" s="9">
        <v>190</v>
      </c>
      <c r="L29" s="9">
        <v>190</v>
      </c>
      <c r="M29" s="9">
        <v>0</v>
      </c>
      <c r="N29" s="9">
        <v>0</v>
      </c>
      <c r="O29" s="9">
        <v>40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0" spans="1:21">
      <c r="A30" s="5">
        <v>1230685</v>
      </c>
      <c r="B30" s="9">
        <v>270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3" spans="1:21">
      <c r="A33" s="5" t="s">
        <v>0</v>
      </c>
      <c r="B33" s="9" t="s">
        <v>991</v>
      </c>
      <c r="C33" s="9" t="s">
        <v>992</v>
      </c>
      <c r="D33" s="9" t="s">
        <v>993</v>
      </c>
      <c r="E33" s="9" t="s">
        <v>994</v>
      </c>
      <c r="F33" s="9" t="s">
        <v>995</v>
      </c>
      <c r="G33" s="9" t="s">
        <v>996</v>
      </c>
      <c r="H33" s="9" t="s">
        <v>1038</v>
      </c>
      <c r="I33" s="9" t="s">
        <v>1039</v>
      </c>
      <c r="J33" s="9" t="s">
        <v>1040</v>
      </c>
      <c r="K33" s="9" t="s">
        <v>1041</v>
      </c>
      <c r="L33" s="9" t="s">
        <v>1042</v>
      </c>
      <c r="M33" s="9" t="s">
        <v>1043</v>
      </c>
      <c r="N33" s="9" t="s">
        <v>1044</v>
      </c>
      <c r="O33" s="9" t="s">
        <v>1082</v>
      </c>
      <c r="P33" s="9" t="s">
        <v>1083</v>
      </c>
      <c r="Q33" s="9" t="s">
        <v>1084</v>
      </c>
      <c r="R33" s="9" t="s">
        <v>1085</v>
      </c>
      <c r="S33" s="9" t="s">
        <v>1086</v>
      </c>
      <c r="T33" s="9" t="s">
        <v>1087</v>
      </c>
      <c r="U33" s="9" t="s">
        <v>1088</v>
      </c>
    </row>
    <row r="34" spans="1:21">
      <c r="A34" s="5">
        <v>1234614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468</v>
      </c>
      <c r="T34" s="9">
        <v>0</v>
      </c>
      <c r="U34" s="9">
        <v>0</v>
      </c>
    </row>
    <row r="35" spans="1:21">
      <c r="A35" s="5">
        <v>1227306</v>
      </c>
      <c r="B35" s="9">
        <v>0</v>
      </c>
      <c r="C35" s="9">
        <v>0</v>
      </c>
      <c r="D35" s="9">
        <v>108</v>
      </c>
      <c r="E35" s="9">
        <v>382</v>
      </c>
      <c r="F35" s="9">
        <v>0</v>
      </c>
      <c r="G35" s="9">
        <v>0</v>
      </c>
      <c r="H35" s="18">
        <v>500</v>
      </c>
      <c r="I35" s="9">
        <v>100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300</v>
      </c>
      <c r="R35" s="9">
        <v>400</v>
      </c>
      <c r="S35" s="9">
        <v>190</v>
      </c>
      <c r="T35" s="9">
        <v>0</v>
      </c>
      <c r="U35" s="9">
        <v>0</v>
      </c>
    </row>
    <row r="36" spans="1:21">
      <c r="A36" s="5">
        <v>1227359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1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5">
        <v>1231090</v>
      </c>
      <c r="B37" s="9">
        <v>127</v>
      </c>
      <c r="C37" s="9">
        <v>42</v>
      </c>
      <c r="D37" s="9">
        <v>433</v>
      </c>
      <c r="E37" s="18">
        <v>433</v>
      </c>
      <c r="F37" s="9">
        <v>0</v>
      </c>
      <c r="G37" s="9">
        <v>0</v>
      </c>
      <c r="H37" s="9">
        <v>457</v>
      </c>
      <c r="I37" s="9">
        <v>200</v>
      </c>
      <c r="J37" s="9">
        <v>500</v>
      </c>
      <c r="K37" s="9">
        <v>0</v>
      </c>
      <c r="L37" s="9">
        <v>0</v>
      </c>
      <c r="M37" s="9">
        <v>0</v>
      </c>
      <c r="N37" s="9">
        <v>0</v>
      </c>
      <c r="O37" s="9">
        <v>510</v>
      </c>
      <c r="P37" s="9">
        <v>0</v>
      </c>
      <c r="Q37" s="9">
        <v>270</v>
      </c>
      <c r="R37" s="9">
        <v>0</v>
      </c>
      <c r="S37" s="9">
        <v>570</v>
      </c>
      <c r="T37" s="9">
        <v>0</v>
      </c>
      <c r="U37" s="9">
        <v>0</v>
      </c>
    </row>
    <row r="38" spans="1:21">
      <c r="A38" s="5">
        <v>1229776</v>
      </c>
      <c r="B38" s="9">
        <v>127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270</v>
      </c>
      <c r="R38" s="9">
        <v>0</v>
      </c>
      <c r="S38" s="9">
        <v>0</v>
      </c>
      <c r="T38" s="9">
        <v>0</v>
      </c>
      <c r="U38" s="9">
        <v>0</v>
      </c>
    </row>
    <row r="39" spans="1:21">
      <c r="A39" s="5">
        <v>1225464</v>
      </c>
      <c r="B39" s="9">
        <v>0</v>
      </c>
      <c r="C39" s="9">
        <v>130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906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</row>
    <row r="40" spans="1:21">
      <c r="A40" s="5">
        <v>1232066</v>
      </c>
      <c r="B40" s="9">
        <v>80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>
      <c r="A41" s="5">
        <v>1229088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5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</row>
    <row r="42" spans="1:21">
      <c r="A42" s="5">
        <v>1232693</v>
      </c>
      <c r="B42" s="9">
        <v>675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</row>
    <row r="43" spans="1:21">
      <c r="A43" s="5">
        <v>1233025</v>
      </c>
      <c r="B43" s="9">
        <v>675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5">
        <v>1232528</v>
      </c>
      <c r="B44" s="9">
        <v>685</v>
      </c>
      <c r="C44" s="9">
        <v>539</v>
      </c>
      <c r="D44" s="9">
        <v>539</v>
      </c>
      <c r="E44" s="18">
        <v>539</v>
      </c>
      <c r="F44" s="9">
        <v>0</v>
      </c>
      <c r="G44" s="9">
        <v>0</v>
      </c>
      <c r="H44" s="9">
        <v>704</v>
      </c>
      <c r="I44" s="9">
        <v>300</v>
      </c>
      <c r="J44" s="9">
        <v>600</v>
      </c>
      <c r="K44" s="9">
        <v>1400</v>
      </c>
      <c r="L44" s="9">
        <v>2015</v>
      </c>
      <c r="M44" s="9">
        <v>0</v>
      </c>
      <c r="N44" s="9">
        <v>0</v>
      </c>
      <c r="O44" s="9">
        <v>2529</v>
      </c>
      <c r="P44" s="9">
        <v>2100</v>
      </c>
      <c r="Q44" s="9">
        <v>1909</v>
      </c>
      <c r="R44" s="9">
        <v>1342</v>
      </c>
      <c r="S44" s="9">
        <v>3495</v>
      </c>
      <c r="T44" s="9">
        <v>0</v>
      </c>
      <c r="U44" s="9">
        <v>0</v>
      </c>
    </row>
    <row r="45" spans="1:21">
      <c r="A45" s="5">
        <v>1232846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300</v>
      </c>
      <c r="I45" s="9">
        <v>200</v>
      </c>
      <c r="J45" s="9">
        <v>428</v>
      </c>
      <c r="K45" s="9">
        <v>100</v>
      </c>
      <c r="L45" s="9">
        <v>0</v>
      </c>
      <c r="M45" s="9">
        <v>0</v>
      </c>
      <c r="N45" s="9">
        <v>0</v>
      </c>
      <c r="O45" s="9">
        <v>300</v>
      </c>
      <c r="P45" s="9">
        <v>400</v>
      </c>
      <c r="Q45" s="9">
        <v>453</v>
      </c>
      <c r="R45" s="9">
        <v>0</v>
      </c>
      <c r="S45" s="9">
        <v>0</v>
      </c>
      <c r="T45" s="9">
        <v>0</v>
      </c>
      <c r="U45" s="9">
        <v>0</v>
      </c>
    </row>
    <row r="46" spans="1:21">
      <c r="A46" s="5">
        <v>1229050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141</v>
      </c>
      <c r="J46" s="9">
        <v>110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>
      <c r="A47" s="5">
        <v>1233383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218</v>
      </c>
      <c r="S47" s="9">
        <v>0</v>
      </c>
      <c r="T47" s="9">
        <v>0</v>
      </c>
      <c r="U47" s="9">
        <v>0</v>
      </c>
    </row>
    <row r="48" spans="1:21">
      <c r="A48" s="5">
        <v>1220847</v>
      </c>
      <c r="B48" s="9">
        <v>0</v>
      </c>
      <c r="C48" s="9">
        <v>0</v>
      </c>
      <c r="D48" s="9">
        <v>90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1130</v>
      </c>
      <c r="P48" s="9">
        <v>30</v>
      </c>
      <c r="Q48" s="9">
        <v>0</v>
      </c>
      <c r="R48" s="9">
        <v>0</v>
      </c>
      <c r="S48" s="9">
        <v>4330</v>
      </c>
      <c r="T48" s="9">
        <v>0</v>
      </c>
      <c r="U48" s="9">
        <v>0</v>
      </c>
    </row>
    <row r="49" spans="1:21">
      <c r="A49" s="5">
        <v>1234217</v>
      </c>
      <c r="B49" s="9">
        <v>50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>
      <c r="A50" s="5">
        <v>1234111</v>
      </c>
      <c r="B50" s="9">
        <v>50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5">
        <v>1234110</v>
      </c>
      <c r="B51" s="9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5">
        <v>1235958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1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5">
        <v>1236600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1</v>
      </c>
      <c r="I53" s="9">
        <v>0</v>
      </c>
      <c r="J53" s="9">
        <v>55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5">
        <v>1236619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90</v>
      </c>
      <c r="R54" s="9">
        <v>0</v>
      </c>
      <c r="S54" s="9">
        <v>0</v>
      </c>
      <c r="T54" s="9">
        <v>0</v>
      </c>
      <c r="U54" s="9">
        <v>0</v>
      </c>
    </row>
    <row r="55" spans="1:21" s="20" customFormat="1">
      <c r="A55" s="20">
        <v>1236930</v>
      </c>
      <c r="B55" s="10">
        <v>615</v>
      </c>
      <c r="C55" s="10">
        <v>200</v>
      </c>
      <c r="D55" s="10">
        <v>0</v>
      </c>
      <c r="E55" s="10">
        <v>0</v>
      </c>
      <c r="F55" s="10">
        <v>0</v>
      </c>
      <c r="G55" s="10">
        <v>0</v>
      </c>
      <c r="H55" s="63">
        <v>307</v>
      </c>
      <c r="I55" s="10">
        <v>110</v>
      </c>
      <c r="J55" s="10">
        <v>270</v>
      </c>
      <c r="K55" s="10">
        <v>348</v>
      </c>
      <c r="L55" s="10">
        <v>288</v>
      </c>
      <c r="M55" s="10">
        <v>0</v>
      </c>
      <c r="N55" s="10">
        <v>0</v>
      </c>
      <c r="O55" s="10">
        <v>834</v>
      </c>
      <c r="P55" s="10">
        <v>518</v>
      </c>
      <c r="Q55" s="10">
        <v>300</v>
      </c>
      <c r="R55" s="10">
        <v>300</v>
      </c>
      <c r="S55" s="10">
        <v>672</v>
      </c>
      <c r="T55" s="10">
        <v>0</v>
      </c>
      <c r="U55" s="10">
        <v>0</v>
      </c>
    </row>
    <row r="56" spans="1:21">
      <c r="A56" s="5">
        <v>1237468</v>
      </c>
      <c r="B56" s="9">
        <v>38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390</v>
      </c>
      <c r="Q56" s="9">
        <v>98</v>
      </c>
      <c r="R56" s="9">
        <v>0</v>
      </c>
      <c r="S56" s="9">
        <v>0</v>
      </c>
      <c r="T56" s="9">
        <v>0</v>
      </c>
      <c r="U56" s="9">
        <v>0</v>
      </c>
    </row>
    <row r="57" spans="1:21">
      <c r="A57" s="5">
        <v>1237210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140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160</v>
      </c>
      <c r="T57" s="9">
        <v>0</v>
      </c>
      <c r="U57" s="9">
        <v>0</v>
      </c>
    </row>
    <row r="58" spans="1:21">
      <c r="A58" s="5">
        <v>1237457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18</v>
      </c>
      <c r="T58" s="9">
        <v>0</v>
      </c>
      <c r="U58" s="9">
        <v>0</v>
      </c>
    </row>
    <row r="59" spans="1:21">
      <c r="A59" s="5">
        <v>1237386</v>
      </c>
      <c r="B59" s="9">
        <v>0</v>
      </c>
      <c r="C59" s="9">
        <v>22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150</v>
      </c>
      <c r="R59" s="9">
        <v>0</v>
      </c>
      <c r="S59" s="9">
        <v>0</v>
      </c>
      <c r="T59" s="9">
        <v>0</v>
      </c>
      <c r="U59" s="9">
        <v>0</v>
      </c>
    </row>
    <row r="60" spans="1:21">
      <c r="A60" s="5">
        <v>1234905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500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>
      <c r="A61" s="5">
        <v>1238480</v>
      </c>
      <c r="B61" s="9">
        <v>1163</v>
      </c>
      <c r="C61" s="9">
        <v>1172</v>
      </c>
      <c r="D61" s="9">
        <v>924</v>
      </c>
      <c r="E61" s="18">
        <v>1015</v>
      </c>
      <c r="F61" s="9">
        <v>0</v>
      </c>
      <c r="G61" s="9">
        <v>0</v>
      </c>
      <c r="H61" s="9">
        <v>1100</v>
      </c>
      <c r="I61" s="9">
        <v>472</v>
      </c>
      <c r="J61" s="9">
        <v>873</v>
      </c>
      <c r="K61" s="9">
        <v>1833</v>
      </c>
      <c r="L61" s="9">
        <v>679</v>
      </c>
      <c r="M61" s="9">
        <v>0</v>
      </c>
      <c r="N61" s="9">
        <v>0</v>
      </c>
      <c r="O61" s="9">
        <v>1088</v>
      </c>
      <c r="P61" s="9">
        <v>450</v>
      </c>
      <c r="Q61" s="9">
        <v>348</v>
      </c>
      <c r="R61" s="9">
        <v>450</v>
      </c>
      <c r="S61" s="9">
        <v>732</v>
      </c>
      <c r="T61" s="9">
        <v>0</v>
      </c>
      <c r="U61" s="9">
        <v>0</v>
      </c>
    </row>
    <row r="62" spans="1:21">
      <c r="A62" s="5">
        <v>1238453</v>
      </c>
      <c r="B62" s="9">
        <v>0</v>
      </c>
      <c r="C62" s="9">
        <v>229</v>
      </c>
      <c r="D62" s="9">
        <v>264</v>
      </c>
      <c r="E62" s="18">
        <v>137</v>
      </c>
      <c r="F62" s="9">
        <v>0</v>
      </c>
      <c r="G62" s="9">
        <v>0</v>
      </c>
      <c r="H62" s="9">
        <v>11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5">
        <v>1232775</v>
      </c>
      <c r="B63" s="9">
        <v>0</v>
      </c>
      <c r="C63" s="9">
        <v>0</v>
      </c>
      <c r="D63" s="9">
        <v>0</v>
      </c>
      <c r="E63" s="18">
        <v>183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316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5">
        <v>1216452</v>
      </c>
      <c r="B64" s="9">
        <v>0</v>
      </c>
      <c r="C64" s="9">
        <v>46</v>
      </c>
      <c r="D64" s="18">
        <v>805</v>
      </c>
      <c r="E64" s="9">
        <v>21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860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>
      <c r="A65" s="5">
        <v>1232894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300</v>
      </c>
      <c r="I65" s="9">
        <v>200</v>
      </c>
      <c r="J65" s="9">
        <v>428</v>
      </c>
      <c r="K65" s="9">
        <v>100</v>
      </c>
      <c r="L65" s="9">
        <v>0</v>
      </c>
      <c r="M65" s="9">
        <v>0</v>
      </c>
      <c r="N65" s="9">
        <v>0</v>
      </c>
      <c r="O65" s="9">
        <v>300</v>
      </c>
      <c r="P65" s="9">
        <v>400</v>
      </c>
      <c r="Q65" s="9">
        <v>453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5">
        <v>1233387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300</v>
      </c>
      <c r="I66" s="9">
        <v>200</v>
      </c>
      <c r="J66" s="9">
        <v>428</v>
      </c>
      <c r="K66" s="9">
        <v>100</v>
      </c>
      <c r="L66" s="9">
        <v>0</v>
      </c>
      <c r="M66" s="9">
        <v>0</v>
      </c>
      <c r="N66" s="9">
        <v>0</v>
      </c>
      <c r="O66" s="9">
        <v>300</v>
      </c>
      <c r="P66" s="9">
        <v>400</v>
      </c>
      <c r="Q66" s="9">
        <v>200</v>
      </c>
      <c r="R66" s="9">
        <v>0</v>
      </c>
      <c r="S66" s="9">
        <v>0</v>
      </c>
      <c r="T66" s="9">
        <v>0</v>
      </c>
      <c r="U66" s="9">
        <v>0</v>
      </c>
    </row>
    <row r="67" spans="1:21">
      <c r="A67" s="5">
        <v>1233385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253</v>
      </c>
      <c r="R67" s="9">
        <v>0</v>
      </c>
      <c r="S67" s="9">
        <v>0</v>
      </c>
      <c r="T67" s="9">
        <v>0</v>
      </c>
      <c r="U67" s="9">
        <v>0</v>
      </c>
    </row>
    <row r="68" spans="1:21">
      <c r="A68" s="5">
        <v>1238092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144</v>
      </c>
      <c r="T68" s="9">
        <v>0</v>
      </c>
      <c r="U68" s="9">
        <v>0</v>
      </c>
    </row>
  </sheetData>
  <autoFilter ref="A1:U21" xr:uid="{2FEEDD63-F705-45B2-BB84-ED638EF41FCE}"/>
  <phoneticPr fontId="1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6227-993E-4732-9324-55BA6C755559}">
  <dimension ref="A1:X61"/>
  <sheetViews>
    <sheetView topLeftCell="A13" zoomScale="130" zoomScaleNormal="130" workbookViewId="0">
      <selection activeCell="M21" sqref="M21"/>
    </sheetView>
  </sheetViews>
  <sheetFormatPr defaultRowHeight="11.25"/>
  <cols>
    <col min="1" max="1" width="9.1640625" style="13"/>
    <col min="2" max="2" width="9.1640625" style="14"/>
    <col min="3" max="19" width="9.1640625" style="14" customWidth="1"/>
    <col min="20" max="24" width="9.1640625" style="14"/>
  </cols>
  <sheetData>
    <row r="1" spans="1:20">
      <c r="A1" s="25" t="s">
        <v>0</v>
      </c>
      <c r="B1" s="14" t="s">
        <v>1091</v>
      </c>
      <c r="C1" s="14" t="s">
        <v>1092</v>
      </c>
      <c r="D1" s="14" t="s">
        <v>1093</v>
      </c>
      <c r="E1" s="14" t="s">
        <v>1094</v>
      </c>
      <c r="F1" s="14" t="s">
        <v>1095</v>
      </c>
      <c r="G1" s="16" t="s">
        <v>1096</v>
      </c>
      <c r="H1" s="14" t="s">
        <v>1097</v>
      </c>
      <c r="I1" s="14" t="s">
        <v>1098</v>
      </c>
      <c r="J1" s="14" t="s">
        <v>1099</v>
      </c>
      <c r="K1" s="14" t="s">
        <v>1100</v>
      </c>
      <c r="L1" s="14" t="s">
        <v>1101</v>
      </c>
      <c r="M1" s="14" t="s">
        <v>1102</v>
      </c>
      <c r="N1" s="14" t="s">
        <v>1103</v>
      </c>
      <c r="O1" s="14" t="s">
        <v>1104</v>
      </c>
      <c r="P1" s="14" t="s">
        <v>1105</v>
      </c>
      <c r="Q1" s="14" t="s">
        <v>1106</v>
      </c>
      <c r="R1" s="14" t="s">
        <v>1107</v>
      </c>
      <c r="S1" s="14" t="s">
        <v>1108</v>
      </c>
      <c r="T1" s="14" t="s">
        <v>1109</v>
      </c>
    </row>
    <row r="2" spans="1:20">
      <c r="A2" s="13">
        <v>1234614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6">
        <v>24</v>
      </c>
      <c r="H2" s="14">
        <v>276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</row>
    <row r="3" spans="1:20">
      <c r="A3" s="13">
        <v>1229673</v>
      </c>
      <c r="B3" s="14">
        <v>200</v>
      </c>
      <c r="C3" s="14">
        <v>300</v>
      </c>
      <c r="D3" s="14">
        <v>200</v>
      </c>
      <c r="E3" s="14">
        <v>0</v>
      </c>
      <c r="F3" s="14">
        <v>0</v>
      </c>
      <c r="G3" s="16">
        <v>300</v>
      </c>
      <c r="H3" s="14">
        <v>0</v>
      </c>
      <c r="I3" s="14">
        <v>0</v>
      </c>
      <c r="J3" s="14">
        <v>252</v>
      </c>
      <c r="K3" s="14">
        <v>0</v>
      </c>
      <c r="L3" s="14">
        <v>0</v>
      </c>
      <c r="M3" s="14">
        <v>0</v>
      </c>
      <c r="N3" s="14">
        <v>250</v>
      </c>
      <c r="O3" s="14">
        <v>250</v>
      </c>
      <c r="P3" s="14">
        <v>250</v>
      </c>
      <c r="Q3" s="14">
        <v>250</v>
      </c>
      <c r="R3" s="14">
        <v>300</v>
      </c>
      <c r="S3" s="14">
        <v>0</v>
      </c>
      <c r="T3" s="14">
        <v>0</v>
      </c>
    </row>
    <row r="4" spans="1:20">
      <c r="A4" s="13">
        <v>1230854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200</v>
      </c>
      <c r="R4" s="14">
        <v>0</v>
      </c>
      <c r="S4" s="14">
        <v>0</v>
      </c>
      <c r="T4" s="14">
        <v>0</v>
      </c>
    </row>
    <row r="5" spans="1:20">
      <c r="A5" s="13">
        <v>1233492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356</v>
      </c>
      <c r="I5" s="14">
        <v>144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</row>
    <row r="6" spans="1:20">
      <c r="A6" s="13">
        <v>1233498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356</v>
      </c>
      <c r="I6" s="14">
        <v>144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</row>
    <row r="7" spans="1:20">
      <c r="A7" s="13">
        <v>1233623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356</v>
      </c>
      <c r="I7" s="14">
        <v>144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</row>
    <row r="8" spans="1:20">
      <c r="A8" s="13">
        <v>1235623</v>
      </c>
      <c r="B8" s="14">
        <v>0</v>
      </c>
      <c r="C8" s="14">
        <v>0</v>
      </c>
      <c r="D8" s="14">
        <v>52</v>
      </c>
      <c r="E8" s="14">
        <v>0</v>
      </c>
      <c r="F8" s="14">
        <v>0</v>
      </c>
      <c r="G8" s="16">
        <v>884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</row>
    <row r="9" spans="1:20">
      <c r="A9" s="13">
        <v>1237088</v>
      </c>
      <c r="B9" s="14">
        <v>260</v>
      </c>
      <c r="C9" s="14">
        <v>322</v>
      </c>
      <c r="D9" s="14">
        <v>232</v>
      </c>
      <c r="E9" s="14">
        <v>0</v>
      </c>
      <c r="F9" s="14">
        <v>0</v>
      </c>
      <c r="G9" s="16">
        <v>736</v>
      </c>
      <c r="H9" s="14">
        <v>816</v>
      </c>
      <c r="I9" s="14">
        <v>788</v>
      </c>
      <c r="J9" s="14">
        <v>202</v>
      </c>
      <c r="K9" s="14">
        <v>870</v>
      </c>
      <c r="L9" s="14">
        <v>0</v>
      </c>
      <c r="M9" s="14">
        <v>0</v>
      </c>
      <c r="N9" s="14">
        <v>650</v>
      </c>
      <c r="O9" s="14">
        <v>804</v>
      </c>
      <c r="P9" s="14">
        <v>518</v>
      </c>
      <c r="Q9" s="14">
        <v>746</v>
      </c>
      <c r="R9" s="14">
        <v>418</v>
      </c>
      <c r="S9" s="14">
        <v>0</v>
      </c>
      <c r="T9" s="14">
        <v>0</v>
      </c>
    </row>
    <row r="10" spans="1:20">
      <c r="A10" s="13">
        <v>1237748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312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</row>
    <row r="11" spans="1:20">
      <c r="A11" s="13">
        <v>1236091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200</v>
      </c>
      <c r="Q11" s="14">
        <v>0</v>
      </c>
      <c r="R11" s="14">
        <v>0</v>
      </c>
      <c r="S11" s="14">
        <v>0</v>
      </c>
      <c r="T11" s="14">
        <v>0</v>
      </c>
    </row>
    <row r="12" spans="1:20">
      <c r="A12" s="13">
        <v>1238128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30</v>
      </c>
      <c r="J12" s="14">
        <v>464</v>
      </c>
      <c r="K12" s="14">
        <v>464</v>
      </c>
      <c r="L12" s="14">
        <v>0</v>
      </c>
      <c r="M12" s="14">
        <v>0</v>
      </c>
      <c r="N12" s="14">
        <v>590</v>
      </c>
      <c r="O12" s="14">
        <v>70</v>
      </c>
      <c r="P12" s="14">
        <v>244</v>
      </c>
      <c r="Q12" s="14">
        <v>32</v>
      </c>
      <c r="R12" s="14">
        <v>378</v>
      </c>
      <c r="S12" s="14">
        <v>0</v>
      </c>
      <c r="T12" s="14">
        <v>0</v>
      </c>
    </row>
    <row r="13" spans="1:20">
      <c r="A13" s="13">
        <v>1236962</v>
      </c>
      <c r="B13" s="14">
        <v>200</v>
      </c>
      <c r="C13" s="14">
        <v>200</v>
      </c>
      <c r="D13" s="14">
        <v>200</v>
      </c>
      <c r="E13" s="14">
        <v>0</v>
      </c>
      <c r="F13" s="14">
        <v>0</v>
      </c>
      <c r="G13" s="16">
        <v>200</v>
      </c>
      <c r="H13" s="14">
        <v>200</v>
      </c>
      <c r="I13" s="14">
        <v>300</v>
      </c>
      <c r="J13" s="14">
        <v>300</v>
      </c>
      <c r="K13" s="14">
        <v>200</v>
      </c>
      <c r="L13" s="14">
        <v>0</v>
      </c>
      <c r="M13" s="14">
        <v>0</v>
      </c>
      <c r="N13" s="14">
        <v>0</v>
      </c>
      <c r="O13" s="14">
        <v>200</v>
      </c>
      <c r="P13" s="14">
        <v>200</v>
      </c>
      <c r="Q13" s="14">
        <v>300</v>
      </c>
      <c r="R13" s="14">
        <v>0</v>
      </c>
      <c r="S13" s="14">
        <v>0</v>
      </c>
      <c r="T13" s="14">
        <v>0</v>
      </c>
    </row>
    <row r="14" spans="1:20">
      <c r="A14" s="13">
        <v>1233761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200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</row>
    <row r="15" spans="1:20">
      <c r="A15" s="13">
        <v>1239651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6">
        <v>200</v>
      </c>
      <c r="H15" s="14">
        <v>300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400</v>
      </c>
      <c r="S15" s="14">
        <v>0</v>
      </c>
      <c r="T15" s="14">
        <v>0</v>
      </c>
    </row>
    <row r="16" spans="1:20">
      <c r="A16" s="13">
        <v>1239988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330</v>
      </c>
      <c r="K16" s="14">
        <v>400</v>
      </c>
      <c r="L16" s="14">
        <v>0</v>
      </c>
      <c r="M16" s="14">
        <v>0</v>
      </c>
      <c r="N16" s="14">
        <v>50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>
      <c r="A17" s="13">
        <v>1240180</v>
      </c>
      <c r="B17" s="14">
        <v>164</v>
      </c>
      <c r="C17" s="14">
        <v>334</v>
      </c>
      <c r="D17" s="14">
        <v>316</v>
      </c>
      <c r="E17" s="14">
        <v>0</v>
      </c>
      <c r="F17" s="14">
        <v>0</v>
      </c>
      <c r="G17" s="16">
        <v>426</v>
      </c>
      <c r="H17" s="14">
        <v>426</v>
      </c>
      <c r="I17" s="14">
        <v>334</v>
      </c>
      <c r="J17" s="14">
        <v>216</v>
      </c>
      <c r="K17" s="14">
        <v>322</v>
      </c>
      <c r="L17" s="14">
        <v>0</v>
      </c>
      <c r="M17" s="14">
        <v>0</v>
      </c>
      <c r="N17" s="14">
        <v>294</v>
      </c>
      <c r="O17" s="14">
        <v>0</v>
      </c>
      <c r="P17" s="14">
        <v>124</v>
      </c>
      <c r="Q17" s="14">
        <v>390</v>
      </c>
      <c r="R17" s="14">
        <v>306</v>
      </c>
      <c r="S17" s="14">
        <v>0</v>
      </c>
      <c r="T17" s="14">
        <v>0</v>
      </c>
    </row>
    <row r="18" spans="1:20">
      <c r="A18" s="13">
        <v>1240184</v>
      </c>
      <c r="B18" s="14">
        <v>164</v>
      </c>
      <c r="C18" s="14">
        <v>334</v>
      </c>
      <c r="D18" s="14">
        <v>316</v>
      </c>
      <c r="E18" s="14">
        <v>0</v>
      </c>
      <c r="F18" s="14">
        <v>0</v>
      </c>
      <c r="G18" s="16">
        <v>426</v>
      </c>
      <c r="H18" s="14">
        <v>426</v>
      </c>
      <c r="I18" s="14">
        <v>334</v>
      </c>
      <c r="J18" s="14">
        <v>216</v>
      </c>
      <c r="K18" s="14">
        <v>322</v>
      </c>
      <c r="L18" s="14">
        <v>0</v>
      </c>
      <c r="M18" s="14">
        <v>0</v>
      </c>
      <c r="N18" s="14">
        <v>294</v>
      </c>
      <c r="O18" s="14">
        <v>0</v>
      </c>
      <c r="P18" s="14">
        <v>0</v>
      </c>
      <c r="Q18" s="14">
        <v>314</v>
      </c>
      <c r="R18" s="14">
        <v>306</v>
      </c>
      <c r="S18" s="14">
        <v>0</v>
      </c>
      <c r="T18" s="14">
        <v>0</v>
      </c>
    </row>
    <row r="19" spans="1:20">
      <c r="A19" s="13">
        <v>1240308</v>
      </c>
      <c r="B19" s="14">
        <v>0</v>
      </c>
      <c r="C19" s="14">
        <v>400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270</v>
      </c>
      <c r="K19" s="14">
        <v>0</v>
      </c>
      <c r="L19" s="14">
        <v>0</v>
      </c>
      <c r="M19" s="14">
        <v>0</v>
      </c>
      <c r="N19" s="14">
        <v>0</v>
      </c>
      <c r="O19" s="14">
        <v>150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</row>
    <row r="20" spans="1:20">
      <c r="A20" s="13">
        <v>1241601</v>
      </c>
      <c r="B20" s="14">
        <v>862</v>
      </c>
      <c r="C20" s="14">
        <v>2246</v>
      </c>
      <c r="D20" s="14">
        <v>1600</v>
      </c>
      <c r="E20" s="14">
        <v>0</v>
      </c>
      <c r="F20" s="14">
        <v>0</v>
      </c>
      <c r="G20" s="16">
        <v>1564</v>
      </c>
      <c r="H20" s="14">
        <v>1564</v>
      </c>
      <c r="I20" s="14">
        <v>1228</v>
      </c>
      <c r="J20" s="14">
        <v>798</v>
      </c>
      <c r="K20" s="14">
        <v>578</v>
      </c>
      <c r="L20" s="14">
        <v>0</v>
      </c>
      <c r="M20" s="14">
        <v>0</v>
      </c>
      <c r="N20" s="14">
        <v>904</v>
      </c>
      <c r="O20" s="14">
        <v>1598</v>
      </c>
      <c r="P20" s="14">
        <v>1538</v>
      </c>
      <c r="Q20" s="14">
        <v>2198</v>
      </c>
      <c r="R20" s="14">
        <v>1228</v>
      </c>
      <c r="S20" s="14">
        <v>0</v>
      </c>
      <c r="T20" s="14">
        <v>0</v>
      </c>
    </row>
    <row r="21" spans="1:20">
      <c r="A21" s="13">
        <v>1242242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200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</row>
    <row r="25" spans="1:20">
      <c r="A25" s="25" t="s">
        <v>0</v>
      </c>
      <c r="B25" s="14" t="s">
        <v>1091</v>
      </c>
      <c r="C25" s="14" t="s">
        <v>1092</v>
      </c>
      <c r="D25" s="14" t="s">
        <v>1093</v>
      </c>
      <c r="E25" s="14" t="s">
        <v>1094</v>
      </c>
      <c r="F25" s="14" t="s">
        <v>1095</v>
      </c>
      <c r="G25" s="14" t="s">
        <v>1096</v>
      </c>
      <c r="H25" s="14" t="s">
        <v>1097</v>
      </c>
      <c r="I25" s="14" t="s">
        <v>1098</v>
      </c>
      <c r="J25" s="14" t="s">
        <v>1099</v>
      </c>
      <c r="K25" s="14" t="s">
        <v>1100</v>
      </c>
      <c r="L25" s="14" t="s">
        <v>1101</v>
      </c>
      <c r="M25" s="14" t="s">
        <v>1102</v>
      </c>
      <c r="N25" s="14" t="s">
        <v>1103</v>
      </c>
      <c r="O25" s="14" t="s">
        <v>1104</v>
      </c>
      <c r="P25" s="14" t="s">
        <v>1105</v>
      </c>
      <c r="Q25" s="14" t="s">
        <v>1106</v>
      </c>
      <c r="R25" s="14" t="s">
        <v>1107</v>
      </c>
      <c r="S25" s="14" t="s">
        <v>1108</v>
      </c>
      <c r="T25" s="14" t="s">
        <v>1109</v>
      </c>
    </row>
    <row r="26" spans="1:20">
      <c r="A26" s="13">
        <v>1237608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300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</row>
    <row r="27" spans="1:20">
      <c r="A27" s="13">
        <v>1233165</v>
      </c>
      <c r="B27" s="92">
        <v>243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</row>
    <row r="28" spans="1:20">
      <c r="A28" s="13">
        <v>1236387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238</v>
      </c>
      <c r="O28" s="14">
        <v>357</v>
      </c>
      <c r="P28" s="14">
        <v>357</v>
      </c>
      <c r="Q28" s="14">
        <v>255</v>
      </c>
      <c r="R28" s="14">
        <v>0</v>
      </c>
      <c r="S28" s="14">
        <v>0</v>
      </c>
      <c r="T28" s="14">
        <v>0</v>
      </c>
    </row>
    <row r="29" spans="1:20">
      <c r="A29" s="13">
        <v>1232775</v>
      </c>
      <c r="B29" s="92">
        <v>3</v>
      </c>
      <c r="C29" s="92">
        <v>245</v>
      </c>
      <c r="D29" s="92">
        <v>245</v>
      </c>
      <c r="E29" s="14">
        <v>0</v>
      </c>
      <c r="F29" s="14">
        <v>0</v>
      </c>
      <c r="G29" s="16">
        <v>242</v>
      </c>
      <c r="H29" s="16">
        <v>242</v>
      </c>
      <c r="I29" s="16">
        <v>245</v>
      </c>
      <c r="J29" s="14">
        <v>242</v>
      </c>
      <c r="K29" s="14">
        <v>242</v>
      </c>
      <c r="L29" s="14">
        <v>0</v>
      </c>
      <c r="M29" s="14">
        <v>0</v>
      </c>
      <c r="N29" s="14">
        <v>242</v>
      </c>
      <c r="O29" s="14">
        <v>242</v>
      </c>
      <c r="P29" s="14">
        <v>242</v>
      </c>
      <c r="Q29" s="14">
        <v>245</v>
      </c>
      <c r="R29" s="14">
        <v>242</v>
      </c>
      <c r="S29" s="14">
        <v>0</v>
      </c>
      <c r="T29" s="14">
        <v>0</v>
      </c>
    </row>
    <row r="30" spans="1:20">
      <c r="A30" s="13">
        <v>1238605</v>
      </c>
      <c r="B30" s="92">
        <v>2</v>
      </c>
      <c r="C30" s="92">
        <v>190</v>
      </c>
      <c r="D30" s="92">
        <v>190</v>
      </c>
      <c r="E30" s="14">
        <v>0</v>
      </c>
      <c r="F30" s="14">
        <v>0</v>
      </c>
      <c r="G30" s="16">
        <v>192</v>
      </c>
      <c r="H30" s="16">
        <v>190</v>
      </c>
      <c r="I30" s="14">
        <v>192</v>
      </c>
      <c r="J30" s="14">
        <v>190</v>
      </c>
      <c r="K30" s="14">
        <v>190</v>
      </c>
      <c r="L30" s="14">
        <v>0</v>
      </c>
      <c r="M30" s="14">
        <v>0</v>
      </c>
      <c r="N30" s="14">
        <v>40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</row>
    <row r="34" spans="1:20">
      <c r="A34" s="25" t="s">
        <v>0</v>
      </c>
      <c r="B34" s="14" t="s">
        <v>1091</v>
      </c>
      <c r="C34" s="14" t="s">
        <v>1092</v>
      </c>
      <c r="D34" s="14" t="s">
        <v>1093</v>
      </c>
      <c r="E34" s="14" t="s">
        <v>1094</v>
      </c>
      <c r="F34" s="14" t="s">
        <v>1095</v>
      </c>
      <c r="G34" s="14" t="s">
        <v>1096</v>
      </c>
      <c r="H34" s="14" t="s">
        <v>1097</v>
      </c>
      <c r="I34" s="14" t="s">
        <v>1098</v>
      </c>
      <c r="J34" s="14" t="s">
        <v>1099</v>
      </c>
      <c r="K34" s="14" t="s">
        <v>1100</v>
      </c>
      <c r="L34" s="14" t="s">
        <v>1101</v>
      </c>
      <c r="M34" s="14" t="s">
        <v>1102</v>
      </c>
      <c r="N34" s="14" t="s">
        <v>1103</v>
      </c>
      <c r="O34" s="14" t="s">
        <v>1104</v>
      </c>
      <c r="P34" s="14" t="s">
        <v>1105</v>
      </c>
      <c r="Q34" s="14" t="s">
        <v>1106</v>
      </c>
      <c r="R34" s="14" t="s">
        <v>1107</v>
      </c>
      <c r="S34" s="14" t="s">
        <v>1108</v>
      </c>
      <c r="T34" s="14" t="s">
        <v>1109</v>
      </c>
    </row>
    <row r="35" spans="1:20">
      <c r="A35" s="13">
        <v>1227306</v>
      </c>
      <c r="B35" s="14">
        <v>0</v>
      </c>
      <c r="C35" s="14">
        <v>108</v>
      </c>
      <c r="D35" s="14">
        <v>382</v>
      </c>
      <c r="E35" s="14">
        <v>0</v>
      </c>
      <c r="F35" s="14">
        <v>0</v>
      </c>
      <c r="G35" s="14">
        <v>383</v>
      </c>
      <c r="H35" s="16">
        <v>161</v>
      </c>
      <c r="I35" s="14">
        <v>56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300</v>
      </c>
      <c r="Q35" s="14">
        <v>400</v>
      </c>
      <c r="R35" s="14">
        <v>190</v>
      </c>
      <c r="S35" s="14">
        <v>0</v>
      </c>
      <c r="T35" s="14">
        <v>0</v>
      </c>
    </row>
    <row r="36" spans="1:20">
      <c r="A36" s="13">
        <v>1227359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1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</row>
    <row r="37" spans="1:20">
      <c r="A37" s="13">
        <v>1231090</v>
      </c>
      <c r="B37" s="14">
        <v>42</v>
      </c>
      <c r="C37" s="14">
        <v>433</v>
      </c>
      <c r="D37" s="14">
        <v>433</v>
      </c>
      <c r="E37" s="14">
        <v>0</v>
      </c>
      <c r="F37" s="14">
        <v>0</v>
      </c>
      <c r="G37" s="16">
        <v>433</v>
      </c>
      <c r="H37" s="14">
        <v>182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892</v>
      </c>
      <c r="O37" s="14">
        <v>160</v>
      </c>
      <c r="P37" s="14">
        <v>90</v>
      </c>
      <c r="Q37" s="14">
        <v>0</v>
      </c>
      <c r="R37" s="14">
        <v>570</v>
      </c>
      <c r="S37" s="14">
        <v>0</v>
      </c>
      <c r="T37" s="14">
        <v>0</v>
      </c>
    </row>
    <row r="38" spans="1:20">
      <c r="A38" s="13">
        <v>1229776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90</v>
      </c>
      <c r="Q38" s="14">
        <v>0</v>
      </c>
      <c r="R38" s="14">
        <v>0</v>
      </c>
      <c r="S38" s="14">
        <v>0</v>
      </c>
      <c r="T38" s="14">
        <v>0</v>
      </c>
    </row>
    <row r="39" spans="1:20">
      <c r="A39" s="13">
        <v>1225464</v>
      </c>
      <c r="B39" s="14">
        <v>130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273</v>
      </c>
      <c r="O39" s="14">
        <v>633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</row>
    <row r="40" spans="1:20">
      <c r="A40" s="13">
        <v>1229088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5</v>
      </c>
      <c r="R40" s="14">
        <v>0</v>
      </c>
      <c r="S40" s="14">
        <v>0</v>
      </c>
      <c r="T40" s="14">
        <v>0</v>
      </c>
    </row>
    <row r="41" spans="1:20">
      <c r="A41" s="13">
        <v>1232528</v>
      </c>
      <c r="B41" s="14">
        <v>539</v>
      </c>
      <c r="C41" s="14">
        <v>539</v>
      </c>
      <c r="D41" s="14">
        <v>539</v>
      </c>
      <c r="E41" s="14">
        <v>0</v>
      </c>
      <c r="F41" s="14">
        <v>0</v>
      </c>
      <c r="G41" s="16">
        <v>526</v>
      </c>
      <c r="H41" s="14">
        <v>227</v>
      </c>
      <c r="I41" s="14">
        <v>718</v>
      </c>
      <c r="J41" s="14">
        <v>1372</v>
      </c>
      <c r="K41" s="14">
        <v>1078</v>
      </c>
      <c r="L41" s="14">
        <v>0</v>
      </c>
      <c r="M41" s="14">
        <v>0</v>
      </c>
      <c r="N41" s="14">
        <v>1475</v>
      </c>
      <c r="O41" s="14">
        <v>1200</v>
      </c>
      <c r="P41" s="14">
        <v>1150</v>
      </c>
      <c r="Q41" s="14">
        <v>1100</v>
      </c>
      <c r="R41" s="14">
        <v>3285</v>
      </c>
      <c r="S41" s="14">
        <v>0</v>
      </c>
      <c r="T41" s="14">
        <v>0</v>
      </c>
    </row>
    <row r="42" spans="1:20">
      <c r="A42" s="13">
        <v>1232846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280</v>
      </c>
      <c r="H42" s="14">
        <v>202</v>
      </c>
      <c r="I42" s="14">
        <v>196</v>
      </c>
      <c r="J42" s="14">
        <v>350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</row>
    <row r="43" spans="1:20">
      <c r="A43" s="13">
        <v>1229050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251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</row>
    <row r="44" spans="1:20">
      <c r="A44" s="13">
        <v>1233383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218</v>
      </c>
      <c r="Q44" s="14">
        <v>0</v>
      </c>
      <c r="R44" s="14">
        <v>0</v>
      </c>
      <c r="S44" s="14">
        <v>0</v>
      </c>
      <c r="T44" s="14">
        <v>0</v>
      </c>
    </row>
    <row r="45" spans="1:20">
      <c r="A45" s="13">
        <v>1220847</v>
      </c>
      <c r="B45" s="14">
        <v>0</v>
      </c>
      <c r="C45" s="14">
        <v>90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1142</v>
      </c>
      <c r="O45" s="14">
        <v>18</v>
      </c>
      <c r="P45" s="14">
        <v>0</v>
      </c>
      <c r="Q45" s="14">
        <v>0</v>
      </c>
      <c r="R45" s="14">
        <v>4330</v>
      </c>
      <c r="S45" s="14">
        <v>0</v>
      </c>
      <c r="T45" s="14">
        <v>0</v>
      </c>
    </row>
    <row r="46" spans="1:20">
      <c r="A46" s="13">
        <v>1235958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1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</row>
    <row r="47" spans="1:20">
      <c r="A47" s="13">
        <v>1236600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56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</row>
    <row r="48" spans="1:20">
      <c r="A48" s="13">
        <v>1236619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90</v>
      </c>
      <c r="Q48" s="14">
        <v>0</v>
      </c>
      <c r="R48" s="14">
        <v>0</v>
      </c>
      <c r="S48" s="14">
        <v>0</v>
      </c>
      <c r="T48" s="14">
        <v>0</v>
      </c>
    </row>
    <row r="49" spans="1:20">
      <c r="A49" s="13">
        <v>1236930</v>
      </c>
      <c r="B49" s="14">
        <v>200</v>
      </c>
      <c r="C49" s="14">
        <v>0</v>
      </c>
      <c r="D49" s="14">
        <v>0</v>
      </c>
      <c r="E49" s="14">
        <v>0</v>
      </c>
      <c r="F49" s="14">
        <v>0</v>
      </c>
      <c r="G49" s="14">
        <v>201</v>
      </c>
      <c r="H49" s="16">
        <v>112</v>
      </c>
      <c r="I49" s="14">
        <v>267</v>
      </c>
      <c r="J49" s="14">
        <v>339</v>
      </c>
      <c r="K49" s="14">
        <v>267</v>
      </c>
      <c r="L49" s="14">
        <v>0</v>
      </c>
      <c r="M49" s="14">
        <v>0</v>
      </c>
      <c r="N49" s="14">
        <v>701</v>
      </c>
      <c r="O49" s="14">
        <v>324</v>
      </c>
      <c r="P49" s="14">
        <v>300</v>
      </c>
      <c r="Q49" s="14">
        <v>300</v>
      </c>
      <c r="R49" s="14">
        <v>614</v>
      </c>
      <c r="S49" s="14">
        <v>0</v>
      </c>
      <c r="T49" s="14">
        <v>0</v>
      </c>
    </row>
    <row r="50" spans="1:20">
      <c r="A50" s="13">
        <v>1237468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392</v>
      </c>
      <c r="P50" s="14">
        <v>96</v>
      </c>
      <c r="Q50" s="14">
        <v>0</v>
      </c>
      <c r="R50" s="14">
        <v>0</v>
      </c>
      <c r="S50" s="14">
        <v>0</v>
      </c>
      <c r="T50" s="14">
        <v>0</v>
      </c>
    </row>
    <row r="51" spans="1:20">
      <c r="A51" s="13">
        <v>1237210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140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160</v>
      </c>
      <c r="S51" s="14">
        <v>0</v>
      </c>
      <c r="T51" s="14">
        <v>0</v>
      </c>
    </row>
    <row r="52" spans="1:20">
      <c r="A52" s="13">
        <v>1237457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18</v>
      </c>
      <c r="S52" s="14">
        <v>0</v>
      </c>
      <c r="T52" s="14">
        <v>0</v>
      </c>
    </row>
    <row r="53" spans="1:20">
      <c r="A53" s="13">
        <v>1237386</v>
      </c>
      <c r="B53" s="14">
        <v>22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</row>
    <row r="54" spans="1:20">
      <c r="A54" s="13">
        <v>1234905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500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</row>
    <row r="55" spans="1:20">
      <c r="A55" s="13">
        <v>1238480</v>
      </c>
      <c r="B55" s="14">
        <v>1172</v>
      </c>
      <c r="C55" s="14">
        <v>924</v>
      </c>
      <c r="D55" s="14">
        <v>1015</v>
      </c>
      <c r="E55" s="14">
        <v>0</v>
      </c>
      <c r="F55" s="14">
        <v>0</v>
      </c>
      <c r="G55" s="16">
        <v>964</v>
      </c>
      <c r="H55" s="14">
        <v>408</v>
      </c>
      <c r="I55" s="14">
        <v>850</v>
      </c>
      <c r="J55" s="14">
        <v>1171</v>
      </c>
      <c r="K55" s="14">
        <v>920</v>
      </c>
      <c r="L55" s="14">
        <v>0</v>
      </c>
      <c r="M55" s="14">
        <v>0</v>
      </c>
      <c r="N55" s="14">
        <v>1943</v>
      </c>
      <c r="O55" s="14">
        <v>1071</v>
      </c>
      <c r="P55" s="14">
        <v>698</v>
      </c>
      <c r="Q55" s="14">
        <v>1336</v>
      </c>
      <c r="R55" s="14">
        <v>1395</v>
      </c>
      <c r="S55" s="14">
        <v>0</v>
      </c>
      <c r="T55" s="14">
        <v>0</v>
      </c>
    </row>
    <row r="56" spans="1:20">
      <c r="A56" s="13">
        <v>1238453</v>
      </c>
      <c r="B56" s="14">
        <v>229</v>
      </c>
      <c r="C56" s="14">
        <v>264</v>
      </c>
      <c r="D56" s="14">
        <v>137</v>
      </c>
      <c r="E56" s="14">
        <v>0</v>
      </c>
      <c r="F56" s="14">
        <v>0</v>
      </c>
      <c r="G56" s="16">
        <v>11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</row>
    <row r="57" spans="1:20">
      <c r="A57" s="13">
        <v>1232775</v>
      </c>
      <c r="B57" s="14">
        <v>0</v>
      </c>
      <c r="C57" s="14">
        <v>0</v>
      </c>
      <c r="D57" s="14">
        <v>183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316</v>
      </c>
      <c r="Q57" s="14">
        <v>0</v>
      </c>
      <c r="R57" s="14">
        <v>0</v>
      </c>
      <c r="S57" s="14">
        <v>0</v>
      </c>
      <c r="T57" s="14">
        <v>0</v>
      </c>
    </row>
    <row r="58" spans="1:20">
      <c r="A58" s="13">
        <v>1216452</v>
      </c>
      <c r="B58" s="14">
        <v>46</v>
      </c>
      <c r="C58" s="14">
        <v>805</v>
      </c>
      <c r="D58" s="16">
        <v>21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499</v>
      </c>
      <c r="L58" s="14">
        <v>0</v>
      </c>
      <c r="M58" s="14">
        <v>0</v>
      </c>
      <c r="N58" s="14">
        <v>0</v>
      </c>
      <c r="O58" s="14">
        <v>300</v>
      </c>
      <c r="P58" s="14">
        <v>61</v>
      </c>
      <c r="Q58" s="14">
        <v>0</v>
      </c>
      <c r="R58" s="14">
        <v>0</v>
      </c>
      <c r="S58" s="14">
        <v>0</v>
      </c>
      <c r="T58" s="14">
        <v>0</v>
      </c>
    </row>
    <row r="59" spans="1:20">
      <c r="A59" s="13">
        <v>1232894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280</v>
      </c>
      <c r="H59" s="14">
        <v>202</v>
      </c>
      <c r="I59" s="14">
        <v>196</v>
      </c>
      <c r="J59" s="14">
        <v>350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</row>
    <row r="60" spans="1:20">
      <c r="A60" s="13">
        <v>1233387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280</v>
      </c>
      <c r="H60" s="14">
        <v>202</v>
      </c>
      <c r="I60" s="14">
        <v>196</v>
      </c>
      <c r="J60" s="14">
        <v>350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</row>
    <row r="61" spans="1:20">
      <c r="A61" s="13">
        <v>1238092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144</v>
      </c>
      <c r="S61" s="14">
        <v>0</v>
      </c>
      <c r="T61" s="14">
        <v>0</v>
      </c>
    </row>
  </sheetData>
  <autoFilter ref="A1:T21" xr:uid="{BB666227-993E-4732-9324-55BA6C755559}"/>
  <phoneticPr fontId="1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213B-E652-46E9-9B59-27FED797CC94}">
  <sheetPr>
    <tabColor rgb="FFFFFF00"/>
  </sheetPr>
  <dimension ref="A1:T100"/>
  <sheetViews>
    <sheetView topLeftCell="A41" zoomScaleNormal="100" workbookViewId="0">
      <selection activeCell="O85" sqref="O85"/>
    </sheetView>
  </sheetViews>
  <sheetFormatPr defaultColWidth="9.1640625" defaultRowHeight="12"/>
  <cols>
    <col min="1" max="1" width="9.1640625" style="5"/>
    <col min="2" max="2" width="9.1640625" style="244"/>
    <col min="3" max="12" width="11.5" style="9" customWidth="1"/>
    <col min="13" max="14" width="9.1640625" style="9"/>
    <col min="15" max="15" width="9.1640625" style="5"/>
    <col min="16" max="16" width="9.1640625" style="9"/>
    <col min="17" max="16384" width="9.1640625" style="5"/>
  </cols>
  <sheetData>
    <row r="1" spans="1:16" s="243" customFormat="1">
      <c r="A1" s="304"/>
      <c r="B1" s="304" t="s">
        <v>0</v>
      </c>
      <c r="C1" s="114" t="s">
        <v>796</v>
      </c>
      <c r="D1" s="114" t="s">
        <v>823</v>
      </c>
      <c r="E1" s="114" t="s">
        <v>847</v>
      </c>
      <c r="F1" s="114" t="s">
        <v>876</v>
      </c>
      <c r="G1" s="114" t="s">
        <v>902</v>
      </c>
      <c r="H1" s="114" t="s">
        <v>927</v>
      </c>
      <c r="I1" s="114" t="s">
        <v>939</v>
      </c>
      <c r="J1" s="114" t="s">
        <v>997</v>
      </c>
      <c r="K1" s="114" t="s">
        <v>1045</v>
      </c>
      <c r="L1" s="114" t="s">
        <v>1089</v>
      </c>
      <c r="M1" s="242"/>
      <c r="N1" s="242"/>
      <c r="P1" s="242"/>
    </row>
    <row r="2" spans="1:16" s="243" customFormat="1">
      <c r="A2" s="305"/>
      <c r="B2" s="306"/>
      <c r="C2" s="60" t="s">
        <v>797</v>
      </c>
      <c r="D2" s="60" t="s">
        <v>824</v>
      </c>
      <c r="E2" s="60" t="s">
        <v>848</v>
      </c>
      <c r="F2" s="60" t="s">
        <v>877</v>
      </c>
      <c r="G2" s="60" t="s">
        <v>903</v>
      </c>
      <c r="H2" s="60" t="s">
        <v>928</v>
      </c>
      <c r="I2" s="60" t="s">
        <v>998</v>
      </c>
      <c r="J2" s="60" t="s">
        <v>999</v>
      </c>
      <c r="K2" s="60" t="s">
        <v>1046</v>
      </c>
      <c r="L2" s="60" t="s">
        <v>1090</v>
      </c>
      <c r="M2" s="242"/>
      <c r="N2" s="242"/>
      <c r="P2" s="242"/>
    </row>
    <row r="3" spans="1:16">
      <c r="B3" s="5">
        <v>1226384</v>
      </c>
      <c r="C3" s="9">
        <v>0</v>
      </c>
      <c r="D3" s="9">
        <v>826</v>
      </c>
      <c r="E3" s="9">
        <v>0</v>
      </c>
      <c r="F3" s="9">
        <v>0</v>
      </c>
      <c r="G3" s="9">
        <v>505</v>
      </c>
      <c r="H3" s="9">
        <v>0</v>
      </c>
      <c r="I3" s="9">
        <v>1037</v>
      </c>
      <c r="J3" s="9">
        <v>0</v>
      </c>
      <c r="K3" s="9">
        <v>0</v>
      </c>
      <c r="L3" s="9">
        <v>0</v>
      </c>
    </row>
    <row r="4" spans="1:16">
      <c r="B4" s="5">
        <v>1226388</v>
      </c>
      <c r="C4" s="9">
        <v>0</v>
      </c>
      <c r="D4" s="9">
        <v>826</v>
      </c>
      <c r="E4" s="9">
        <v>0</v>
      </c>
      <c r="F4" s="9">
        <v>0</v>
      </c>
      <c r="G4" s="9">
        <v>505</v>
      </c>
      <c r="H4" s="9">
        <v>0</v>
      </c>
      <c r="I4" s="9">
        <v>1037</v>
      </c>
      <c r="J4" s="9">
        <v>0</v>
      </c>
      <c r="K4" s="9">
        <v>0</v>
      </c>
      <c r="L4" s="9">
        <v>0</v>
      </c>
    </row>
    <row r="5" spans="1:16">
      <c r="B5" s="5">
        <v>1229673</v>
      </c>
      <c r="C5" s="9">
        <v>1500</v>
      </c>
      <c r="D5" s="9">
        <v>1300</v>
      </c>
      <c r="E5" s="9">
        <v>0</v>
      </c>
      <c r="F5" s="9">
        <v>800</v>
      </c>
      <c r="G5" s="9">
        <v>800</v>
      </c>
      <c r="H5" s="9">
        <v>800</v>
      </c>
      <c r="I5" s="9">
        <v>0</v>
      </c>
      <c r="J5" s="9">
        <v>800</v>
      </c>
      <c r="K5" s="9">
        <v>800</v>
      </c>
      <c r="L5" s="9">
        <v>800</v>
      </c>
    </row>
    <row r="6" spans="1:16">
      <c r="B6" s="5">
        <v>1230692</v>
      </c>
      <c r="C6" s="9">
        <v>0</v>
      </c>
      <c r="D6" s="9">
        <v>2052</v>
      </c>
      <c r="E6" s="9">
        <v>1464</v>
      </c>
      <c r="F6" s="9">
        <v>700</v>
      </c>
      <c r="G6" s="9">
        <v>600</v>
      </c>
      <c r="H6" s="9">
        <v>600</v>
      </c>
      <c r="I6" s="9">
        <v>600</v>
      </c>
      <c r="J6" s="9">
        <v>900</v>
      </c>
      <c r="K6" s="9">
        <v>900</v>
      </c>
      <c r="L6" s="9">
        <v>900</v>
      </c>
    </row>
    <row r="7" spans="1:16">
      <c r="B7" s="5">
        <v>1230696</v>
      </c>
      <c r="C7" s="9">
        <v>108</v>
      </c>
      <c r="D7" s="9">
        <v>0</v>
      </c>
      <c r="E7" s="9">
        <v>184</v>
      </c>
      <c r="F7" s="9">
        <v>100</v>
      </c>
      <c r="G7" s="9">
        <v>200</v>
      </c>
      <c r="H7" s="9">
        <v>100</v>
      </c>
      <c r="I7" s="9">
        <v>100</v>
      </c>
      <c r="J7" s="9">
        <v>200</v>
      </c>
      <c r="K7" s="9">
        <v>200</v>
      </c>
      <c r="L7" s="9">
        <v>200</v>
      </c>
    </row>
    <row r="8" spans="1:16">
      <c r="B8" s="5">
        <v>1230854</v>
      </c>
      <c r="C8" s="9">
        <v>100</v>
      </c>
      <c r="D8" s="9">
        <v>0</v>
      </c>
      <c r="E8" s="9">
        <v>0</v>
      </c>
      <c r="F8" s="9">
        <v>200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100</v>
      </c>
    </row>
    <row r="9" spans="1:16">
      <c r="B9" s="5">
        <v>1231202</v>
      </c>
      <c r="C9" s="9">
        <v>0</v>
      </c>
      <c r="D9" s="9">
        <v>0</v>
      </c>
      <c r="E9" s="9">
        <v>0</v>
      </c>
      <c r="F9" s="9">
        <v>0</v>
      </c>
      <c r="G9" s="9">
        <v>100</v>
      </c>
      <c r="H9" s="9">
        <v>0</v>
      </c>
      <c r="I9" s="9">
        <v>0</v>
      </c>
      <c r="J9" s="9">
        <v>0</v>
      </c>
      <c r="K9" s="9">
        <v>0</v>
      </c>
      <c r="L9" s="9">
        <v>0</v>
      </c>
    </row>
    <row r="10" spans="1:16">
      <c r="B10" s="5">
        <v>1231898</v>
      </c>
      <c r="C10" s="9">
        <v>1792</v>
      </c>
      <c r="D10" s="9">
        <v>448</v>
      </c>
      <c r="E10" s="9">
        <v>0</v>
      </c>
      <c r="F10" s="9">
        <v>1792</v>
      </c>
      <c r="G10" s="9">
        <v>1344</v>
      </c>
      <c r="H10" s="9">
        <v>1344</v>
      </c>
      <c r="I10" s="9">
        <v>448</v>
      </c>
      <c r="J10" s="9">
        <v>1304</v>
      </c>
      <c r="K10" s="9">
        <v>2240</v>
      </c>
      <c r="L10" s="9">
        <v>896</v>
      </c>
    </row>
    <row r="11" spans="1:16">
      <c r="B11" s="5">
        <v>1233492</v>
      </c>
      <c r="C11" s="9">
        <v>0</v>
      </c>
      <c r="D11" s="9">
        <v>0</v>
      </c>
      <c r="E11" s="9">
        <v>0</v>
      </c>
      <c r="F11" s="9">
        <v>500</v>
      </c>
      <c r="G11" s="9">
        <v>500</v>
      </c>
      <c r="H11" s="9">
        <v>0</v>
      </c>
      <c r="I11" s="9">
        <v>0</v>
      </c>
      <c r="J11" s="9">
        <v>500</v>
      </c>
      <c r="K11" s="9">
        <v>500</v>
      </c>
      <c r="L11" s="9">
        <v>500</v>
      </c>
    </row>
    <row r="12" spans="1:16">
      <c r="B12" s="5">
        <v>1233498</v>
      </c>
      <c r="C12" s="9">
        <v>0</v>
      </c>
      <c r="D12" s="9">
        <v>0</v>
      </c>
      <c r="E12" s="9">
        <v>0</v>
      </c>
      <c r="F12" s="9">
        <v>500</v>
      </c>
      <c r="G12" s="9">
        <v>500</v>
      </c>
      <c r="H12" s="9">
        <v>0</v>
      </c>
      <c r="I12" s="9">
        <v>0</v>
      </c>
      <c r="J12" s="9">
        <v>500</v>
      </c>
      <c r="K12" s="9">
        <v>500</v>
      </c>
      <c r="L12" s="9">
        <v>500</v>
      </c>
    </row>
    <row r="13" spans="1:16">
      <c r="B13" s="5">
        <v>1233623</v>
      </c>
      <c r="C13" s="9">
        <v>0</v>
      </c>
      <c r="D13" s="9">
        <v>0</v>
      </c>
      <c r="E13" s="9">
        <v>0</v>
      </c>
      <c r="F13" s="9">
        <v>500</v>
      </c>
      <c r="G13" s="9">
        <v>500</v>
      </c>
      <c r="H13" s="9">
        <v>0</v>
      </c>
      <c r="I13" s="9">
        <v>0</v>
      </c>
      <c r="J13" s="9">
        <v>500</v>
      </c>
      <c r="K13" s="9">
        <v>500</v>
      </c>
      <c r="L13" s="9">
        <v>500</v>
      </c>
    </row>
    <row r="14" spans="1:16">
      <c r="B14" s="5">
        <v>1233761</v>
      </c>
      <c r="C14" s="9">
        <v>350</v>
      </c>
      <c r="D14" s="9">
        <v>0</v>
      </c>
      <c r="E14" s="9">
        <v>0</v>
      </c>
      <c r="F14" s="9">
        <v>0</v>
      </c>
      <c r="G14" s="9">
        <v>150</v>
      </c>
      <c r="H14" s="9">
        <v>200</v>
      </c>
      <c r="I14" s="9">
        <v>100</v>
      </c>
      <c r="J14" s="9">
        <v>0</v>
      </c>
      <c r="K14" s="9">
        <v>100</v>
      </c>
      <c r="L14" s="9">
        <v>150</v>
      </c>
    </row>
    <row r="15" spans="1:16">
      <c r="B15" s="5">
        <v>1233877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120</v>
      </c>
      <c r="I15" s="9">
        <v>0</v>
      </c>
      <c r="J15" s="9">
        <v>0</v>
      </c>
      <c r="K15" s="9">
        <v>0</v>
      </c>
      <c r="L15" s="9">
        <v>0</v>
      </c>
    </row>
    <row r="16" spans="1:16">
      <c r="B16" s="5">
        <v>1234614</v>
      </c>
      <c r="C16" s="9">
        <v>300</v>
      </c>
      <c r="D16" s="9">
        <v>300</v>
      </c>
      <c r="E16" s="9">
        <v>0</v>
      </c>
      <c r="F16" s="9">
        <v>300</v>
      </c>
      <c r="G16" s="9">
        <v>300</v>
      </c>
      <c r="H16" s="9">
        <v>300</v>
      </c>
      <c r="I16" s="9">
        <v>0</v>
      </c>
      <c r="J16" s="9">
        <v>300</v>
      </c>
      <c r="K16" s="9">
        <v>300</v>
      </c>
      <c r="L16" s="9">
        <v>300</v>
      </c>
    </row>
    <row r="17" spans="2:12">
      <c r="B17" s="5">
        <v>1235623</v>
      </c>
      <c r="C17" s="9">
        <v>1872</v>
      </c>
      <c r="D17" s="9">
        <v>0</v>
      </c>
      <c r="E17" s="9">
        <v>936</v>
      </c>
      <c r="F17" s="9">
        <v>936</v>
      </c>
      <c r="G17" s="9">
        <v>936</v>
      </c>
      <c r="H17" s="9">
        <v>0</v>
      </c>
      <c r="I17" s="9">
        <v>936</v>
      </c>
      <c r="J17" s="9">
        <v>0</v>
      </c>
      <c r="K17" s="9">
        <v>0</v>
      </c>
      <c r="L17" s="9">
        <v>936</v>
      </c>
    </row>
    <row r="18" spans="2:12">
      <c r="B18" s="5">
        <v>1236091</v>
      </c>
      <c r="C18" s="9">
        <v>300</v>
      </c>
      <c r="D18" s="9">
        <v>0</v>
      </c>
      <c r="E18" s="9">
        <v>0</v>
      </c>
      <c r="F18" s="9">
        <v>250</v>
      </c>
      <c r="G18" s="9">
        <v>250</v>
      </c>
      <c r="H18" s="9">
        <v>0</v>
      </c>
      <c r="I18" s="9">
        <v>0</v>
      </c>
      <c r="J18" s="9">
        <v>0</v>
      </c>
      <c r="K18" s="9">
        <v>200</v>
      </c>
      <c r="L18" s="9">
        <v>250</v>
      </c>
    </row>
    <row r="19" spans="2:12">
      <c r="B19" s="5">
        <v>1236488</v>
      </c>
      <c r="C19" s="9">
        <v>768</v>
      </c>
      <c r="D19" s="9">
        <v>636</v>
      </c>
      <c r="E19" s="9">
        <v>1760</v>
      </c>
      <c r="F19" s="9">
        <v>700</v>
      </c>
      <c r="G19" s="9">
        <v>700</v>
      </c>
      <c r="H19" s="9">
        <v>700</v>
      </c>
      <c r="I19" s="9">
        <v>600</v>
      </c>
      <c r="J19" s="9">
        <v>700</v>
      </c>
      <c r="K19" s="9">
        <v>800</v>
      </c>
      <c r="L19" s="9">
        <v>900</v>
      </c>
    </row>
    <row r="20" spans="2:12">
      <c r="B20" s="5">
        <v>1236534</v>
      </c>
      <c r="C20" s="9">
        <v>192</v>
      </c>
      <c r="D20" s="9">
        <v>0</v>
      </c>
      <c r="E20" s="9">
        <v>16</v>
      </c>
      <c r="F20" s="9">
        <v>300</v>
      </c>
      <c r="G20" s="9">
        <v>200</v>
      </c>
      <c r="H20" s="9">
        <v>0</v>
      </c>
      <c r="I20" s="9">
        <v>0</v>
      </c>
      <c r="J20" s="9">
        <v>300</v>
      </c>
      <c r="K20" s="9">
        <v>300</v>
      </c>
      <c r="L20" s="9">
        <v>0</v>
      </c>
    </row>
    <row r="21" spans="2:12">
      <c r="B21" s="5">
        <v>1236962</v>
      </c>
      <c r="C21" s="9">
        <v>600</v>
      </c>
      <c r="D21" s="9">
        <v>600</v>
      </c>
      <c r="E21" s="9">
        <v>400</v>
      </c>
      <c r="F21" s="9">
        <v>700</v>
      </c>
      <c r="G21" s="9">
        <v>600</v>
      </c>
      <c r="H21" s="9">
        <v>700</v>
      </c>
      <c r="I21" s="9">
        <v>700</v>
      </c>
      <c r="J21" s="9">
        <v>700</v>
      </c>
      <c r="K21" s="9">
        <v>700</v>
      </c>
      <c r="L21" s="9">
        <v>600</v>
      </c>
    </row>
    <row r="22" spans="2:12">
      <c r="B22" s="5">
        <v>1237088</v>
      </c>
      <c r="C22" s="9">
        <v>2862</v>
      </c>
      <c r="D22" s="9">
        <v>5122</v>
      </c>
      <c r="E22" s="9">
        <v>1106</v>
      </c>
      <c r="F22" s="9">
        <v>3440</v>
      </c>
      <c r="G22" s="9">
        <v>2992</v>
      </c>
      <c r="H22" s="9">
        <v>3240</v>
      </c>
      <c r="I22" s="9">
        <v>2444</v>
      </c>
      <c r="J22" s="9">
        <v>2644</v>
      </c>
      <c r="K22" s="9">
        <v>3092</v>
      </c>
      <c r="L22" s="9">
        <v>2644</v>
      </c>
    </row>
    <row r="23" spans="2:12">
      <c r="B23" s="5">
        <v>1237586</v>
      </c>
      <c r="C23" s="9">
        <v>1792</v>
      </c>
      <c r="D23" s="9">
        <v>448</v>
      </c>
      <c r="E23" s="9">
        <v>0</v>
      </c>
      <c r="F23" s="9">
        <v>1792</v>
      </c>
      <c r="G23" s="9">
        <v>1344</v>
      </c>
      <c r="H23" s="9">
        <v>1344</v>
      </c>
      <c r="I23" s="9">
        <v>448</v>
      </c>
      <c r="J23" s="9">
        <v>1304</v>
      </c>
      <c r="K23" s="9">
        <v>2240</v>
      </c>
      <c r="L23" s="9">
        <v>896</v>
      </c>
    </row>
    <row r="24" spans="2:12">
      <c r="B24" s="5">
        <v>1237748</v>
      </c>
      <c r="C24" s="9">
        <v>104</v>
      </c>
      <c r="D24" s="9">
        <v>0</v>
      </c>
      <c r="E24" s="9">
        <v>572</v>
      </c>
      <c r="F24" s="9">
        <v>404</v>
      </c>
      <c r="G24" s="9">
        <v>0</v>
      </c>
      <c r="H24" s="9">
        <v>0</v>
      </c>
      <c r="I24" s="9">
        <v>676</v>
      </c>
      <c r="J24" s="9">
        <v>0</v>
      </c>
      <c r="K24" s="9">
        <v>404</v>
      </c>
      <c r="L24" s="9">
        <v>0</v>
      </c>
    </row>
    <row r="25" spans="2:12">
      <c r="B25" s="5">
        <v>1238128</v>
      </c>
      <c r="C25" s="9">
        <v>4384</v>
      </c>
      <c r="D25" s="9">
        <v>1912</v>
      </c>
      <c r="E25" s="9">
        <v>3136</v>
      </c>
      <c r="F25" s="9">
        <v>2352</v>
      </c>
      <c r="G25" s="9">
        <v>2004</v>
      </c>
      <c r="H25" s="9">
        <v>2516</v>
      </c>
      <c r="I25" s="9">
        <v>2908</v>
      </c>
      <c r="J25" s="9">
        <v>3668</v>
      </c>
      <c r="K25" s="9">
        <v>1248</v>
      </c>
      <c r="L25" s="9">
        <v>1200</v>
      </c>
    </row>
    <row r="26" spans="2:12">
      <c r="B26" s="5">
        <v>1239651</v>
      </c>
      <c r="C26" s="9">
        <v>500</v>
      </c>
      <c r="D26" s="9">
        <v>450</v>
      </c>
      <c r="E26" s="9">
        <v>150</v>
      </c>
      <c r="F26" s="9">
        <v>400</v>
      </c>
      <c r="G26" s="9">
        <v>400</v>
      </c>
      <c r="H26" s="9">
        <v>550</v>
      </c>
      <c r="I26" s="9">
        <v>0</v>
      </c>
      <c r="J26" s="9">
        <v>300</v>
      </c>
      <c r="K26" s="9">
        <v>200</v>
      </c>
      <c r="L26" s="9">
        <v>300</v>
      </c>
    </row>
    <row r="27" spans="2:12">
      <c r="B27" s="5">
        <v>1239988</v>
      </c>
      <c r="C27" s="9">
        <v>2854</v>
      </c>
      <c r="D27" s="9">
        <v>1009</v>
      </c>
      <c r="E27" s="9">
        <v>600</v>
      </c>
      <c r="F27" s="9">
        <v>3106</v>
      </c>
      <c r="G27" s="9">
        <v>1524</v>
      </c>
      <c r="H27" s="9">
        <v>0</v>
      </c>
      <c r="I27" s="9">
        <v>0</v>
      </c>
      <c r="J27" s="9">
        <v>600</v>
      </c>
      <c r="K27" s="9">
        <v>1250</v>
      </c>
      <c r="L27" s="9">
        <v>1800</v>
      </c>
    </row>
    <row r="28" spans="2:12">
      <c r="B28" s="5">
        <v>1240180</v>
      </c>
      <c r="C28" s="9">
        <v>1806</v>
      </c>
      <c r="D28" s="9">
        <v>1561</v>
      </c>
      <c r="E28" s="9">
        <v>820</v>
      </c>
      <c r="F28" s="9">
        <v>1606</v>
      </c>
      <c r="G28" s="9">
        <v>2053</v>
      </c>
      <c r="H28" s="9">
        <v>1650</v>
      </c>
      <c r="I28" s="9">
        <v>900</v>
      </c>
      <c r="J28" s="9">
        <v>1350</v>
      </c>
      <c r="K28" s="9">
        <v>1900</v>
      </c>
      <c r="L28" s="9">
        <v>1700</v>
      </c>
    </row>
    <row r="29" spans="2:12">
      <c r="B29" s="5">
        <v>1240184</v>
      </c>
      <c r="C29" s="9">
        <v>1806</v>
      </c>
      <c r="D29" s="9">
        <v>1411</v>
      </c>
      <c r="E29" s="9">
        <v>820</v>
      </c>
      <c r="F29" s="9">
        <v>1606</v>
      </c>
      <c r="G29" s="9">
        <v>1453</v>
      </c>
      <c r="H29" s="9">
        <v>1450</v>
      </c>
      <c r="I29" s="9">
        <v>900</v>
      </c>
      <c r="J29" s="9">
        <v>1350</v>
      </c>
      <c r="K29" s="9">
        <v>1700</v>
      </c>
      <c r="L29" s="9">
        <v>1700</v>
      </c>
    </row>
    <row r="30" spans="2:12">
      <c r="B30" s="5">
        <v>1240308</v>
      </c>
      <c r="C30" s="9">
        <v>1818</v>
      </c>
      <c r="D30" s="9">
        <v>556</v>
      </c>
      <c r="E30" s="9">
        <v>0</v>
      </c>
      <c r="F30" s="9">
        <v>0</v>
      </c>
      <c r="G30" s="9">
        <v>950</v>
      </c>
      <c r="H30" s="9">
        <v>300</v>
      </c>
      <c r="I30" s="9">
        <v>0</v>
      </c>
      <c r="J30" s="9">
        <v>0</v>
      </c>
      <c r="K30" s="9">
        <v>700</v>
      </c>
      <c r="L30" s="9">
        <v>850</v>
      </c>
    </row>
    <row r="31" spans="2:12">
      <c r="B31" s="5">
        <v>1241601</v>
      </c>
      <c r="C31" s="9">
        <v>7900</v>
      </c>
      <c r="D31" s="9">
        <v>7768</v>
      </c>
      <c r="E31" s="9">
        <v>4700</v>
      </c>
      <c r="F31" s="9">
        <v>4400</v>
      </c>
      <c r="G31" s="9">
        <v>4900</v>
      </c>
      <c r="H31" s="9">
        <v>4800</v>
      </c>
      <c r="I31" s="9">
        <v>3700</v>
      </c>
      <c r="J31" s="9">
        <v>3900</v>
      </c>
      <c r="K31" s="9">
        <v>4350</v>
      </c>
      <c r="L31" s="9">
        <v>4650</v>
      </c>
    </row>
    <row r="32" spans="2:12">
      <c r="B32" s="5">
        <v>1242242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900</v>
      </c>
      <c r="K32" s="9">
        <v>900</v>
      </c>
      <c r="L32" s="9">
        <v>1000</v>
      </c>
    </row>
    <row r="36" spans="1:16" s="243" customFormat="1">
      <c r="A36" s="304"/>
      <c r="B36" s="304" t="s">
        <v>0</v>
      </c>
      <c r="C36" s="114" t="s">
        <v>796</v>
      </c>
      <c r="D36" s="114" t="s">
        <v>823</v>
      </c>
      <c r="E36" s="114" t="s">
        <v>847</v>
      </c>
      <c r="F36" s="114" t="s">
        <v>876</v>
      </c>
      <c r="G36" s="114" t="s">
        <v>902</v>
      </c>
      <c r="H36" s="114" t="s">
        <v>927</v>
      </c>
      <c r="I36" s="114" t="s">
        <v>939</v>
      </c>
      <c r="J36" s="114" t="s">
        <v>997</v>
      </c>
      <c r="K36" s="114" t="s">
        <v>1045</v>
      </c>
      <c r="L36" s="114" t="s">
        <v>1089</v>
      </c>
      <c r="M36" s="242"/>
      <c r="N36" s="242"/>
      <c r="P36" s="242"/>
    </row>
    <row r="37" spans="1:16" s="243" customFormat="1">
      <c r="A37" s="305"/>
      <c r="B37" s="306"/>
      <c r="C37" s="60" t="s">
        <v>797</v>
      </c>
      <c r="D37" s="60" t="s">
        <v>824</v>
      </c>
      <c r="E37" s="60" t="s">
        <v>848</v>
      </c>
      <c r="F37" s="60" t="s">
        <v>877</v>
      </c>
      <c r="G37" s="60" t="s">
        <v>903</v>
      </c>
      <c r="H37" s="60" t="s">
        <v>928</v>
      </c>
      <c r="I37" s="60" t="s">
        <v>998</v>
      </c>
      <c r="J37" s="60" t="s">
        <v>999</v>
      </c>
      <c r="K37" s="60" t="s">
        <v>1046</v>
      </c>
      <c r="L37" s="60" t="s">
        <v>1090</v>
      </c>
      <c r="M37" s="242"/>
      <c r="N37" s="242"/>
      <c r="P37" s="242"/>
    </row>
    <row r="38" spans="1:16">
      <c r="A38" s="245"/>
      <c r="B38" s="246">
        <v>1216452</v>
      </c>
      <c r="C38" s="32">
        <v>0</v>
      </c>
      <c r="D38" s="32">
        <v>324</v>
      </c>
      <c r="E38" s="32">
        <v>2880</v>
      </c>
      <c r="F38" s="32">
        <v>576</v>
      </c>
      <c r="G38" s="32">
        <v>0</v>
      </c>
      <c r="H38" s="32">
        <v>2214</v>
      </c>
      <c r="I38" s="32">
        <v>0</v>
      </c>
      <c r="J38" s="32">
        <v>900</v>
      </c>
      <c r="K38" s="32">
        <v>0</v>
      </c>
      <c r="L38" s="32">
        <v>1212</v>
      </c>
      <c r="N38" s="9">
        <f t="shared" ref="N38:N84" si="0">SUM(C38:L38)</f>
        <v>8106</v>
      </c>
      <c r="O38" s="5">
        <f>VLOOKUP(B38,[12]sheet1!$B$3:$N$61,13,0)</f>
        <v>8106</v>
      </c>
      <c r="P38" s="9">
        <f>+N38-O38</f>
        <v>0</v>
      </c>
    </row>
    <row r="39" spans="1:16">
      <c r="A39" s="245"/>
      <c r="B39" s="246">
        <v>1220847</v>
      </c>
      <c r="C39" s="32">
        <v>100</v>
      </c>
      <c r="D39" s="32">
        <v>0</v>
      </c>
      <c r="E39" s="32">
        <v>1260</v>
      </c>
      <c r="F39" s="32">
        <v>50</v>
      </c>
      <c r="G39" s="32">
        <v>1050</v>
      </c>
      <c r="H39" s="32">
        <v>0</v>
      </c>
      <c r="I39" s="32">
        <v>0</v>
      </c>
      <c r="J39" s="32">
        <v>0</v>
      </c>
      <c r="K39" s="32">
        <v>784</v>
      </c>
      <c r="L39" s="32">
        <v>0</v>
      </c>
      <c r="N39" s="9">
        <f t="shared" si="0"/>
        <v>3244</v>
      </c>
      <c r="O39" s="5">
        <f>VLOOKUP(B39,[12]sheet1!$B$3:$N$61,13,0)</f>
        <v>3244</v>
      </c>
      <c r="P39" s="9">
        <f t="shared" ref="P39:P96" si="1">+N39-O39</f>
        <v>0</v>
      </c>
    </row>
    <row r="40" spans="1:16">
      <c r="A40" s="245"/>
      <c r="B40" s="246">
        <v>1221967</v>
      </c>
      <c r="C40" s="32">
        <v>450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351</v>
      </c>
      <c r="J40" s="32">
        <v>0</v>
      </c>
      <c r="K40" s="32">
        <v>68</v>
      </c>
      <c r="L40" s="32">
        <v>0</v>
      </c>
      <c r="N40" s="9">
        <f t="shared" si="0"/>
        <v>869</v>
      </c>
      <c r="O40" s="5">
        <f>VLOOKUP(B40,[12]sheet1!$B$3:$N$61,13,0)</f>
        <v>869</v>
      </c>
      <c r="P40" s="9">
        <f t="shared" si="1"/>
        <v>0</v>
      </c>
    </row>
    <row r="41" spans="1:16">
      <c r="A41" s="245"/>
      <c r="B41" s="246">
        <v>1225464</v>
      </c>
      <c r="C41" s="32">
        <v>0</v>
      </c>
      <c r="D41" s="32">
        <v>0</v>
      </c>
      <c r="E41" s="32">
        <v>0</v>
      </c>
      <c r="F41" s="32">
        <v>0</v>
      </c>
      <c r="G41" s="32">
        <v>756</v>
      </c>
      <c r="H41" s="32">
        <v>0</v>
      </c>
      <c r="I41" s="32">
        <v>0</v>
      </c>
      <c r="J41" s="32">
        <v>0</v>
      </c>
      <c r="K41" s="32">
        <v>1578</v>
      </c>
      <c r="L41" s="32">
        <v>0</v>
      </c>
      <c r="N41" s="9">
        <f t="shared" si="0"/>
        <v>2334</v>
      </c>
      <c r="O41" s="5">
        <f>VLOOKUP(B41,[12]sheet1!$B$3:$N$61,13,0)</f>
        <v>2334</v>
      </c>
      <c r="P41" s="9">
        <f t="shared" si="1"/>
        <v>0</v>
      </c>
    </row>
    <row r="42" spans="1:16">
      <c r="A42" s="245"/>
      <c r="B42" s="246">
        <v>1227306</v>
      </c>
      <c r="C42" s="32">
        <v>846</v>
      </c>
      <c r="D42" s="32">
        <v>104</v>
      </c>
      <c r="E42" s="32">
        <v>0</v>
      </c>
      <c r="F42" s="32">
        <v>0</v>
      </c>
      <c r="G42" s="32">
        <v>1600</v>
      </c>
      <c r="H42" s="32">
        <v>0</v>
      </c>
      <c r="I42" s="32">
        <v>0</v>
      </c>
      <c r="J42" s="32">
        <v>400</v>
      </c>
      <c r="K42" s="32">
        <v>700</v>
      </c>
      <c r="L42" s="32">
        <v>150</v>
      </c>
      <c r="N42" s="9">
        <f t="shared" si="0"/>
        <v>3800</v>
      </c>
      <c r="O42" s="5">
        <f>VLOOKUP(B42,[12]sheet1!$B$3:$N$61,13,0)</f>
        <v>3800</v>
      </c>
      <c r="P42" s="9">
        <f t="shared" si="1"/>
        <v>0</v>
      </c>
    </row>
    <row r="43" spans="1:16">
      <c r="A43" s="245"/>
      <c r="B43" s="246">
        <v>1229050</v>
      </c>
      <c r="C43" s="32">
        <v>0</v>
      </c>
      <c r="D43" s="32">
        <v>0</v>
      </c>
      <c r="E43" s="32">
        <v>205</v>
      </c>
      <c r="F43" s="32">
        <v>0</v>
      </c>
      <c r="G43" s="32">
        <v>0</v>
      </c>
      <c r="H43" s="32">
        <v>0</v>
      </c>
      <c r="I43" s="32">
        <v>225</v>
      </c>
      <c r="J43" s="32">
        <v>0</v>
      </c>
      <c r="K43" s="32">
        <v>0</v>
      </c>
      <c r="L43" s="32">
        <v>0</v>
      </c>
      <c r="N43" s="9">
        <f t="shared" si="0"/>
        <v>430</v>
      </c>
      <c r="O43" s="5">
        <f>VLOOKUP(B43,[12]sheet1!$B$3:$N$61,13,0)</f>
        <v>430</v>
      </c>
      <c r="P43" s="9">
        <f t="shared" si="1"/>
        <v>0</v>
      </c>
    </row>
    <row r="44" spans="1:16">
      <c r="A44" s="245"/>
      <c r="B44" s="246">
        <v>1229088</v>
      </c>
      <c r="C44" s="32">
        <v>0</v>
      </c>
      <c r="D44" s="32">
        <v>0</v>
      </c>
      <c r="E44" s="32">
        <v>0</v>
      </c>
      <c r="F44" s="32">
        <v>0</v>
      </c>
      <c r="G44" s="32">
        <v>200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N44" s="9">
        <f t="shared" si="0"/>
        <v>200</v>
      </c>
      <c r="O44" s="5">
        <f>VLOOKUP(B44,[12]sheet1!$B$3:$N$61,13,0)</f>
        <v>200</v>
      </c>
      <c r="P44" s="9">
        <f t="shared" si="1"/>
        <v>0</v>
      </c>
    </row>
    <row r="45" spans="1:16">
      <c r="A45" s="245"/>
      <c r="B45" s="246">
        <v>1229776</v>
      </c>
      <c r="C45" s="32">
        <v>580</v>
      </c>
      <c r="D45" s="32">
        <v>0</v>
      </c>
      <c r="E45" s="32">
        <v>0</v>
      </c>
      <c r="F45" s="32">
        <v>180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300</v>
      </c>
      <c r="N45" s="9">
        <f t="shared" si="0"/>
        <v>1060</v>
      </c>
      <c r="O45" s="5">
        <f>VLOOKUP(B45,[12]sheet1!$B$3:$N$61,13,0)</f>
        <v>1060</v>
      </c>
      <c r="P45" s="9">
        <f t="shared" si="1"/>
        <v>0</v>
      </c>
    </row>
    <row r="46" spans="1:16">
      <c r="A46" s="245"/>
      <c r="B46" s="246">
        <v>1230685</v>
      </c>
      <c r="C46" s="32">
        <v>400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400</v>
      </c>
      <c r="L46" s="32">
        <v>0</v>
      </c>
      <c r="N46" s="9">
        <f t="shared" si="0"/>
        <v>800</v>
      </c>
      <c r="O46" s="5">
        <f>VLOOKUP(B46,[12]sheet1!$B$3:$N$61,13,0)</f>
        <v>800</v>
      </c>
      <c r="P46" s="9">
        <f t="shared" si="1"/>
        <v>0</v>
      </c>
    </row>
    <row r="47" spans="1:16">
      <c r="A47" s="245"/>
      <c r="B47" s="246">
        <v>1230791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140</v>
      </c>
      <c r="L47" s="32">
        <v>0</v>
      </c>
      <c r="N47" s="9">
        <f t="shared" si="0"/>
        <v>140</v>
      </c>
      <c r="O47" s="5">
        <f>VLOOKUP(B47,[12]sheet1!$B$3:$N$61,13,0)</f>
        <v>140</v>
      </c>
      <c r="P47" s="9">
        <f t="shared" si="1"/>
        <v>0</v>
      </c>
    </row>
    <row r="48" spans="1:16">
      <c r="A48" s="245"/>
      <c r="B48" s="246">
        <v>1231011</v>
      </c>
      <c r="C48" s="32">
        <v>300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N48" s="9">
        <f t="shared" si="0"/>
        <v>300</v>
      </c>
      <c r="O48" s="5">
        <f>VLOOKUP(B48,[12]sheet1!$B$3:$N$61,13,0)</f>
        <v>300</v>
      </c>
      <c r="P48" s="9">
        <f t="shared" si="1"/>
        <v>0</v>
      </c>
    </row>
    <row r="49" spans="1:16">
      <c r="A49" s="245"/>
      <c r="B49" s="246">
        <v>1231090</v>
      </c>
      <c r="C49" s="32">
        <v>580</v>
      </c>
      <c r="D49" s="32">
        <v>0</v>
      </c>
      <c r="E49" s="32">
        <v>1790</v>
      </c>
      <c r="F49" s="32">
        <v>180</v>
      </c>
      <c r="G49" s="32">
        <v>0</v>
      </c>
      <c r="H49" s="32">
        <v>0</v>
      </c>
      <c r="I49" s="32">
        <v>990</v>
      </c>
      <c r="J49" s="32">
        <v>0</v>
      </c>
      <c r="K49" s="32">
        <v>300</v>
      </c>
      <c r="L49" s="32">
        <v>300</v>
      </c>
      <c r="N49" s="9">
        <f t="shared" si="0"/>
        <v>4140</v>
      </c>
      <c r="O49" s="5">
        <f>VLOOKUP(B49,[12]sheet1!$B$3:$N$61,13,0)</f>
        <v>4140</v>
      </c>
      <c r="P49" s="9">
        <f t="shared" si="1"/>
        <v>0</v>
      </c>
    </row>
    <row r="50" spans="1:16">
      <c r="A50" s="245"/>
      <c r="B50" s="246">
        <v>1231578</v>
      </c>
      <c r="C50" s="32">
        <v>400</v>
      </c>
      <c r="D50" s="32">
        <v>0</v>
      </c>
      <c r="E50" s="32">
        <v>600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200</v>
      </c>
      <c r="L50" s="32">
        <v>300</v>
      </c>
      <c r="N50" s="9">
        <f t="shared" si="0"/>
        <v>1500</v>
      </c>
      <c r="O50" s="5">
        <f>VLOOKUP(B50,[12]sheet1!$B$3:$N$61,13,0)</f>
        <v>1500</v>
      </c>
      <c r="P50" s="9">
        <f t="shared" si="1"/>
        <v>0</v>
      </c>
    </row>
    <row r="51" spans="1:16">
      <c r="A51" s="245"/>
      <c r="B51" s="246">
        <v>1231797</v>
      </c>
      <c r="C51" s="32">
        <v>35</v>
      </c>
      <c r="D51" s="32">
        <v>0</v>
      </c>
      <c r="E51" s="32">
        <v>0</v>
      </c>
      <c r="F51" s="32">
        <v>0</v>
      </c>
      <c r="G51" s="32">
        <v>0</v>
      </c>
      <c r="H51" s="32">
        <v>154</v>
      </c>
      <c r="I51" s="32">
        <v>0</v>
      </c>
      <c r="J51" s="32">
        <v>0</v>
      </c>
      <c r="K51" s="32">
        <v>0</v>
      </c>
      <c r="L51" s="32">
        <v>137</v>
      </c>
      <c r="N51" s="9">
        <f t="shared" si="0"/>
        <v>326</v>
      </c>
      <c r="O51" s="5">
        <f>VLOOKUP(B51,[12]sheet1!$B$3:$N$61,13,0)</f>
        <v>326</v>
      </c>
      <c r="P51" s="9">
        <f t="shared" si="1"/>
        <v>0</v>
      </c>
    </row>
    <row r="52" spans="1:16">
      <c r="A52" s="245"/>
      <c r="B52" s="246">
        <v>1231860</v>
      </c>
      <c r="C52" s="32">
        <v>0</v>
      </c>
      <c r="D52" s="32">
        <v>0</v>
      </c>
      <c r="E52" s="32">
        <v>100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N52" s="9">
        <f t="shared" si="0"/>
        <v>100</v>
      </c>
      <c r="O52" s="5">
        <f>VLOOKUP(B52,[12]sheet1!$B$3:$N$61,13,0)</f>
        <v>100</v>
      </c>
      <c r="P52" s="9">
        <f t="shared" si="1"/>
        <v>0</v>
      </c>
    </row>
    <row r="53" spans="1:16">
      <c r="A53" s="245"/>
      <c r="B53" s="246">
        <v>1232066</v>
      </c>
      <c r="C53" s="32">
        <v>0</v>
      </c>
      <c r="D53" s="32">
        <v>0</v>
      </c>
      <c r="E53" s="32">
        <v>252</v>
      </c>
      <c r="F53" s="32">
        <v>0</v>
      </c>
      <c r="G53" s="32">
        <v>0</v>
      </c>
      <c r="H53" s="32">
        <v>0</v>
      </c>
      <c r="I53" s="32">
        <v>252</v>
      </c>
      <c r="J53" s="32">
        <v>0</v>
      </c>
      <c r="K53" s="32">
        <v>0</v>
      </c>
      <c r="L53" s="32">
        <v>0</v>
      </c>
      <c r="N53" s="9">
        <f t="shared" si="0"/>
        <v>504</v>
      </c>
      <c r="O53" s="5">
        <f>VLOOKUP(B53,[12]sheet1!$B$3:$N$61,13,0)</f>
        <v>504</v>
      </c>
      <c r="P53" s="9">
        <f t="shared" si="1"/>
        <v>0</v>
      </c>
    </row>
    <row r="54" spans="1:16">
      <c r="A54" s="245"/>
      <c r="B54" s="246">
        <v>1232528</v>
      </c>
      <c r="C54" s="32">
        <v>2781</v>
      </c>
      <c r="D54" s="32">
        <v>2781</v>
      </c>
      <c r="E54" s="32">
        <v>2934</v>
      </c>
      <c r="F54" s="32">
        <v>7063</v>
      </c>
      <c r="G54" s="32">
        <v>540</v>
      </c>
      <c r="H54" s="32">
        <v>0</v>
      </c>
      <c r="I54" s="32">
        <v>1836</v>
      </c>
      <c r="J54" s="32">
        <v>0</v>
      </c>
      <c r="K54" s="32">
        <v>8428</v>
      </c>
      <c r="L54" s="32">
        <v>0</v>
      </c>
      <c r="N54" s="9">
        <f t="shared" si="0"/>
        <v>26363</v>
      </c>
      <c r="O54" s="5">
        <f>VLOOKUP(B54,[12]sheet1!$B$3:$N$61,13,0)</f>
        <v>26363</v>
      </c>
      <c r="P54" s="9">
        <f t="shared" si="1"/>
        <v>0</v>
      </c>
    </row>
    <row r="55" spans="1:16">
      <c r="A55" s="245"/>
      <c r="B55" s="246">
        <v>1232553</v>
      </c>
      <c r="C55" s="32">
        <v>0</v>
      </c>
      <c r="D55" s="32">
        <v>0</v>
      </c>
      <c r="E55" s="32">
        <v>108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N55" s="9">
        <f t="shared" si="0"/>
        <v>108</v>
      </c>
      <c r="O55" s="5">
        <f>VLOOKUP(B55,[12]sheet1!$B$3:$N$61,13,0)</f>
        <v>108</v>
      </c>
      <c r="P55" s="9">
        <f t="shared" si="1"/>
        <v>0</v>
      </c>
    </row>
    <row r="56" spans="1:16">
      <c r="A56" s="245"/>
      <c r="B56" s="246">
        <v>1232693</v>
      </c>
      <c r="C56" s="32">
        <v>0</v>
      </c>
      <c r="D56" s="32">
        <v>0</v>
      </c>
      <c r="E56" s="32">
        <v>3843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82</v>
      </c>
      <c r="L56" s="32">
        <v>0</v>
      </c>
      <c r="N56" s="9">
        <f t="shared" si="0"/>
        <v>3925</v>
      </c>
      <c r="O56" s="5">
        <f>VLOOKUP(B56,[12]sheet1!$B$3:$N$61,13,0)</f>
        <v>3925</v>
      </c>
      <c r="P56" s="9">
        <f t="shared" si="1"/>
        <v>0</v>
      </c>
    </row>
    <row r="57" spans="1:16">
      <c r="A57" s="245"/>
      <c r="B57" s="246">
        <v>1232775</v>
      </c>
      <c r="C57" s="32">
        <v>1287</v>
      </c>
      <c r="D57" s="32">
        <v>739</v>
      </c>
      <c r="E57" s="32">
        <v>0</v>
      </c>
      <c r="F57" s="32">
        <v>320</v>
      </c>
      <c r="G57" s="32">
        <v>1350</v>
      </c>
      <c r="H57" s="32">
        <v>610</v>
      </c>
      <c r="I57" s="32">
        <v>161</v>
      </c>
      <c r="J57" s="32">
        <v>0</v>
      </c>
      <c r="K57" s="32">
        <v>1156</v>
      </c>
      <c r="L57" s="32">
        <v>960</v>
      </c>
      <c r="N57" s="9">
        <f t="shared" si="0"/>
        <v>6583</v>
      </c>
      <c r="O57" s="5">
        <f>VLOOKUP(B57,[12]sheet1!$B$3:$N$61,13,0)</f>
        <v>6583</v>
      </c>
      <c r="P57" s="9">
        <f t="shared" si="1"/>
        <v>0</v>
      </c>
    </row>
    <row r="58" spans="1:16">
      <c r="A58" s="245"/>
      <c r="B58" s="246">
        <v>1232846</v>
      </c>
      <c r="C58" s="32">
        <v>3468</v>
      </c>
      <c r="D58" s="32">
        <v>300</v>
      </c>
      <c r="E58" s="32">
        <v>536</v>
      </c>
      <c r="F58" s="32">
        <v>1076</v>
      </c>
      <c r="G58" s="32">
        <v>1076</v>
      </c>
      <c r="H58" s="32">
        <v>472</v>
      </c>
      <c r="I58" s="32">
        <v>300</v>
      </c>
      <c r="J58" s="32">
        <v>300</v>
      </c>
      <c r="K58" s="32">
        <v>1249</v>
      </c>
      <c r="L58" s="32">
        <v>583</v>
      </c>
      <c r="N58" s="9">
        <f t="shared" si="0"/>
        <v>9360</v>
      </c>
      <c r="O58" s="5">
        <f>VLOOKUP(B58,[12]sheet1!$B$3:$N$61,13,0)</f>
        <v>9360</v>
      </c>
      <c r="P58" s="9">
        <f t="shared" si="1"/>
        <v>0</v>
      </c>
    </row>
    <row r="59" spans="1:16">
      <c r="A59" s="245"/>
      <c r="B59" s="246">
        <v>1232894</v>
      </c>
      <c r="C59" s="32">
        <v>2401</v>
      </c>
      <c r="D59" s="32">
        <v>0</v>
      </c>
      <c r="E59" s="32">
        <v>336</v>
      </c>
      <c r="F59" s="32">
        <v>576</v>
      </c>
      <c r="G59" s="32">
        <v>576</v>
      </c>
      <c r="H59" s="32">
        <v>0</v>
      </c>
      <c r="I59" s="32">
        <v>0</v>
      </c>
      <c r="J59" s="32">
        <v>0</v>
      </c>
      <c r="K59" s="32">
        <v>949</v>
      </c>
      <c r="L59" s="32">
        <v>0</v>
      </c>
      <c r="N59" s="9">
        <f t="shared" si="0"/>
        <v>4838</v>
      </c>
      <c r="O59" s="5">
        <f>VLOOKUP(B59,[12]sheet1!$B$3:$N$61,13,0)</f>
        <v>4838</v>
      </c>
      <c r="P59" s="9">
        <f t="shared" si="1"/>
        <v>0</v>
      </c>
    </row>
    <row r="60" spans="1:16">
      <c r="A60" s="245"/>
      <c r="B60" s="246">
        <v>1232895</v>
      </c>
      <c r="C60" s="32">
        <v>1067</v>
      </c>
      <c r="D60" s="32">
        <v>300</v>
      </c>
      <c r="E60" s="32">
        <v>200</v>
      </c>
      <c r="F60" s="32">
        <v>500</v>
      </c>
      <c r="G60" s="32">
        <v>500</v>
      </c>
      <c r="H60" s="32">
        <v>472</v>
      </c>
      <c r="I60" s="32">
        <v>300</v>
      </c>
      <c r="J60" s="32">
        <v>300</v>
      </c>
      <c r="K60" s="32">
        <v>300</v>
      </c>
      <c r="L60" s="32">
        <v>583</v>
      </c>
      <c r="N60" s="9">
        <f t="shared" si="0"/>
        <v>4522</v>
      </c>
      <c r="O60" s="5">
        <f>VLOOKUP(B60,[12]sheet1!$B$3:$N$61,13,0)</f>
        <v>4522</v>
      </c>
      <c r="P60" s="9">
        <f t="shared" si="1"/>
        <v>0</v>
      </c>
    </row>
    <row r="61" spans="1:16">
      <c r="A61" s="245"/>
      <c r="B61" s="246">
        <v>1232922</v>
      </c>
      <c r="C61" s="32">
        <v>370</v>
      </c>
      <c r="D61" s="32">
        <v>0</v>
      </c>
      <c r="E61" s="32">
        <v>0</v>
      </c>
      <c r="F61" s="32">
        <v>0</v>
      </c>
      <c r="G61" s="32">
        <v>0</v>
      </c>
      <c r="H61" s="32">
        <v>272</v>
      </c>
      <c r="I61" s="32">
        <v>0</v>
      </c>
      <c r="J61" s="32">
        <v>0</v>
      </c>
      <c r="K61" s="32">
        <v>0</v>
      </c>
      <c r="L61" s="32">
        <v>283</v>
      </c>
      <c r="N61" s="9">
        <f t="shared" si="0"/>
        <v>925</v>
      </c>
      <c r="O61" s="5">
        <f>VLOOKUP(B61,[12]sheet1!$B$3:$N$61,13,0)</f>
        <v>925</v>
      </c>
      <c r="P61" s="9">
        <f t="shared" si="1"/>
        <v>0</v>
      </c>
    </row>
    <row r="62" spans="1:16">
      <c r="A62" s="245"/>
      <c r="B62" s="247">
        <v>1232982</v>
      </c>
      <c r="C62" s="32">
        <v>450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N62" s="9">
        <f t="shared" si="0"/>
        <v>450</v>
      </c>
      <c r="O62" s="5">
        <f>VLOOKUP(B62,[12]sheet1!$B$3:$N$61,13,0)</f>
        <v>450</v>
      </c>
      <c r="P62" s="9">
        <f t="shared" si="1"/>
        <v>0</v>
      </c>
    </row>
    <row r="63" spans="1:16">
      <c r="A63" s="245"/>
      <c r="B63" s="246">
        <v>1233025</v>
      </c>
      <c r="C63" s="32">
        <v>0</v>
      </c>
      <c r="D63" s="32">
        <v>0</v>
      </c>
      <c r="E63" s="32">
        <v>3843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82</v>
      </c>
      <c r="L63" s="32">
        <v>0</v>
      </c>
      <c r="N63" s="9">
        <f t="shared" si="0"/>
        <v>3925</v>
      </c>
      <c r="O63" s="5">
        <f>VLOOKUP(B63,[12]sheet1!$B$3:$N$61,13,0)</f>
        <v>3925</v>
      </c>
      <c r="P63" s="9">
        <f t="shared" si="1"/>
        <v>0</v>
      </c>
    </row>
    <row r="64" spans="1:16">
      <c r="A64" s="245"/>
      <c r="B64" s="246">
        <v>1233165</v>
      </c>
      <c r="C64" s="32">
        <v>0</v>
      </c>
      <c r="D64" s="32">
        <v>0</v>
      </c>
      <c r="E64" s="32">
        <v>0</v>
      </c>
      <c r="F64" s="32">
        <v>0</v>
      </c>
      <c r="G64" s="32">
        <v>370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N64" s="9">
        <f t="shared" si="0"/>
        <v>370</v>
      </c>
      <c r="O64" s="5">
        <f>VLOOKUP(B64,[12]sheet1!$B$3:$N$61,13,0)</f>
        <v>370</v>
      </c>
      <c r="P64" s="9">
        <f t="shared" si="1"/>
        <v>0</v>
      </c>
    </row>
    <row r="65" spans="1:16">
      <c r="A65" s="245"/>
      <c r="B65" s="246">
        <v>1233383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151</v>
      </c>
      <c r="I65" s="32">
        <v>0</v>
      </c>
      <c r="J65" s="32">
        <v>0</v>
      </c>
      <c r="K65" s="32">
        <v>0</v>
      </c>
      <c r="L65" s="32">
        <v>143</v>
      </c>
      <c r="N65" s="9">
        <f t="shared" si="0"/>
        <v>294</v>
      </c>
      <c r="O65" s="5">
        <f>VLOOKUP(B65,[12]sheet1!$B$3:$N$61,13,0)</f>
        <v>294</v>
      </c>
      <c r="P65" s="9">
        <f t="shared" si="1"/>
        <v>0</v>
      </c>
    </row>
    <row r="66" spans="1:16">
      <c r="A66" s="245"/>
      <c r="B66" s="246">
        <v>1233384</v>
      </c>
      <c r="C66" s="32">
        <v>697</v>
      </c>
      <c r="D66" s="32">
        <v>300</v>
      </c>
      <c r="E66" s="32">
        <v>200</v>
      </c>
      <c r="F66" s="32">
        <v>500</v>
      </c>
      <c r="G66" s="32">
        <v>500</v>
      </c>
      <c r="H66" s="32">
        <v>200</v>
      </c>
      <c r="I66" s="32">
        <v>300</v>
      </c>
      <c r="J66" s="32">
        <v>300</v>
      </c>
      <c r="K66" s="32">
        <v>300</v>
      </c>
      <c r="L66" s="32">
        <v>300</v>
      </c>
      <c r="N66" s="9">
        <f t="shared" si="0"/>
        <v>3597</v>
      </c>
      <c r="O66" s="5">
        <f>VLOOKUP(B66,[12]sheet1!$B$3:$N$61,13,0)</f>
        <v>3597</v>
      </c>
      <c r="P66" s="9">
        <f t="shared" si="1"/>
        <v>0</v>
      </c>
    </row>
    <row r="67" spans="1:16">
      <c r="A67" s="245"/>
      <c r="B67" s="246">
        <v>1233385</v>
      </c>
      <c r="C67" s="32">
        <v>253</v>
      </c>
      <c r="D67" s="32">
        <v>0</v>
      </c>
      <c r="E67" s="32">
        <v>336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N67" s="9">
        <f t="shared" si="0"/>
        <v>589</v>
      </c>
      <c r="O67" s="5">
        <f>VLOOKUP(B67,[12]sheet1!$B$3:$N$61,13,0)</f>
        <v>589</v>
      </c>
      <c r="P67" s="9">
        <f t="shared" si="1"/>
        <v>0</v>
      </c>
    </row>
    <row r="68" spans="1:16">
      <c r="A68" s="245"/>
      <c r="B68" s="246">
        <v>1233386</v>
      </c>
      <c r="C68" s="32">
        <v>1120</v>
      </c>
      <c r="D68" s="32">
        <v>0</v>
      </c>
      <c r="E68" s="32">
        <v>0</v>
      </c>
      <c r="F68" s="32">
        <v>576</v>
      </c>
      <c r="G68" s="32">
        <v>0</v>
      </c>
      <c r="H68" s="32">
        <v>0</v>
      </c>
      <c r="I68" s="32">
        <v>0</v>
      </c>
      <c r="J68" s="32">
        <v>0</v>
      </c>
      <c r="K68" s="32">
        <v>512</v>
      </c>
      <c r="L68" s="32">
        <v>0</v>
      </c>
      <c r="N68" s="9">
        <f t="shared" si="0"/>
        <v>2208</v>
      </c>
      <c r="O68" s="5">
        <f>VLOOKUP(B68,[12]sheet1!$B$3:$N$61,13,0)</f>
        <v>2208</v>
      </c>
      <c r="P68" s="9">
        <f t="shared" si="1"/>
        <v>0</v>
      </c>
    </row>
    <row r="69" spans="1:16">
      <c r="A69" s="245"/>
      <c r="B69" s="246">
        <v>1233387</v>
      </c>
      <c r="C69" s="32">
        <v>1028</v>
      </c>
      <c r="D69" s="32">
        <v>0</v>
      </c>
      <c r="E69" s="32">
        <v>0</v>
      </c>
      <c r="F69" s="32">
        <v>0</v>
      </c>
      <c r="G69" s="32">
        <v>576</v>
      </c>
      <c r="H69" s="32">
        <v>0</v>
      </c>
      <c r="I69" s="32">
        <v>0</v>
      </c>
      <c r="J69" s="32">
        <v>0</v>
      </c>
      <c r="K69" s="32">
        <v>437</v>
      </c>
      <c r="L69" s="32">
        <v>0</v>
      </c>
      <c r="N69" s="9">
        <f t="shared" si="0"/>
        <v>2041</v>
      </c>
      <c r="O69" s="5">
        <f>VLOOKUP(B69,[12]sheet1!$B$3:$N$61,13,0)</f>
        <v>2041</v>
      </c>
      <c r="P69" s="9">
        <f t="shared" si="1"/>
        <v>0</v>
      </c>
    </row>
    <row r="70" spans="1:16">
      <c r="A70" s="245"/>
      <c r="B70" s="246">
        <v>1233580</v>
      </c>
      <c r="C70" s="32">
        <v>0</v>
      </c>
      <c r="D70" s="32">
        <v>0</v>
      </c>
      <c r="E70" s="32">
        <v>50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N70" s="9">
        <f t="shared" si="0"/>
        <v>50</v>
      </c>
      <c r="O70" s="5">
        <f>VLOOKUP(B70,[12]sheet1!$B$3:$N$61,13,0)</f>
        <v>50</v>
      </c>
      <c r="P70" s="9">
        <f t="shared" si="1"/>
        <v>0</v>
      </c>
    </row>
    <row r="71" spans="1:16">
      <c r="A71" s="245"/>
      <c r="B71" s="246">
        <v>1233587</v>
      </c>
      <c r="C71" s="32">
        <v>0</v>
      </c>
      <c r="D71" s="32">
        <v>10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N71" s="9">
        <f t="shared" si="0"/>
        <v>10</v>
      </c>
      <c r="O71" s="5">
        <f>VLOOKUP(B71,[12]sheet1!$B$3:$N$61,13,0)</f>
        <v>10</v>
      </c>
      <c r="P71" s="9">
        <f t="shared" si="1"/>
        <v>0</v>
      </c>
    </row>
    <row r="72" spans="1:16">
      <c r="A72" s="245"/>
      <c r="B72" s="246">
        <v>1234110</v>
      </c>
      <c r="C72" s="32">
        <v>0</v>
      </c>
      <c r="D72" s="32">
        <v>0</v>
      </c>
      <c r="E72" s="32">
        <v>0</v>
      </c>
      <c r="F72" s="32">
        <v>0</v>
      </c>
      <c r="G72" s="32">
        <v>170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N72" s="9">
        <f t="shared" si="0"/>
        <v>170</v>
      </c>
      <c r="O72" s="5">
        <f>VLOOKUP(B72,[12]sheet1!$B$3:$N$61,13,0)</f>
        <v>170</v>
      </c>
      <c r="P72" s="9">
        <f t="shared" si="1"/>
        <v>0</v>
      </c>
    </row>
    <row r="73" spans="1:16">
      <c r="A73" s="245"/>
      <c r="B73" s="246">
        <v>1234111</v>
      </c>
      <c r="C73" s="32">
        <v>0</v>
      </c>
      <c r="D73" s="32">
        <v>0</v>
      </c>
      <c r="E73" s="32">
        <v>0</v>
      </c>
      <c r="F73" s="32">
        <v>0</v>
      </c>
      <c r="G73" s="32">
        <v>170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N73" s="9">
        <f t="shared" si="0"/>
        <v>170</v>
      </c>
      <c r="O73" s="5">
        <f>VLOOKUP(B73,[12]sheet1!$B$3:$N$61,13,0)</f>
        <v>170</v>
      </c>
      <c r="P73" s="9">
        <f t="shared" si="1"/>
        <v>0</v>
      </c>
    </row>
    <row r="74" spans="1:16">
      <c r="A74" s="245"/>
      <c r="B74" s="246">
        <v>1234217</v>
      </c>
      <c r="C74" s="32">
        <v>0</v>
      </c>
      <c r="D74" s="32">
        <v>0</v>
      </c>
      <c r="E74" s="32">
        <v>0</v>
      </c>
      <c r="F74" s="32">
        <v>0</v>
      </c>
      <c r="G74" s="32">
        <v>170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N74" s="9">
        <f t="shared" si="0"/>
        <v>170</v>
      </c>
      <c r="O74" s="5">
        <f>VLOOKUP(B74,[12]sheet1!$B$3:$N$61,13,0)</f>
        <v>170</v>
      </c>
      <c r="P74" s="9">
        <f t="shared" si="1"/>
        <v>0</v>
      </c>
    </row>
    <row r="75" spans="1:16">
      <c r="A75" s="245"/>
      <c r="B75" s="246">
        <v>1234222</v>
      </c>
      <c r="C75" s="32">
        <v>0</v>
      </c>
      <c r="D75" s="32">
        <v>61</v>
      </c>
      <c r="E75" s="32">
        <v>0</v>
      </c>
      <c r="F75" s="32">
        <v>0</v>
      </c>
      <c r="G75" s="32">
        <v>0</v>
      </c>
      <c r="H75" s="32">
        <v>0</v>
      </c>
      <c r="I75" s="32">
        <v>868</v>
      </c>
      <c r="J75" s="32">
        <v>0</v>
      </c>
      <c r="K75" s="32">
        <v>0</v>
      </c>
      <c r="L75" s="32">
        <v>0</v>
      </c>
      <c r="N75" s="9">
        <f t="shared" si="0"/>
        <v>929</v>
      </c>
      <c r="O75" s="5">
        <f>VLOOKUP(B75,[12]sheet1!$B$3:$N$61,13,0)</f>
        <v>929</v>
      </c>
      <c r="P75" s="9">
        <f t="shared" si="1"/>
        <v>0</v>
      </c>
    </row>
    <row r="76" spans="1:16">
      <c r="A76" s="245"/>
      <c r="B76" s="246">
        <v>1234614</v>
      </c>
      <c r="C76" s="32">
        <v>468</v>
      </c>
      <c r="D76" s="32">
        <v>0</v>
      </c>
      <c r="E76" s="32">
        <v>216</v>
      </c>
      <c r="F76" s="32">
        <v>216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N76" s="9">
        <f t="shared" si="0"/>
        <v>900</v>
      </c>
      <c r="O76" s="5">
        <f>VLOOKUP(B76,[12]sheet1!$B$3:$N$61,13,0)</f>
        <v>900</v>
      </c>
      <c r="P76" s="9">
        <f t="shared" si="1"/>
        <v>0</v>
      </c>
    </row>
    <row r="77" spans="1:16">
      <c r="A77" s="245"/>
      <c r="B77" s="246">
        <v>1234905</v>
      </c>
      <c r="C77" s="32">
        <v>1750</v>
      </c>
      <c r="D77" s="32">
        <v>1027</v>
      </c>
      <c r="E77" s="32">
        <v>550</v>
      </c>
      <c r="F77" s="32">
        <v>950</v>
      </c>
      <c r="G77" s="32">
        <v>300</v>
      </c>
      <c r="H77" s="32">
        <v>450</v>
      </c>
      <c r="I77" s="32">
        <v>750</v>
      </c>
      <c r="J77" s="32">
        <v>750</v>
      </c>
      <c r="K77" s="32">
        <v>850</v>
      </c>
      <c r="L77" s="32">
        <v>950</v>
      </c>
      <c r="N77" s="9">
        <f t="shared" si="0"/>
        <v>8327</v>
      </c>
      <c r="O77" s="5">
        <f>VLOOKUP(B77,[12]sheet1!$B$3:$N$61,13,0)</f>
        <v>8327</v>
      </c>
      <c r="P77" s="9">
        <f t="shared" si="1"/>
        <v>0</v>
      </c>
    </row>
    <row r="78" spans="1:16">
      <c r="A78" s="245"/>
      <c r="B78" s="246">
        <v>1235097</v>
      </c>
      <c r="C78" s="32">
        <v>400</v>
      </c>
      <c r="D78" s="32">
        <v>400</v>
      </c>
      <c r="E78" s="32">
        <v>0</v>
      </c>
      <c r="F78" s="32">
        <v>321</v>
      </c>
      <c r="G78" s="32">
        <v>0</v>
      </c>
      <c r="H78" s="32">
        <v>0</v>
      </c>
      <c r="I78" s="32">
        <v>374</v>
      </c>
      <c r="J78" s="32">
        <v>300</v>
      </c>
      <c r="K78" s="32">
        <v>300</v>
      </c>
      <c r="L78" s="32">
        <v>500</v>
      </c>
      <c r="N78" s="9">
        <f t="shared" si="0"/>
        <v>2595</v>
      </c>
      <c r="O78" s="5">
        <f>VLOOKUP(B78,[12]sheet1!$B$3:$N$61,13,0)</f>
        <v>2595</v>
      </c>
      <c r="P78" s="9">
        <f t="shared" si="1"/>
        <v>0</v>
      </c>
    </row>
    <row r="79" spans="1:16">
      <c r="A79" s="245"/>
      <c r="B79" s="246">
        <v>1235845</v>
      </c>
      <c r="C79" s="32">
        <v>1850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359</v>
      </c>
      <c r="J79" s="32">
        <v>0</v>
      </c>
      <c r="K79" s="32">
        <v>0</v>
      </c>
      <c r="L79" s="32">
        <v>0</v>
      </c>
      <c r="N79" s="9">
        <f t="shared" si="0"/>
        <v>2209</v>
      </c>
      <c r="O79" s="5">
        <f>VLOOKUP(B79,[12]sheet1!$B$3:$N$61,13,0)</f>
        <v>2209</v>
      </c>
      <c r="P79" s="9">
        <f t="shared" si="1"/>
        <v>0</v>
      </c>
    </row>
    <row r="80" spans="1:16">
      <c r="A80" s="245"/>
      <c r="B80" s="246">
        <v>1236387</v>
      </c>
      <c r="C80" s="32">
        <v>110</v>
      </c>
      <c r="D80" s="32">
        <v>0</v>
      </c>
      <c r="E80" s="32">
        <v>0</v>
      </c>
      <c r="F80" s="32">
        <v>0</v>
      </c>
      <c r="G80" s="32">
        <v>600</v>
      </c>
      <c r="H80" s="32">
        <v>400</v>
      </c>
      <c r="I80" s="32">
        <v>500</v>
      </c>
      <c r="J80" s="32">
        <v>0</v>
      </c>
      <c r="K80" s="32">
        <v>400</v>
      </c>
      <c r="L80" s="32">
        <v>500</v>
      </c>
      <c r="N80" s="9">
        <f t="shared" si="0"/>
        <v>2510</v>
      </c>
      <c r="O80" s="5">
        <f>VLOOKUP(B80,[12]sheet1!$B$3:$N$61,13,0)</f>
        <v>2510</v>
      </c>
      <c r="P80" s="9">
        <f t="shared" si="1"/>
        <v>0</v>
      </c>
    </row>
    <row r="81" spans="1:20">
      <c r="A81" s="245"/>
      <c r="B81" s="246">
        <v>1236600</v>
      </c>
      <c r="C81" s="32">
        <v>999</v>
      </c>
      <c r="D81" s="32">
        <v>0</v>
      </c>
      <c r="E81" s="32">
        <v>0</v>
      </c>
      <c r="F81" s="32">
        <v>0</v>
      </c>
      <c r="G81" s="32">
        <v>0</v>
      </c>
      <c r="H81" s="32">
        <v>913</v>
      </c>
      <c r="I81" s="32">
        <v>0</v>
      </c>
      <c r="J81" s="32">
        <v>0</v>
      </c>
      <c r="K81" s="32">
        <v>0</v>
      </c>
      <c r="L81" s="32">
        <v>873</v>
      </c>
      <c r="N81" s="9">
        <f t="shared" si="0"/>
        <v>2785</v>
      </c>
      <c r="O81" s="5">
        <f>VLOOKUP(B81,[12]sheet1!$B$3:$N$61,13,0)</f>
        <v>2785</v>
      </c>
      <c r="P81" s="9">
        <f t="shared" si="1"/>
        <v>0</v>
      </c>
    </row>
    <row r="82" spans="1:20">
      <c r="A82" s="245"/>
      <c r="B82" s="246">
        <v>1236601</v>
      </c>
      <c r="C82" s="32">
        <v>143</v>
      </c>
      <c r="D82" s="32">
        <v>0</v>
      </c>
      <c r="E82" s="32">
        <v>0</v>
      </c>
      <c r="F82" s="32">
        <v>0</v>
      </c>
      <c r="G82" s="32">
        <v>0</v>
      </c>
      <c r="H82" s="32">
        <v>105</v>
      </c>
      <c r="I82" s="32">
        <v>0</v>
      </c>
      <c r="J82" s="32">
        <v>0</v>
      </c>
      <c r="K82" s="32">
        <v>0</v>
      </c>
      <c r="L82" s="32">
        <v>100</v>
      </c>
      <c r="N82" s="9">
        <f t="shared" si="0"/>
        <v>348</v>
      </c>
      <c r="O82" s="5">
        <f>VLOOKUP(B82,[12]sheet1!$B$3:$N$61,13,0)</f>
        <v>348</v>
      </c>
      <c r="P82" s="9">
        <f t="shared" si="1"/>
        <v>0</v>
      </c>
    </row>
    <row r="83" spans="1:20">
      <c r="A83" s="245"/>
      <c r="B83" s="246">
        <v>1236930</v>
      </c>
      <c r="C83" s="32">
        <v>2202</v>
      </c>
      <c r="D83" s="32">
        <v>1179</v>
      </c>
      <c r="E83" s="32">
        <v>1604</v>
      </c>
      <c r="F83" s="32">
        <v>1308</v>
      </c>
      <c r="G83" s="32">
        <v>1820</v>
      </c>
      <c r="H83" s="32">
        <v>950</v>
      </c>
      <c r="I83" s="32">
        <v>1772</v>
      </c>
      <c r="J83" s="32">
        <v>850</v>
      </c>
      <c r="K83" s="32">
        <v>2378</v>
      </c>
      <c r="L83" s="32">
        <v>1350</v>
      </c>
      <c r="N83" s="9">
        <f t="shared" si="0"/>
        <v>15413</v>
      </c>
      <c r="O83" s="5">
        <f>VLOOKUP(B83,[12]sheet1!$B$3:$N$61,13,0)</f>
        <v>15413</v>
      </c>
      <c r="P83" s="9">
        <f t="shared" si="1"/>
        <v>0</v>
      </c>
    </row>
    <row r="84" spans="1:20">
      <c r="A84" s="245"/>
      <c r="B84" s="246">
        <v>1237210</v>
      </c>
      <c r="C84" s="32">
        <v>0</v>
      </c>
      <c r="D84" s="32">
        <v>0</v>
      </c>
      <c r="E84" s="32">
        <v>0</v>
      </c>
      <c r="F84" s="32">
        <v>0</v>
      </c>
      <c r="G84" s="32">
        <v>0</v>
      </c>
      <c r="H84" s="32">
        <v>0</v>
      </c>
      <c r="I84" s="32">
        <v>375</v>
      </c>
      <c r="J84" s="32">
        <v>160</v>
      </c>
      <c r="K84" s="32">
        <v>0</v>
      </c>
      <c r="L84" s="32">
        <v>0</v>
      </c>
      <c r="N84" s="9">
        <f t="shared" si="0"/>
        <v>535</v>
      </c>
      <c r="O84" s="5">
        <f>VLOOKUP(B84,[12]sheet1!$B$3:$N$61,13,0)</f>
        <v>535</v>
      </c>
      <c r="P84" s="9">
        <f t="shared" si="1"/>
        <v>0</v>
      </c>
    </row>
    <row r="85" spans="1:20" customFormat="1" ht="11.25">
      <c r="A85" s="248"/>
      <c r="B85" s="28">
        <v>1237386</v>
      </c>
      <c r="C85" s="105">
        <v>150</v>
      </c>
      <c r="D85" s="105">
        <v>0</v>
      </c>
      <c r="E85" s="105">
        <v>0</v>
      </c>
      <c r="F85" s="105">
        <v>0</v>
      </c>
      <c r="G85" s="105">
        <v>0</v>
      </c>
      <c r="H85" s="105">
        <v>0</v>
      </c>
      <c r="I85" s="105">
        <v>0</v>
      </c>
      <c r="J85" s="105">
        <v>0</v>
      </c>
      <c r="K85" s="105">
        <v>0</v>
      </c>
      <c r="L85" s="105">
        <v>0</v>
      </c>
      <c r="M85" s="14"/>
      <c r="N85" s="14">
        <f t="shared" ref="N85" si="2">SUM(C85:L85)</f>
        <v>150</v>
      </c>
      <c r="O85" s="14"/>
      <c r="P85" s="14"/>
      <c r="Q85" s="14"/>
      <c r="R85" s="14"/>
      <c r="S85" s="14"/>
      <c r="T85" s="14"/>
    </row>
    <row r="86" spans="1:20">
      <c r="A86" s="245"/>
      <c r="B86" s="246">
        <v>1237468</v>
      </c>
      <c r="C86" s="32">
        <v>0</v>
      </c>
      <c r="D86" s="32">
        <v>0</v>
      </c>
      <c r="E86" s="32">
        <v>0</v>
      </c>
      <c r="F86" s="32">
        <v>0</v>
      </c>
      <c r="G86" s="32">
        <v>216</v>
      </c>
      <c r="H86" s="32">
        <v>82</v>
      </c>
      <c r="I86" s="32">
        <v>0</v>
      </c>
      <c r="J86" s="32">
        <v>0</v>
      </c>
      <c r="K86" s="32">
        <v>0</v>
      </c>
      <c r="L86" s="32">
        <v>79</v>
      </c>
      <c r="N86" s="9">
        <f t="shared" ref="N86:N96" si="3">SUM(C86:L86)</f>
        <v>377</v>
      </c>
      <c r="O86" s="5">
        <f>VLOOKUP(B86,[12]sheet1!$B$3:$N$61,13,0)</f>
        <v>377</v>
      </c>
      <c r="P86" s="9">
        <f t="shared" si="1"/>
        <v>0</v>
      </c>
    </row>
    <row r="87" spans="1:20">
      <c r="A87" s="245"/>
      <c r="B87" s="246">
        <v>1238453</v>
      </c>
      <c r="C87" s="32">
        <v>0</v>
      </c>
      <c r="D87" s="32">
        <v>191</v>
      </c>
      <c r="E87" s="32">
        <v>0</v>
      </c>
      <c r="F87" s="32">
        <v>0</v>
      </c>
      <c r="G87" s="32">
        <v>0</v>
      </c>
      <c r="H87" s="32">
        <v>190</v>
      </c>
      <c r="I87" s="32">
        <v>0</v>
      </c>
      <c r="J87" s="32">
        <v>0</v>
      </c>
      <c r="K87" s="32">
        <v>0</v>
      </c>
      <c r="L87" s="32">
        <v>175</v>
      </c>
      <c r="N87" s="9">
        <f t="shared" si="3"/>
        <v>556</v>
      </c>
      <c r="O87" s="5">
        <f>VLOOKUP(B87,[12]sheet1!$B$3:$N$61,13,0)</f>
        <v>556</v>
      </c>
      <c r="P87" s="9">
        <f t="shared" si="1"/>
        <v>0</v>
      </c>
    </row>
    <row r="88" spans="1:20">
      <c r="A88" s="245"/>
      <c r="B88" s="247">
        <v>1238480</v>
      </c>
      <c r="C88" s="32">
        <v>2738</v>
      </c>
      <c r="D88" s="32">
        <v>2914</v>
      </c>
      <c r="E88" s="32">
        <v>7462</v>
      </c>
      <c r="F88" s="32">
        <v>5829</v>
      </c>
      <c r="G88" s="32">
        <v>5255</v>
      </c>
      <c r="H88" s="32">
        <v>3790</v>
      </c>
      <c r="I88" s="32">
        <v>4439</v>
      </c>
      <c r="J88" s="32">
        <v>3485</v>
      </c>
      <c r="K88" s="32">
        <v>4842</v>
      </c>
      <c r="L88" s="32">
        <v>2000</v>
      </c>
      <c r="N88" s="9">
        <f t="shared" si="3"/>
        <v>42754</v>
      </c>
      <c r="O88" s="5">
        <f>VLOOKUP(B88,[12]sheet1!$B$3:$N$61,13,0)</f>
        <v>42754</v>
      </c>
      <c r="P88" s="9">
        <f t="shared" si="1"/>
        <v>0</v>
      </c>
    </row>
    <row r="89" spans="1:20">
      <c r="A89" s="245"/>
      <c r="B89" s="246">
        <v>1238605</v>
      </c>
      <c r="C89" s="32">
        <v>560</v>
      </c>
      <c r="D89" s="32">
        <v>0</v>
      </c>
      <c r="E89" s="32">
        <v>0</v>
      </c>
      <c r="F89" s="32">
        <v>0</v>
      </c>
      <c r="G89" s="32">
        <v>426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N89" s="9">
        <f t="shared" si="3"/>
        <v>986</v>
      </c>
      <c r="O89" s="5">
        <f>VLOOKUP(B89,[12]sheet1!$B$3:$N$61,13,0)</f>
        <v>986</v>
      </c>
      <c r="P89" s="9">
        <f t="shared" si="1"/>
        <v>0</v>
      </c>
    </row>
    <row r="90" spans="1:20">
      <c r="A90" s="245"/>
      <c r="B90" s="246">
        <v>1240180</v>
      </c>
      <c r="C90" s="32">
        <v>250</v>
      </c>
      <c r="D90" s="32">
        <v>300</v>
      </c>
      <c r="E90" s="32">
        <v>0</v>
      </c>
      <c r="F90" s="32">
        <v>0</v>
      </c>
      <c r="G90" s="32">
        <v>150</v>
      </c>
      <c r="H90" s="32">
        <v>202</v>
      </c>
      <c r="I90" s="32">
        <v>0</v>
      </c>
      <c r="J90" s="32">
        <v>0</v>
      </c>
      <c r="K90" s="32">
        <v>948</v>
      </c>
      <c r="L90" s="32">
        <v>800</v>
      </c>
      <c r="N90" s="9">
        <f t="shared" si="3"/>
        <v>2650</v>
      </c>
      <c r="O90" s="5">
        <f>VLOOKUP(B90,[12]sheet1!$B$3:$N$61,13,0)</f>
        <v>2650</v>
      </c>
      <c r="P90" s="9">
        <f t="shared" si="1"/>
        <v>0</v>
      </c>
    </row>
    <row r="91" spans="1:20">
      <c r="A91" s="245"/>
      <c r="B91" s="246">
        <v>1240184</v>
      </c>
      <c r="C91" s="32">
        <v>250</v>
      </c>
      <c r="D91" s="32">
        <v>300</v>
      </c>
      <c r="E91" s="32">
        <v>0</v>
      </c>
      <c r="F91" s="32">
        <v>0</v>
      </c>
      <c r="G91" s="32">
        <v>150</v>
      </c>
      <c r="H91" s="32">
        <v>202</v>
      </c>
      <c r="I91" s="32">
        <v>0</v>
      </c>
      <c r="J91" s="32">
        <v>0</v>
      </c>
      <c r="K91" s="32">
        <v>948</v>
      </c>
      <c r="L91" s="32">
        <v>800</v>
      </c>
      <c r="N91" s="9">
        <f t="shared" si="3"/>
        <v>2650</v>
      </c>
      <c r="O91" s="5">
        <f>VLOOKUP(B91,[12]sheet1!$B$3:$N$61,13,0)</f>
        <v>2650</v>
      </c>
      <c r="P91" s="9">
        <f t="shared" si="1"/>
        <v>0</v>
      </c>
    </row>
    <row r="92" spans="1:20">
      <c r="A92" s="245"/>
      <c r="B92" s="246">
        <v>1241343</v>
      </c>
      <c r="C92" s="32">
        <v>0</v>
      </c>
      <c r="D92" s="32">
        <v>0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20</v>
      </c>
      <c r="K92" s="32">
        <v>0</v>
      </c>
      <c r="L92" s="32">
        <v>0</v>
      </c>
      <c r="N92" s="9">
        <f t="shared" si="3"/>
        <v>20</v>
      </c>
      <c r="O92" s="5">
        <f>VLOOKUP(B92,[12]sheet1!$B$3:$N$61,13,0)</f>
        <v>20</v>
      </c>
      <c r="P92" s="9">
        <f t="shared" si="1"/>
        <v>0</v>
      </c>
    </row>
    <row r="93" spans="1:20">
      <c r="A93" s="245"/>
      <c r="B93" s="246">
        <v>1241347</v>
      </c>
      <c r="C93" s="32">
        <v>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20</v>
      </c>
      <c r="K93" s="32">
        <v>0</v>
      </c>
      <c r="L93" s="32">
        <v>0</v>
      </c>
      <c r="N93" s="9">
        <f t="shared" si="3"/>
        <v>20</v>
      </c>
      <c r="O93" s="5">
        <f>VLOOKUP(B93,[12]sheet1!$B$3:$N$61,13,0)</f>
        <v>20</v>
      </c>
      <c r="P93" s="9">
        <f t="shared" si="1"/>
        <v>0</v>
      </c>
    </row>
    <row r="94" spans="1:20">
      <c r="A94" s="245"/>
      <c r="B94" s="246">
        <v>1241387</v>
      </c>
      <c r="C94" s="32">
        <v>0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151</v>
      </c>
      <c r="K94" s="32">
        <v>0</v>
      </c>
      <c r="L94" s="32">
        <v>0</v>
      </c>
      <c r="N94" s="9">
        <f t="shared" si="3"/>
        <v>151</v>
      </c>
      <c r="O94" s="5">
        <f>VLOOKUP(B94,[12]sheet1!$B$3:$N$61,13,0)</f>
        <v>151</v>
      </c>
      <c r="P94" s="9">
        <f t="shared" si="1"/>
        <v>0</v>
      </c>
    </row>
    <row r="95" spans="1:20">
      <c r="A95" s="245"/>
      <c r="B95" s="246">
        <v>1241474</v>
      </c>
      <c r="C95" s="32">
        <v>0</v>
      </c>
      <c r="D95" s="32">
        <v>0</v>
      </c>
      <c r="E95" s="32">
        <v>37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  <c r="N95" s="9">
        <f t="shared" si="3"/>
        <v>37</v>
      </c>
      <c r="O95" s="5">
        <f>VLOOKUP(B95,[12]sheet1!$B$3:$N$61,13,0)</f>
        <v>37</v>
      </c>
      <c r="P95" s="9">
        <f t="shared" si="1"/>
        <v>0</v>
      </c>
    </row>
    <row r="96" spans="1:20">
      <c r="A96" s="245"/>
      <c r="B96" s="246">
        <v>1241480</v>
      </c>
      <c r="C96" s="32">
        <v>0</v>
      </c>
      <c r="D96" s="32">
        <v>0</v>
      </c>
      <c r="E96" s="32">
        <v>0</v>
      </c>
      <c r="F96" s="32">
        <v>0</v>
      </c>
      <c r="G96" s="32">
        <v>0</v>
      </c>
      <c r="H96" s="32">
        <v>0</v>
      </c>
      <c r="I96" s="32">
        <v>0</v>
      </c>
      <c r="J96" s="32">
        <v>26</v>
      </c>
      <c r="K96" s="32">
        <v>0</v>
      </c>
      <c r="L96" s="32">
        <v>0</v>
      </c>
      <c r="N96" s="9">
        <f t="shared" si="3"/>
        <v>26</v>
      </c>
      <c r="O96" s="5">
        <f>VLOOKUP(B96,[12]sheet1!$B$3:$N$61,13,0)</f>
        <v>26</v>
      </c>
      <c r="P96" s="9">
        <f t="shared" si="1"/>
        <v>0</v>
      </c>
    </row>
    <row r="98" spans="3:12">
      <c r="C98" s="9">
        <f>SUM(C38:C97)</f>
        <v>30483</v>
      </c>
      <c r="D98" s="9">
        <f t="shared" ref="D98:L98" si="4">SUM(D38:D97)</f>
        <v>11230</v>
      </c>
      <c r="E98" s="9">
        <f t="shared" si="4"/>
        <v>29342</v>
      </c>
      <c r="F98" s="9">
        <f t="shared" si="4"/>
        <v>20221</v>
      </c>
      <c r="G98" s="9">
        <f t="shared" si="4"/>
        <v>18521</v>
      </c>
      <c r="H98" s="9">
        <f t="shared" si="4"/>
        <v>11829</v>
      </c>
      <c r="I98" s="9">
        <f t="shared" si="4"/>
        <v>14152</v>
      </c>
      <c r="J98" s="9">
        <f t="shared" si="4"/>
        <v>7962</v>
      </c>
      <c r="K98" s="9">
        <f t="shared" si="4"/>
        <v>28331</v>
      </c>
      <c r="L98" s="9">
        <f t="shared" si="4"/>
        <v>13378</v>
      </c>
    </row>
    <row r="99" spans="3:12">
      <c r="C99" s="9">
        <v>30483</v>
      </c>
      <c r="D99" s="9">
        <v>11230</v>
      </c>
      <c r="E99" s="9">
        <v>29342</v>
      </c>
      <c r="F99" s="9">
        <v>20221</v>
      </c>
      <c r="G99" s="9">
        <v>18521</v>
      </c>
      <c r="H99" s="9">
        <v>11829</v>
      </c>
      <c r="I99" s="9">
        <v>14152</v>
      </c>
      <c r="J99" s="9">
        <v>7962</v>
      </c>
      <c r="K99" s="9">
        <v>28331</v>
      </c>
      <c r="L99" s="9">
        <v>13378</v>
      </c>
    </row>
    <row r="100" spans="3:12">
      <c r="C100" s="9">
        <f>+C98-C99</f>
        <v>0</v>
      </c>
      <c r="D100" s="9">
        <f t="shared" ref="D100:L100" si="5">+D98-D99</f>
        <v>0</v>
      </c>
      <c r="E100" s="9">
        <f t="shared" si="5"/>
        <v>0</v>
      </c>
      <c r="F100" s="9">
        <f t="shared" si="5"/>
        <v>0</v>
      </c>
      <c r="G100" s="9">
        <f t="shared" si="5"/>
        <v>0</v>
      </c>
      <c r="H100" s="9">
        <f t="shared" si="5"/>
        <v>0</v>
      </c>
      <c r="I100" s="9">
        <f t="shared" si="5"/>
        <v>0</v>
      </c>
      <c r="J100" s="9">
        <f t="shared" si="5"/>
        <v>0</v>
      </c>
      <c r="K100" s="9">
        <f t="shared" si="5"/>
        <v>0</v>
      </c>
      <c r="L100" s="9">
        <f t="shared" si="5"/>
        <v>0</v>
      </c>
    </row>
  </sheetData>
  <mergeCells count="4">
    <mergeCell ref="A36:A37"/>
    <mergeCell ref="B36:B37"/>
    <mergeCell ref="A1:A2"/>
    <mergeCell ref="B1:B2"/>
  </mergeCells>
  <phoneticPr fontId="1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021B-720C-4525-AAFB-70431BC0BEAC}">
  <dimension ref="A1:S60"/>
  <sheetViews>
    <sheetView topLeftCell="A31" zoomScale="130" zoomScaleNormal="130" workbookViewId="0">
      <selection activeCell="Q37" sqref="Q37"/>
    </sheetView>
  </sheetViews>
  <sheetFormatPr defaultRowHeight="11.25"/>
  <cols>
    <col min="1" max="1" width="9.1640625" style="13"/>
    <col min="2" max="2" width="9.1640625" style="14"/>
    <col min="3" max="18" width="9.1640625" style="14" customWidth="1"/>
    <col min="19" max="19" width="9.1640625" style="14"/>
  </cols>
  <sheetData>
    <row r="1" spans="1:19">
      <c r="A1" s="25" t="s">
        <v>0</v>
      </c>
      <c r="B1" s="14" t="s">
        <v>1110</v>
      </c>
      <c r="C1" s="14" t="s">
        <v>1111</v>
      </c>
      <c r="D1" s="14" t="s">
        <v>1112</v>
      </c>
      <c r="E1" s="14" t="s">
        <v>1113</v>
      </c>
      <c r="F1" s="14" t="s">
        <v>1114</v>
      </c>
      <c r="G1" s="16" t="s">
        <v>1115</v>
      </c>
      <c r="H1" s="14" t="s">
        <v>1116</v>
      </c>
      <c r="I1" s="14" t="s">
        <v>1117</v>
      </c>
      <c r="J1" s="14" t="s">
        <v>1118</v>
      </c>
      <c r="K1" s="14" t="s">
        <v>1119</v>
      </c>
      <c r="L1" s="14" t="s">
        <v>1120</v>
      </c>
      <c r="M1" s="14" t="s">
        <v>1121</v>
      </c>
      <c r="N1" s="14" t="s">
        <v>1122</v>
      </c>
      <c r="O1" s="14" t="s">
        <v>1123</v>
      </c>
      <c r="P1" s="14" t="s">
        <v>1124</v>
      </c>
      <c r="Q1" s="14" t="s">
        <v>1125</v>
      </c>
      <c r="R1" s="14" t="s">
        <v>1126</v>
      </c>
      <c r="S1" s="14" t="s">
        <v>1127</v>
      </c>
    </row>
    <row r="2" spans="1:19">
      <c r="A2" s="13">
        <v>1234614</v>
      </c>
      <c r="B2" s="14">
        <v>0</v>
      </c>
      <c r="C2" s="14">
        <v>0</v>
      </c>
      <c r="D2" s="14">
        <v>0</v>
      </c>
      <c r="E2" s="14">
        <v>0</v>
      </c>
      <c r="F2" s="14">
        <v>24</v>
      </c>
      <c r="G2" s="16">
        <v>276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</row>
    <row r="3" spans="1:19">
      <c r="A3" s="13">
        <v>1229673</v>
      </c>
      <c r="B3" s="14">
        <v>300</v>
      </c>
      <c r="C3" s="14">
        <v>200</v>
      </c>
      <c r="D3" s="14">
        <v>0</v>
      </c>
      <c r="E3" s="14">
        <v>0</v>
      </c>
      <c r="F3" s="14">
        <v>300</v>
      </c>
      <c r="G3" s="14">
        <v>0</v>
      </c>
      <c r="H3" s="14">
        <v>0</v>
      </c>
      <c r="I3" s="14">
        <v>252</v>
      </c>
      <c r="J3" s="14">
        <v>0</v>
      </c>
      <c r="K3" s="14">
        <v>0</v>
      </c>
      <c r="L3" s="14">
        <v>0</v>
      </c>
      <c r="M3" s="14">
        <v>250</v>
      </c>
      <c r="N3" s="14">
        <v>250</v>
      </c>
      <c r="O3" s="14">
        <v>250</v>
      </c>
      <c r="P3" s="14">
        <v>250</v>
      </c>
      <c r="Q3" s="14">
        <v>300</v>
      </c>
      <c r="R3" s="14">
        <v>0</v>
      </c>
      <c r="S3" s="14">
        <v>0</v>
      </c>
    </row>
    <row r="4" spans="1:19">
      <c r="A4" s="13">
        <v>1230854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200</v>
      </c>
      <c r="Q4" s="14">
        <v>0</v>
      </c>
      <c r="R4" s="14">
        <v>0</v>
      </c>
      <c r="S4" s="14">
        <v>0</v>
      </c>
    </row>
    <row r="5" spans="1:19">
      <c r="A5" s="13">
        <v>1233492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6">
        <v>356</v>
      </c>
      <c r="H5" s="14">
        <v>144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</row>
    <row r="6" spans="1:19">
      <c r="A6" s="13">
        <v>1233498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6">
        <v>356</v>
      </c>
      <c r="H6" s="14">
        <v>144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</row>
    <row r="7" spans="1:19">
      <c r="A7" s="13">
        <v>1233623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6">
        <v>356</v>
      </c>
      <c r="H7" s="14">
        <v>144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</row>
    <row r="8" spans="1:19">
      <c r="A8" s="13">
        <v>1235623</v>
      </c>
      <c r="B8" s="14">
        <v>0</v>
      </c>
      <c r="C8" s="14">
        <v>52</v>
      </c>
      <c r="D8" s="14">
        <v>0</v>
      </c>
      <c r="E8" s="14">
        <v>0</v>
      </c>
      <c r="F8" s="14">
        <v>884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</row>
    <row r="9" spans="1:19">
      <c r="A9" s="13">
        <v>1237088</v>
      </c>
      <c r="B9" s="14">
        <v>322</v>
      </c>
      <c r="C9" s="14">
        <v>232</v>
      </c>
      <c r="D9" s="14">
        <v>0</v>
      </c>
      <c r="E9" s="14">
        <v>0</v>
      </c>
      <c r="F9" s="14">
        <v>736</v>
      </c>
      <c r="G9" s="16">
        <v>816</v>
      </c>
      <c r="H9" s="14">
        <v>788</v>
      </c>
      <c r="I9" s="14">
        <v>202</v>
      </c>
      <c r="J9" s="14">
        <v>870</v>
      </c>
      <c r="K9" s="14">
        <v>0</v>
      </c>
      <c r="L9" s="14">
        <v>0</v>
      </c>
      <c r="M9" s="14">
        <v>650</v>
      </c>
      <c r="N9" s="14">
        <v>804</v>
      </c>
      <c r="O9" s="14">
        <v>518</v>
      </c>
      <c r="P9" s="14">
        <v>746</v>
      </c>
      <c r="Q9" s="14">
        <v>418</v>
      </c>
      <c r="R9" s="14">
        <v>0</v>
      </c>
      <c r="S9" s="14">
        <v>0</v>
      </c>
    </row>
    <row r="10" spans="1:19">
      <c r="A10" s="13">
        <v>1237748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312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</row>
    <row r="11" spans="1:19">
      <c r="A11" s="13">
        <v>1236091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200</v>
      </c>
      <c r="P11" s="14">
        <v>0</v>
      </c>
      <c r="Q11" s="14">
        <v>0</v>
      </c>
      <c r="R11" s="14">
        <v>0</v>
      </c>
      <c r="S11" s="14">
        <v>0</v>
      </c>
    </row>
    <row r="12" spans="1:19">
      <c r="A12" s="13">
        <v>1238128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30</v>
      </c>
      <c r="I12" s="14">
        <v>464</v>
      </c>
      <c r="J12" s="14">
        <v>464</v>
      </c>
      <c r="K12" s="14">
        <v>0</v>
      </c>
      <c r="L12" s="14">
        <v>0</v>
      </c>
      <c r="M12" s="14">
        <v>590</v>
      </c>
      <c r="N12" s="14">
        <v>70</v>
      </c>
      <c r="O12" s="14">
        <v>244</v>
      </c>
      <c r="P12" s="14">
        <v>32</v>
      </c>
      <c r="Q12" s="14">
        <v>378</v>
      </c>
      <c r="R12" s="14">
        <v>0</v>
      </c>
      <c r="S12" s="14">
        <v>0</v>
      </c>
    </row>
    <row r="13" spans="1:19">
      <c r="A13" s="13">
        <v>1236962</v>
      </c>
      <c r="B13" s="14">
        <v>200</v>
      </c>
      <c r="C13" s="14">
        <v>200</v>
      </c>
      <c r="D13" s="14">
        <v>0</v>
      </c>
      <c r="E13" s="14">
        <v>0</v>
      </c>
      <c r="F13" s="14">
        <v>200</v>
      </c>
      <c r="G13" s="16">
        <v>200</v>
      </c>
      <c r="H13" s="14">
        <v>300</v>
      </c>
      <c r="I13" s="14">
        <v>300</v>
      </c>
      <c r="J13" s="14">
        <v>200</v>
      </c>
      <c r="K13" s="14">
        <v>0</v>
      </c>
      <c r="L13" s="14">
        <v>0</v>
      </c>
      <c r="M13" s="14">
        <v>0</v>
      </c>
      <c r="N13" s="14">
        <v>200</v>
      </c>
      <c r="O13" s="14">
        <v>200</v>
      </c>
      <c r="P13" s="14">
        <v>300</v>
      </c>
      <c r="Q13" s="14">
        <v>0</v>
      </c>
      <c r="R13" s="14">
        <v>0</v>
      </c>
      <c r="S13" s="14">
        <v>0</v>
      </c>
    </row>
    <row r="14" spans="1:19">
      <c r="A14" s="13">
        <v>1233761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200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</row>
    <row r="15" spans="1:19">
      <c r="A15" s="13">
        <v>1239651</v>
      </c>
      <c r="B15" s="14">
        <v>0</v>
      </c>
      <c r="C15" s="14">
        <v>0</v>
      </c>
      <c r="D15" s="14">
        <v>0</v>
      </c>
      <c r="E15" s="14">
        <v>0</v>
      </c>
      <c r="F15" s="14">
        <v>200</v>
      </c>
      <c r="G15" s="16">
        <v>300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400</v>
      </c>
      <c r="R15" s="14">
        <v>0</v>
      </c>
      <c r="S15" s="14">
        <v>0</v>
      </c>
    </row>
    <row r="16" spans="1:19">
      <c r="A16" s="13">
        <v>1239988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330</v>
      </c>
      <c r="J16" s="14">
        <v>400</v>
      </c>
      <c r="K16" s="14">
        <v>0</v>
      </c>
      <c r="L16" s="14">
        <v>0</v>
      </c>
      <c r="M16" s="14">
        <v>50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</row>
    <row r="17" spans="1:19">
      <c r="A17" s="13">
        <v>1240180</v>
      </c>
      <c r="B17" s="14">
        <v>334</v>
      </c>
      <c r="C17" s="14">
        <v>316</v>
      </c>
      <c r="D17" s="14">
        <v>0</v>
      </c>
      <c r="E17" s="14">
        <v>0</v>
      </c>
      <c r="F17" s="14">
        <v>426</v>
      </c>
      <c r="G17" s="16">
        <v>426</v>
      </c>
      <c r="H17" s="14">
        <v>334</v>
      </c>
      <c r="I17" s="14">
        <v>216</v>
      </c>
      <c r="J17" s="14">
        <v>322</v>
      </c>
      <c r="K17" s="14">
        <v>0</v>
      </c>
      <c r="L17" s="14">
        <v>0</v>
      </c>
      <c r="M17" s="14">
        <v>294</v>
      </c>
      <c r="N17" s="14">
        <v>0</v>
      </c>
      <c r="O17" s="14">
        <v>124</v>
      </c>
      <c r="P17" s="14">
        <v>390</v>
      </c>
      <c r="Q17" s="14">
        <v>306</v>
      </c>
      <c r="R17" s="14">
        <v>0</v>
      </c>
      <c r="S17" s="14">
        <v>0</v>
      </c>
    </row>
    <row r="18" spans="1:19">
      <c r="A18" s="13">
        <v>1240184</v>
      </c>
      <c r="B18" s="14">
        <v>334</v>
      </c>
      <c r="C18" s="14">
        <v>316</v>
      </c>
      <c r="D18" s="14">
        <v>0</v>
      </c>
      <c r="E18" s="14">
        <v>0</v>
      </c>
      <c r="F18" s="14">
        <v>426</v>
      </c>
      <c r="G18" s="16">
        <v>426</v>
      </c>
      <c r="H18" s="14">
        <v>334</v>
      </c>
      <c r="I18" s="14">
        <v>216</v>
      </c>
      <c r="J18" s="14">
        <v>322</v>
      </c>
      <c r="K18" s="14">
        <v>0</v>
      </c>
      <c r="L18" s="14">
        <v>0</v>
      </c>
      <c r="M18" s="14">
        <v>294</v>
      </c>
      <c r="N18" s="14">
        <v>0</v>
      </c>
      <c r="O18" s="14">
        <v>0</v>
      </c>
      <c r="P18" s="14">
        <v>314</v>
      </c>
      <c r="Q18" s="14">
        <v>306</v>
      </c>
      <c r="R18" s="14">
        <v>0</v>
      </c>
      <c r="S18" s="14">
        <v>0</v>
      </c>
    </row>
    <row r="19" spans="1:19">
      <c r="A19" s="13">
        <v>1240308</v>
      </c>
      <c r="B19" s="14">
        <v>400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270</v>
      </c>
      <c r="J19" s="14">
        <v>0</v>
      </c>
      <c r="K19" s="14">
        <v>0</v>
      </c>
      <c r="L19" s="14">
        <v>0</v>
      </c>
      <c r="M19" s="14">
        <v>0</v>
      </c>
      <c r="N19" s="14">
        <v>150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</row>
    <row r="20" spans="1:19">
      <c r="A20" s="13">
        <v>1241601</v>
      </c>
      <c r="B20" s="14">
        <v>2246</v>
      </c>
      <c r="C20" s="14">
        <v>1600</v>
      </c>
      <c r="D20" s="14">
        <v>0</v>
      </c>
      <c r="E20" s="14">
        <v>0</v>
      </c>
      <c r="F20" s="14">
        <v>1564</v>
      </c>
      <c r="G20" s="16">
        <v>1564</v>
      </c>
      <c r="H20" s="14">
        <v>1228</v>
      </c>
      <c r="I20" s="14">
        <v>798</v>
      </c>
      <c r="J20" s="14">
        <v>578</v>
      </c>
      <c r="K20" s="14">
        <v>0</v>
      </c>
      <c r="L20" s="14">
        <v>0</v>
      </c>
      <c r="M20" s="14">
        <v>904</v>
      </c>
      <c r="N20" s="14">
        <v>1598</v>
      </c>
      <c r="O20" s="14">
        <v>1538</v>
      </c>
      <c r="P20" s="14">
        <v>2198</v>
      </c>
      <c r="Q20" s="14">
        <v>1228</v>
      </c>
      <c r="R20" s="14">
        <v>0</v>
      </c>
      <c r="S20" s="14">
        <v>0</v>
      </c>
    </row>
    <row r="21" spans="1:19">
      <c r="A21" s="13">
        <v>1242242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200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</row>
    <row r="25" spans="1:19">
      <c r="A25" s="25" t="s">
        <v>0</v>
      </c>
      <c r="B25" s="14" t="s">
        <v>1110</v>
      </c>
      <c r="C25" s="14" t="s">
        <v>1111</v>
      </c>
      <c r="D25" s="14" t="s">
        <v>1112</v>
      </c>
      <c r="E25" s="14" t="s">
        <v>1113</v>
      </c>
      <c r="F25" s="14" t="s">
        <v>1114</v>
      </c>
      <c r="G25" s="14" t="s">
        <v>1115</v>
      </c>
      <c r="H25" s="14" t="s">
        <v>1116</v>
      </c>
      <c r="I25" s="14" t="s">
        <v>1117</v>
      </c>
      <c r="J25" s="14" t="s">
        <v>1118</v>
      </c>
      <c r="K25" s="14" t="s">
        <v>1119</v>
      </c>
      <c r="L25" s="14" t="s">
        <v>1120</v>
      </c>
      <c r="M25" s="14" t="s">
        <v>1121</v>
      </c>
      <c r="N25" s="14" t="s">
        <v>1122</v>
      </c>
      <c r="O25" s="14" t="s">
        <v>1123</v>
      </c>
      <c r="P25" s="14" t="s">
        <v>1124</v>
      </c>
      <c r="Q25" s="14" t="s">
        <v>1125</v>
      </c>
      <c r="R25" s="14" t="s">
        <v>1126</v>
      </c>
      <c r="S25" s="14" t="s">
        <v>1127</v>
      </c>
    </row>
    <row r="26" spans="1:19">
      <c r="A26" s="13">
        <v>1237608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300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</row>
    <row r="27" spans="1:19">
      <c r="A27" s="13">
        <v>1236387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238</v>
      </c>
      <c r="N27" s="14">
        <v>357</v>
      </c>
      <c r="O27" s="14">
        <v>357</v>
      </c>
      <c r="P27" s="14">
        <v>255</v>
      </c>
      <c r="Q27" s="14">
        <v>0</v>
      </c>
      <c r="R27" s="14">
        <v>0</v>
      </c>
      <c r="S27" s="14">
        <v>0</v>
      </c>
    </row>
    <row r="28" spans="1:19">
      <c r="A28" s="13">
        <v>1232775</v>
      </c>
      <c r="B28" s="14">
        <v>245</v>
      </c>
      <c r="C28" s="14">
        <v>245</v>
      </c>
      <c r="D28" s="14">
        <v>0</v>
      </c>
      <c r="E28" s="14">
        <v>0</v>
      </c>
      <c r="F28" s="99">
        <v>242</v>
      </c>
      <c r="G28" s="99">
        <v>242</v>
      </c>
      <c r="H28" s="99">
        <v>245</v>
      </c>
      <c r="I28" s="14">
        <v>242</v>
      </c>
      <c r="J28" s="14">
        <v>242</v>
      </c>
      <c r="K28" s="14">
        <v>0</v>
      </c>
      <c r="L28" s="14">
        <v>0</v>
      </c>
      <c r="M28" s="14">
        <v>242</v>
      </c>
      <c r="N28" s="14">
        <v>242</v>
      </c>
      <c r="O28" s="14">
        <v>242</v>
      </c>
      <c r="P28" s="14">
        <v>245</v>
      </c>
      <c r="Q28" s="14">
        <v>242</v>
      </c>
      <c r="R28" s="14">
        <v>0</v>
      </c>
      <c r="S28" s="14">
        <v>0</v>
      </c>
    </row>
    <row r="29" spans="1:19">
      <c r="A29" s="13">
        <v>1238605</v>
      </c>
      <c r="B29" s="14">
        <v>190</v>
      </c>
      <c r="C29" s="14">
        <v>190</v>
      </c>
      <c r="D29" s="14">
        <v>0</v>
      </c>
      <c r="E29" s="14">
        <v>0</v>
      </c>
      <c r="F29" s="99">
        <v>192</v>
      </c>
      <c r="G29" s="99">
        <v>190</v>
      </c>
      <c r="H29" s="14">
        <v>192</v>
      </c>
      <c r="I29" s="14">
        <v>190</v>
      </c>
      <c r="J29" s="14">
        <v>190</v>
      </c>
      <c r="K29" s="14">
        <v>0</v>
      </c>
      <c r="L29" s="14">
        <v>0</v>
      </c>
      <c r="M29" s="14">
        <v>40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</row>
    <row r="34" spans="1:19">
      <c r="A34" s="25" t="s">
        <v>0</v>
      </c>
      <c r="B34" s="14" t="s">
        <v>1110</v>
      </c>
      <c r="C34" s="14" t="s">
        <v>1111</v>
      </c>
      <c r="D34" s="14" t="s">
        <v>1112</v>
      </c>
      <c r="E34" s="14" t="s">
        <v>1113</v>
      </c>
      <c r="F34" s="14" t="s">
        <v>1114</v>
      </c>
      <c r="G34" s="14" t="s">
        <v>1115</v>
      </c>
      <c r="H34" s="14" t="s">
        <v>1116</v>
      </c>
      <c r="I34" s="14" t="s">
        <v>1117</v>
      </c>
      <c r="J34" s="14" t="s">
        <v>1118</v>
      </c>
      <c r="K34" s="14" t="s">
        <v>1119</v>
      </c>
      <c r="L34" s="14" t="s">
        <v>1120</v>
      </c>
      <c r="M34" s="14" t="s">
        <v>1121</v>
      </c>
      <c r="N34" s="14" t="s">
        <v>1122</v>
      </c>
      <c r="O34" s="14" t="s">
        <v>1123</v>
      </c>
      <c r="P34" s="14" t="s">
        <v>1124</v>
      </c>
      <c r="Q34" s="14" t="s">
        <v>1125</v>
      </c>
      <c r="R34" s="14" t="s">
        <v>1126</v>
      </c>
      <c r="S34" s="14" t="s">
        <v>1127</v>
      </c>
    </row>
    <row r="35" spans="1:19">
      <c r="A35" s="13">
        <v>1227306</v>
      </c>
      <c r="B35" s="14">
        <v>108</v>
      </c>
      <c r="C35" s="14">
        <v>382</v>
      </c>
      <c r="D35" s="14">
        <v>0</v>
      </c>
      <c r="E35" s="14">
        <v>0</v>
      </c>
      <c r="F35" s="14">
        <v>383</v>
      </c>
      <c r="G35" s="14">
        <v>161</v>
      </c>
      <c r="H35" s="16">
        <v>56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300</v>
      </c>
      <c r="P35" s="14">
        <v>400</v>
      </c>
      <c r="Q35" s="14">
        <v>190</v>
      </c>
      <c r="R35" s="14">
        <v>0</v>
      </c>
      <c r="S35" s="14">
        <v>0</v>
      </c>
    </row>
    <row r="36" spans="1:19">
      <c r="A36" s="13">
        <v>1227359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</row>
    <row r="37" spans="1:19">
      <c r="A37" s="13">
        <v>1231090</v>
      </c>
      <c r="B37" s="14">
        <v>433</v>
      </c>
      <c r="C37" s="14">
        <v>433</v>
      </c>
      <c r="D37" s="14">
        <v>0</v>
      </c>
      <c r="E37" s="14">
        <v>0</v>
      </c>
      <c r="F37" s="14">
        <v>433</v>
      </c>
      <c r="G37" s="16">
        <v>182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892</v>
      </c>
      <c r="N37" s="14">
        <v>160</v>
      </c>
      <c r="O37" s="14">
        <v>90</v>
      </c>
      <c r="P37" s="14">
        <v>0</v>
      </c>
      <c r="Q37" s="14">
        <v>570</v>
      </c>
      <c r="R37" s="14">
        <v>0</v>
      </c>
      <c r="S37" s="14">
        <v>0</v>
      </c>
    </row>
    <row r="38" spans="1:19">
      <c r="A38" s="13">
        <v>1229776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90</v>
      </c>
      <c r="P38" s="14">
        <v>0</v>
      </c>
      <c r="Q38" s="14">
        <v>0</v>
      </c>
      <c r="R38" s="14">
        <v>0</v>
      </c>
      <c r="S38" s="14">
        <v>0</v>
      </c>
    </row>
    <row r="39" spans="1:19">
      <c r="A39" s="13">
        <v>1225464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245</v>
      </c>
      <c r="N39" s="14">
        <v>661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</row>
    <row r="40" spans="1:19">
      <c r="A40" s="13">
        <v>1234222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1060</v>
      </c>
      <c r="R40" s="14">
        <v>0</v>
      </c>
      <c r="S40" s="14">
        <v>0</v>
      </c>
    </row>
    <row r="41" spans="1:19">
      <c r="A41" s="13">
        <v>1232528</v>
      </c>
      <c r="B41" s="14">
        <v>539</v>
      </c>
      <c r="C41" s="14">
        <v>539</v>
      </c>
      <c r="D41" s="14">
        <v>0</v>
      </c>
      <c r="E41" s="14">
        <v>0</v>
      </c>
      <c r="F41" s="14">
        <v>526</v>
      </c>
      <c r="G41" s="16">
        <v>227</v>
      </c>
      <c r="H41" s="14">
        <v>718</v>
      </c>
      <c r="I41" s="14">
        <v>1372</v>
      </c>
      <c r="J41" s="14">
        <v>1078</v>
      </c>
      <c r="K41" s="14">
        <v>0</v>
      </c>
      <c r="L41" s="14">
        <v>0</v>
      </c>
      <c r="M41" s="14">
        <v>1475</v>
      </c>
      <c r="N41" s="14">
        <v>1200</v>
      </c>
      <c r="O41" s="14">
        <v>1109</v>
      </c>
      <c r="P41" s="14">
        <v>700</v>
      </c>
      <c r="Q41" s="14">
        <v>2845</v>
      </c>
      <c r="R41" s="14">
        <v>0</v>
      </c>
      <c r="S41" s="14">
        <v>0</v>
      </c>
    </row>
    <row r="42" spans="1:19">
      <c r="A42" s="13">
        <v>1232846</v>
      </c>
      <c r="B42" s="14">
        <v>0</v>
      </c>
      <c r="C42" s="14">
        <v>0</v>
      </c>
      <c r="D42" s="14">
        <v>0</v>
      </c>
      <c r="E42" s="14">
        <v>0</v>
      </c>
      <c r="F42" s="14">
        <v>280</v>
      </c>
      <c r="G42" s="14">
        <v>202</v>
      </c>
      <c r="H42" s="14">
        <v>196</v>
      </c>
      <c r="I42" s="14">
        <v>350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</row>
    <row r="43" spans="1:19">
      <c r="A43" s="13">
        <v>1229050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251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</row>
    <row r="44" spans="1:19">
      <c r="A44" s="13">
        <v>1233383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218</v>
      </c>
      <c r="P44" s="14">
        <v>0</v>
      </c>
      <c r="Q44" s="14">
        <v>0</v>
      </c>
      <c r="R44" s="14">
        <v>0</v>
      </c>
      <c r="S44" s="14">
        <v>0</v>
      </c>
    </row>
    <row r="45" spans="1:19">
      <c r="A45" s="13">
        <v>1220847</v>
      </c>
      <c r="B45" s="14">
        <v>90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1142</v>
      </c>
      <c r="N45" s="14">
        <v>18</v>
      </c>
      <c r="O45" s="14">
        <v>0</v>
      </c>
      <c r="P45" s="14">
        <v>0</v>
      </c>
      <c r="Q45" s="14">
        <v>4330</v>
      </c>
      <c r="R45" s="14">
        <v>0</v>
      </c>
      <c r="S45" s="14">
        <v>0</v>
      </c>
    </row>
    <row r="46" spans="1:19">
      <c r="A46" s="13">
        <v>1235958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</row>
    <row r="47" spans="1:19">
      <c r="A47" s="13">
        <v>1236600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56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</row>
    <row r="48" spans="1:19">
      <c r="A48" s="13">
        <v>1236619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90</v>
      </c>
      <c r="P48" s="14">
        <v>0</v>
      </c>
      <c r="Q48" s="14">
        <v>0</v>
      </c>
      <c r="R48" s="14">
        <v>0</v>
      </c>
      <c r="S48" s="14">
        <v>0</v>
      </c>
    </row>
    <row r="49" spans="1:19">
      <c r="A49" s="13">
        <v>1236930</v>
      </c>
      <c r="B49" s="14">
        <v>0</v>
      </c>
      <c r="C49" s="14">
        <v>0</v>
      </c>
      <c r="D49" s="14">
        <v>0</v>
      </c>
      <c r="E49" s="14">
        <v>0</v>
      </c>
      <c r="F49" s="14">
        <v>201</v>
      </c>
      <c r="G49" s="14">
        <v>112</v>
      </c>
      <c r="H49" s="16">
        <v>267</v>
      </c>
      <c r="I49" s="14">
        <v>339</v>
      </c>
      <c r="J49" s="14">
        <v>267</v>
      </c>
      <c r="K49" s="14">
        <v>0</v>
      </c>
      <c r="L49" s="14">
        <v>0</v>
      </c>
      <c r="M49" s="14">
        <v>701</v>
      </c>
      <c r="N49" s="14">
        <v>324</v>
      </c>
      <c r="O49" s="14">
        <v>300</v>
      </c>
      <c r="P49" s="14">
        <v>300</v>
      </c>
      <c r="Q49" s="14">
        <v>614</v>
      </c>
      <c r="R49" s="14">
        <v>0</v>
      </c>
      <c r="S49" s="14">
        <v>0</v>
      </c>
    </row>
    <row r="50" spans="1:19">
      <c r="A50" s="13">
        <v>1237468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392</v>
      </c>
      <c r="O50" s="14">
        <v>96</v>
      </c>
      <c r="P50" s="14">
        <v>0</v>
      </c>
      <c r="Q50" s="14">
        <v>0</v>
      </c>
      <c r="R50" s="14">
        <v>0</v>
      </c>
      <c r="S50" s="14">
        <v>0</v>
      </c>
    </row>
    <row r="51" spans="1:19">
      <c r="A51" s="13">
        <v>1237210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140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160</v>
      </c>
      <c r="R51" s="14">
        <v>0</v>
      </c>
      <c r="S51" s="14">
        <v>0</v>
      </c>
    </row>
    <row r="52" spans="1:19">
      <c r="A52" s="13">
        <v>1237457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18</v>
      </c>
      <c r="R52" s="14">
        <v>0</v>
      </c>
      <c r="S52" s="14">
        <v>0</v>
      </c>
    </row>
    <row r="53" spans="1:19">
      <c r="A53" s="13">
        <v>1234905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500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</row>
    <row r="54" spans="1:19">
      <c r="A54" s="13">
        <v>1238480</v>
      </c>
      <c r="B54" s="14">
        <v>924</v>
      </c>
      <c r="C54" s="14">
        <v>1015</v>
      </c>
      <c r="D54" s="14">
        <v>0</v>
      </c>
      <c r="E54" s="14">
        <v>0</v>
      </c>
      <c r="F54" s="14">
        <v>964</v>
      </c>
      <c r="G54" s="16">
        <v>408</v>
      </c>
      <c r="H54" s="14">
        <v>844</v>
      </c>
      <c r="I54" s="14">
        <v>1171</v>
      </c>
      <c r="J54" s="14">
        <v>920</v>
      </c>
      <c r="K54" s="14">
        <v>0</v>
      </c>
      <c r="L54" s="14">
        <v>0</v>
      </c>
      <c r="M54" s="14">
        <v>1886</v>
      </c>
      <c r="N54" s="14">
        <v>1071</v>
      </c>
      <c r="O54" s="14">
        <v>698</v>
      </c>
      <c r="P54" s="14">
        <v>886</v>
      </c>
      <c r="Q54" s="14">
        <v>1082</v>
      </c>
      <c r="R54" s="14">
        <v>0</v>
      </c>
      <c r="S54" s="14">
        <v>0</v>
      </c>
    </row>
    <row r="55" spans="1:19">
      <c r="A55" s="13">
        <v>1238453</v>
      </c>
      <c r="B55" s="14">
        <v>264</v>
      </c>
      <c r="C55" s="14">
        <v>137</v>
      </c>
      <c r="D55" s="14">
        <v>0</v>
      </c>
      <c r="E55" s="14">
        <v>0</v>
      </c>
      <c r="F55" s="14">
        <v>11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</row>
    <row r="56" spans="1:19">
      <c r="A56" s="13">
        <v>1232775</v>
      </c>
      <c r="B56" s="14">
        <v>0</v>
      </c>
      <c r="C56" s="14">
        <v>183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316</v>
      </c>
      <c r="P56" s="14">
        <v>0</v>
      </c>
      <c r="Q56" s="14">
        <v>0</v>
      </c>
      <c r="R56" s="14">
        <v>0</v>
      </c>
      <c r="S56" s="14">
        <v>0</v>
      </c>
    </row>
    <row r="57" spans="1:19">
      <c r="A57" s="13">
        <v>1216452</v>
      </c>
      <c r="B57" s="14">
        <v>805</v>
      </c>
      <c r="C57" s="14">
        <v>21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499</v>
      </c>
      <c r="K57" s="14">
        <v>0</v>
      </c>
      <c r="L57" s="14">
        <v>0</v>
      </c>
      <c r="M57" s="14">
        <v>0</v>
      </c>
      <c r="N57" s="14">
        <v>299</v>
      </c>
      <c r="O57" s="14">
        <v>61</v>
      </c>
      <c r="P57" s="14">
        <v>0</v>
      </c>
      <c r="Q57" s="14">
        <v>0</v>
      </c>
      <c r="R57" s="14">
        <v>0</v>
      </c>
      <c r="S57" s="14">
        <v>0</v>
      </c>
    </row>
    <row r="58" spans="1:19">
      <c r="A58" s="13">
        <v>1232894</v>
      </c>
      <c r="B58" s="14">
        <v>0</v>
      </c>
      <c r="C58" s="14">
        <v>0</v>
      </c>
      <c r="D58" s="14">
        <v>0</v>
      </c>
      <c r="E58" s="14">
        <v>0</v>
      </c>
      <c r="F58" s="16">
        <v>280</v>
      </c>
      <c r="G58" s="14">
        <v>202</v>
      </c>
      <c r="H58" s="14">
        <v>196</v>
      </c>
      <c r="I58" s="14">
        <v>350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</row>
    <row r="59" spans="1:19">
      <c r="A59" s="13">
        <v>1233387</v>
      </c>
      <c r="B59" s="14">
        <v>0</v>
      </c>
      <c r="C59" s="14">
        <v>0</v>
      </c>
      <c r="D59" s="14">
        <v>0</v>
      </c>
      <c r="E59" s="14">
        <v>0</v>
      </c>
      <c r="F59" s="16">
        <v>280</v>
      </c>
      <c r="G59" s="14">
        <v>202</v>
      </c>
      <c r="H59" s="14">
        <v>196</v>
      </c>
      <c r="I59" s="14">
        <v>350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</row>
    <row r="60" spans="1:19">
      <c r="A60" s="13">
        <v>1238092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144</v>
      </c>
      <c r="R60" s="14">
        <v>0</v>
      </c>
      <c r="S60" s="14">
        <v>0</v>
      </c>
    </row>
  </sheetData>
  <autoFilter ref="A1:S21" xr:uid="{A54C021B-720C-4525-AAFB-70431BC0BEAC}"/>
  <phoneticPr fontId="1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89BE-2CF7-4BFA-B5C1-1DDB1B111818}">
  <dimension ref="A1:R61"/>
  <sheetViews>
    <sheetView topLeftCell="A28" zoomScaleNormal="100" workbookViewId="0">
      <selection activeCell="K47" sqref="K47"/>
    </sheetView>
  </sheetViews>
  <sheetFormatPr defaultRowHeight="11.25"/>
  <cols>
    <col min="2" max="2" width="9.1640625" style="14"/>
    <col min="3" max="17" width="9.1640625" style="14" customWidth="1"/>
    <col min="18" max="18" width="9.1640625" style="14"/>
  </cols>
  <sheetData>
    <row r="1" spans="1:18">
      <c r="A1" s="2" t="s">
        <v>0</v>
      </c>
      <c r="B1" s="14" t="s">
        <v>1128</v>
      </c>
      <c r="C1" s="14" t="s">
        <v>1129</v>
      </c>
      <c r="D1" s="14" t="s">
        <v>1130</v>
      </c>
      <c r="E1" s="14" t="s">
        <v>1131</v>
      </c>
      <c r="F1" s="14" t="s">
        <v>1132</v>
      </c>
      <c r="G1" s="16" t="s">
        <v>1133</v>
      </c>
      <c r="H1" s="14" t="s">
        <v>1134</v>
      </c>
      <c r="I1" s="14" t="s">
        <v>1135</v>
      </c>
      <c r="J1" s="14" t="s">
        <v>1136</v>
      </c>
      <c r="K1" s="14" t="s">
        <v>1137</v>
      </c>
      <c r="L1" s="14" t="s">
        <v>1138</v>
      </c>
      <c r="M1" s="14" t="s">
        <v>1139</v>
      </c>
      <c r="N1" s="14" t="s">
        <v>1140</v>
      </c>
      <c r="O1" s="14" t="s">
        <v>1141</v>
      </c>
      <c r="P1" s="14" t="s">
        <v>1142</v>
      </c>
      <c r="Q1" s="14" t="s">
        <v>1143</v>
      </c>
      <c r="R1" s="14" t="s">
        <v>1144</v>
      </c>
    </row>
    <row r="2" spans="1:18">
      <c r="A2">
        <v>1234614</v>
      </c>
      <c r="B2" s="14">
        <v>0</v>
      </c>
      <c r="C2" s="14">
        <v>0</v>
      </c>
      <c r="D2" s="14">
        <v>0</v>
      </c>
      <c r="E2" s="14">
        <v>24</v>
      </c>
      <c r="F2" s="14">
        <v>276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</row>
    <row r="3" spans="1:18">
      <c r="A3">
        <v>1229673</v>
      </c>
      <c r="B3" s="14">
        <v>200</v>
      </c>
      <c r="C3" s="14">
        <v>0</v>
      </c>
      <c r="D3" s="14">
        <v>0</v>
      </c>
      <c r="E3" s="14">
        <v>300</v>
      </c>
      <c r="F3" s="14">
        <v>0</v>
      </c>
      <c r="G3" s="14">
        <v>0</v>
      </c>
      <c r="H3" s="14">
        <v>252</v>
      </c>
      <c r="I3" s="14">
        <v>0</v>
      </c>
      <c r="J3" s="14">
        <v>0</v>
      </c>
      <c r="K3" s="14">
        <v>0</v>
      </c>
      <c r="L3" s="14">
        <v>250</v>
      </c>
      <c r="M3" s="14">
        <v>250</v>
      </c>
      <c r="N3" s="14">
        <v>250</v>
      </c>
      <c r="O3" s="14">
        <v>250</v>
      </c>
      <c r="P3" s="14">
        <v>300</v>
      </c>
      <c r="Q3" s="14">
        <v>0</v>
      </c>
      <c r="R3" s="14">
        <v>0</v>
      </c>
    </row>
    <row r="4" spans="1:18">
      <c r="A4">
        <v>1230854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200</v>
      </c>
      <c r="P4" s="14">
        <v>0</v>
      </c>
      <c r="Q4" s="14">
        <v>0</v>
      </c>
      <c r="R4" s="14">
        <v>0</v>
      </c>
    </row>
    <row r="5" spans="1:18">
      <c r="A5">
        <v>1233492</v>
      </c>
      <c r="B5" s="14">
        <v>0</v>
      </c>
      <c r="C5" s="14">
        <v>0</v>
      </c>
      <c r="D5" s="14">
        <v>0</v>
      </c>
      <c r="E5" s="14">
        <v>0</v>
      </c>
      <c r="F5" s="14">
        <v>356</v>
      </c>
      <c r="G5" s="16">
        <v>144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</row>
    <row r="6" spans="1:18">
      <c r="A6">
        <v>1233498</v>
      </c>
      <c r="B6" s="14">
        <v>0</v>
      </c>
      <c r="C6" s="14">
        <v>0</v>
      </c>
      <c r="D6" s="14">
        <v>0</v>
      </c>
      <c r="E6" s="14">
        <v>0</v>
      </c>
      <c r="F6" s="14">
        <v>356</v>
      </c>
      <c r="G6" s="16">
        <v>144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</row>
    <row r="7" spans="1:18">
      <c r="A7">
        <v>1233623</v>
      </c>
      <c r="B7" s="14">
        <v>0</v>
      </c>
      <c r="C7" s="14">
        <v>0</v>
      </c>
      <c r="D7" s="14">
        <v>0</v>
      </c>
      <c r="E7" s="14">
        <v>0</v>
      </c>
      <c r="F7" s="14">
        <v>356</v>
      </c>
      <c r="G7" s="16">
        <v>144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</row>
    <row r="8" spans="1:18">
      <c r="A8">
        <v>1235623</v>
      </c>
      <c r="B8" s="14">
        <v>52</v>
      </c>
      <c r="C8" s="14">
        <v>0</v>
      </c>
      <c r="D8" s="14">
        <v>0</v>
      </c>
      <c r="E8" s="14">
        <v>884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</row>
    <row r="9" spans="1:18">
      <c r="A9">
        <v>1237088</v>
      </c>
      <c r="B9" s="14">
        <v>232</v>
      </c>
      <c r="C9" s="14">
        <v>0</v>
      </c>
      <c r="D9" s="14">
        <v>0</v>
      </c>
      <c r="E9" s="14">
        <v>736</v>
      </c>
      <c r="F9" s="14">
        <v>816</v>
      </c>
      <c r="G9" s="16">
        <v>788</v>
      </c>
      <c r="H9" s="14">
        <v>202</v>
      </c>
      <c r="I9" s="14">
        <v>870</v>
      </c>
      <c r="J9" s="14">
        <v>0</v>
      </c>
      <c r="K9" s="14">
        <v>0</v>
      </c>
      <c r="L9" s="14">
        <v>650</v>
      </c>
      <c r="M9" s="14">
        <v>804</v>
      </c>
      <c r="N9" s="14">
        <v>518</v>
      </c>
      <c r="O9" s="14">
        <v>746</v>
      </c>
      <c r="P9" s="14">
        <v>418</v>
      </c>
      <c r="Q9" s="14">
        <v>0</v>
      </c>
      <c r="R9" s="14">
        <v>0</v>
      </c>
    </row>
    <row r="10" spans="1:18">
      <c r="A10">
        <v>1237748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6">
        <v>312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</row>
    <row r="11" spans="1:18">
      <c r="A11">
        <v>1236091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200</v>
      </c>
      <c r="O11" s="14">
        <v>0</v>
      </c>
      <c r="P11" s="14">
        <v>0</v>
      </c>
      <c r="Q11" s="14">
        <v>0</v>
      </c>
      <c r="R11" s="14">
        <v>0</v>
      </c>
    </row>
    <row r="12" spans="1:18">
      <c r="A12">
        <v>1238128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6">
        <v>30</v>
      </c>
      <c r="H12" s="14">
        <v>464</v>
      </c>
      <c r="I12" s="14">
        <v>464</v>
      </c>
      <c r="J12" s="14">
        <v>0</v>
      </c>
      <c r="K12" s="14">
        <v>0</v>
      </c>
      <c r="L12" s="14">
        <v>590</v>
      </c>
      <c r="M12" s="14">
        <v>70</v>
      </c>
      <c r="N12" s="14">
        <v>244</v>
      </c>
      <c r="O12" s="14">
        <v>32</v>
      </c>
      <c r="P12" s="14">
        <v>378</v>
      </c>
      <c r="Q12" s="14">
        <v>0</v>
      </c>
      <c r="R12" s="14">
        <v>0</v>
      </c>
    </row>
    <row r="13" spans="1:18">
      <c r="A13">
        <v>1236962</v>
      </c>
      <c r="B13" s="14">
        <v>200</v>
      </c>
      <c r="C13" s="14">
        <v>0</v>
      </c>
      <c r="D13" s="14">
        <v>0</v>
      </c>
      <c r="E13" s="14">
        <v>200</v>
      </c>
      <c r="F13" s="14">
        <v>200</v>
      </c>
      <c r="G13" s="16">
        <v>300</v>
      </c>
      <c r="H13" s="14">
        <v>300</v>
      </c>
      <c r="I13" s="14">
        <v>200</v>
      </c>
      <c r="J13" s="14">
        <v>0</v>
      </c>
      <c r="K13" s="14">
        <v>0</v>
      </c>
      <c r="L13" s="14">
        <v>0</v>
      </c>
      <c r="M13" s="14">
        <v>200</v>
      </c>
      <c r="N13" s="14">
        <v>200</v>
      </c>
      <c r="O13" s="14">
        <v>300</v>
      </c>
      <c r="P13" s="14">
        <v>0</v>
      </c>
      <c r="Q13" s="14">
        <v>0</v>
      </c>
      <c r="R13" s="14">
        <v>0</v>
      </c>
    </row>
    <row r="14" spans="1:18">
      <c r="A14">
        <v>1233761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200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</row>
    <row r="15" spans="1:18">
      <c r="A15">
        <v>1239651</v>
      </c>
      <c r="B15" s="14">
        <v>0</v>
      </c>
      <c r="C15" s="14">
        <v>0</v>
      </c>
      <c r="D15" s="14">
        <v>0</v>
      </c>
      <c r="E15" s="14">
        <v>200</v>
      </c>
      <c r="F15" s="14">
        <v>300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400</v>
      </c>
      <c r="Q15" s="14">
        <v>0</v>
      </c>
      <c r="R15" s="14">
        <v>0</v>
      </c>
    </row>
    <row r="16" spans="1:18">
      <c r="A16">
        <v>1239988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330</v>
      </c>
      <c r="I16" s="14">
        <v>400</v>
      </c>
      <c r="J16" s="14">
        <v>0</v>
      </c>
      <c r="K16" s="14">
        <v>0</v>
      </c>
      <c r="L16" s="14">
        <v>50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</row>
    <row r="17" spans="1:18">
      <c r="A17">
        <v>1240180</v>
      </c>
      <c r="B17" s="14">
        <v>316</v>
      </c>
      <c r="C17" s="14">
        <v>0</v>
      </c>
      <c r="D17" s="14">
        <v>0</v>
      </c>
      <c r="E17" s="14">
        <v>426</v>
      </c>
      <c r="F17" s="14">
        <v>426</v>
      </c>
      <c r="G17" s="16">
        <v>334</v>
      </c>
      <c r="H17" s="14">
        <v>50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124</v>
      </c>
      <c r="O17" s="14">
        <v>390</v>
      </c>
      <c r="P17" s="14">
        <v>306</v>
      </c>
      <c r="Q17" s="14">
        <v>0</v>
      </c>
      <c r="R17" s="14">
        <v>0</v>
      </c>
    </row>
    <row r="18" spans="1:18">
      <c r="A18">
        <v>1240184</v>
      </c>
      <c r="B18" s="14">
        <v>316</v>
      </c>
      <c r="C18" s="14">
        <v>0</v>
      </c>
      <c r="D18" s="14">
        <v>0</v>
      </c>
      <c r="E18" s="14">
        <v>426</v>
      </c>
      <c r="F18" s="14">
        <v>426</v>
      </c>
      <c r="G18" s="16">
        <v>334</v>
      </c>
      <c r="H18" s="14">
        <v>50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314</v>
      </c>
      <c r="P18" s="14">
        <v>306</v>
      </c>
      <c r="Q18" s="14">
        <v>0</v>
      </c>
      <c r="R18" s="14">
        <v>0</v>
      </c>
    </row>
    <row r="19" spans="1:18">
      <c r="A19">
        <v>1240308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270</v>
      </c>
      <c r="I19" s="14">
        <v>0</v>
      </c>
      <c r="J19" s="14">
        <v>0</v>
      </c>
      <c r="K19" s="14">
        <v>0</v>
      </c>
      <c r="L19" s="14">
        <v>0</v>
      </c>
      <c r="M19" s="14">
        <v>150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</row>
    <row r="20" spans="1:18">
      <c r="A20">
        <v>1241601</v>
      </c>
      <c r="B20" s="14">
        <v>1600</v>
      </c>
      <c r="C20" s="14">
        <v>0</v>
      </c>
      <c r="D20" s="14">
        <v>0</v>
      </c>
      <c r="E20" s="14">
        <v>1564</v>
      </c>
      <c r="F20" s="14">
        <v>1564</v>
      </c>
      <c r="G20" s="16">
        <v>1228</v>
      </c>
      <c r="H20" s="14">
        <v>1500</v>
      </c>
      <c r="I20" s="14">
        <v>1192</v>
      </c>
      <c r="J20" s="14">
        <v>0</v>
      </c>
      <c r="K20" s="14">
        <v>0</v>
      </c>
      <c r="L20" s="14">
        <v>1484</v>
      </c>
      <c r="M20" s="14">
        <v>1598</v>
      </c>
      <c r="N20" s="14">
        <v>1538</v>
      </c>
      <c r="O20" s="14">
        <v>2198</v>
      </c>
      <c r="P20" s="14">
        <v>1228</v>
      </c>
      <c r="Q20" s="14">
        <v>0</v>
      </c>
      <c r="R20" s="14">
        <v>0</v>
      </c>
    </row>
    <row r="21" spans="1:18">
      <c r="A21">
        <v>1242242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200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</row>
    <row r="27" spans="1:18">
      <c r="A27" s="2" t="s">
        <v>0</v>
      </c>
      <c r="B27" s="14" t="s">
        <v>1128</v>
      </c>
      <c r="C27" s="14" t="s">
        <v>1129</v>
      </c>
      <c r="D27" s="14" t="s">
        <v>1130</v>
      </c>
      <c r="E27" s="14" t="s">
        <v>1131</v>
      </c>
      <c r="F27" s="14" t="s">
        <v>1132</v>
      </c>
      <c r="G27" s="14" t="s">
        <v>1133</v>
      </c>
      <c r="H27" s="14" t="s">
        <v>1134</v>
      </c>
      <c r="I27" s="14" t="s">
        <v>1135</v>
      </c>
      <c r="J27" s="14" t="s">
        <v>1136</v>
      </c>
      <c r="K27" s="14" t="s">
        <v>1137</v>
      </c>
      <c r="L27" s="14" t="s">
        <v>1138</v>
      </c>
      <c r="M27" s="14" t="s">
        <v>1139</v>
      </c>
      <c r="N27" s="14" t="s">
        <v>1140</v>
      </c>
      <c r="O27" s="14" t="s">
        <v>1141</v>
      </c>
      <c r="P27" s="14" t="s">
        <v>1142</v>
      </c>
      <c r="Q27" s="14" t="s">
        <v>1143</v>
      </c>
      <c r="R27" s="14" t="s">
        <v>1144</v>
      </c>
    </row>
    <row r="28" spans="1:18">
      <c r="A28">
        <v>1237608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300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</row>
    <row r="29" spans="1:18">
      <c r="A29">
        <v>1236387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238</v>
      </c>
      <c r="M29" s="14">
        <v>357</v>
      </c>
      <c r="N29" s="14">
        <v>357</v>
      </c>
      <c r="O29" s="14">
        <v>255</v>
      </c>
      <c r="P29" s="14">
        <v>0</v>
      </c>
      <c r="Q29" s="14">
        <v>0</v>
      </c>
      <c r="R29" s="14">
        <v>0</v>
      </c>
    </row>
    <row r="30" spans="1:18">
      <c r="A30">
        <v>1232775</v>
      </c>
      <c r="B30" s="14">
        <v>245</v>
      </c>
      <c r="C30" s="14">
        <v>0</v>
      </c>
      <c r="D30" s="14">
        <v>0</v>
      </c>
      <c r="E30" s="14">
        <v>242</v>
      </c>
      <c r="F30" s="14">
        <v>242</v>
      </c>
      <c r="G30" s="14">
        <v>245</v>
      </c>
      <c r="H30" s="16">
        <v>242</v>
      </c>
      <c r="I30" s="16">
        <v>242</v>
      </c>
      <c r="J30" s="14">
        <v>0</v>
      </c>
      <c r="K30" s="14">
        <v>0</v>
      </c>
      <c r="L30" s="14">
        <v>242</v>
      </c>
      <c r="M30" s="14">
        <v>242</v>
      </c>
      <c r="N30" s="14">
        <v>242</v>
      </c>
      <c r="O30" s="14">
        <v>245</v>
      </c>
      <c r="P30" s="14">
        <v>242</v>
      </c>
      <c r="Q30" s="14">
        <v>0</v>
      </c>
      <c r="R30" s="14">
        <v>0</v>
      </c>
    </row>
    <row r="31" spans="1:18">
      <c r="A31">
        <v>1238605</v>
      </c>
      <c r="B31" s="14">
        <v>190</v>
      </c>
      <c r="C31" s="14">
        <v>0</v>
      </c>
      <c r="D31" s="14">
        <v>0</v>
      </c>
      <c r="E31" s="14">
        <v>192</v>
      </c>
      <c r="F31" s="14">
        <v>190</v>
      </c>
      <c r="G31" s="16">
        <v>192</v>
      </c>
      <c r="H31" s="16">
        <v>190</v>
      </c>
      <c r="I31" s="16">
        <v>190</v>
      </c>
      <c r="J31" s="14">
        <v>0</v>
      </c>
      <c r="K31" s="14">
        <v>0</v>
      </c>
      <c r="L31" s="14">
        <v>40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</row>
    <row r="35" spans="1:18">
      <c r="A35" s="2" t="s">
        <v>0</v>
      </c>
      <c r="B35" s="14" t="s">
        <v>1128</v>
      </c>
      <c r="C35" s="14" t="s">
        <v>1129</v>
      </c>
      <c r="D35" s="14" t="s">
        <v>1130</v>
      </c>
      <c r="E35" s="14" t="s">
        <v>1131</v>
      </c>
      <c r="F35" s="14" t="s">
        <v>1132</v>
      </c>
      <c r="G35" s="14" t="s">
        <v>1133</v>
      </c>
      <c r="H35" s="14" t="s">
        <v>1134</v>
      </c>
      <c r="I35" s="14" t="s">
        <v>1135</v>
      </c>
      <c r="J35" s="14" t="s">
        <v>1136</v>
      </c>
      <c r="K35" s="14" t="s">
        <v>1137</v>
      </c>
      <c r="L35" s="14" t="s">
        <v>1138</v>
      </c>
      <c r="M35" s="14" t="s">
        <v>1139</v>
      </c>
      <c r="N35" s="14" t="s">
        <v>1140</v>
      </c>
      <c r="O35" s="14" t="s">
        <v>1141</v>
      </c>
      <c r="P35" s="14" t="s">
        <v>1142</v>
      </c>
      <c r="Q35" s="14" t="s">
        <v>1143</v>
      </c>
      <c r="R35" s="14" t="s">
        <v>1144</v>
      </c>
    </row>
    <row r="36" spans="1:18">
      <c r="A36">
        <v>1227306</v>
      </c>
      <c r="B36" s="14">
        <v>382</v>
      </c>
      <c r="C36" s="14">
        <v>0</v>
      </c>
      <c r="D36" s="14">
        <v>0</v>
      </c>
      <c r="E36" s="14">
        <v>383</v>
      </c>
      <c r="F36" s="14">
        <v>161</v>
      </c>
      <c r="G36" s="14">
        <v>56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300</v>
      </c>
      <c r="O36" s="14">
        <v>400</v>
      </c>
      <c r="P36" s="14">
        <v>190</v>
      </c>
      <c r="Q36" s="14">
        <v>0</v>
      </c>
      <c r="R36" s="14">
        <v>0</v>
      </c>
    </row>
    <row r="37" spans="1:18">
      <c r="A37">
        <v>1227359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6">
        <v>1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</row>
    <row r="38" spans="1:18">
      <c r="A38">
        <v>1231090</v>
      </c>
      <c r="B38" s="14">
        <v>433</v>
      </c>
      <c r="C38" s="14">
        <v>0</v>
      </c>
      <c r="D38" s="14">
        <v>0</v>
      </c>
      <c r="E38" s="14">
        <v>433</v>
      </c>
      <c r="F38" s="14">
        <v>182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892</v>
      </c>
      <c r="M38" s="14">
        <v>160</v>
      </c>
      <c r="N38" s="14">
        <v>90</v>
      </c>
      <c r="O38" s="14">
        <v>0</v>
      </c>
      <c r="P38" s="14">
        <v>570</v>
      </c>
      <c r="Q38" s="14">
        <v>0</v>
      </c>
      <c r="R38" s="14">
        <v>0</v>
      </c>
    </row>
    <row r="39" spans="1:18">
      <c r="A39">
        <v>1229776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90</v>
      </c>
      <c r="O39" s="14">
        <v>0</v>
      </c>
      <c r="P39" s="14">
        <v>0</v>
      </c>
      <c r="Q39" s="14">
        <v>0</v>
      </c>
      <c r="R39" s="14">
        <v>0</v>
      </c>
    </row>
    <row r="40" spans="1:18">
      <c r="A40">
        <v>1225464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245</v>
      </c>
      <c r="M40" s="14">
        <v>661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</row>
    <row r="41" spans="1:18">
      <c r="A41">
        <v>1234222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1060</v>
      </c>
      <c r="Q41" s="14">
        <v>0</v>
      </c>
      <c r="R41" s="14">
        <v>0</v>
      </c>
    </row>
    <row r="42" spans="1:18">
      <c r="A42">
        <v>1232528</v>
      </c>
      <c r="B42" s="14">
        <v>539</v>
      </c>
      <c r="C42" s="14">
        <v>0</v>
      </c>
      <c r="D42" s="14">
        <v>0</v>
      </c>
      <c r="E42" s="14">
        <v>526</v>
      </c>
      <c r="F42" s="14">
        <v>227</v>
      </c>
      <c r="G42" s="16">
        <v>718</v>
      </c>
      <c r="H42" s="16">
        <v>1372</v>
      </c>
      <c r="I42" s="14">
        <v>1078</v>
      </c>
      <c r="J42" s="14">
        <v>0</v>
      </c>
      <c r="K42" s="14">
        <v>0</v>
      </c>
      <c r="L42" s="14">
        <v>1475</v>
      </c>
      <c r="M42" s="14">
        <v>1200</v>
      </c>
      <c r="N42" s="14">
        <v>1109</v>
      </c>
      <c r="O42" s="14">
        <v>700</v>
      </c>
      <c r="P42" s="14">
        <v>2845</v>
      </c>
      <c r="Q42" s="14">
        <v>0</v>
      </c>
      <c r="R42" s="14">
        <v>0</v>
      </c>
    </row>
    <row r="43" spans="1:18">
      <c r="A43">
        <v>1232846</v>
      </c>
      <c r="B43" s="14">
        <v>0</v>
      </c>
      <c r="C43" s="14">
        <v>0</v>
      </c>
      <c r="D43" s="14">
        <v>0</v>
      </c>
      <c r="E43" s="14">
        <v>280</v>
      </c>
      <c r="F43" s="14">
        <v>202</v>
      </c>
      <c r="G43" s="251">
        <v>196</v>
      </c>
      <c r="H43" s="251">
        <v>350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</row>
    <row r="44" spans="1:18">
      <c r="A44">
        <v>1229050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6">
        <v>251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</row>
    <row r="45" spans="1:18">
      <c r="A45">
        <v>1233383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218</v>
      </c>
      <c r="O45" s="14">
        <v>0</v>
      </c>
      <c r="P45" s="14">
        <v>0</v>
      </c>
      <c r="Q45" s="14">
        <v>0</v>
      </c>
      <c r="R45" s="14">
        <v>0</v>
      </c>
    </row>
    <row r="46" spans="1:18">
      <c r="A46">
        <v>1220847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1142</v>
      </c>
      <c r="M46" s="14">
        <v>18</v>
      </c>
      <c r="N46" s="14">
        <v>0</v>
      </c>
      <c r="O46" s="14">
        <v>0</v>
      </c>
      <c r="P46" s="14">
        <v>4330</v>
      </c>
      <c r="Q46" s="14">
        <v>0</v>
      </c>
      <c r="R46" s="14">
        <v>0</v>
      </c>
    </row>
    <row r="47" spans="1:18">
      <c r="A47">
        <v>1235958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6">
        <v>1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</row>
    <row r="48" spans="1:18">
      <c r="A48">
        <v>1236600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6">
        <v>56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</row>
    <row r="49" spans="1:18">
      <c r="A49">
        <v>1236619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90</v>
      </c>
      <c r="O49" s="14">
        <v>0</v>
      </c>
      <c r="P49" s="14">
        <v>0</v>
      </c>
      <c r="Q49" s="14">
        <v>0</v>
      </c>
      <c r="R49" s="14">
        <v>0</v>
      </c>
    </row>
    <row r="50" spans="1:18" s="249" customFormat="1">
      <c r="A50" s="249">
        <v>1236930</v>
      </c>
      <c r="B50" s="250">
        <v>0</v>
      </c>
      <c r="C50" s="250">
        <v>0</v>
      </c>
      <c r="D50" s="250">
        <v>0</v>
      </c>
      <c r="E50" s="250">
        <v>201</v>
      </c>
      <c r="F50" s="250">
        <v>112</v>
      </c>
      <c r="G50" s="250">
        <v>267</v>
      </c>
      <c r="H50" s="252">
        <v>339</v>
      </c>
      <c r="I50" s="252">
        <v>267</v>
      </c>
      <c r="J50" s="250">
        <v>0</v>
      </c>
      <c r="K50" s="250">
        <v>0</v>
      </c>
      <c r="L50" s="250">
        <v>701</v>
      </c>
      <c r="M50" s="250">
        <v>324</v>
      </c>
      <c r="N50" s="250">
        <v>300</v>
      </c>
      <c r="O50" s="250">
        <v>300</v>
      </c>
      <c r="P50" s="250">
        <v>614</v>
      </c>
      <c r="Q50" s="250">
        <v>0</v>
      </c>
      <c r="R50" s="250">
        <v>0</v>
      </c>
    </row>
    <row r="51" spans="1:18">
      <c r="A51">
        <v>1237468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392</v>
      </c>
      <c r="N51" s="14">
        <v>96</v>
      </c>
      <c r="O51" s="14">
        <v>0</v>
      </c>
      <c r="P51" s="14">
        <v>0</v>
      </c>
      <c r="Q51" s="14">
        <v>0</v>
      </c>
      <c r="R51" s="14">
        <v>0</v>
      </c>
    </row>
    <row r="52" spans="1:18">
      <c r="A52">
        <v>1237210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6">
        <v>140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160</v>
      </c>
      <c r="Q52" s="14">
        <v>0</v>
      </c>
      <c r="R52" s="14">
        <v>0</v>
      </c>
    </row>
    <row r="53" spans="1:18">
      <c r="A53">
        <v>1237457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18</v>
      </c>
      <c r="Q53" s="14">
        <v>0</v>
      </c>
      <c r="R53" s="14">
        <v>0</v>
      </c>
    </row>
    <row r="54" spans="1:18">
      <c r="A54">
        <v>1234905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500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</row>
    <row r="55" spans="1:18">
      <c r="A55">
        <v>1238480</v>
      </c>
      <c r="B55" s="14">
        <v>1015</v>
      </c>
      <c r="C55" s="14">
        <v>0</v>
      </c>
      <c r="D55" s="14">
        <v>0</v>
      </c>
      <c r="E55" s="14">
        <v>964</v>
      </c>
      <c r="F55" s="14">
        <v>408</v>
      </c>
      <c r="G55" s="16">
        <v>844</v>
      </c>
      <c r="H55" s="16">
        <v>1171</v>
      </c>
      <c r="I55" s="14">
        <v>920</v>
      </c>
      <c r="J55" s="14">
        <v>0</v>
      </c>
      <c r="K55" s="14">
        <v>0</v>
      </c>
      <c r="L55" s="14">
        <v>1886</v>
      </c>
      <c r="M55" s="14">
        <v>1071</v>
      </c>
      <c r="N55" s="14">
        <v>698</v>
      </c>
      <c r="O55" s="14">
        <v>886</v>
      </c>
      <c r="P55" s="14">
        <v>1082</v>
      </c>
      <c r="Q55" s="14">
        <v>0</v>
      </c>
      <c r="R55" s="14">
        <v>0</v>
      </c>
    </row>
    <row r="56" spans="1:18">
      <c r="A56">
        <v>1238453</v>
      </c>
      <c r="B56" s="14">
        <v>137</v>
      </c>
      <c r="C56" s="14">
        <v>0</v>
      </c>
      <c r="D56" s="14">
        <v>0</v>
      </c>
      <c r="E56" s="14">
        <v>11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</row>
    <row r="57" spans="1:18">
      <c r="A57">
        <v>1232775</v>
      </c>
      <c r="B57" s="14">
        <v>183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316</v>
      </c>
      <c r="O57" s="14">
        <v>0</v>
      </c>
      <c r="P57" s="14">
        <v>0</v>
      </c>
      <c r="Q57" s="14">
        <v>0</v>
      </c>
      <c r="R57" s="14">
        <v>0</v>
      </c>
    </row>
    <row r="58" spans="1:18">
      <c r="A58">
        <v>1216452</v>
      </c>
      <c r="B58" s="14">
        <v>21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499</v>
      </c>
      <c r="J58" s="14">
        <v>0</v>
      </c>
      <c r="K58" s="14">
        <v>0</v>
      </c>
      <c r="L58" s="14">
        <v>0</v>
      </c>
      <c r="M58" s="14">
        <v>299</v>
      </c>
      <c r="N58" s="14">
        <v>61</v>
      </c>
      <c r="O58" s="14">
        <v>0</v>
      </c>
      <c r="P58" s="14">
        <v>0</v>
      </c>
      <c r="Q58" s="14">
        <v>0</v>
      </c>
      <c r="R58" s="14">
        <v>0</v>
      </c>
    </row>
    <row r="59" spans="1:18">
      <c r="A59">
        <v>1232894</v>
      </c>
      <c r="B59" s="14">
        <v>0</v>
      </c>
      <c r="C59" s="14">
        <v>0</v>
      </c>
      <c r="D59" s="14">
        <v>0</v>
      </c>
      <c r="E59" s="14">
        <v>280</v>
      </c>
      <c r="F59" s="16">
        <v>202</v>
      </c>
      <c r="G59" s="16">
        <v>196</v>
      </c>
      <c r="H59" s="14">
        <v>350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</row>
    <row r="60" spans="1:18">
      <c r="A60">
        <v>1233387</v>
      </c>
      <c r="B60" s="14">
        <v>0</v>
      </c>
      <c r="C60" s="14">
        <v>0</v>
      </c>
      <c r="D60" s="14">
        <v>0</v>
      </c>
      <c r="E60" s="14">
        <v>280</v>
      </c>
      <c r="F60" s="14">
        <v>202</v>
      </c>
      <c r="G60" s="251">
        <v>196</v>
      </c>
      <c r="H60" s="251">
        <v>350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</row>
    <row r="61" spans="1:18">
      <c r="A61">
        <v>1238092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144</v>
      </c>
      <c r="Q61" s="14">
        <v>0</v>
      </c>
      <c r="R61" s="14">
        <v>0</v>
      </c>
    </row>
  </sheetData>
  <autoFilter ref="A1:R21" xr:uid="{574C89BE-2CF7-4BFA-B5C1-1DDB1B111818}"/>
  <phoneticPr fontId="1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6972-171A-4D39-8870-6DE7BBA9E378}">
  <dimension ref="A1:O58"/>
  <sheetViews>
    <sheetView zoomScale="130" zoomScaleNormal="130" workbookViewId="0">
      <selection activeCell="K7" sqref="K7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4" width="9.5" style="9" customWidth="1"/>
    <col min="15" max="15" width="9.5" style="9" bestFit="1" customWidth="1"/>
    <col min="16" max="16384" width="9.33203125" style="5"/>
  </cols>
  <sheetData>
    <row r="1" spans="1:15">
      <c r="A1" s="19" t="s">
        <v>0</v>
      </c>
      <c r="B1" s="9" t="s">
        <v>1038</v>
      </c>
      <c r="C1" s="9" t="s">
        <v>1039</v>
      </c>
      <c r="D1" s="9" t="s">
        <v>1040</v>
      </c>
      <c r="E1" s="18" t="s">
        <v>1041</v>
      </c>
      <c r="F1" s="9" t="s">
        <v>1042</v>
      </c>
      <c r="G1" s="9" t="s">
        <v>1043</v>
      </c>
      <c r="H1" s="9" t="s">
        <v>1044</v>
      </c>
      <c r="I1" s="9" t="s">
        <v>1082</v>
      </c>
      <c r="J1" s="9" t="s">
        <v>1083</v>
      </c>
      <c r="K1" s="9" t="s">
        <v>1084</v>
      </c>
      <c r="L1" s="9" t="s">
        <v>1085</v>
      </c>
      <c r="M1" s="9" t="s">
        <v>1086</v>
      </c>
      <c r="N1" s="9" t="s">
        <v>1087</v>
      </c>
      <c r="O1" s="9" t="s">
        <v>1088</v>
      </c>
    </row>
    <row r="2" spans="1:15">
      <c r="A2" s="19">
        <v>1234614</v>
      </c>
      <c r="B2" s="9">
        <v>24</v>
      </c>
      <c r="C2" s="9">
        <v>276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5">
      <c r="A3" s="19">
        <v>1229673</v>
      </c>
      <c r="B3" s="9">
        <v>300</v>
      </c>
      <c r="C3" s="9">
        <v>0</v>
      </c>
      <c r="D3" s="9">
        <v>0</v>
      </c>
      <c r="E3" s="18">
        <v>252</v>
      </c>
      <c r="F3" s="9">
        <v>0</v>
      </c>
      <c r="G3" s="9">
        <v>0</v>
      </c>
      <c r="H3" s="9">
        <v>0</v>
      </c>
      <c r="I3" s="9">
        <v>250</v>
      </c>
      <c r="J3" s="9">
        <v>250</v>
      </c>
      <c r="K3" s="9">
        <v>250</v>
      </c>
      <c r="L3" s="9">
        <v>250</v>
      </c>
      <c r="M3" s="9">
        <v>300</v>
      </c>
      <c r="N3" s="9">
        <v>0</v>
      </c>
      <c r="O3" s="9">
        <v>0</v>
      </c>
    </row>
    <row r="4" spans="1:15">
      <c r="A4" s="19">
        <v>1230854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200</v>
      </c>
      <c r="M4" s="9">
        <v>0</v>
      </c>
      <c r="N4" s="9">
        <v>0</v>
      </c>
      <c r="O4" s="9">
        <v>0</v>
      </c>
    </row>
    <row r="5" spans="1:15">
      <c r="A5" s="19">
        <v>1233492</v>
      </c>
      <c r="B5" s="9">
        <v>0</v>
      </c>
      <c r="C5" s="9">
        <v>356</v>
      </c>
      <c r="D5" s="9">
        <v>144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>
      <c r="A6" s="19">
        <v>1233498</v>
      </c>
      <c r="B6" s="9">
        <v>0</v>
      </c>
      <c r="C6" s="9">
        <v>356</v>
      </c>
      <c r="D6" s="9">
        <v>144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</row>
    <row r="7" spans="1:15">
      <c r="A7" s="19">
        <v>1233623</v>
      </c>
      <c r="B7" s="9">
        <v>0</v>
      </c>
      <c r="C7" s="9">
        <v>356</v>
      </c>
      <c r="D7" s="9">
        <v>144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>
      <c r="A8" s="19">
        <v>1235623</v>
      </c>
      <c r="B8" s="9">
        <v>884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</row>
    <row r="9" spans="1:15">
      <c r="A9" s="19">
        <v>1237088</v>
      </c>
      <c r="B9" s="9">
        <v>736</v>
      </c>
      <c r="C9" s="9">
        <v>816</v>
      </c>
      <c r="D9" s="9">
        <v>788</v>
      </c>
      <c r="E9" s="18">
        <v>202</v>
      </c>
      <c r="F9" s="9">
        <v>870</v>
      </c>
      <c r="G9" s="9">
        <v>0</v>
      </c>
      <c r="H9" s="9">
        <v>0</v>
      </c>
      <c r="I9" s="9">
        <v>650</v>
      </c>
      <c r="J9" s="9">
        <v>804</v>
      </c>
      <c r="K9" s="9">
        <v>518</v>
      </c>
      <c r="L9" s="9">
        <v>746</v>
      </c>
      <c r="M9" s="9">
        <v>418</v>
      </c>
      <c r="N9" s="9">
        <v>0</v>
      </c>
      <c r="O9" s="9">
        <v>0</v>
      </c>
    </row>
    <row r="10" spans="1:15">
      <c r="A10" s="19">
        <v>1237748</v>
      </c>
      <c r="B10" s="9">
        <v>0</v>
      </c>
      <c r="C10" s="9">
        <v>0</v>
      </c>
      <c r="D10" s="9">
        <v>312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</row>
    <row r="11" spans="1:15">
      <c r="A11" s="19">
        <v>1236091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200</v>
      </c>
      <c r="L11" s="9">
        <v>0</v>
      </c>
      <c r="M11" s="9">
        <v>0</v>
      </c>
      <c r="N11" s="9">
        <v>0</v>
      </c>
      <c r="O11" s="9">
        <v>0</v>
      </c>
    </row>
    <row r="12" spans="1:15">
      <c r="A12" s="19">
        <v>1238128</v>
      </c>
      <c r="B12" s="9">
        <v>0</v>
      </c>
      <c r="C12" s="9">
        <v>0</v>
      </c>
      <c r="D12" s="9">
        <v>30</v>
      </c>
      <c r="E12" s="18">
        <v>464</v>
      </c>
      <c r="F12" s="9">
        <v>464</v>
      </c>
      <c r="G12" s="9">
        <v>0</v>
      </c>
      <c r="H12" s="9">
        <v>0</v>
      </c>
      <c r="I12" s="9">
        <v>590</v>
      </c>
      <c r="J12" s="9">
        <v>70</v>
      </c>
      <c r="K12" s="9">
        <v>244</v>
      </c>
      <c r="L12" s="9">
        <v>32</v>
      </c>
      <c r="M12" s="9">
        <v>378</v>
      </c>
      <c r="N12" s="9">
        <v>0</v>
      </c>
      <c r="O12" s="9">
        <v>0</v>
      </c>
    </row>
    <row r="13" spans="1:15">
      <c r="A13" s="19">
        <v>1236962</v>
      </c>
      <c r="B13" s="9">
        <v>200</v>
      </c>
      <c r="C13" s="9">
        <v>200</v>
      </c>
      <c r="D13" s="9">
        <v>300</v>
      </c>
      <c r="E13" s="18">
        <v>300</v>
      </c>
      <c r="F13" s="9">
        <v>200</v>
      </c>
      <c r="G13" s="9">
        <v>0</v>
      </c>
      <c r="H13" s="9">
        <v>0</v>
      </c>
      <c r="I13" s="9">
        <v>0</v>
      </c>
      <c r="J13" s="9">
        <v>200</v>
      </c>
      <c r="K13" s="9">
        <v>200</v>
      </c>
      <c r="L13" s="9">
        <v>300</v>
      </c>
      <c r="M13" s="9">
        <v>0</v>
      </c>
      <c r="N13" s="9">
        <v>0</v>
      </c>
      <c r="O13" s="9">
        <v>0</v>
      </c>
    </row>
    <row r="14" spans="1:15">
      <c r="A14" s="19">
        <v>1233761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200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</row>
    <row r="15" spans="1:15">
      <c r="A15" s="19">
        <v>1239651</v>
      </c>
      <c r="B15" s="9">
        <v>200</v>
      </c>
      <c r="C15" s="9">
        <v>300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400</v>
      </c>
      <c r="N15" s="9">
        <v>0</v>
      </c>
      <c r="O15" s="9">
        <v>0</v>
      </c>
    </row>
    <row r="16" spans="1:15">
      <c r="A16" s="19">
        <v>1239988</v>
      </c>
      <c r="B16" s="9">
        <v>0</v>
      </c>
      <c r="C16" s="9">
        <v>0</v>
      </c>
      <c r="D16" s="9">
        <v>0</v>
      </c>
      <c r="E16" s="18">
        <v>330</v>
      </c>
      <c r="F16" s="9">
        <v>400</v>
      </c>
      <c r="G16" s="9">
        <v>0</v>
      </c>
      <c r="H16" s="9">
        <v>0</v>
      </c>
      <c r="I16" s="9">
        <v>50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</row>
    <row r="17" spans="1:15">
      <c r="A17" s="19">
        <v>1240180</v>
      </c>
      <c r="B17" s="9">
        <v>426</v>
      </c>
      <c r="C17" s="9">
        <v>426</v>
      </c>
      <c r="D17" s="9">
        <v>334</v>
      </c>
      <c r="E17" s="18">
        <v>50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124</v>
      </c>
      <c r="L17" s="9">
        <v>390</v>
      </c>
      <c r="M17" s="9">
        <v>306</v>
      </c>
      <c r="N17" s="9">
        <v>0</v>
      </c>
      <c r="O17" s="9">
        <v>0</v>
      </c>
    </row>
    <row r="18" spans="1:15">
      <c r="A18" s="19">
        <v>1240184</v>
      </c>
      <c r="B18" s="9">
        <v>426</v>
      </c>
      <c r="C18" s="9">
        <v>426</v>
      </c>
      <c r="D18" s="9">
        <v>334</v>
      </c>
      <c r="E18" s="18">
        <v>50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314</v>
      </c>
      <c r="M18" s="9">
        <v>306</v>
      </c>
      <c r="N18" s="9">
        <v>0</v>
      </c>
      <c r="O18" s="9">
        <v>0</v>
      </c>
    </row>
    <row r="19" spans="1:15">
      <c r="A19" s="19">
        <v>1240308</v>
      </c>
      <c r="B19" s="9">
        <v>0</v>
      </c>
      <c r="C19" s="9">
        <v>0</v>
      </c>
      <c r="D19" s="9">
        <v>0</v>
      </c>
      <c r="E19" s="18">
        <v>270</v>
      </c>
      <c r="F19" s="9">
        <v>0</v>
      </c>
      <c r="G19" s="9">
        <v>0</v>
      </c>
      <c r="H19" s="9">
        <v>0</v>
      </c>
      <c r="I19" s="9">
        <v>0</v>
      </c>
      <c r="J19" s="9">
        <v>150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</row>
    <row r="20" spans="1:15">
      <c r="A20" s="19">
        <v>1241601</v>
      </c>
      <c r="B20" s="9">
        <v>1564</v>
      </c>
      <c r="C20" s="9">
        <v>1564</v>
      </c>
      <c r="D20" s="9">
        <v>1228</v>
      </c>
      <c r="E20" s="18">
        <v>1500</v>
      </c>
      <c r="F20" s="9">
        <v>1192</v>
      </c>
      <c r="G20" s="9">
        <v>0</v>
      </c>
      <c r="H20" s="9">
        <v>0</v>
      </c>
      <c r="I20" s="9">
        <v>1484</v>
      </c>
      <c r="J20" s="9">
        <v>1598</v>
      </c>
      <c r="K20" s="9">
        <v>1538</v>
      </c>
      <c r="L20" s="9">
        <v>2198</v>
      </c>
      <c r="M20" s="9">
        <v>1228</v>
      </c>
      <c r="N20" s="9">
        <v>0</v>
      </c>
      <c r="O20" s="9">
        <v>0</v>
      </c>
    </row>
    <row r="21" spans="1:15">
      <c r="A21" s="19">
        <v>1242242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</row>
    <row r="24" spans="1:15">
      <c r="A24" s="19" t="s">
        <v>0</v>
      </c>
      <c r="B24" s="9" t="s">
        <v>1038</v>
      </c>
      <c r="C24" s="9" t="s">
        <v>1039</v>
      </c>
      <c r="D24" s="9" t="s">
        <v>1040</v>
      </c>
      <c r="E24" s="9" t="s">
        <v>1041</v>
      </c>
      <c r="F24" s="9" t="s">
        <v>1042</v>
      </c>
      <c r="G24" s="9" t="s">
        <v>1043</v>
      </c>
      <c r="H24" s="9" t="s">
        <v>1044</v>
      </c>
      <c r="I24" s="9" t="s">
        <v>1082</v>
      </c>
      <c r="J24" s="9" t="s">
        <v>1083</v>
      </c>
      <c r="K24" s="9" t="s">
        <v>1084</v>
      </c>
      <c r="L24" s="9" t="s">
        <v>1085</v>
      </c>
      <c r="M24" s="9" t="s">
        <v>1086</v>
      </c>
      <c r="N24" s="9" t="s">
        <v>1087</v>
      </c>
      <c r="O24" s="9" t="s">
        <v>1088</v>
      </c>
    </row>
    <row r="25" spans="1:15">
      <c r="A25" s="19">
        <v>1237608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300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1:15">
      <c r="A26" s="19">
        <v>1236387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238</v>
      </c>
      <c r="J26" s="9">
        <v>357</v>
      </c>
      <c r="K26" s="9">
        <v>357</v>
      </c>
      <c r="L26" s="9">
        <v>255</v>
      </c>
      <c r="M26" s="9">
        <v>0</v>
      </c>
      <c r="N26" s="9">
        <v>0</v>
      </c>
      <c r="O26" s="9">
        <v>0</v>
      </c>
    </row>
    <row r="27" spans="1:15">
      <c r="A27" s="19">
        <v>1232775</v>
      </c>
      <c r="B27" s="9">
        <v>242</v>
      </c>
      <c r="C27" s="9">
        <v>242</v>
      </c>
      <c r="D27" s="9">
        <v>245</v>
      </c>
      <c r="E27" s="9">
        <v>242</v>
      </c>
      <c r="F27" s="9">
        <v>242</v>
      </c>
      <c r="G27" s="9">
        <v>0</v>
      </c>
      <c r="H27" s="9">
        <v>0</v>
      </c>
      <c r="I27" s="9">
        <v>242</v>
      </c>
      <c r="J27" s="9">
        <v>242</v>
      </c>
      <c r="K27" s="9">
        <v>242</v>
      </c>
      <c r="L27" s="9">
        <v>245</v>
      </c>
      <c r="M27" s="9">
        <v>242</v>
      </c>
      <c r="N27" s="9">
        <v>0</v>
      </c>
      <c r="O27" s="9">
        <v>0</v>
      </c>
    </row>
    <row r="28" spans="1:15">
      <c r="A28" s="19">
        <v>1238605</v>
      </c>
      <c r="B28" s="9">
        <v>192</v>
      </c>
      <c r="C28" s="9">
        <v>190</v>
      </c>
      <c r="D28" s="9">
        <v>192</v>
      </c>
      <c r="E28" s="9">
        <v>190</v>
      </c>
      <c r="F28" s="9">
        <v>190</v>
      </c>
      <c r="G28" s="9">
        <v>0</v>
      </c>
      <c r="H28" s="9">
        <v>0</v>
      </c>
      <c r="I28" s="9">
        <v>40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32" spans="1:15">
      <c r="A32" s="19" t="s">
        <v>0</v>
      </c>
      <c r="B32" s="9" t="s">
        <v>1038</v>
      </c>
      <c r="C32" s="9" t="s">
        <v>1039</v>
      </c>
      <c r="D32" s="9" t="s">
        <v>1040</v>
      </c>
      <c r="E32" s="9" t="s">
        <v>1041</v>
      </c>
      <c r="F32" s="9" t="s">
        <v>1042</v>
      </c>
      <c r="G32" s="9" t="s">
        <v>1043</v>
      </c>
      <c r="H32" s="9" t="s">
        <v>1044</v>
      </c>
      <c r="I32" s="9" t="s">
        <v>1082</v>
      </c>
      <c r="J32" s="9" t="s">
        <v>1083</v>
      </c>
      <c r="K32" s="9" t="s">
        <v>1084</v>
      </c>
      <c r="L32" s="9" t="s">
        <v>1085</v>
      </c>
      <c r="M32" s="9" t="s">
        <v>1086</v>
      </c>
      <c r="N32" s="9" t="s">
        <v>1087</v>
      </c>
      <c r="O32" s="9" t="s">
        <v>1088</v>
      </c>
    </row>
    <row r="33" spans="1:15">
      <c r="A33" s="19">
        <v>1227306</v>
      </c>
      <c r="B33" s="9">
        <v>383</v>
      </c>
      <c r="C33" s="9">
        <v>161</v>
      </c>
      <c r="D33" s="9">
        <v>56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300</v>
      </c>
      <c r="L33" s="9">
        <v>400</v>
      </c>
      <c r="M33" s="9">
        <v>190</v>
      </c>
      <c r="N33" s="9">
        <v>0</v>
      </c>
      <c r="O33" s="9">
        <v>0</v>
      </c>
    </row>
    <row r="34" spans="1:15">
      <c r="A34" s="19">
        <v>1227359</v>
      </c>
      <c r="B34" s="9">
        <v>0</v>
      </c>
      <c r="C34" s="9">
        <v>0</v>
      </c>
      <c r="D34" s="9">
        <v>1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</row>
    <row r="35" spans="1:15">
      <c r="A35" s="19">
        <v>1225464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245</v>
      </c>
      <c r="J35" s="9">
        <v>661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>
      <c r="A36" s="19">
        <v>1229776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90</v>
      </c>
      <c r="L36" s="9">
        <v>0</v>
      </c>
      <c r="M36" s="9">
        <v>0</v>
      </c>
      <c r="N36" s="9">
        <v>0</v>
      </c>
      <c r="O36" s="9">
        <v>0</v>
      </c>
    </row>
    <row r="37" spans="1:15">
      <c r="A37" s="19">
        <v>1231090</v>
      </c>
      <c r="B37" s="9">
        <v>433</v>
      </c>
      <c r="C37" s="9">
        <v>182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892</v>
      </c>
      <c r="J37" s="9">
        <v>160</v>
      </c>
      <c r="K37" s="9">
        <v>90</v>
      </c>
      <c r="L37" s="9">
        <v>0</v>
      </c>
      <c r="M37" s="9">
        <v>570</v>
      </c>
      <c r="N37" s="9">
        <v>0</v>
      </c>
      <c r="O37" s="9">
        <v>0</v>
      </c>
    </row>
    <row r="38" spans="1:15">
      <c r="A38" s="19">
        <v>1234222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1060</v>
      </c>
      <c r="N38" s="9">
        <v>0</v>
      </c>
      <c r="O38" s="9">
        <v>0</v>
      </c>
    </row>
    <row r="39" spans="1:15">
      <c r="A39" s="19">
        <v>1232528</v>
      </c>
      <c r="B39" s="9">
        <v>526</v>
      </c>
      <c r="C39" s="9">
        <v>227</v>
      </c>
      <c r="D39" s="9">
        <v>718</v>
      </c>
      <c r="E39" s="9">
        <v>1372</v>
      </c>
      <c r="F39" s="9">
        <v>1078</v>
      </c>
      <c r="G39" s="9">
        <v>0</v>
      </c>
      <c r="H39" s="9">
        <v>0</v>
      </c>
      <c r="I39" s="9">
        <v>1475</v>
      </c>
      <c r="J39" s="9">
        <v>1200</v>
      </c>
      <c r="K39" s="9">
        <v>1109</v>
      </c>
      <c r="L39" s="9">
        <v>700</v>
      </c>
      <c r="M39" s="9">
        <v>2845</v>
      </c>
      <c r="N39" s="9">
        <v>0</v>
      </c>
      <c r="O39" s="9">
        <v>0</v>
      </c>
    </row>
    <row r="40" spans="1:15">
      <c r="A40" s="19">
        <v>1232846</v>
      </c>
      <c r="B40" s="9">
        <v>280</v>
      </c>
      <c r="C40" s="9">
        <v>202</v>
      </c>
      <c r="D40" s="9">
        <v>196</v>
      </c>
      <c r="E40" s="9">
        <v>350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>
      <c r="A41" s="19">
        <v>1229050</v>
      </c>
      <c r="B41" s="9">
        <v>0</v>
      </c>
      <c r="C41" s="9">
        <v>0</v>
      </c>
      <c r="D41" s="9">
        <v>251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>
      <c r="A42" s="19">
        <v>1233383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218</v>
      </c>
      <c r="L42" s="9">
        <v>0</v>
      </c>
      <c r="M42" s="9">
        <v>0</v>
      </c>
      <c r="N42" s="9">
        <v>0</v>
      </c>
      <c r="O42" s="9">
        <v>0</v>
      </c>
    </row>
    <row r="43" spans="1:15">
      <c r="A43" s="19">
        <v>1220847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1142</v>
      </c>
      <c r="J43" s="9">
        <v>18</v>
      </c>
      <c r="K43" s="9">
        <v>0</v>
      </c>
      <c r="L43" s="9">
        <v>0</v>
      </c>
      <c r="M43" s="9">
        <v>4330</v>
      </c>
      <c r="N43" s="9">
        <v>0</v>
      </c>
      <c r="O43" s="9">
        <v>0</v>
      </c>
    </row>
    <row r="44" spans="1:15">
      <c r="A44" s="19">
        <v>1235958</v>
      </c>
      <c r="B44" s="9">
        <v>0</v>
      </c>
      <c r="C44" s="9">
        <v>0</v>
      </c>
      <c r="D44" s="9">
        <v>1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>
      <c r="A45" s="19">
        <v>1236600</v>
      </c>
      <c r="B45" s="9">
        <v>0</v>
      </c>
      <c r="C45" s="9">
        <v>0</v>
      </c>
      <c r="D45" s="9">
        <v>56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>
      <c r="A46" s="19">
        <v>1236619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90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19">
        <v>1236930</v>
      </c>
      <c r="B47" s="9">
        <v>201</v>
      </c>
      <c r="C47" s="9">
        <v>112</v>
      </c>
      <c r="D47" s="9">
        <v>267</v>
      </c>
      <c r="E47" s="9">
        <v>339</v>
      </c>
      <c r="F47" s="9">
        <v>267</v>
      </c>
      <c r="G47" s="9">
        <v>0</v>
      </c>
      <c r="H47" s="9">
        <v>0</v>
      </c>
      <c r="I47" s="9">
        <v>701</v>
      </c>
      <c r="J47" s="9">
        <v>324</v>
      </c>
      <c r="K47" s="9">
        <v>300</v>
      </c>
      <c r="L47" s="9">
        <v>300</v>
      </c>
      <c r="M47" s="9">
        <v>614</v>
      </c>
      <c r="N47" s="9">
        <v>0</v>
      </c>
      <c r="O47" s="9">
        <v>0</v>
      </c>
    </row>
    <row r="48" spans="1:15">
      <c r="A48" s="19">
        <v>1237468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392</v>
      </c>
      <c r="K48" s="9">
        <v>96</v>
      </c>
      <c r="L48" s="9">
        <v>0</v>
      </c>
      <c r="M48" s="9">
        <v>0</v>
      </c>
      <c r="N48" s="9">
        <v>0</v>
      </c>
      <c r="O48" s="9">
        <v>0</v>
      </c>
    </row>
    <row r="49" spans="1:15">
      <c r="A49" s="19">
        <v>1237210</v>
      </c>
      <c r="B49" s="9">
        <v>0</v>
      </c>
      <c r="C49" s="9">
        <v>0</v>
      </c>
      <c r="D49" s="9">
        <v>140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160</v>
      </c>
      <c r="N49" s="9">
        <v>0</v>
      </c>
      <c r="O49" s="9">
        <v>0</v>
      </c>
    </row>
    <row r="50" spans="1:15">
      <c r="A50" s="19">
        <v>1237457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18</v>
      </c>
      <c r="N50" s="9">
        <v>0</v>
      </c>
      <c r="O50" s="9">
        <v>0</v>
      </c>
    </row>
    <row r="51" spans="1:15">
      <c r="A51" s="19">
        <v>1234905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500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>
      <c r="A52" s="19">
        <v>1238480</v>
      </c>
      <c r="B52" s="9">
        <v>962</v>
      </c>
      <c r="C52" s="9">
        <v>430</v>
      </c>
      <c r="D52" s="9">
        <v>826</v>
      </c>
      <c r="E52" s="9">
        <v>1149</v>
      </c>
      <c r="F52" s="9">
        <v>920</v>
      </c>
      <c r="G52" s="9">
        <v>0</v>
      </c>
      <c r="H52" s="9">
        <v>0</v>
      </c>
      <c r="I52" s="9">
        <v>1886</v>
      </c>
      <c r="J52" s="9">
        <v>1071</v>
      </c>
      <c r="K52" s="9">
        <v>698</v>
      </c>
      <c r="L52" s="9">
        <v>886</v>
      </c>
      <c r="M52" s="9">
        <v>1082</v>
      </c>
      <c r="N52" s="9">
        <v>0</v>
      </c>
      <c r="O52" s="9">
        <v>0</v>
      </c>
    </row>
    <row r="53" spans="1:15">
      <c r="A53" s="19">
        <v>1238453</v>
      </c>
      <c r="B53" s="9">
        <v>11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1:15">
      <c r="A54" s="19">
        <v>1232775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316</v>
      </c>
      <c r="L54" s="9">
        <v>0</v>
      </c>
      <c r="M54" s="9">
        <v>0</v>
      </c>
      <c r="N54" s="9">
        <v>0</v>
      </c>
      <c r="O54" s="9">
        <v>0</v>
      </c>
    </row>
    <row r="55" spans="1:15">
      <c r="A55" s="19">
        <v>1216452</v>
      </c>
      <c r="B55" s="9">
        <v>0</v>
      </c>
      <c r="C55" s="9">
        <v>0</v>
      </c>
      <c r="D55" s="9">
        <v>0</v>
      </c>
      <c r="E55" s="9">
        <v>0</v>
      </c>
      <c r="F55" s="9">
        <v>499</v>
      </c>
      <c r="G55" s="9">
        <v>0</v>
      </c>
      <c r="H55" s="9">
        <v>0</v>
      </c>
      <c r="I55" s="9">
        <v>0</v>
      </c>
      <c r="J55" s="9">
        <v>299</v>
      </c>
      <c r="K55" s="9">
        <v>61</v>
      </c>
      <c r="L55" s="9">
        <v>0</v>
      </c>
      <c r="M55" s="9">
        <v>0</v>
      </c>
      <c r="N55" s="9">
        <v>0</v>
      </c>
      <c r="O55" s="9">
        <v>0</v>
      </c>
    </row>
    <row r="56" spans="1:15">
      <c r="A56" s="19">
        <v>1232894</v>
      </c>
      <c r="B56" s="9">
        <v>280</v>
      </c>
      <c r="C56" s="9">
        <v>202</v>
      </c>
      <c r="D56" s="9">
        <v>196</v>
      </c>
      <c r="E56" s="9">
        <v>350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1:15">
      <c r="A57" s="19">
        <v>1233387</v>
      </c>
      <c r="B57" s="9">
        <v>280</v>
      </c>
      <c r="C57" s="9">
        <v>202</v>
      </c>
      <c r="D57" s="9">
        <v>196</v>
      </c>
      <c r="E57" s="9">
        <v>350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>
      <c r="A58" s="19">
        <v>1238092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144</v>
      </c>
      <c r="N58" s="9">
        <v>0</v>
      </c>
      <c r="O58" s="9">
        <v>0</v>
      </c>
    </row>
  </sheetData>
  <autoFilter ref="A1:O21" xr:uid="{1D906972-171A-4D39-8870-6DE7BBA9E378}"/>
  <phoneticPr fontId="1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891A-C334-4074-B30D-FC3FF3E08696}">
  <dimension ref="A1:U70"/>
  <sheetViews>
    <sheetView topLeftCell="A36" zoomScale="115" zoomScaleNormal="115" workbookViewId="0">
      <selection activeCell="Q68" sqref="Q68"/>
    </sheetView>
  </sheetViews>
  <sheetFormatPr defaultColWidth="9.33203125" defaultRowHeight="12"/>
  <cols>
    <col min="1" max="1" width="10.1640625" style="19" bestFit="1" customWidth="1"/>
    <col min="2" max="2" width="9.6640625" style="9" bestFit="1" customWidth="1"/>
    <col min="3" max="18" width="9.6640625" style="9" customWidth="1"/>
    <col min="19" max="19" width="10.1640625" style="9" customWidth="1"/>
    <col min="20" max="20" width="9.83203125" style="9" customWidth="1"/>
    <col min="21" max="21" width="9.6640625" style="9" bestFit="1" customWidth="1"/>
    <col min="22" max="16384" width="9.33203125" style="5"/>
  </cols>
  <sheetData>
    <row r="1" spans="1:21">
      <c r="A1" s="19" t="s">
        <v>0</v>
      </c>
      <c r="B1" s="9" t="s">
        <v>1039</v>
      </c>
      <c r="C1" s="9" t="s">
        <v>1040</v>
      </c>
      <c r="D1" s="9" t="s">
        <v>1041</v>
      </c>
      <c r="E1" s="18" t="s">
        <v>1042</v>
      </c>
      <c r="F1" s="9" t="s">
        <v>1043</v>
      </c>
      <c r="G1" s="9" t="s">
        <v>1044</v>
      </c>
      <c r="H1" s="9" t="s">
        <v>1082</v>
      </c>
      <c r="I1" s="9" t="s">
        <v>1083</v>
      </c>
      <c r="J1" s="9" t="s">
        <v>1084</v>
      </c>
      <c r="K1" s="9" t="s">
        <v>1085</v>
      </c>
      <c r="L1" s="9" t="s">
        <v>1086</v>
      </c>
      <c r="M1" s="9" t="s">
        <v>1087</v>
      </c>
      <c r="N1" s="9" t="s">
        <v>1088</v>
      </c>
      <c r="O1" s="9" t="s">
        <v>1145</v>
      </c>
      <c r="P1" s="9" t="s">
        <v>1146</v>
      </c>
      <c r="Q1" s="9" t="s">
        <v>1147</v>
      </c>
      <c r="R1" s="9" t="s">
        <v>1148</v>
      </c>
      <c r="S1" s="9" t="s">
        <v>1149</v>
      </c>
      <c r="T1" s="9" t="s">
        <v>1150</v>
      </c>
      <c r="U1" s="9" t="s">
        <v>1151</v>
      </c>
    </row>
    <row r="2" spans="1:21">
      <c r="A2" s="19">
        <v>1234614</v>
      </c>
      <c r="B2" s="9">
        <v>276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>
      <c r="A3" s="19">
        <v>1229673</v>
      </c>
      <c r="B3" s="9">
        <v>0</v>
      </c>
      <c r="C3" s="9">
        <v>0</v>
      </c>
      <c r="D3" s="9">
        <v>252</v>
      </c>
      <c r="E3" s="9">
        <v>0</v>
      </c>
      <c r="F3" s="9">
        <v>0</v>
      </c>
      <c r="G3" s="9">
        <v>0</v>
      </c>
      <c r="H3" s="9">
        <v>250</v>
      </c>
      <c r="I3" s="9">
        <v>250</v>
      </c>
      <c r="J3" s="9">
        <v>250</v>
      </c>
      <c r="K3" s="9">
        <v>250</v>
      </c>
      <c r="L3" s="9">
        <v>300</v>
      </c>
      <c r="M3" s="9">
        <v>0</v>
      </c>
      <c r="N3" s="9">
        <v>0</v>
      </c>
      <c r="O3" s="9">
        <v>300</v>
      </c>
      <c r="P3" s="9">
        <v>300</v>
      </c>
      <c r="Q3" s="9">
        <v>300</v>
      </c>
      <c r="R3" s="9">
        <v>300</v>
      </c>
      <c r="S3" s="9">
        <v>300</v>
      </c>
      <c r="T3" s="9">
        <v>0</v>
      </c>
      <c r="U3" s="9">
        <v>0</v>
      </c>
    </row>
    <row r="4" spans="1:21">
      <c r="A4" s="19">
        <v>1230854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200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100</v>
      </c>
      <c r="T4" s="9">
        <v>0</v>
      </c>
      <c r="U4" s="9">
        <v>0</v>
      </c>
    </row>
    <row r="5" spans="1:21">
      <c r="A5" s="19">
        <v>1233492</v>
      </c>
      <c r="B5" s="9">
        <v>356</v>
      </c>
      <c r="C5" s="9">
        <v>144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>
      <c r="A6" s="19">
        <v>1233498</v>
      </c>
      <c r="B6" s="9">
        <v>356</v>
      </c>
      <c r="C6" s="9">
        <v>144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</row>
    <row r="7" spans="1:21">
      <c r="A7" s="19">
        <v>1233623</v>
      </c>
      <c r="B7" s="9">
        <v>356</v>
      </c>
      <c r="C7" s="9">
        <v>144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>
      <c r="A8" s="19">
        <v>1237088</v>
      </c>
      <c r="B8" s="9">
        <v>816</v>
      </c>
      <c r="C8" s="9">
        <v>788</v>
      </c>
      <c r="D8" s="9">
        <v>202</v>
      </c>
      <c r="E8" s="18">
        <v>870</v>
      </c>
      <c r="F8" s="9">
        <v>0</v>
      </c>
      <c r="G8" s="9">
        <v>0</v>
      </c>
      <c r="H8" s="9">
        <v>650</v>
      </c>
      <c r="I8" s="9">
        <v>804</v>
      </c>
      <c r="J8" s="9">
        <v>518</v>
      </c>
      <c r="K8" s="9">
        <v>746</v>
      </c>
      <c r="L8" s="9">
        <v>418</v>
      </c>
      <c r="M8" s="9">
        <v>0</v>
      </c>
      <c r="N8" s="9">
        <v>0</v>
      </c>
      <c r="O8" s="9">
        <v>436</v>
      </c>
      <c r="P8" s="9">
        <v>158</v>
      </c>
      <c r="Q8" s="9">
        <v>626</v>
      </c>
      <c r="R8" s="9">
        <v>332</v>
      </c>
      <c r="S8" s="9">
        <v>230</v>
      </c>
      <c r="T8" s="9">
        <v>0</v>
      </c>
      <c r="U8" s="9">
        <v>0</v>
      </c>
    </row>
    <row r="9" spans="1:21">
      <c r="A9" s="19">
        <v>1237748</v>
      </c>
      <c r="B9" s="9">
        <v>0</v>
      </c>
      <c r="C9" s="9">
        <v>312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>
      <c r="A10" s="19">
        <v>1236091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200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300</v>
      </c>
      <c r="S10" s="9">
        <v>0</v>
      </c>
      <c r="T10" s="9">
        <v>0</v>
      </c>
      <c r="U10" s="9">
        <v>0</v>
      </c>
    </row>
    <row r="11" spans="1:21">
      <c r="A11" s="19">
        <v>1238128</v>
      </c>
      <c r="B11" s="9">
        <v>0</v>
      </c>
      <c r="C11" s="9">
        <v>30</v>
      </c>
      <c r="D11" s="9">
        <v>464</v>
      </c>
      <c r="E11" s="18">
        <v>464</v>
      </c>
      <c r="F11" s="9">
        <v>0</v>
      </c>
      <c r="G11" s="9">
        <v>0</v>
      </c>
      <c r="H11" s="9">
        <v>590</v>
      </c>
      <c r="I11" s="9">
        <v>70</v>
      </c>
      <c r="J11" s="9">
        <v>586</v>
      </c>
      <c r="K11" s="9">
        <v>1180</v>
      </c>
      <c r="L11" s="9">
        <v>842</v>
      </c>
      <c r="M11" s="9">
        <v>0</v>
      </c>
      <c r="N11" s="9">
        <v>0</v>
      </c>
      <c r="O11" s="9">
        <v>514</v>
      </c>
      <c r="P11" s="9">
        <v>82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</row>
    <row r="12" spans="1:21">
      <c r="A12" s="19">
        <v>1236962</v>
      </c>
      <c r="B12" s="9">
        <v>200</v>
      </c>
      <c r="C12" s="9">
        <v>300</v>
      </c>
      <c r="D12" s="9">
        <v>300</v>
      </c>
      <c r="E12" s="18">
        <v>200</v>
      </c>
      <c r="F12" s="9">
        <v>0</v>
      </c>
      <c r="G12" s="9">
        <v>0</v>
      </c>
      <c r="H12" s="9">
        <v>0</v>
      </c>
      <c r="I12" s="9">
        <v>200</v>
      </c>
      <c r="J12" s="9">
        <v>200</v>
      </c>
      <c r="K12" s="9">
        <v>300</v>
      </c>
      <c r="L12" s="9">
        <v>0</v>
      </c>
      <c r="M12" s="9">
        <v>0</v>
      </c>
      <c r="N12" s="9">
        <v>0</v>
      </c>
      <c r="O12" s="9">
        <v>300</v>
      </c>
      <c r="P12" s="9">
        <v>300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</row>
    <row r="13" spans="1:21">
      <c r="A13" s="19">
        <v>1233761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200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350</v>
      </c>
      <c r="T13" s="9">
        <v>0</v>
      </c>
      <c r="U13" s="9">
        <v>0</v>
      </c>
    </row>
    <row r="14" spans="1:21">
      <c r="A14" s="19">
        <v>1239651</v>
      </c>
      <c r="B14" s="9">
        <v>300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400</v>
      </c>
      <c r="M14" s="9">
        <v>0</v>
      </c>
      <c r="N14" s="9">
        <v>0</v>
      </c>
      <c r="O14" s="9">
        <v>100</v>
      </c>
      <c r="P14" s="9">
        <v>0</v>
      </c>
      <c r="Q14" s="9">
        <v>0</v>
      </c>
      <c r="R14" s="9">
        <v>400</v>
      </c>
      <c r="S14" s="9">
        <v>0</v>
      </c>
      <c r="T14" s="9">
        <v>0</v>
      </c>
      <c r="U14" s="9">
        <v>0</v>
      </c>
    </row>
    <row r="15" spans="1:21">
      <c r="A15" s="19">
        <v>1239988</v>
      </c>
      <c r="B15" s="9">
        <v>0</v>
      </c>
      <c r="C15" s="9">
        <v>0</v>
      </c>
      <c r="D15" s="9">
        <v>330</v>
      </c>
      <c r="E15" s="18">
        <v>400</v>
      </c>
      <c r="F15" s="9">
        <v>0</v>
      </c>
      <c r="G15" s="9">
        <v>0</v>
      </c>
      <c r="H15" s="9">
        <v>50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</row>
    <row r="16" spans="1:21">
      <c r="A16" s="19">
        <v>1240180</v>
      </c>
      <c r="B16" s="9">
        <v>426</v>
      </c>
      <c r="C16" s="9">
        <v>334</v>
      </c>
      <c r="D16" s="9">
        <v>50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124</v>
      </c>
      <c r="K16" s="9">
        <v>390</v>
      </c>
      <c r="L16" s="9">
        <v>306</v>
      </c>
      <c r="M16" s="9">
        <v>0</v>
      </c>
      <c r="N16" s="9">
        <v>0</v>
      </c>
      <c r="O16" s="9">
        <v>306</v>
      </c>
      <c r="P16" s="9">
        <v>390</v>
      </c>
      <c r="Q16" s="9">
        <v>306</v>
      </c>
      <c r="R16" s="9">
        <v>390</v>
      </c>
      <c r="S16" s="9">
        <v>306</v>
      </c>
      <c r="T16" s="9">
        <v>0</v>
      </c>
      <c r="U16" s="9">
        <v>0</v>
      </c>
    </row>
    <row r="17" spans="1:21">
      <c r="A17" s="19">
        <v>1240184</v>
      </c>
      <c r="B17" s="9">
        <v>426</v>
      </c>
      <c r="C17" s="9">
        <v>334</v>
      </c>
      <c r="D17" s="9">
        <v>50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314</v>
      </c>
      <c r="L17" s="9">
        <v>306</v>
      </c>
      <c r="M17" s="9">
        <v>0</v>
      </c>
      <c r="N17" s="9">
        <v>0</v>
      </c>
      <c r="O17" s="9">
        <v>306</v>
      </c>
      <c r="P17" s="9">
        <v>390</v>
      </c>
      <c r="Q17" s="9">
        <v>306</v>
      </c>
      <c r="R17" s="9">
        <v>390</v>
      </c>
      <c r="S17" s="9">
        <v>306</v>
      </c>
      <c r="T17" s="9">
        <v>0</v>
      </c>
      <c r="U17" s="9">
        <v>0</v>
      </c>
    </row>
    <row r="18" spans="1:21">
      <c r="A18" s="19">
        <v>1240308</v>
      </c>
      <c r="B18" s="9">
        <v>0</v>
      </c>
      <c r="C18" s="9">
        <v>0</v>
      </c>
      <c r="D18" s="9">
        <v>270</v>
      </c>
      <c r="E18" s="9">
        <v>0</v>
      </c>
      <c r="F18" s="9">
        <v>0</v>
      </c>
      <c r="G18" s="9">
        <v>0</v>
      </c>
      <c r="H18" s="9">
        <v>0</v>
      </c>
      <c r="I18" s="9">
        <v>150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350</v>
      </c>
      <c r="Q18" s="9">
        <v>0</v>
      </c>
      <c r="R18" s="9">
        <v>0</v>
      </c>
      <c r="S18" s="9">
        <v>94</v>
      </c>
      <c r="T18" s="9">
        <v>0</v>
      </c>
      <c r="U18" s="9">
        <v>0</v>
      </c>
    </row>
    <row r="19" spans="1:21">
      <c r="A19" s="19">
        <v>1241601</v>
      </c>
      <c r="B19" s="9">
        <v>1564</v>
      </c>
      <c r="C19" s="9">
        <v>1228</v>
      </c>
      <c r="D19" s="9">
        <v>1500</v>
      </c>
      <c r="E19" s="18">
        <v>1192</v>
      </c>
      <c r="F19" s="9">
        <v>0</v>
      </c>
      <c r="G19" s="9">
        <v>0</v>
      </c>
      <c r="H19" s="9">
        <v>1498</v>
      </c>
      <c r="I19" s="9">
        <v>1728</v>
      </c>
      <c r="J19" s="9">
        <v>1268</v>
      </c>
      <c r="K19" s="9">
        <v>732</v>
      </c>
      <c r="L19" s="9">
        <v>614</v>
      </c>
      <c r="M19" s="9">
        <v>0</v>
      </c>
      <c r="N19" s="9">
        <v>0</v>
      </c>
      <c r="O19" s="9">
        <v>1002</v>
      </c>
      <c r="P19" s="9">
        <v>1380</v>
      </c>
      <c r="Q19" s="9">
        <v>1502</v>
      </c>
      <c r="R19" s="9">
        <v>1704</v>
      </c>
      <c r="S19" s="9">
        <v>1112</v>
      </c>
      <c r="T19" s="9">
        <v>0</v>
      </c>
      <c r="U19" s="9">
        <v>0</v>
      </c>
    </row>
    <row r="20" spans="1:21">
      <c r="A20" s="19">
        <v>1242242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200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</row>
    <row r="24" spans="1:21">
      <c r="A24" s="19" t="s">
        <v>0</v>
      </c>
      <c r="B24" s="9" t="s">
        <v>1039</v>
      </c>
      <c r="C24" s="9" t="s">
        <v>1040</v>
      </c>
      <c r="D24" s="9" t="s">
        <v>1041</v>
      </c>
      <c r="E24" s="9" t="s">
        <v>1042</v>
      </c>
      <c r="F24" s="9" t="s">
        <v>1043</v>
      </c>
      <c r="G24" s="9" t="s">
        <v>1044</v>
      </c>
      <c r="H24" s="9" t="s">
        <v>1082</v>
      </c>
      <c r="I24" s="9" t="s">
        <v>1083</v>
      </c>
      <c r="J24" s="9" t="s">
        <v>1084</v>
      </c>
      <c r="K24" s="9" t="s">
        <v>1085</v>
      </c>
      <c r="L24" s="9" t="s">
        <v>1086</v>
      </c>
      <c r="M24" s="9" t="s">
        <v>1087</v>
      </c>
      <c r="N24" s="9" t="s">
        <v>1088</v>
      </c>
      <c r="O24" s="9" t="s">
        <v>1145</v>
      </c>
      <c r="P24" s="9" t="s">
        <v>1146</v>
      </c>
      <c r="Q24" s="9" t="s">
        <v>1147</v>
      </c>
      <c r="R24" s="9" t="s">
        <v>1148</v>
      </c>
      <c r="S24" s="9" t="s">
        <v>1149</v>
      </c>
      <c r="T24" s="9" t="s">
        <v>1150</v>
      </c>
      <c r="U24" s="9" t="s">
        <v>1151</v>
      </c>
    </row>
    <row r="25" spans="1:21">
      <c r="A25" s="19">
        <v>1237608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300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</row>
    <row r="26" spans="1:21">
      <c r="A26" s="19">
        <v>1236387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238</v>
      </c>
      <c r="I26" s="9">
        <v>357</v>
      </c>
      <c r="J26" s="9">
        <v>357</v>
      </c>
      <c r="K26" s="9">
        <v>255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>
      <c r="A27" s="192">
        <v>1232775</v>
      </c>
      <c r="B27" s="9">
        <v>242</v>
      </c>
      <c r="C27" s="9">
        <v>245</v>
      </c>
      <c r="D27" s="9">
        <v>242</v>
      </c>
      <c r="E27" s="9">
        <v>242</v>
      </c>
      <c r="F27" s="9">
        <v>0</v>
      </c>
      <c r="G27" s="9">
        <v>0</v>
      </c>
      <c r="H27" s="9">
        <v>242</v>
      </c>
      <c r="I27" s="9">
        <v>242</v>
      </c>
      <c r="J27" s="9">
        <v>242</v>
      </c>
      <c r="K27" s="9">
        <v>245</v>
      </c>
      <c r="L27" s="9">
        <v>242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159</v>
      </c>
      <c r="S27" s="9">
        <v>484</v>
      </c>
      <c r="T27" s="9">
        <v>0</v>
      </c>
      <c r="U27" s="9">
        <v>0</v>
      </c>
    </row>
    <row r="28" spans="1:21">
      <c r="A28" s="192">
        <v>1238605</v>
      </c>
      <c r="B28" s="9">
        <v>190</v>
      </c>
      <c r="C28" s="9">
        <v>192</v>
      </c>
      <c r="D28" s="9">
        <v>190</v>
      </c>
      <c r="E28" s="9">
        <v>190</v>
      </c>
      <c r="F28" s="9">
        <v>0</v>
      </c>
      <c r="G28" s="9">
        <v>0</v>
      </c>
      <c r="H28" s="9">
        <v>40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175</v>
      </c>
      <c r="P28" s="9">
        <v>190</v>
      </c>
      <c r="Q28" s="9">
        <v>187</v>
      </c>
      <c r="R28" s="9">
        <v>58</v>
      </c>
      <c r="S28" s="9">
        <v>0</v>
      </c>
      <c r="T28" s="9">
        <v>0</v>
      </c>
      <c r="U28" s="9">
        <v>0</v>
      </c>
    </row>
    <row r="32" spans="1:21">
      <c r="A32" s="19" t="s">
        <v>0</v>
      </c>
      <c r="B32" s="9" t="s">
        <v>1039</v>
      </c>
      <c r="C32" s="9" t="s">
        <v>1040</v>
      </c>
      <c r="D32" s="9" t="s">
        <v>1041</v>
      </c>
      <c r="E32" s="9" t="s">
        <v>1042</v>
      </c>
      <c r="F32" s="9" t="s">
        <v>1043</v>
      </c>
      <c r="G32" s="9" t="s">
        <v>1044</v>
      </c>
      <c r="H32" s="9" t="s">
        <v>1082</v>
      </c>
      <c r="I32" s="9" t="s">
        <v>1083</v>
      </c>
      <c r="J32" s="9" t="s">
        <v>1084</v>
      </c>
      <c r="K32" s="9" t="s">
        <v>1085</v>
      </c>
      <c r="L32" s="9" t="s">
        <v>1086</v>
      </c>
      <c r="M32" s="9" t="s">
        <v>1087</v>
      </c>
      <c r="N32" s="9" t="s">
        <v>1088</v>
      </c>
      <c r="O32" s="9" t="s">
        <v>1145</v>
      </c>
      <c r="P32" s="9" t="s">
        <v>1146</v>
      </c>
      <c r="Q32" s="9" t="s">
        <v>1147</v>
      </c>
      <c r="R32" s="9" t="s">
        <v>1148</v>
      </c>
      <c r="S32" s="9" t="s">
        <v>1149</v>
      </c>
      <c r="T32" s="9" t="s">
        <v>1150</v>
      </c>
      <c r="U32" s="9" t="s">
        <v>1151</v>
      </c>
    </row>
    <row r="33" spans="1:21">
      <c r="A33" s="100">
        <v>1234614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468</v>
      </c>
      <c r="T33" s="9">
        <v>0</v>
      </c>
      <c r="U33" s="9">
        <v>0</v>
      </c>
    </row>
    <row r="34" spans="1:21">
      <c r="A34" s="100">
        <v>1227306</v>
      </c>
      <c r="B34" s="9">
        <v>161</v>
      </c>
      <c r="C34" s="9">
        <v>56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300</v>
      </c>
      <c r="K34" s="9">
        <v>700</v>
      </c>
      <c r="L34" s="9">
        <v>190</v>
      </c>
      <c r="M34" s="9">
        <v>0</v>
      </c>
      <c r="N34" s="9">
        <v>0</v>
      </c>
      <c r="O34" s="9">
        <v>0</v>
      </c>
      <c r="P34" s="9">
        <v>546</v>
      </c>
      <c r="Q34" s="9">
        <v>200</v>
      </c>
      <c r="R34" s="9">
        <v>0</v>
      </c>
      <c r="S34" s="9">
        <v>0</v>
      </c>
      <c r="T34" s="9">
        <v>0</v>
      </c>
      <c r="U34" s="9">
        <v>0</v>
      </c>
    </row>
    <row r="35" spans="1:21">
      <c r="A35" s="19">
        <v>1227359</v>
      </c>
      <c r="B35" s="9">
        <v>0</v>
      </c>
      <c r="C35" s="9">
        <v>1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>
      <c r="A36" s="19">
        <v>1231090</v>
      </c>
      <c r="B36" s="9">
        <v>182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382</v>
      </c>
      <c r="I36" s="9">
        <v>160</v>
      </c>
      <c r="J36" s="9">
        <v>90</v>
      </c>
      <c r="K36" s="9">
        <v>400</v>
      </c>
      <c r="L36" s="9">
        <v>0</v>
      </c>
      <c r="M36" s="9">
        <v>0</v>
      </c>
      <c r="N36" s="9">
        <v>0</v>
      </c>
      <c r="O36" s="9">
        <v>180</v>
      </c>
      <c r="P36" s="9">
        <v>0</v>
      </c>
      <c r="Q36" s="9">
        <v>0</v>
      </c>
      <c r="R36" s="9">
        <v>0</v>
      </c>
      <c r="S36" s="9">
        <v>1080</v>
      </c>
      <c r="T36" s="9">
        <v>0</v>
      </c>
      <c r="U36" s="9">
        <v>0</v>
      </c>
    </row>
    <row r="37" spans="1:21">
      <c r="A37" s="19">
        <v>1229776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90</v>
      </c>
      <c r="K37" s="9">
        <v>400</v>
      </c>
      <c r="L37" s="9">
        <v>0</v>
      </c>
      <c r="M37" s="9">
        <v>0</v>
      </c>
      <c r="N37" s="9">
        <v>0</v>
      </c>
      <c r="O37" s="9">
        <v>180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38" spans="1:21">
      <c r="A38" s="19">
        <v>1225464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245</v>
      </c>
      <c r="I38" s="9">
        <v>661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39" spans="1:21">
      <c r="A39" s="19">
        <v>1231797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35</v>
      </c>
      <c r="T39" s="9">
        <v>0</v>
      </c>
      <c r="U39" s="9">
        <v>0</v>
      </c>
    </row>
    <row r="40" spans="1:21">
      <c r="A40" s="19">
        <v>1229088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5</v>
      </c>
      <c r="T40" s="9">
        <v>0</v>
      </c>
      <c r="U40" s="9">
        <v>0</v>
      </c>
    </row>
    <row r="41" spans="1:21">
      <c r="A41" s="19">
        <v>1234222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1060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</row>
    <row r="42" spans="1:21">
      <c r="A42" s="100">
        <v>1232528</v>
      </c>
      <c r="B42" s="9">
        <v>227</v>
      </c>
      <c r="C42" s="9">
        <v>718</v>
      </c>
      <c r="D42" s="9">
        <v>1372</v>
      </c>
      <c r="E42" s="18">
        <v>1078</v>
      </c>
      <c r="F42" s="9">
        <v>0</v>
      </c>
      <c r="G42" s="9">
        <v>0</v>
      </c>
      <c r="H42" s="9">
        <v>824</v>
      </c>
      <c r="I42" s="9">
        <v>1200</v>
      </c>
      <c r="J42" s="9">
        <v>1315</v>
      </c>
      <c r="K42" s="9">
        <v>700</v>
      </c>
      <c r="L42" s="9">
        <v>50</v>
      </c>
      <c r="M42" s="9">
        <v>0</v>
      </c>
      <c r="N42" s="9">
        <v>0</v>
      </c>
      <c r="O42" s="9">
        <v>700</v>
      </c>
      <c r="P42" s="9">
        <v>1400</v>
      </c>
      <c r="Q42" s="9">
        <v>1400</v>
      </c>
      <c r="R42" s="9">
        <v>1400</v>
      </c>
      <c r="S42" s="9">
        <v>10902</v>
      </c>
      <c r="T42" s="9">
        <v>0</v>
      </c>
      <c r="U42" s="9">
        <v>0</v>
      </c>
    </row>
    <row r="43" spans="1:21">
      <c r="A43" s="19">
        <v>1232846</v>
      </c>
      <c r="B43" s="9">
        <v>183</v>
      </c>
      <c r="C43" s="9">
        <v>196</v>
      </c>
      <c r="D43" s="9">
        <v>369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2771</v>
      </c>
      <c r="T43" s="9">
        <v>0</v>
      </c>
      <c r="U43" s="9">
        <v>0</v>
      </c>
    </row>
    <row r="44" spans="1:21">
      <c r="A44" s="19">
        <v>1229050</v>
      </c>
      <c r="B44" s="9">
        <v>0</v>
      </c>
      <c r="C44" s="9">
        <v>251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19">
        <v>1233383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218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</row>
    <row r="46" spans="1:21">
      <c r="A46" s="19">
        <v>1220847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240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100</v>
      </c>
      <c r="P46" s="9">
        <v>0</v>
      </c>
      <c r="Q46" s="9">
        <v>0</v>
      </c>
      <c r="R46" s="9">
        <v>0</v>
      </c>
      <c r="S46" s="9">
        <v>5250</v>
      </c>
      <c r="T46" s="9">
        <v>0</v>
      </c>
      <c r="U46" s="9">
        <v>0</v>
      </c>
    </row>
    <row r="47" spans="1:21">
      <c r="A47" s="19">
        <v>1235097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200</v>
      </c>
      <c r="R47" s="9">
        <v>200</v>
      </c>
      <c r="S47" s="9">
        <v>0</v>
      </c>
      <c r="T47" s="9">
        <v>0</v>
      </c>
      <c r="U47" s="9">
        <v>0</v>
      </c>
    </row>
    <row r="48" spans="1:21">
      <c r="A48" s="19">
        <v>1235958</v>
      </c>
      <c r="B48" s="9">
        <v>0</v>
      </c>
      <c r="C48" s="9">
        <v>1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>
      <c r="A49" s="19">
        <v>1236600</v>
      </c>
      <c r="B49" s="9">
        <v>0</v>
      </c>
      <c r="C49" s="9">
        <v>56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550</v>
      </c>
      <c r="P49" s="9">
        <v>449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>
      <c r="A50" s="19">
        <v>1236601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143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19">
        <v>1236619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90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19">
        <v>1236930</v>
      </c>
      <c r="B52" s="9">
        <v>112</v>
      </c>
      <c r="C52" s="9">
        <v>267</v>
      </c>
      <c r="D52" s="9">
        <v>339</v>
      </c>
      <c r="E52" s="9">
        <v>267</v>
      </c>
      <c r="F52" s="9">
        <v>0</v>
      </c>
      <c r="G52" s="9">
        <v>0</v>
      </c>
      <c r="H52" s="18">
        <v>281</v>
      </c>
      <c r="I52" s="9">
        <v>324</v>
      </c>
      <c r="J52" s="9">
        <v>300</v>
      </c>
      <c r="K52" s="9">
        <v>300</v>
      </c>
      <c r="L52" s="9">
        <v>614</v>
      </c>
      <c r="M52" s="9">
        <v>0</v>
      </c>
      <c r="N52" s="9">
        <v>0</v>
      </c>
      <c r="O52" s="9">
        <v>1020</v>
      </c>
      <c r="P52" s="9">
        <v>612</v>
      </c>
      <c r="Q52" s="9">
        <v>400</v>
      </c>
      <c r="R52" s="9">
        <v>1372</v>
      </c>
      <c r="S52" s="9">
        <v>420</v>
      </c>
      <c r="T52" s="9">
        <v>0</v>
      </c>
      <c r="U52" s="9">
        <v>0</v>
      </c>
    </row>
    <row r="53" spans="1:21">
      <c r="A53" s="19">
        <v>1237468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358</v>
      </c>
      <c r="J53" s="9">
        <v>96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19">
        <v>1237210</v>
      </c>
      <c r="B54" s="9">
        <v>0</v>
      </c>
      <c r="C54" s="9">
        <v>140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160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19">
        <v>1237457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18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</row>
    <row r="56" spans="1:21">
      <c r="A56" s="19">
        <v>1237386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150</v>
      </c>
      <c r="S56" s="9">
        <v>0</v>
      </c>
      <c r="T56" s="9">
        <v>0</v>
      </c>
      <c r="U56" s="9">
        <v>0</v>
      </c>
    </row>
    <row r="57" spans="1:21">
      <c r="A57" s="19">
        <v>1234905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500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1550</v>
      </c>
      <c r="T57" s="9">
        <v>0</v>
      </c>
      <c r="U57" s="9">
        <v>0</v>
      </c>
    </row>
    <row r="58" spans="1:21">
      <c r="A58" s="19">
        <v>1238480</v>
      </c>
      <c r="B58" s="9">
        <v>430</v>
      </c>
      <c r="C58" s="9">
        <v>826</v>
      </c>
      <c r="D58" s="9">
        <v>1149</v>
      </c>
      <c r="E58" s="18">
        <v>920</v>
      </c>
      <c r="F58" s="9">
        <v>0</v>
      </c>
      <c r="G58" s="9">
        <v>0</v>
      </c>
      <c r="H58" s="9">
        <v>815</v>
      </c>
      <c r="I58" s="9">
        <v>1071</v>
      </c>
      <c r="J58" s="9">
        <v>698</v>
      </c>
      <c r="K58" s="9">
        <v>1507</v>
      </c>
      <c r="L58" s="9">
        <v>380</v>
      </c>
      <c r="M58" s="9">
        <v>0</v>
      </c>
      <c r="N58" s="9">
        <v>0</v>
      </c>
      <c r="O58" s="9">
        <v>1362</v>
      </c>
      <c r="P58" s="9">
        <v>1372</v>
      </c>
      <c r="Q58" s="9">
        <v>1200</v>
      </c>
      <c r="R58" s="9">
        <v>872</v>
      </c>
      <c r="S58" s="9">
        <v>1852</v>
      </c>
      <c r="T58" s="9">
        <v>0</v>
      </c>
      <c r="U58" s="9">
        <v>0</v>
      </c>
    </row>
    <row r="59" spans="1:21">
      <c r="A59" s="19">
        <v>1232775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316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241</v>
      </c>
      <c r="S59" s="9">
        <v>0</v>
      </c>
      <c r="T59" s="9">
        <v>0</v>
      </c>
      <c r="U59" s="9">
        <v>0</v>
      </c>
    </row>
    <row r="60" spans="1:21">
      <c r="A60" s="19">
        <v>1240180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250</v>
      </c>
      <c r="R60" s="9">
        <v>0</v>
      </c>
      <c r="S60" s="9">
        <v>0</v>
      </c>
      <c r="T60" s="9">
        <v>0</v>
      </c>
      <c r="U60" s="9">
        <v>0</v>
      </c>
    </row>
    <row r="61" spans="1:21">
      <c r="A61" s="19">
        <v>1240184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250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19">
        <v>1216452</v>
      </c>
      <c r="B62" s="9">
        <v>0</v>
      </c>
      <c r="C62" s="9">
        <v>0</v>
      </c>
      <c r="D62" s="9">
        <v>0</v>
      </c>
      <c r="E62" s="9">
        <v>499</v>
      </c>
      <c r="F62" s="9">
        <v>0</v>
      </c>
      <c r="G62" s="9">
        <v>0</v>
      </c>
      <c r="H62" s="9">
        <v>0</v>
      </c>
      <c r="I62" s="9">
        <v>299</v>
      </c>
      <c r="J62" s="9">
        <v>61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19">
        <v>1231011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300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19">
        <v>1232894</v>
      </c>
      <c r="B64" s="9">
        <v>183</v>
      </c>
      <c r="C64" s="9">
        <v>196</v>
      </c>
      <c r="D64" s="18">
        <v>369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1248</v>
      </c>
      <c r="T64" s="9">
        <v>0</v>
      </c>
      <c r="U64" s="9">
        <v>1153</v>
      </c>
    </row>
    <row r="65" spans="1:21">
      <c r="A65" s="19">
        <v>1233386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1120</v>
      </c>
      <c r="T65" s="9">
        <v>0</v>
      </c>
      <c r="U65" s="9">
        <v>0</v>
      </c>
    </row>
    <row r="66" spans="1:21">
      <c r="A66" s="19">
        <v>1233387</v>
      </c>
      <c r="B66" s="9">
        <v>183</v>
      </c>
      <c r="C66" s="9">
        <v>196</v>
      </c>
      <c r="D66" s="18">
        <v>369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128</v>
      </c>
      <c r="T66" s="9">
        <v>0</v>
      </c>
      <c r="U66" s="9">
        <v>900</v>
      </c>
    </row>
    <row r="67" spans="1:21">
      <c r="A67" s="19">
        <v>1233385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253</v>
      </c>
    </row>
    <row r="68" spans="1:21">
      <c r="A68" s="19">
        <v>1232895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370</v>
      </c>
      <c r="T68" s="9">
        <v>0</v>
      </c>
      <c r="U68" s="9">
        <v>0</v>
      </c>
    </row>
    <row r="69" spans="1:21">
      <c r="A69" s="19">
        <v>1232922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370</v>
      </c>
      <c r="T69" s="9">
        <v>0</v>
      </c>
      <c r="U69" s="9">
        <v>0</v>
      </c>
    </row>
    <row r="70" spans="1:21">
      <c r="A70" s="19">
        <v>1238092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144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</row>
  </sheetData>
  <autoFilter ref="A1:U20" xr:uid="{620F891A-C334-4074-B30D-FC3FF3E08696}"/>
  <phoneticPr fontId="1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FA4A-0FAD-41D5-9C19-6D2FCA729C0C}">
  <dimension ref="A1:T66"/>
  <sheetViews>
    <sheetView topLeftCell="A9" zoomScale="115" zoomScaleNormal="115" workbookViewId="0">
      <selection activeCell="A32" sqref="A32"/>
    </sheetView>
  </sheetViews>
  <sheetFormatPr defaultColWidth="9.1640625" defaultRowHeight="12"/>
  <cols>
    <col min="1" max="1" width="9.1640625" style="19"/>
    <col min="2" max="2" width="9.1640625" style="9"/>
    <col min="3" max="19" width="9.1640625" style="9" customWidth="1"/>
    <col min="20" max="20" width="9.1640625" style="9"/>
    <col min="21" max="16384" width="9.1640625" style="5"/>
  </cols>
  <sheetData>
    <row r="1" spans="1:20">
      <c r="A1" s="19" t="s">
        <v>0</v>
      </c>
      <c r="B1" s="9" t="s">
        <v>1040</v>
      </c>
      <c r="C1" s="9" t="s">
        <v>1041</v>
      </c>
      <c r="D1" s="9" t="s">
        <v>1042</v>
      </c>
      <c r="E1" s="9" t="s">
        <v>1043</v>
      </c>
      <c r="F1" s="9" t="s">
        <v>1044</v>
      </c>
      <c r="G1" s="18" t="s">
        <v>1082</v>
      </c>
      <c r="H1" s="9" t="s">
        <v>1083</v>
      </c>
      <c r="I1" s="9" t="s">
        <v>1084</v>
      </c>
      <c r="J1" s="9" t="s">
        <v>1085</v>
      </c>
      <c r="K1" s="9" t="s">
        <v>1086</v>
      </c>
      <c r="L1" s="9" t="s">
        <v>1087</v>
      </c>
      <c r="M1" s="9" t="s">
        <v>1088</v>
      </c>
      <c r="N1" s="9" t="s">
        <v>1145</v>
      </c>
      <c r="O1" s="9" t="s">
        <v>1146</v>
      </c>
      <c r="P1" s="9" t="s">
        <v>1147</v>
      </c>
      <c r="Q1" s="9" t="s">
        <v>1148</v>
      </c>
      <c r="R1" s="9" t="s">
        <v>1149</v>
      </c>
      <c r="S1" s="9" t="s">
        <v>1150</v>
      </c>
      <c r="T1" s="9" t="s">
        <v>1151</v>
      </c>
    </row>
    <row r="2" spans="1:20">
      <c r="A2" s="19">
        <v>1229673</v>
      </c>
      <c r="B2" s="9">
        <v>0</v>
      </c>
      <c r="C2" s="9">
        <v>252</v>
      </c>
      <c r="D2" s="9">
        <v>0</v>
      </c>
      <c r="E2" s="9">
        <v>0</v>
      </c>
      <c r="F2" s="9">
        <v>0</v>
      </c>
      <c r="G2" s="18">
        <v>250</v>
      </c>
      <c r="H2" s="9">
        <v>250</v>
      </c>
      <c r="I2" s="9">
        <v>250</v>
      </c>
      <c r="J2" s="9">
        <v>250</v>
      </c>
      <c r="K2" s="9">
        <v>300</v>
      </c>
      <c r="L2" s="9">
        <v>0</v>
      </c>
      <c r="M2" s="9">
        <v>0</v>
      </c>
      <c r="N2" s="9">
        <v>300</v>
      </c>
      <c r="O2" s="9">
        <v>300</v>
      </c>
      <c r="P2" s="9">
        <v>300</v>
      </c>
      <c r="Q2" s="9">
        <v>300</v>
      </c>
      <c r="R2" s="9">
        <v>300</v>
      </c>
      <c r="S2" s="9">
        <v>0</v>
      </c>
      <c r="T2" s="9">
        <v>0</v>
      </c>
    </row>
    <row r="3" spans="1:20">
      <c r="A3" s="19">
        <v>1230854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200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100</v>
      </c>
      <c r="S3" s="9">
        <v>0</v>
      </c>
      <c r="T3" s="9">
        <v>0</v>
      </c>
    </row>
    <row r="4" spans="1:20">
      <c r="A4" s="19">
        <v>1233492</v>
      </c>
      <c r="B4" s="9">
        <v>144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</row>
    <row r="5" spans="1:20">
      <c r="A5" s="19">
        <v>1233498</v>
      </c>
      <c r="B5" s="9">
        <v>144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</row>
    <row r="6" spans="1:20">
      <c r="A6" s="19">
        <v>1233623</v>
      </c>
      <c r="B6" s="9">
        <v>144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19">
        <v>1237088</v>
      </c>
      <c r="B7" s="9">
        <v>788</v>
      </c>
      <c r="C7" s="9">
        <v>202</v>
      </c>
      <c r="D7" s="9">
        <v>870</v>
      </c>
      <c r="E7" s="9">
        <v>0</v>
      </c>
      <c r="F7" s="9">
        <v>0</v>
      </c>
      <c r="G7" s="18">
        <v>650</v>
      </c>
      <c r="H7" s="9">
        <v>804</v>
      </c>
      <c r="I7" s="9">
        <v>518</v>
      </c>
      <c r="J7" s="9">
        <v>746</v>
      </c>
      <c r="K7" s="9">
        <v>418</v>
      </c>
      <c r="L7" s="9">
        <v>0</v>
      </c>
      <c r="M7" s="9">
        <v>0</v>
      </c>
      <c r="N7" s="9">
        <v>436</v>
      </c>
      <c r="O7" s="9">
        <v>158</v>
      </c>
      <c r="P7" s="9">
        <v>626</v>
      </c>
      <c r="Q7" s="9">
        <v>466</v>
      </c>
      <c r="R7" s="9">
        <v>230</v>
      </c>
      <c r="S7" s="9">
        <v>0</v>
      </c>
      <c r="T7" s="9">
        <v>0</v>
      </c>
    </row>
    <row r="8" spans="1:20">
      <c r="A8" s="19">
        <v>1237748</v>
      </c>
      <c r="B8" s="9">
        <v>312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</row>
    <row r="9" spans="1:20">
      <c r="A9" s="19">
        <v>1236091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200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300</v>
      </c>
      <c r="R9" s="9">
        <v>0</v>
      </c>
      <c r="S9" s="9">
        <v>0</v>
      </c>
      <c r="T9" s="9">
        <v>0</v>
      </c>
    </row>
    <row r="10" spans="1:20">
      <c r="A10" s="19">
        <v>1238128</v>
      </c>
      <c r="B10" s="9">
        <v>30</v>
      </c>
      <c r="C10" s="9">
        <v>464</v>
      </c>
      <c r="D10" s="9">
        <v>464</v>
      </c>
      <c r="E10" s="9">
        <v>0</v>
      </c>
      <c r="F10" s="9">
        <v>0</v>
      </c>
      <c r="G10" s="18">
        <v>590</v>
      </c>
      <c r="H10" s="9">
        <v>838</v>
      </c>
      <c r="I10" s="9">
        <v>464</v>
      </c>
      <c r="J10" s="9">
        <v>882</v>
      </c>
      <c r="K10" s="9">
        <v>464</v>
      </c>
      <c r="L10" s="9">
        <v>0</v>
      </c>
      <c r="M10" s="9">
        <v>0</v>
      </c>
      <c r="N10" s="9">
        <v>464</v>
      </c>
      <c r="O10" s="9">
        <v>82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</row>
    <row r="11" spans="1:20">
      <c r="A11" s="19">
        <v>1236962</v>
      </c>
      <c r="B11" s="9">
        <v>300</v>
      </c>
      <c r="C11" s="9">
        <v>300</v>
      </c>
      <c r="D11" s="9">
        <v>200</v>
      </c>
      <c r="E11" s="9">
        <v>0</v>
      </c>
      <c r="F11" s="9">
        <v>0</v>
      </c>
      <c r="G11" s="9">
        <v>0</v>
      </c>
      <c r="H11" s="9">
        <v>200</v>
      </c>
      <c r="I11" s="9">
        <v>200</v>
      </c>
      <c r="J11" s="9">
        <v>300</v>
      </c>
      <c r="K11" s="9">
        <v>0</v>
      </c>
      <c r="L11" s="9">
        <v>0</v>
      </c>
      <c r="M11" s="9">
        <v>0</v>
      </c>
      <c r="N11" s="9">
        <v>300</v>
      </c>
      <c r="O11" s="9">
        <v>300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</row>
    <row r="12" spans="1:20">
      <c r="A12" s="19">
        <v>1233761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18">
        <v>200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350</v>
      </c>
      <c r="S12" s="9">
        <v>0</v>
      </c>
      <c r="T12" s="9">
        <v>0</v>
      </c>
    </row>
    <row r="13" spans="1:20">
      <c r="A13" s="19">
        <v>1239651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400</v>
      </c>
      <c r="L13" s="9">
        <v>0</v>
      </c>
      <c r="M13" s="9">
        <v>0</v>
      </c>
      <c r="N13" s="9">
        <v>100</v>
      </c>
      <c r="O13" s="9">
        <v>0</v>
      </c>
      <c r="P13" s="9">
        <v>0</v>
      </c>
      <c r="Q13" s="9">
        <v>400</v>
      </c>
      <c r="R13" s="9">
        <v>0</v>
      </c>
      <c r="S13" s="9">
        <v>0</v>
      </c>
      <c r="T13" s="9">
        <v>0</v>
      </c>
    </row>
    <row r="14" spans="1:20">
      <c r="A14" s="19">
        <v>1239988</v>
      </c>
      <c r="B14" s="9">
        <v>0</v>
      </c>
      <c r="C14" s="9">
        <v>330</v>
      </c>
      <c r="D14" s="9">
        <v>400</v>
      </c>
      <c r="E14" s="9">
        <v>0</v>
      </c>
      <c r="F14" s="9">
        <v>0</v>
      </c>
      <c r="G14" s="18">
        <v>50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</row>
    <row r="15" spans="1:20">
      <c r="A15" s="19">
        <v>1240180</v>
      </c>
      <c r="B15" s="9">
        <v>334</v>
      </c>
      <c r="C15" s="9">
        <v>50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140</v>
      </c>
      <c r="J15" s="9">
        <v>390</v>
      </c>
      <c r="K15" s="9">
        <v>306</v>
      </c>
      <c r="L15" s="9">
        <v>0</v>
      </c>
      <c r="M15" s="9">
        <v>0</v>
      </c>
      <c r="N15" s="9">
        <v>306</v>
      </c>
      <c r="O15" s="9">
        <v>390</v>
      </c>
      <c r="P15" s="9">
        <v>306</v>
      </c>
      <c r="Q15" s="9">
        <v>390</v>
      </c>
      <c r="R15" s="9">
        <v>306</v>
      </c>
      <c r="S15" s="9">
        <v>0</v>
      </c>
      <c r="T15" s="9">
        <v>0</v>
      </c>
    </row>
    <row r="16" spans="1:20">
      <c r="A16" s="19">
        <v>1240184</v>
      </c>
      <c r="B16" s="9">
        <v>334</v>
      </c>
      <c r="C16" s="9">
        <v>50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314</v>
      </c>
      <c r="K16" s="9">
        <v>306</v>
      </c>
      <c r="L16" s="9">
        <v>0</v>
      </c>
      <c r="M16" s="9">
        <v>0</v>
      </c>
      <c r="N16" s="9">
        <v>306</v>
      </c>
      <c r="O16" s="9">
        <v>390</v>
      </c>
      <c r="P16" s="9">
        <v>306</v>
      </c>
      <c r="Q16" s="9">
        <v>390</v>
      </c>
      <c r="R16" s="9">
        <v>306</v>
      </c>
      <c r="S16" s="9">
        <v>0</v>
      </c>
      <c r="T16" s="9">
        <v>0</v>
      </c>
    </row>
    <row r="17" spans="1:20">
      <c r="A17" s="19">
        <v>1240308</v>
      </c>
      <c r="B17" s="9">
        <v>0</v>
      </c>
      <c r="C17" s="9">
        <v>270</v>
      </c>
      <c r="D17" s="9">
        <v>0</v>
      </c>
      <c r="E17" s="9">
        <v>0</v>
      </c>
      <c r="F17" s="9">
        <v>0</v>
      </c>
      <c r="G17" s="9">
        <v>0</v>
      </c>
      <c r="H17" s="9">
        <v>150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350</v>
      </c>
      <c r="P17" s="9">
        <v>0</v>
      </c>
      <c r="Q17" s="9">
        <v>0</v>
      </c>
      <c r="R17" s="9">
        <v>94</v>
      </c>
      <c r="S17" s="9">
        <v>0</v>
      </c>
      <c r="T17" s="9">
        <v>0</v>
      </c>
    </row>
    <row r="18" spans="1:20">
      <c r="A18" s="19">
        <v>1241601</v>
      </c>
      <c r="B18" s="9">
        <v>1228</v>
      </c>
      <c r="C18" s="9">
        <v>1500</v>
      </c>
      <c r="D18" s="9">
        <v>1192</v>
      </c>
      <c r="E18" s="9">
        <v>0</v>
      </c>
      <c r="F18" s="9">
        <v>0</v>
      </c>
      <c r="G18" s="18">
        <v>1498</v>
      </c>
      <c r="H18" s="9">
        <v>1048</v>
      </c>
      <c r="I18" s="9">
        <v>1148</v>
      </c>
      <c r="J18" s="9">
        <v>1082</v>
      </c>
      <c r="K18" s="9">
        <v>1188</v>
      </c>
      <c r="L18" s="9">
        <v>0</v>
      </c>
      <c r="M18" s="9">
        <v>0</v>
      </c>
      <c r="N18" s="9">
        <v>1084</v>
      </c>
      <c r="O18" s="9">
        <v>1380</v>
      </c>
      <c r="P18" s="9">
        <v>1502</v>
      </c>
      <c r="Q18" s="9">
        <v>1704</v>
      </c>
      <c r="R18" s="9">
        <v>1112</v>
      </c>
      <c r="S18" s="9">
        <v>0</v>
      </c>
      <c r="T18" s="9">
        <v>0</v>
      </c>
    </row>
    <row r="19" spans="1:20">
      <c r="A19" s="19">
        <v>1242242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78</v>
      </c>
      <c r="I19" s="9">
        <v>122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</row>
    <row r="22" spans="1:20">
      <c r="A22" s="19" t="s">
        <v>0</v>
      </c>
      <c r="B22" s="9" t="s">
        <v>1040</v>
      </c>
      <c r="C22" s="9" t="s">
        <v>1041</v>
      </c>
      <c r="D22" s="9" t="s">
        <v>1042</v>
      </c>
      <c r="E22" s="9" t="s">
        <v>1043</v>
      </c>
      <c r="F22" s="9" t="s">
        <v>1044</v>
      </c>
      <c r="G22" s="9" t="s">
        <v>1082</v>
      </c>
      <c r="H22" s="9" t="s">
        <v>1083</v>
      </c>
      <c r="I22" s="9" t="s">
        <v>1084</v>
      </c>
      <c r="J22" s="9" t="s">
        <v>1085</v>
      </c>
      <c r="K22" s="9" t="s">
        <v>1086</v>
      </c>
      <c r="L22" s="9" t="s">
        <v>1087</v>
      </c>
      <c r="M22" s="9" t="s">
        <v>1088</v>
      </c>
      <c r="N22" s="9" t="s">
        <v>1145</v>
      </c>
      <c r="O22" s="9" t="s">
        <v>1146</v>
      </c>
      <c r="P22" s="9" t="s">
        <v>1147</v>
      </c>
      <c r="Q22" s="9" t="s">
        <v>1148</v>
      </c>
      <c r="R22" s="9" t="s">
        <v>1149</v>
      </c>
      <c r="S22" s="9" t="s">
        <v>1150</v>
      </c>
      <c r="T22" s="9" t="s">
        <v>1151</v>
      </c>
    </row>
    <row r="23" spans="1:20">
      <c r="A23" s="19">
        <v>1237608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18">
        <v>300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</row>
    <row r="24" spans="1:20">
      <c r="A24" s="19">
        <v>1236387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18">
        <v>238</v>
      </c>
      <c r="H24" s="18">
        <v>357</v>
      </c>
      <c r="I24" s="9">
        <v>357</v>
      </c>
      <c r="J24" s="9">
        <v>255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</row>
    <row r="25" spans="1:20">
      <c r="A25" s="19">
        <v>1232775</v>
      </c>
      <c r="B25" s="9">
        <v>245</v>
      </c>
      <c r="C25" s="9">
        <v>242</v>
      </c>
      <c r="D25" s="9">
        <v>242</v>
      </c>
      <c r="E25" s="9">
        <v>0</v>
      </c>
      <c r="F25" s="9">
        <v>0</v>
      </c>
      <c r="G25" s="18">
        <v>242</v>
      </c>
      <c r="H25" s="18">
        <v>242</v>
      </c>
      <c r="I25" s="9">
        <v>242</v>
      </c>
      <c r="J25" s="9">
        <v>245</v>
      </c>
      <c r="K25" s="9">
        <v>242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159</v>
      </c>
      <c r="R25" s="9">
        <v>484</v>
      </c>
      <c r="S25" s="9">
        <v>0</v>
      </c>
      <c r="T25" s="9">
        <v>0</v>
      </c>
    </row>
    <row r="26" spans="1:20">
      <c r="A26" s="19">
        <v>1238605</v>
      </c>
      <c r="B26" s="9">
        <v>192</v>
      </c>
      <c r="C26" s="9">
        <v>190</v>
      </c>
      <c r="D26" s="9">
        <v>190</v>
      </c>
      <c r="E26" s="9">
        <v>0</v>
      </c>
      <c r="F26" s="9">
        <v>0</v>
      </c>
      <c r="G26" s="18">
        <v>40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175</v>
      </c>
      <c r="O26" s="9">
        <v>190</v>
      </c>
      <c r="P26" s="9">
        <v>187</v>
      </c>
      <c r="Q26" s="9">
        <v>58</v>
      </c>
      <c r="R26" s="9">
        <v>0</v>
      </c>
      <c r="S26" s="9">
        <v>0</v>
      </c>
      <c r="T26" s="9">
        <v>0</v>
      </c>
    </row>
    <row r="29" spans="1:20">
      <c r="A29" s="19" t="s">
        <v>0</v>
      </c>
      <c r="B29" s="9" t="s">
        <v>1040</v>
      </c>
      <c r="C29" s="9" t="s">
        <v>1041</v>
      </c>
      <c r="D29" s="9" t="s">
        <v>1042</v>
      </c>
      <c r="E29" s="9" t="s">
        <v>1043</v>
      </c>
      <c r="F29" s="9" t="s">
        <v>1044</v>
      </c>
      <c r="G29" s="9" t="s">
        <v>1082</v>
      </c>
      <c r="H29" s="9" t="s">
        <v>1083</v>
      </c>
      <c r="I29" s="9" t="s">
        <v>1084</v>
      </c>
      <c r="J29" s="9" t="s">
        <v>1085</v>
      </c>
      <c r="K29" s="9" t="s">
        <v>1086</v>
      </c>
      <c r="L29" s="9" t="s">
        <v>1087</v>
      </c>
      <c r="M29" s="9" t="s">
        <v>1088</v>
      </c>
      <c r="N29" s="9" t="s">
        <v>1145</v>
      </c>
      <c r="O29" s="9" t="s">
        <v>1146</v>
      </c>
      <c r="P29" s="9" t="s">
        <v>1147</v>
      </c>
      <c r="Q29" s="9" t="s">
        <v>1148</v>
      </c>
      <c r="R29" s="9" t="s">
        <v>1149</v>
      </c>
      <c r="S29" s="9" t="s">
        <v>1150</v>
      </c>
      <c r="T29" s="9" t="s">
        <v>1151</v>
      </c>
    </row>
    <row r="30" spans="1:20">
      <c r="A30" s="19">
        <v>1227306</v>
      </c>
      <c r="B30" s="9">
        <v>56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18">
        <v>323</v>
      </c>
      <c r="I30" s="9">
        <v>267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546</v>
      </c>
      <c r="P30" s="9">
        <v>200</v>
      </c>
      <c r="Q30" s="9">
        <v>0</v>
      </c>
      <c r="R30" s="9">
        <v>100</v>
      </c>
      <c r="S30" s="9">
        <v>0</v>
      </c>
      <c r="T30" s="9">
        <v>0</v>
      </c>
    </row>
    <row r="31" spans="1:20">
      <c r="A31" s="19">
        <v>1227359</v>
      </c>
      <c r="B31" s="9">
        <v>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</row>
    <row r="32" spans="1:20">
      <c r="A32" s="19">
        <v>1231090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90</v>
      </c>
      <c r="J32" s="9">
        <v>250</v>
      </c>
      <c r="K32" s="9">
        <v>0</v>
      </c>
      <c r="L32" s="9">
        <v>0</v>
      </c>
      <c r="M32" s="9">
        <v>0</v>
      </c>
      <c r="N32" s="9">
        <v>0</v>
      </c>
      <c r="O32" s="9">
        <v>542</v>
      </c>
      <c r="P32" s="9">
        <v>0</v>
      </c>
      <c r="Q32" s="9">
        <v>0</v>
      </c>
      <c r="R32" s="9">
        <v>1260</v>
      </c>
      <c r="S32" s="9">
        <v>0</v>
      </c>
      <c r="T32" s="9">
        <v>0</v>
      </c>
    </row>
    <row r="33" spans="1:20">
      <c r="A33" s="19">
        <v>1229776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90</v>
      </c>
      <c r="J33" s="9">
        <v>250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180</v>
      </c>
      <c r="S33" s="9">
        <v>0</v>
      </c>
      <c r="T33" s="9">
        <v>0</v>
      </c>
    </row>
    <row r="34" spans="1:20">
      <c r="A34" s="19">
        <v>1225464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18">
        <v>252</v>
      </c>
      <c r="H34" s="9">
        <v>654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</row>
    <row r="35" spans="1:20">
      <c r="A35" s="19">
        <v>1231797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35</v>
      </c>
      <c r="S35" s="9">
        <v>0</v>
      </c>
      <c r="T35" s="9">
        <v>0</v>
      </c>
    </row>
    <row r="36" spans="1:20">
      <c r="A36" s="19">
        <v>1229088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5</v>
      </c>
      <c r="S36" s="9">
        <v>0</v>
      </c>
      <c r="T36" s="9">
        <v>0</v>
      </c>
    </row>
    <row r="37" spans="1:20">
      <c r="A37" s="19">
        <v>1234222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670</v>
      </c>
      <c r="O37" s="9">
        <v>390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</row>
    <row r="38" spans="1:20">
      <c r="A38" s="19">
        <v>1232528</v>
      </c>
      <c r="B38" s="9">
        <v>718</v>
      </c>
      <c r="C38" s="9">
        <v>1372</v>
      </c>
      <c r="D38" s="9">
        <v>1078</v>
      </c>
      <c r="E38" s="9">
        <v>0</v>
      </c>
      <c r="F38" s="9">
        <v>0</v>
      </c>
      <c r="G38" s="18">
        <v>891</v>
      </c>
      <c r="H38" s="9">
        <v>1246</v>
      </c>
      <c r="I38" s="9">
        <v>923</v>
      </c>
      <c r="J38" s="9">
        <v>574</v>
      </c>
      <c r="K38" s="9">
        <v>440</v>
      </c>
      <c r="L38" s="9">
        <v>0</v>
      </c>
      <c r="M38" s="9">
        <v>0</v>
      </c>
      <c r="N38" s="9">
        <v>464</v>
      </c>
      <c r="O38" s="9">
        <v>686</v>
      </c>
      <c r="P38" s="9">
        <v>990</v>
      </c>
      <c r="Q38" s="9">
        <v>1246</v>
      </c>
      <c r="R38" s="9">
        <v>5431</v>
      </c>
      <c r="S38" s="9">
        <v>0</v>
      </c>
      <c r="T38" s="9">
        <v>0</v>
      </c>
    </row>
    <row r="39" spans="1:20">
      <c r="A39" s="19">
        <v>1232846</v>
      </c>
      <c r="B39" s="9">
        <v>196</v>
      </c>
      <c r="C39" s="9">
        <v>369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608</v>
      </c>
      <c r="R39" s="9">
        <v>2163</v>
      </c>
      <c r="S39" s="9">
        <v>0</v>
      </c>
      <c r="T39" s="9">
        <v>0</v>
      </c>
    </row>
    <row r="40" spans="1:20">
      <c r="A40" s="19">
        <v>1229050</v>
      </c>
      <c r="B40" s="9">
        <v>251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</row>
    <row r="41" spans="1:20">
      <c r="A41" s="19">
        <v>1233383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144</v>
      </c>
      <c r="J41" s="9">
        <v>74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</row>
    <row r="42" spans="1:20">
      <c r="A42" s="19">
        <v>1220847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8">
        <v>213</v>
      </c>
      <c r="H42" s="98">
        <v>27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5250</v>
      </c>
      <c r="S42" s="9">
        <v>0</v>
      </c>
      <c r="T42" s="9">
        <v>0</v>
      </c>
    </row>
    <row r="43" spans="1:20">
      <c r="A43" s="19">
        <v>1235097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200</v>
      </c>
      <c r="Q43" s="9">
        <v>200</v>
      </c>
      <c r="R43" s="9">
        <v>0</v>
      </c>
      <c r="S43" s="9">
        <v>0</v>
      </c>
      <c r="T43" s="9">
        <v>0</v>
      </c>
    </row>
    <row r="44" spans="1:20">
      <c r="A44" s="19">
        <v>1235958</v>
      </c>
      <c r="B44" s="9">
        <v>1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</row>
    <row r="45" spans="1:20">
      <c r="A45" s="19">
        <v>1236600</v>
      </c>
      <c r="B45" s="9">
        <v>56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360</v>
      </c>
      <c r="Q45" s="9">
        <v>449</v>
      </c>
      <c r="R45" s="9">
        <v>190</v>
      </c>
      <c r="S45" s="9">
        <v>0</v>
      </c>
      <c r="T45" s="9">
        <v>0</v>
      </c>
    </row>
    <row r="46" spans="1:20">
      <c r="A46" s="19">
        <v>1236601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143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0">
      <c r="A47" s="19">
        <v>1236619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90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</row>
    <row r="48" spans="1:20">
      <c r="A48" s="19">
        <v>1236930</v>
      </c>
      <c r="B48" s="9">
        <v>267</v>
      </c>
      <c r="C48" s="9">
        <v>339</v>
      </c>
      <c r="D48" s="9">
        <v>267</v>
      </c>
      <c r="E48" s="9">
        <v>0</v>
      </c>
      <c r="F48" s="9">
        <v>0</v>
      </c>
      <c r="G48" s="9">
        <v>267</v>
      </c>
      <c r="H48" s="18">
        <v>321</v>
      </c>
      <c r="I48" s="9">
        <v>240</v>
      </c>
      <c r="J48" s="9">
        <v>397</v>
      </c>
      <c r="K48" s="9">
        <v>509</v>
      </c>
      <c r="L48" s="9">
        <v>0</v>
      </c>
      <c r="M48" s="9">
        <v>0</v>
      </c>
      <c r="N48" s="9">
        <v>1104</v>
      </c>
      <c r="O48" s="9">
        <v>612</v>
      </c>
      <c r="P48" s="9">
        <v>400</v>
      </c>
      <c r="Q48" s="9">
        <v>522</v>
      </c>
      <c r="R48" s="9">
        <v>1270</v>
      </c>
      <c r="S48" s="9">
        <v>0</v>
      </c>
      <c r="T48" s="9">
        <v>0</v>
      </c>
    </row>
    <row r="49" spans="1:20">
      <c r="A49" s="19">
        <v>1237468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368</v>
      </c>
      <c r="I49" s="9">
        <v>86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</row>
    <row r="50" spans="1:20">
      <c r="A50" s="19">
        <v>1237210</v>
      </c>
      <c r="B50" s="9">
        <v>140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160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</row>
    <row r="51" spans="1:20">
      <c r="A51" s="19">
        <v>1237457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18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</row>
    <row r="52" spans="1:20">
      <c r="A52" s="19">
        <v>1237386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150</v>
      </c>
      <c r="R52" s="9">
        <v>0</v>
      </c>
      <c r="S52" s="9">
        <v>0</v>
      </c>
      <c r="T52" s="9">
        <v>0</v>
      </c>
    </row>
    <row r="53" spans="1:20">
      <c r="A53" s="19">
        <v>1234905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357</v>
      </c>
      <c r="H53" s="9">
        <v>143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</row>
    <row r="54" spans="1:20">
      <c r="A54" s="19">
        <v>1238480</v>
      </c>
      <c r="B54" s="9">
        <v>826</v>
      </c>
      <c r="C54" s="9">
        <v>1149</v>
      </c>
      <c r="D54" s="9">
        <v>920</v>
      </c>
      <c r="E54" s="9">
        <v>0</v>
      </c>
      <c r="F54" s="9">
        <v>0</v>
      </c>
      <c r="G54" s="18">
        <v>815</v>
      </c>
      <c r="H54" s="9">
        <v>869</v>
      </c>
      <c r="I54" s="9">
        <v>646</v>
      </c>
      <c r="J54" s="9">
        <v>1101</v>
      </c>
      <c r="K54" s="9">
        <v>961</v>
      </c>
      <c r="L54" s="9">
        <v>0</v>
      </c>
      <c r="M54" s="9">
        <v>0</v>
      </c>
      <c r="N54" s="9">
        <v>1497</v>
      </c>
      <c r="O54" s="9">
        <v>1186</v>
      </c>
      <c r="P54" s="9">
        <v>700</v>
      </c>
      <c r="Q54" s="9">
        <v>836</v>
      </c>
      <c r="R54" s="9">
        <v>1852</v>
      </c>
      <c r="S54" s="9">
        <v>0</v>
      </c>
      <c r="T54" s="9">
        <v>0</v>
      </c>
    </row>
    <row r="55" spans="1:20">
      <c r="A55" s="19">
        <v>1232775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36</v>
      </c>
      <c r="J55" s="9">
        <v>84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241</v>
      </c>
      <c r="R55" s="9">
        <v>0</v>
      </c>
      <c r="S55" s="9">
        <v>0</v>
      </c>
      <c r="T55" s="9">
        <v>0</v>
      </c>
    </row>
    <row r="56" spans="1:20">
      <c r="A56" s="19">
        <v>1240180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250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19">
        <v>1240184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250</v>
      </c>
      <c r="Q57" s="9">
        <v>0</v>
      </c>
      <c r="R57" s="9">
        <v>0</v>
      </c>
      <c r="S57" s="9">
        <v>0</v>
      </c>
      <c r="T57" s="9">
        <v>0</v>
      </c>
    </row>
    <row r="58" spans="1:20">
      <c r="A58" s="19">
        <v>1216452</v>
      </c>
      <c r="B58" s="9">
        <v>0</v>
      </c>
      <c r="C58" s="9">
        <v>0</v>
      </c>
      <c r="D58" s="18">
        <v>499</v>
      </c>
      <c r="E58" s="9">
        <v>0</v>
      </c>
      <c r="F58" s="9">
        <v>0</v>
      </c>
      <c r="G58" s="9">
        <v>0</v>
      </c>
      <c r="H58" s="9">
        <v>268</v>
      </c>
      <c r="I58" s="9">
        <v>92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</row>
    <row r="59" spans="1:20" s="20" customFormat="1">
      <c r="A59" s="101">
        <v>1231011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300</v>
      </c>
      <c r="R59" s="10">
        <v>0</v>
      </c>
      <c r="S59" s="10">
        <v>0</v>
      </c>
      <c r="T59" s="10">
        <v>0</v>
      </c>
    </row>
    <row r="60" spans="1:20">
      <c r="A60" s="19">
        <v>1232894</v>
      </c>
      <c r="B60" s="9">
        <v>196</v>
      </c>
      <c r="C60" s="9">
        <v>369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608</v>
      </c>
      <c r="R60" s="9">
        <v>640</v>
      </c>
      <c r="S60" s="9">
        <v>0</v>
      </c>
      <c r="T60" s="9">
        <v>1153</v>
      </c>
    </row>
    <row r="61" spans="1:20">
      <c r="A61" s="19">
        <v>1233386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608</v>
      </c>
      <c r="R61" s="9">
        <v>512</v>
      </c>
      <c r="S61" s="9">
        <v>0</v>
      </c>
      <c r="T61" s="9">
        <v>0</v>
      </c>
    </row>
    <row r="62" spans="1:20">
      <c r="A62" s="19">
        <v>1233387</v>
      </c>
      <c r="B62" s="9">
        <v>196</v>
      </c>
      <c r="C62" s="9">
        <v>369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128</v>
      </c>
      <c r="S62" s="9">
        <v>0</v>
      </c>
      <c r="T62" s="9">
        <v>900</v>
      </c>
    </row>
    <row r="63" spans="1:20">
      <c r="A63" s="19">
        <v>1233385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253</v>
      </c>
    </row>
    <row r="64" spans="1:20">
      <c r="A64" s="19">
        <v>1232895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370</v>
      </c>
      <c r="S64" s="9">
        <v>0</v>
      </c>
      <c r="T64" s="9">
        <v>0</v>
      </c>
    </row>
    <row r="65" spans="1:20">
      <c r="A65" s="19">
        <v>1232922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370</v>
      </c>
      <c r="S65" s="9">
        <v>0</v>
      </c>
      <c r="T65" s="9">
        <v>0</v>
      </c>
    </row>
    <row r="66" spans="1:20">
      <c r="A66" s="19">
        <v>1238092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57</v>
      </c>
      <c r="L66" s="9">
        <v>0</v>
      </c>
      <c r="M66" s="9">
        <v>0</v>
      </c>
      <c r="N66" s="9">
        <v>87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</row>
  </sheetData>
  <autoFilter ref="A1:T19" xr:uid="{C8D8FA4A-0FAD-41D5-9C19-6D2FCA729C0C}"/>
  <phoneticPr fontId="1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613A-B827-4DFB-93DA-9EF5A926964D}">
  <sheetPr>
    <tabColor rgb="FFFFFF00"/>
  </sheetPr>
  <dimension ref="A1:R102"/>
  <sheetViews>
    <sheetView zoomScale="130" zoomScaleNormal="130" workbookViewId="0">
      <selection sqref="A1:XFD5"/>
    </sheetView>
  </sheetViews>
  <sheetFormatPr defaultColWidth="9.33203125" defaultRowHeight="12"/>
  <cols>
    <col min="1" max="1" width="9.33203125" style="5"/>
    <col min="2" max="2" width="10.1640625" style="5" bestFit="1" customWidth="1"/>
    <col min="3" max="12" width="14.5" style="9" customWidth="1"/>
    <col min="13" max="13" width="9.33203125" style="5"/>
    <col min="14" max="14" width="10.1640625" style="5" bestFit="1" customWidth="1"/>
    <col min="15" max="16384" width="9.33203125" style="5"/>
  </cols>
  <sheetData>
    <row r="1" spans="1:18" s="80" customFormat="1">
      <c r="A1" s="81"/>
      <c r="B1" s="81" t="s">
        <v>730</v>
      </c>
      <c r="C1" s="9">
        <f>+C2-C3</f>
        <v>0</v>
      </c>
      <c r="D1" s="9">
        <f t="shared" ref="D1:L1" si="0">+D2-D3</f>
        <v>0</v>
      </c>
      <c r="E1" s="9">
        <f t="shared" si="0"/>
        <v>0</v>
      </c>
      <c r="F1" s="9">
        <f t="shared" si="0"/>
        <v>0</v>
      </c>
      <c r="G1" s="9">
        <f t="shared" si="0"/>
        <v>0</v>
      </c>
      <c r="H1" s="9">
        <f t="shared" si="0"/>
        <v>0</v>
      </c>
      <c r="I1" s="9">
        <f t="shared" si="0"/>
        <v>0</v>
      </c>
      <c r="J1" s="9">
        <f t="shared" si="0"/>
        <v>0</v>
      </c>
      <c r="K1" s="9">
        <f t="shared" si="0"/>
        <v>0</v>
      </c>
      <c r="L1" s="9">
        <f t="shared" si="0"/>
        <v>0</v>
      </c>
      <c r="M1" s="193"/>
      <c r="N1" s="194"/>
      <c r="O1" s="194"/>
      <c r="P1" s="194"/>
      <c r="Q1" s="194"/>
      <c r="R1" s="194"/>
    </row>
    <row r="2" spans="1:18" s="80" customFormat="1">
      <c r="A2" s="81"/>
      <c r="B2" s="81" t="s">
        <v>729</v>
      </c>
      <c r="C2" s="9">
        <v>62236</v>
      </c>
      <c r="D2" s="9">
        <v>44908</v>
      </c>
      <c r="E2" s="9">
        <v>46417</v>
      </c>
      <c r="F2" s="9">
        <v>48277</v>
      </c>
      <c r="G2" s="9">
        <v>32788</v>
      </c>
      <c r="H2" s="9">
        <v>32574</v>
      </c>
      <c r="I2" s="9">
        <v>31082</v>
      </c>
      <c r="J2" s="9">
        <v>56025</v>
      </c>
      <c r="K2" s="9">
        <v>40983</v>
      </c>
      <c r="L2" s="9">
        <v>46633</v>
      </c>
      <c r="M2" s="193">
        <v>0</v>
      </c>
      <c r="N2" s="194"/>
      <c r="O2" s="194"/>
      <c r="P2" s="194"/>
      <c r="Q2" s="194"/>
      <c r="R2" s="194"/>
    </row>
    <row r="3" spans="1:18" s="196" customFormat="1">
      <c r="A3" s="195"/>
      <c r="B3" s="195" t="s">
        <v>30</v>
      </c>
      <c r="C3" s="63">
        <f>+C4+C5</f>
        <v>62236</v>
      </c>
      <c r="D3" s="63">
        <f t="shared" ref="D3:L3" si="1">+D4+D5</f>
        <v>44908</v>
      </c>
      <c r="E3" s="63">
        <f t="shared" si="1"/>
        <v>46417</v>
      </c>
      <c r="F3" s="63">
        <f t="shared" si="1"/>
        <v>48277</v>
      </c>
      <c r="G3" s="63">
        <f t="shared" si="1"/>
        <v>32788</v>
      </c>
      <c r="H3" s="63">
        <f t="shared" si="1"/>
        <v>32574</v>
      </c>
      <c r="I3" s="63">
        <f t="shared" si="1"/>
        <v>31082</v>
      </c>
      <c r="J3" s="63">
        <f t="shared" si="1"/>
        <v>56025</v>
      </c>
      <c r="K3" s="63">
        <f t="shared" si="1"/>
        <v>40983</v>
      </c>
      <c r="L3" s="63">
        <f t="shared" si="1"/>
        <v>46633</v>
      </c>
      <c r="M3" s="197"/>
      <c r="N3" s="198"/>
      <c r="O3" s="198"/>
      <c r="P3" s="198">
        <f>2796-900</f>
        <v>1896</v>
      </c>
      <c r="Q3" s="198"/>
      <c r="R3" s="198"/>
    </row>
    <row r="4" spans="1:18" s="80" customFormat="1">
      <c r="A4" s="81"/>
      <c r="B4" s="81" t="s">
        <v>31</v>
      </c>
      <c r="C4" s="9">
        <f>SUM(C9:C38)</f>
        <v>34088</v>
      </c>
      <c r="D4" s="9">
        <f t="shared" ref="D4:L4" si="2">SUM(D9:D38)</f>
        <v>21454</v>
      </c>
      <c r="E4" s="9">
        <f t="shared" si="2"/>
        <v>27578</v>
      </c>
      <c r="F4" s="9">
        <f t="shared" si="2"/>
        <v>25616</v>
      </c>
      <c r="G4" s="9">
        <f t="shared" si="2"/>
        <v>20714</v>
      </c>
      <c r="H4" s="9">
        <f t="shared" si="2"/>
        <v>18334</v>
      </c>
      <c r="I4" s="9">
        <f t="shared" si="2"/>
        <v>23120</v>
      </c>
      <c r="J4" s="9">
        <f t="shared" si="2"/>
        <v>26774</v>
      </c>
      <c r="K4" s="9">
        <f t="shared" si="2"/>
        <v>26498</v>
      </c>
      <c r="L4" s="9">
        <f t="shared" si="2"/>
        <v>23848</v>
      </c>
      <c r="M4" s="193"/>
      <c r="N4" s="194"/>
      <c r="O4" s="194"/>
      <c r="P4" s="194"/>
      <c r="Q4" s="194"/>
      <c r="R4" s="194"/>
    </row>
    <row r="5" spans="1:18" s="80" customFormat="1">
      <c r="A5" s="81"/>
      <c r="B5" s="81" t="s">
        <v>27</v>
      </c>
      <c r="C5" s="9">
        <f>SUM(C44:C102)</f>
        <v>28148</v>
      </c>
      <c r="D5" s="9">
        <f t="shared" ref="D5:L5" si="3">SUM(D44:D102)</f>
        <v>23454</v>
      </c>
      <c r="E5" s="9">
        <f t="shared" si="3"/>
        <v>18839</v>
      </c>
      <c r="F5" s="9">
        <f t="shared" si="3"/>
        <v>22661</v>
      </c>
      <c r="G5" s="9">
        <f t="shared" si="3"/>
        <v>12074</v>
      </c>
      <c r="H5" s="9">
        <f t="shared" si="3"/>
        <v>14240</v>
      </c>
      <c r="I5" s="9">
        <f t="shared" si="3"/>
        <v>7962</v>
      </c>
      <c r="J5" s="9">
        <f t="shared" si="3"/>
        <v>29251</v>
      </c>
      <c r="K5" s="9">
        <f t="shared" si="3"/>
        <v>14485</v>
      </c>
      <c r="L5" s="9">
        <f t="shared" si="3"/>
        <v>22785</v>
      </c>
      <c r="M5" s="193"/>
      <c r="N5" s="194"/>
      <c r="O5" s="194"/>
      <c r="P5" s="194"/>
      <c r="Q5" s="194"/>
      <c r="R5" s="194"/>
    </row>
    <row r="6" spans="1:18">
      <c r="B6" s="19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3"/>
      <c r="N6" s="194"/>
      <c r="O6" s="194"/>
      <c r="P6" s="194"/>
      <c r="Q6" s="194"/>
      <c r="R6" s="194"/>
    </row>
    <row r="7" spans="1:18" s="33" customFormat="1">
      <c r="A7" s="300"/>
      <c r="B7" s="300" t="s">
        <v>0</v>
      </c>
      <c r="C7" s="114" t="s">
        <v>823</v>
      </c>
      <c r="D7" s="114" t="s">
        <v>847</v>
      </c>
      <c r="E7" s="114" t="s">
        <v>876</v>
      </c>
      <c r="F7" s="114" t="s">
        <v>902</v>
      </c>
      <c r="G7" s="114" t="s">
        <v>927</v>
      </c>
      <c r="H7" s="114" t="s">
        <v>939</v>
      </c>
      <c r="I7" s="114" t="s">
        <v>997</v>
      </c>
      <c r="J7" s="114" t="s">
        <v>1045</v>
      </c>
      <c r="K7" s="114" t="s">
        <v>1089</v>
      </c>
      <c r="L7" s="114" t="s">
        <v>1152</v>
      </c>
    </row>
    <row r="8" spans="1:18" s="33" customFormat="1">
      <c r="A8" s="300"/>
      <c r="B8" s="301"/>
      <c r="C8" s="60" t="s">
        <v>824</v>
      </c>
      <c r="D8" s="60" t="s">
        <v>848</v>
      </c>
      <c r="E8" s="60" t="s">
        <v>877</v>
      </c>
      <c r="F8" s="60" t="s">
        <v>903</v>
      </c>
      <c r="G8" s="60" t="s">
        <v>928</v>
      </c>
      <c r="H8" s="60" t="s">
        <v>998</v>
      </c>
      <c r="I8" s="60" t="s">
        <v>999</v>
      </c>
      <c r="J8" s="60" t="s">
        <v>1046</v>
      </c>
      <c r="K8" s="60" t="s">
        <v>1090</v>
      </c>
      <c r="L8" s="60" t="s">
        <v>1153</v>
      </c>
    </row>
    <row r="9" spans="1:18">
      <c r="A9" s="29"/>
      <c r="B9" s="30">
        <v>1226384</v>
      </c>
      <c r="C9" s="32">
        <v>1060</v>
      </c>
      <c r="D9" s="32">
        <v>0</v>
      </c>
      <c r="E9" s="32">
        <v>0</v>
      </c>
      <c r="F9" s="32">
        <v>0</v>
      </c>
      <c r="G9" s="32">
        <v>0</v>
      </c>
      <c r="H9" s="32">
        <v>1037</v>
      </c>
      <c r="I9" s="32">
        <v>0</v>
      </c>
      <c r="J9" s="32">
        <v>0</v>
      </c>
      <c r="K9" s="32">
        <v>713</v>
      </c>
      <c r="L9" s="32">
        <v>0</v>
      </c>
      <c r="N9" s="78">
        <v>2810</v>
      </c>
    </row>
    <row r="10" spans="1:18">
      <c r="A10" s="29"/>
      <c r="B10" s="30">
        <v>1226388</v>
      </c>
      <c r="C10" s="32">
        <v>1060</v>
      </c>
      <c r="D10" s="32">
        <v>0</v>
      </c>
      <c r="E10" s="32">
        <v>0</v>
      </c>
      <c r="F10" s="32">
        <v>0</v>
      </c>
      <c r="G10" s="32">
        <v>0</v>
      </c>
      <c r="H10" s="32">
        <v>1037</v>
      </c>
      <c r="I10" s="32">
        <v>0</v>
      </c>
      <c r="J10" s="32">
        <v>0</v>
      </c>
      <c r="K10" s="32">
        <v>713</v>
      </c>
      <c r="L10" s="32">
        <v>0</v>
      </c>
      <c r="N10" s="78">
        <v>2810</v>
      </c>
    </row>
    <row r="11" spans="1:18">
      <c r="A11" s="29"/>
      <c r="B11" s="30">
        <v>1229673</v>
      </c>
      <c r="C11" s="32">
        <v>1300</v>
      </c>
      <c r="D11" s="32">
        <v>0</v>
      </c>
      <c r="E11" s="32">
        <v>1000</v>
      </c>
      <c r="F11" s="32">
        <v>1000</v>
      </c>
      <c r="G11" s="32">
        <v>800</v>
      </c>
      <c r="H11" s="32">
        <v>800</v>
      </c>
      <c r="I11" s="32">
        <v>800</v>
      </c>
      <c r="J11" s="32">
        <v>1000</v>
      </c>
      <c r="K11" s="32">
        <v>1000</v>
      </c>
      <c r="L11" s="32">
        <v>0</v>
      </c>
      <c r="N11" s="78">
        <v>7700</v>
      </c>
    </row>
    <row r="12" spans="1:18">
      <c r="A12" s="29"/>
      <c r="B12" s="30">
        <v>1230692</v>
      </c>
      <c r="C12" s="32">
        <v>2052</v>
      </c>
      <c r="D12" s="32">
        <v>1464</v>
      </c>
      <c r="E12" s="32">
        <v>700</v>
      </c>
      <c r="F12" s="32">
        <v>600</v>
      </c>
      <c r="G12" s="32">
        <v>600</v>
      </c>
      <c r="H12" s="32">
        <v>600</v>
      </c>
      <c r="I12" s="32">
        <v>900</v>
      </c>
      <c r="J12" s="32">
        <v>900</v>
      </c>
      <c r="K12" s="32">
        <v>900</v>
      </c>
      <c r="L12" s="32">
        <v>800</v>
      </c>
      <c r="N12" s="78">
        <v>9516</v>
      </c>
    </row>
    <row r="13" spans="1:18">
      <c r="A13" s="29"/>
      <c r="B13" s="30">
        <v>1230696</v>
      </c>
      <c r="C13" s="32">
        <v>0</v>
      </c>
      <c r="D13" s="32">
        <v>184</v>
      </c>
      <c r="E13" s="32">
        <v>100</v>
      </c>
      <c r="F13" s="32">
        <v>200</v>
      </c>
      <c r="G13" s="32">
        <v>100</v>
      </c>
      <c r="H13" s="32">
        <v>100</v>
      </c>
      <c r="I13" s="32">
        <v>200</v>
      </c>
      <c r="J13" s="32">
        <v>200</v>
      </c>
      <c r="K13" s="32">
        <v>200</v>
      </c>
      <c r="L13" s="32">
        <v>0</v>
      </c>
      <c r="N13" s="78">
        <v>1284</v>
      </c>
    </row>
    <row r="14" spans="1:18">
      <c r="A14" s="29"/>
      <c r="B14" s="30">
        <v>1230854</v>
      </c>
      <c r="C14" s="32">
        <v>0</v>
      </c>
      <c r="D14" s="32">
        <v>0</v>
      </c>
      <c r="E14" s="32">
        <v>200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400</v>
      </c>
      <c r="L14" s="32">
        <v>0</v>
      </c>
      <c r="N14" s="78">
        <v>600</v>
      </c>
    </row>
    <row r="15" spans="1:18">
      <c r="A15" s="29"/>
      <c r="B15" s="30">
        <v>1231202</v>
      </c>
      <c r="C15" s="32">
        <v>0</v>
      </c>
      <c r="D15" s="32">
        <v>0</v>
      </c>
      <c r="E15" s="32">
        <v>0</v>
      </c>
      <c r="F15" s="32">
        <v>100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N15" s="78">
        <v>100</v>
      </c>
    </row>
    <row r="16" spans="1:18">
      <c r="A16" s="29"/>
      <c r="B16" s="30">
        <v>1231898</v>
      </c>
      <c r="C16" s="32">
        <v>448</v>
      </c>
      <c r="D16" s="32">
        <v>0</v>
      </c>
      <c r="E16" s="32">
        <v>1792</v>
      </c>
      <c r="F16" s="32">
        <v>1344</v>
      </c>
      <c r="G16" s="32">
        <v>1344</v>
      </c>
      <c r="H16" s="32">
        <v>448</v>
      </c>
      <c r="I16" s="32">
        <v>1304</v>
      </c>
      <c r="J16" s="32">
        <v>2240</v>
      </c>
      <c r="K16" s="32">
        <v>896</v>
      </c>
      <c r="L16" s="32">
        <v>896</v>
      </c>
      <c r="N16" s="78">
        <v>10712</v>
      </c>
    </row>
    <row r="17" spans="1:14">
      <c r="A17" s="29"/>
      <c r="B17" s="30">
        <v>1233492</v>
      </c>
      <c r="C17" s="32">
        <v>0</v>
      </c>
      <c r="D17" s="32">
        <v>0</v>
      </c>
      <c r="E17" s="32">
        <v>500</v>
      </c>
      <c r="F17" s="32">
        <v>500</v>
      </c>
      <c r="G17" s="32">
        <v>0</v>
      </c>
      <c r="H17" s="32">
        <v>0</v>
      </c>
      <c r="I17" s="32">
        <v>500</v>
      </c>
      <c r="J17" s="32">
        <v>500</v>
      </c>
      <c r="K17" s="32">
        <v>500</v>
      </c>
      <c r="L17" s="32">
        <v>0</v>
      </c>
      <c r="N17" s="78">
        <v>2500</v>
      </c>
    </row>
    <row r="18" spans="1:14">
      <c r="A18" s="29"/>
      <c r="B18" s="30">
        <v>1233498</v>
      </c>
      <c r="C18" s="32">
        <v>0</v>
      </c>
      <c r="D18" s="32">
        <v>0</v>
      </c>
      <c r="E18" s="32">
        <v>500</v>
      </c>
      <c r="F18" s="32">
        <v>500</v>
      </c>
      <c r="G18" s="32">
        <v>0</v>
      </c>
      <c r="H18" s="32">
        <v>0</v>
      </c>
      <c r="I18" s="32">
        <v>500</v>
      </c>
      <c r="J18" s="32">
        <v>500</v>
      </c>
      <c r="K18" s="32">
        <v>500</v>
      </c>
      <c r="L18" s="32">
        <v>0</v>
      </c>
      <c r="N18" s="78">
        <v>2500</v>
      </c>
    </row>
    <row r="19" spans="1:14">
      <c r="A19" s="29"/>
      <c r="B19" s="30">
        <v>1233623</v>
      </c>
      <c r="C19" s="32">
        <v>0</v>
      </c>
      <c r="D19" s="32">
        <v>0</v>
      </c>
      <c r="E19" s="32">
        <v>500</v>
      </c>
      <c r="F19" s="32">
        <v>500</v>
      </c>
      <c r="G19" s="32">
        <v>0</v>
      </c>
      <c r="H19" s="32">
        <v>0</v>
      </c>
      <c r="I19" s="32">
        <v>500</v>
      </c>
      <c r="J19" s="32">
        <v>500</v>
      </c>
      <c r="K19" s="32">
        <v>500</v>
      </c>
      <c r="L19" s="32">
        <v>0</v>
      </c>
      <c r="N19" s="78">
        <v>2500</v>
      </c>
    </row>
    <row r="20" spans="1:14">
      <c r="A20" s="29"/>
      <c r="B20" s="30">
        <v>1233761</v>
      </c>
      <c r="C20" s="32">
        <v>0</v>
      </c>
      <c r="D20" s="32">
        <v>0</v>
      </c>
      <c r="E20" s="32">
        <v>0</v>
      </c>
      <c r="F20" s="32">
        <v>150</v>
      </c>
      <c r="G20" s="32">
        <v>200</v>
      </c>
      <c r="H20" s="32">
        <v>100</v>
      </c>
      <c r="I20" s="32">
        <v>0</v>
      </c>
      <c r="J20" s="32">
        <v>100</v>
      </c>
      <c r="K20" s="32">
        <v>150</v>
      </c>
      <c r="L20" s="32">
        <v>100</v>
      </c>
      <c r="N20" s="78">
        <v>800</v>
      </c>
    </row>
    <row r="21" spans="1:14">
      <c r="A21" s="29"/>
      <c r="B21" s="30">
        <v>1233877</v>
      </c>
      <c r="C21" s="32">
        <v>0</v>
      </c>
      <c r="D21" s="32">
        <v>0</v>
      </c>
      <c r="E21" s="32">
        <v>0</v>
      </c>
      <c r="F21" s="32">
        <v>0</v>
      </c>
      <c r="G21" s="32">
        <v>120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N21" s="78">
        <v>120</v>
      </c>
    </row>
    <row r="22" spans="1:14">
      <c r="A22" s="29"/>
      <c r="B22" s="30">
        <v>1234614</v>
      </c>
      <c r="C22" s="61">
        <v>600</v>
      </c>
      <c r="D22" s="61">
        <v>0</v>
      </c>
      <c r="E22" s="61">
        <v>300</v>
      </c>
      <c r="F22" s="61">
        <v>300</v>
      </c>
      <c r="G22" s="61">
        <v>300</v>
      </c>
      <c r="H22" s="61">
        <v>0</v>
      </c>
      <c r="I22" s="61">
        <v>300</v>
      </c>
      <c r="J22" s="61">
        <v>300</v>
      </c>
      <c r="K22" s="61">
        <v>300</v>
      </c>
      <c r="L22" s="61">
        <v>0</v>
      </c>
      <c r="N22" s="78">
        <v>2400</v>
      </c>
    </row>
    <row r="23" spans="1:14">
      <c r="A23" s="29"/>
      <c r="B23" s="30">
        <v>1235623</v>
      </c>
      <c r="C23" s="32">
        <v>1872</v>
      </c>
      <c r="D23" s="32">
        <v>936</v>
      </c>
      <c r="E23" s="32">
        <v>936</v>
      </c>
      <c r="F23" s="32">
        <v>936</v>
      </c>
      <c r="G23" s="32">
        <v>0</v>
      </c>
      <c r="H23" s="32">
        <v>936</v>
      </c>
      <c r="I23" s="32">
        <v>0</v>
      </c>
      <c r="J23" s="32">
        <v>0</v>
      </c>
      <c r="K23" s="32">
        <v>936</v>
      </c>
      <c r="L23" s="32">
        <v>2808</v>
      </c>
      <c r="N23" s="78">
        <v>9360</v>
      </c>
    </row>
    <row r="24" spans="1:14">
      <c r="A24" s="29"/>
      <c r="B24" s="30">
        <v>1236091</v>
      </c>
      <c r="C24" s="32">
        <v>0</v>
      </c>
      <c r="D24" s="32">
        <v>0</v>
      </c>
      <c r="E24" s="32">
        <v>250</v>
      </c>
      <c r="F24" s="32">
        <v>250</v>
      </c>
      <c r="G24" s="32">
        <v>0</v>
      </c>
      <c r="H24" s="32">
        <v>0</v>
      </c>
      <c r="I24" s="32">
        <v>0</v>
      </c>
      <c r="J24" s="32">
        <v>200</v>
      </c>
      <c r="K24" s="32">
        <v>250</v>
      </c>
      <c r="L24" s="32">
        <v>0</v>
      </c>
      <c r="N24" s="78">
        <v>950</v>
      </c>
    </row>
    <row r="25" spans="1:14">
      <c r="A25" s="29"/>
      <c r="B25" s="30">
        <v>1236488</v>
      </c>
      <c r="C25" s="32">
        <v>636</v>
      </c>
      <c r="D25" s="32">
        <v>1760</v>
      </c>
      <c r="E25" s="32">
        <v>700</v>
      </c>
      <c r="F25" s="32">
        <v>700</v>
      </c>
      <c r="G25" s="32">
        <v>700</v>
      </c>
      <c r="H25" s="32">
        <v>600</v>
      </c>
      <c r="I25" s="32">
        <v>700</v>
      </c>
      <c r="J25" s="32">
        <v>800</v>
      </c>
      <c r="K25" s="32">
        <v>900</v>
      </c>
      <c r="L25" s="32">
        <v>900</v>
      </c>
      <c r="N25" s="78">
        <v>8396</v>
      </c>
    </row>
    <row r="26" spans="1:14">
      <c r="A26" s="29"/>
      <c r="B26" s="30">
        <v>1236534</v>
      </c>
      <c r="C26" s="32">
        <v>0</v>
      </c>
      <c r="D26" s="32">
        <v>16</v>
      </c>
      <c r="E26" s="32">
        <v>300</v>
      </c>
      <c r="F26" s="32">
        <v>200</v>
      </c>
      <c r="G26" s="32">
        <v>0</v>
      </c>
      <c r="H26" s="32">
        <v>0</v>
      </c>
      <c r="I26" s="32">
        <v>300</v>
      </c>
      <c r="J26" s="32">
        <v>300</v>
      </c>
      <c r="K26" s="32">
        <v>0</v>
      </c>
      <c r="L26" s="32">
        <v>0</v>
      </c>
      <c r="N26" s="78">
        <v>1116</v>
      </c>
    </row>
    <row r="27" spans="1:14">
      <c r="A27" s="29"/>
      <c r="B27" s="30">
        <v>1236962</v>
      </c>
      <c r="C27" s="32">
        <v>600</v>
      </c>
      <c r="D27" s="32">
        <v>400</v>
      </c>
      <c r="E27" s="32">
        <v>700</v>
      </c>
      <c r="F27" s="32">
        <v>600</v>
      </c>
      <c r="G27" s="32">
        <v>700</v>
      </c>
      <c r="H27" s="32">
        <v>700</v>
      </c>
      <c r="I27" s="32">
        <v>700</v>
      </c>
      <c r="J27" s="32">
        <v>700</v>
      </c>
      <c r="K27" s="32">
        <v>600</v>
      </c>
      <c r="L27" s="32">
        <v>550</v>
      </c>
      <c r="N27" s="78">
        <v>6250</v>
      </c>
    </row>
    <row r="28" spans="1:14">
      <c r="A28" s="29"/>
      <c r="B28" s="30">
        <v>1237088</v>
      </c>
      <c r="C28" s="32">
        <v>4988</v>
      </c>
      <c r="D28" s="32">
        <v>1738</v>
      </c>
      <c r="E28" s="32">
        <v>3440</v>
      </c>
      <c r="F28" s="32">
        <v>2992</v>
      </c>
      <c r="G28" s="32">
        <v>3240</v>
      </c>
      <c r="H28" s="32">
        <v>2444</v>
      </c>
      <c r="I28" s="32">
        <v>2644</v>
      </c>
      <c r="J28" s="32">
        <v>3092</v>
      </c>
      <c r="K28" s="32">
        <v>2644</v>
      </c>
      <c r="L28" s="32">
        <v>2594</v>
      </c>
      <c r="N28" s="78">
        <v>29816</v>
      </c>
    </row>
    <row r="29" spans="1:14">
      <c r="A29" s="29"/>
      <c r="B29" s="30">
        <v>1237586</v>
      </c>
      <c r="C29" s="32">
        <v>448</v>
      </c>
      <c r="D29" s="32">
        <v>0</v>
      </c>
      <c r="E29" s="32">
        <v>1792</v>
      </c>
      <c r="F29" s="32">
        <v>1344</v>
      </c>
      <c r="G29" s="32">
        <v>1344</v>
      </c>
      <c r="H29" s="32">
        <v>448</v>
      </c>
      <c r="I29" s="32">
        <v>1304</v>
      </c>
      <c r="J29" s="32">
        <v>2240</v>
      </c>
      <c r="K29" s="32">
        <v>896</v>
      </c>
      <c r="L29" s="32">
        <v>896</v>
      </c>
      <c r="N29" s="78">
        <v>10712</v>
      </c>
    </row>
    <row r="30" spans="1:14">
      <c r="A30" s="29"/>
      <c r="B30" s="30">
        <v>1237748</v>
      </c>
      <c r="C30" s="32">
        <v>104</v>
      </c>
      <c r="D30" s="32">
        <v>572</v>
      </c>
      <c r="E30" s="32">
        <v>404</v>
      </c>
      <c r="F30" s="32">
        <v>0</v>
      </c>
      <c r="G30" s="32">
        <v>0</v>
      </c>
      <c r="H30" s="32">
        <v>676</v>
      </c>
      <c r="I30" s="32">
        <v>0</v>
      </c>
      <c r="J30" s="32">
        <v>404</v>
      </c>
      <c r="K30" s="32">
        <v>0</v>
      </c>
      <c r="L30" s="32">
        <v>728</v>
      </c>
      <c r="N30" s="78">
        <v>2888</v>
      </c>
    </row>
    <row r="31" spans="1:14">
      <c r="A31" s="29"/>
      <c r="B31" s="30">
        <v>1238128</v>
      </c>
      <c r="C31" s="32">
        <v>3826</v>
      </c>
      <c r="D31" s="32">
        <v>3136</v>
      </c>
      <c r="E31" s="32">
        <v>2352</v>
      </c>
      <c r="F31" s="32">
        <v>2004</v>
      </c>
      <c r="G31" s="32">
        <v>2516</v>
      </c>
      <c r="H31" s="32">
        <v>2908</v>
      </c>
      <c r="I31" s="32">
        <v>3668</v>
      </c>
      <c r="J31" s="32">
        <v>1248</v>
      </c>
      <c r="K31" s="32">
        <v>1200</v>
      </c>
      <c r="L31" s="32">
        <v>3936</v>
      </c>
      <c r="N31" s="78">
        <v>26794</v>
      </c>
    </row>
    <row r="32" spans="1:14">
      <c r="A32" s="29"/>
      <c r="B32" s="30">
        <v>1239651</v>
      </c>
      <c r="C32" s="32">
        <v>450</v>
      </c>
      <c r="D32" s="32">
        <v>150</v>
      </c>
      <c r="E32" s="32">
        <v>400</v>
      </c>
      <c r="F32" s="32">
        <v>400</v>
      </c>
      <c r="G32" s="32">
        <v>550</v>
      </c>
      <c r="H32" s="32">
        <v>0</v>
      </c>
      <c r="I32" s="32">
        <v>300</v>
      </c>
      <c r="J32" s="32">
        <v>200</v>
      </c>
      <c r="K32" s="32">
        <v>300</v>
      </c>
      <c r="L32" s="32">
        <v>340</v>
      </c>
      <c r="N32" s="78">
        <v>3090</v>
      </c>
    </row>
    <row r="33" spans="1:14">
      <c r="A33" s="29"/>
      <c r="B33" s="30">
        <v>1239988</v>
      </c>
      <c r="C33" s="32">
        <v>1790</v>
      </c>
      <c r="D33" s="32">
        <v>200</v>
      </c>
      <c r="E33" s="32">
        <v>3100</v>
      </c>
      <c r="F33" s="32">
        <v>1524</v>
      </c>
      <c r="G33" s="32">
        <v>0</v>
      </c>
      <c r="H33" s="32">
        <v>0</v>
      </c>
      <c r="I33" s="32">
        <v>800</v>
      </c>
      <c r="J33" s="32">
        <v>1600</v>
      </c>
      <c r="K33" s="32">
        <v>2050</v>
      </c>
      <c r="L33" s="32">
        <v>1450</v>
      </c>
      <c r="N33" s="78">
        <v>12514</v>
      </c>
    </row>
    <row r="34" spans="1:14">
      <c r="A34" s="29"/>
      <c r="B34" s="30">
        <v>1240180</v>
      </c>
      <c r="C34" s="32">
        <v>1545</v>
      </c>
      <c r="D34" s="32">
        <v>1602</v>
      </c>
      <c r="E34" s="32">
        <v>1606</v>
      </c>
      <c r="F34" s="32">
        <v>2161</v>
      </c>
      <c r="G34" s="32">
        <v>1650</v>
      </c>
      <c r="H34" s="32">
        <v>900</v>
      </c>
      <c r="I34" s="32">
        <v>1350</v>
      </c>
      <c r="J34" s="32">
        <v>1900</v>
      </c>
      <c r="K34" s="32">
        <v>1700</v>
      </c>
      <c r="L34" s="32">
        <v>1300</v>
      </c>
      <c r="N34" s="78">
        <v>15714</v>
      </c>
    </row>
    <row r="35" spans="1:14">
      <c r="A35" s="29"/>
      <c r="B35" s="30">
        <v>1240184</v>
      </c>
      <c r="C35" s="32">
        <v>1411</v>
      </c>
      <c r="D35" s="32">
        <v>1602</v>
      </c>
      <c r="E35" s="32">
        <v>1606</v>
      </c>
      <c r="F35" s="32">
        <v>1561</v>
      </c>
      <c r="G35" s="32">
        <v>1450</v>
      </c>
      <c r="H35" s="32">
        <v>900</v>
      </c>
      <c r="I35" s="32">
        <v>1350</v>
      </c>
      <c r="J35" s="32">
        <v>1700</v>
      </c>
      <c r="K35" s="32">
        <v>1700</v>
      </c>
      <c r="L35" s="32">
        <v>1100</v>
      </c>
      <c r="N35" s="78">
        <v>14380</v>
      </c>
    </row>
    <row r="36" spans="1:14">
      <c r="A36" s="29"/>
      <c r="B36" s="30">
        <v>1240308</v>
      </c>
      <c r="C36" s="32">
        <v>1930</v>
      </c>
      <c r="D36" s="32">
        <v>0</v>
      </c>
      <c r="E36" s="32">
        <v>0</v>
      </c>
      <c r="F36" s="32">
        <v>850</v>
      </c>
      <c r="G36" s="32">
        <v>300</v>
      </c>
      <c r="H36" s="32">
        <v>0</v>
      </c>
      <c r="I36" s="32">
        <v>0</v>
      </c>
      <c r="J36" s="32">
        <v>650</v>
      </c>
      <c r="K36" s="32">
        <v>850</v>
      </c>
      <c r="L36" s="32">
        <v>400</v>
      </c>
      <c r="N36" s="78">
        <v>4980</v>
      </c>
    </row>
    <row r="37" spans="1:14">
      <c r="A37" s="29"/>
      <c r="B37" s="30">
        <v>1241601</v>
      </c>
      <c r="C37" s="32">
        <v>7968</v>
      </c>
      <c r="D37" s="32">
        <v>7694</v>
      </c>
      <c r="E37" s="32">
        <v>4400</v>
      </c>
      <c r="F37" s="32">
        <v>4900</v>
      </c>
      <c r="G37" s="32">
        <v>4800</v>
      </c>
      <c r="H37" s="32">
        <v>3700</v>
      </c>
      <c r="I37" s="32">
        <v>4100</v>
      </c>
      <c r="J37" s="32">
        <v>4600</v>
      </c>
      <c r="K37" s="32">
        <v>4700</v>
      </c>
      <c r="L37" s="32">
        <v>4450</v>
      </c>
      <c r="N37" s="78">
        <v>51312</v>
      </c>
    </row>
    <row r="38" spans="1:14" s="58" customFormat="1">
      <c r="A38" s="253"/>
      <c r="B38" s="111">
        <v>1242242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900</v>
      </c>
      <c r="J38" s="17">
        <v>900</v>
      </c>
      <c r="K38" s="17">
        <v>1000</v>
      </c>
      <c r="L38" s="17">
        <v>600</v>
      </c>
      <c r="N38" s="254">
        <v>3400</v>
      </c>
    </row>
    <row r="39" spans="1:14">
      <c r="N39" s="78"/>
    </row>
    <row r="40" spans="1:14">
      <c r="N40" s="78"/>
    </row>
    <row r="41" spans="1:14">
      <c r="N41" s="78"/>
    </row>
    <row r="42" spans="1:14" s="33" customFormat="1">
      <c r="A42" s="300"/>
      <c r="B42" s="300" t="s">
        <v>0</v>
      </c>
      <c r="C42" s="114" t="s">
        <v>823</v>
      </c>
      <c r="D42" s="114" t="s">
        <v>847</v>
      </c>
      <c r="E42" s="114" t="s">
        <v>876</v>
      </c>
      <c r="F42" s="114" t="s">
        <v>902</v>
      </c>
      <c r="G42" s="114" t="s">
        <v>927</v>
      </c>
      <c r="H42" s="114" t="s">
        <v>939</v>
      </c>
      <c r="I42" s="114" t="s">
        <v>997</v>
      </c>
      <c r="J42" s="114" t="s">
        <v>1045</v>
      </c>
      <c r="K42" s="114" t="s">
        <v>1089</v>
      </c>
      <c r="L42" s="114" t="s">
        <v>1152</v>
      </c>
      <c r="N42" s="78"/>
    </row>
    <row r="43" spans="1:14" s="33" customFormat="1">
      <c r="A43" s="300"/>
      <c r="B43" s="301"/>
      <c r="C43" s="60" t="s">
        <v>824</v>
      </c>
      <c r="D43" s="60" t="s">
        <v>848</v>
      </c>
      <c r="E43" s="60" t="s">
        <v>877</v>
      </c>
      <c r="F43" s="60" t="s">
        <v>903</v>
      </c>
      <c r="G43" s="60" t="s">
        <v>928</v>
      </c>
      <c r="H43" s="60" t="s">
        <v>998</v>
      </c>
      <c r="I43" s="60" t="s">
        <v>999</v>
      </c>
      <c r="J43" s="60" t="s">
        <v>1046</v>
      </c>
      <c r="K43" s="60" t="s">
        <v>1090</v>
      </c>
      <c r="L43" s="60" t="s">
        <v>1153</v>
      </c>
      <c r="N43" s="78"/>
    </row>
    <row r="44" spans="1:14">
      <c r="B44" s="5">
        <v>1216452</v>
      </c>
      <c r="C44" s="9">
        <v>0</v>
      </c>
      <c r="D44" s="9">
        <v>2880</v>
      </c>
      <c r="E44" s="9">
        <v>576</v>
      </c>
      <c r="F44" s="9">
        <v>0</v>
      </c>
      <c r="G44" s="9">
        <v>2214</v>
      </c>
      <c r="H44" s="9">
        <v>288</v>
      </c>
      <c r="I44" s="9">
        <v>900</v>
      </c>
      <c r="J44" s="9">
        <v>0</v>
      </c>
      <c r="K44" s="9">
        <v>1212</v>
      </c>
      <c r="L44" s="9">
        <v>0</v>
      </c>
      <c r="N44" s="78">
        <v>8070</v>
      </c>
    </row>
    <row r="45" spans="1:14">
      <c r="B45" s="5">
        <v>1220847</v>
      </c>
      <c r="C45" s="9">
        <v>4430</v>
      </c>
      <c r="D45" s="9">
        <v>0</v>
      </c>
      <c r="E45" s="9">
        <v>1310</v>
      </c>
      <c r="F45" s="9">
        <v>1050</v>
      </c>
      <c r="G45" s="9">
        <v>0</v>
      </c>
      <c r="H45" s="9">
        <v>0</v>
      </c>
      <c r="I45" s="9">
        <v>0</v>
      </c>
      <c r="J45" s="9">
        <v>784</v>
      </c>
      <c r="K45" s="9">
        <v>0</v>
      </c>
      <c r="L45" s="9">
        <v>0</v>
      </c>
      <c r="N45" s="78">
        <v>7574</v>
      </c>
    </row>
    <row r="46" spans="1:14">
      <c r="B46" s="5">
        <v>1221967</v>
      </c>
      <c r="C46" s="9">
        <v>450</v>
      </c>
      <c r="D46" s="9">
        <v>0</v>
      </c>
      <c r="E46" s="9">
        <v>0</v>
      </c>
      <c r="F46" s="9">
        <v>0</v>
      </c>
      <c r="G46" s="9">
        <v>0</v>
      </c>
      <c r="H46" s="9">
        <v>351</v>
      </c>
      <c r="I46" s="9">
        <v>0</v>
      </c>
      <c r="J46" s="9">
        <v>68</v>
      </c>
      <c r="K46" s="9">
        <v>0</v>
      </c>
      <c r="L46" s="9">
        <v>238</v>
      </c>
      <c r="N46" s="78">
        <v>1107</v>
      </c>
    </row>
    <row r="47" spans="1:14">
      <c r="B47" s="5">
        <v>1225464</v>
      </c>
      <c r="C47" s="9">
        <v>0</v>
      </c>
      <c r="D47" s="9">
        <v>0</v>
      </c>
      <c r="E47" s="9">
        <v>0</v>
      </c>
      <c r="F47" s="9">
        <v>756</v>
      </c>
      <c r="G47" s="9">
        <v>0</v>
      </c>
      <c r="H47" s="9">
        <v>0</v>
      </c>
      <c r="I47" s="9">
        <v>0</v>
      </c>
      <c r="J47" s="9">
        <v>1578</v>
      </c>
      <c r="K47" s="9">
        <v>0</v>
      </c>
      <c r="L47" s="9">
        <v>0</v>
      </c>
      <c r="N47" s="78">
        <v>2334</v>
      </c>
    </row>
    <row r="48" spans="1:14">
      <c r="B48" s="5">
        <v>1227306</v>
      </c>
      <c r="C48" s="9">
        <v>304</v>
      </c>
      <c r="D48" s="9">
        <v>0</v>
      </c>
      <c r="E48" s="9">
        <v>0</v>
      </c>
      <c r="F48" s="9">
        <v>1390</v>
      </c>
      <c r="G48" s="9">
        <v>0</v>
      </c>
      <c r="H48" s="9">
        <v>0</v>
      </c>
      <c r="I48" s="9">
        <v>400</v>
      </c>
      <c r="J48" s="9">
        <v>650</v>
      </c>
      <c r="K48" s="9">
        <v>900</v>
      </c>
      <c r="L48" s="9">
        <v>300</v>
      </c>
      <c r="N48" s="78">
        <v>3944</v>
      </c>
    </row>
    <row r="49" spans="2:14">
      <c r="B49" s="5">
        <v>1229050</v>
      </c>
      <c r="C49" s="9">
        <v>0</v>
      </c>
      <c r="D49" s="9">
        <v>205</v>
      </c>
      <c r="E49" s="9">
        <v>0</v>
      </c>
      <c r="F49" s="9">
        <v>0</v>
      </c>
      <c r="G49" s="9">
        <v>0</v>
      </c>
      <c r="H49" s="9">
        <v>225</v>
      </c>
      <c r="I49" s="9">
        <v>0</v>
      </c>
      <c r="J49" s="9">
        <v>0</v>
      </c>
      <c r="K49" s="9">
        <v>0</v>
      </c>
      <c r="L49" s="9">
        <v>220</v>
      </c>
      <c r="N49" s="78">
        <v>650</v>
      </c>
    </row>
    <row r="50" spans="2:14">
      <c r="B50" s="5">
        <v>1229088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200</v>
      </c>
      <c r="L50" s="9">
        <v>0</v>
      </c>
      <c r="N50" s="78">
        <v>200</v>
      </c>
    </row>
    <row r="51" spans="2:14">
      <c r="B51" s="5">
        <v>1229776</v>
      </c>
      <c r="C51" s="9">
        <v>0</v>
      </c>
      <c r="D51" s="9">
        <v>0</v>
      </c>
      <c r="E51" s="9">
        <v>180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250</v>
      </c>
      <c r="L51" s="9">
        <v>180</v>
      </c>
      <c r="N51" s="78">
        <v>610</v>
      </c>
    </row>
    <row r="52" spans="2:14">
      <c r="B52" s="5">
        <v>1230685</v>
      </c>
      <c r="C52" s="9">
        <v>400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400</v>
      </c>
      <c r="K52" s="9">
        <v>0</v>
      </c>
      <c r="L52" s="9">
        <v>0</v>
      </c>
      <c r="N52" s="78">
        <v>800</v>
      </c>
    </row>
    <row r="53" spans="2:14">
      <c r="B53" s="5">
        <v>1230791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140</v>
      </c>
      <c r="K53" s="9">
        <v>0</v>
      </c>
      <c r="L53" s="9">
        <v>0</v>
      </c>
      <c r="N53" s="78">
        <v>140</v>
      </c>
    </row>
    <row r="54" spans="2:14">
      <c r="B54" s="5">
        <v>1231090</v>
      </c>
      <c r="C54" s="9">
        <v>570</v>
      </c>
      <c r="D54" s="9">
        <v>1250</v>
      </c>
      <c r="E54" s="9">
        <v>720</v>
      </c>
      <c r="F54" s="9">
        <v>0</v>
      </c>
      <c r="G54" s="9">
        <v>0</v>
      </c>
      <c r="H54" s="9">
        <v>990</v>
      </c>
      <c r="I54" s="9">
        <v>0</v>
      </c>
      <c r="J54" s="9">
        <v>300</v>
      </c>
      <c r="K54" s="9">
        <v>250</v>
      </c>
      <c r="L54" s="9">
        <v>1160</v>
      </c>
      <c r="N54" s="78">
        <v>5240</v>
      </c>
    </row>
    <row r="55" spans="2:14">
      <c r="B55" s="5">
        <v>1231578</v>
      </c>
      <c r="C55" s="9">
        <v>0</v>
      </c>
      <c r="D55" s="9">
        <v>500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200</v>
      </c>
      <c r="K55" s="9">
        <v>300</v>
      </c>
      <c r="L55" s="9">
        <v>200</v>
      </c>
      <c r="N55" s="78">
        <v>1200</v>
      </c>
    </row>
    <row r="56" spans="2:14">
      <c r="B56" s="5">
        <v>1231797</v>
      </c>
      <c r="C56" s="9">
        <v>0</v>
      </c>
      <c r="D56" s="9">
        <v>0</v>
      </c>
      <c r="E56" s="9">
        <v>0</v>
      </c>
      <c r="F56" s="9">
        <v>0</v>
      </c>
      <c r="G56" s="9">
        <v>154</v>
      </c>
      <c r="H56" s="9">
        <v>0</v>
      </c>
      <c r="I56" s="9">
        <v>0</v>
      </c>
      <c r="J56" s="9">
        <v>0</v>
      </c>
      <c r="K56" s="9">
        <v>137</v>
      </c>
      <c r="L56" s="9">
        <v>0</v>
      </c>
      <c r="N56" s="78">
        <v>291</v>
      </c>
    </row>
    <row r="57" spans="2:14">
      <c r="B57" s="5">
        <v>1231860</v>
      </c>
      <c r="C57" s="9">
        <v>0</v>
      </c>
      <c r="D57" s="9">
        <v>0</v>
      </c>
      <c r="E57" s="9">
        <v>100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N57" s="78">
        <v>100</v>
      </c>
    </row>
    <row r="58" spans="2:14">
      <c r="B58" s="5">
        <v>1232066</v>
      </c>
      <c r="C58" s="9">
        <v>0</v>
      </c>
      <c r="D58" s="9">
        <v>252</v>
      </c>
      <c r="E58" s="9">
        <v>0</v>
      </c>
      <c r="F58" s="9">
        <v>0</v>
      </c>
      <c r="G58" s="9">
        <v>0</v>
      </c>
      <c r="H58" s="9">
        <v>252</v>
      </c>
      <c r="I58" s="9">
        <v>0</v>
      </c>
      <c r="J58" s="9">
        <v>0</v>
      </c>
      <c r="K58" s="9">
        <v>0</v>
      </c>
      <c r="L58" s="9">
        <v>234</v>
      </c>
      <c r="N58" s="78">
        <v>738</v>
      </c>
    </row>
    <row r="59" spans="2:14">
      <c r="B59" s="5">
        <v>1232528</v>
      </c>
      <c r="C59" s="9">
        <v>2795</v>
      </c>
      <c r="D59" s="9">
        <v>1854</v>
      </c>
      <c r="E59" s="9">
        <v>4643</v>
      </c>
      <c r="F59" s="9">
        <v>4040</v>
      </c>
      <c r="G59" s="9">
        <v>0</v>
      </c>
      <c r="H59" s="9">
        <v>1836</v>
      </c>
      <c r="I59" s="9">
        <v>0</v>
      </c>
      <c r="J59" s="9">
        <v>8428</v>
      </c>
      <c r="K59" s="9">
        <v>0</v>
      </c>
      <c r="L59" s="9">
        <v>1854</v>
      </c>
      <c r="N59" s="78">
        <v>25450</v>
      </c>
    </row>
    <row r="60" spans="2:14">
      <c r="B60" s="5">
        <v>1232553</v>
      </c>
      <c r="C60" s="9">
        <v>0</v>
      </c>
      <c r="D60" s="9">
        <v>108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108</v>
      </c>
      <c r="N60" s="78">
        <v>216</v>
      </c>
    </row>
    <row r="61" spans="2:14">
      <c r="B61" s="5">
        <v>1232693</v>
      </c>
      <c r="C61" s="9">
        <v>0</v>
      </c>
      <c r="D61" s="9">
        <v>3843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82</v>
      </c>
      <c r="K61" s="9">
        <v>0</v>
      </c>
      <c r="L61" s="9">
        <v>1974</v>
      </c>
      <c r="N61" s="78">
        <v>5899</v>
      </c>
    </row>
    <row r="62" spans="2:14">
      <c r="B62" s="5">
        <v>1232775</v>
      </c>
      <c r="C62" s="9">
        <v>1338</v>
      </c>
      <c r="D62" s="9">
        <v>0</v>
      </c>
      <c r="E62" s="9">
        <v>120</v>
      </c>
      <c r="F62" s="9">
        <v>1900</v>
      </c>
      <c r="G62" s="9">
        <v>1010</v>
      </c>
      <c r="H62" s="9">
        <v>161</v>
      </c>
      <c r="I62" s="9">
        <v>0</v>
      </c>
      <c r="J62" s="9">
        <v>1606</v>
      </c>
      <c r="K62" s="9">
        <v>1360</v>
      </c>
      <c r="L62" s="9">
        <v>2228</v>
      </c>
      <c r="N62" s="78">
        <v>9723</v>
      </c>
    </row>
    <row r="63" spans="2:14" s="20" customFormat="1">
      <c r="B63" s="20">
        <v>1232846</v>
      </c>
      <c r="C63" s="10">
        <v>2150</v>
      </c>
      <c r="D63" s="10">
        <v>536</v>
      </c>
      <c r="E63" s="10">
        <v>1076</v>
      </c>
      <c r="F63" s="10">
        <v>1076</v>
      </c>
      <c r="G63" s="10">
        <v>472</v>
      </c>
      <c r="H63" s="10">
        <v>300</v>
      </c>
      <c r="I63" s="10">
        <v>300</v>
      </c>
      <c r="J63" s="10">
        <v>1249</v>
      </c>
      <c r="K63" s="10">
        <v>583</v>
      </c>
      <c r="L63" s="10">
        <v>592</v>
      </c>
      <c r="N63" s="78">
        <v>8334</v>
      </c>
    </row>
    <row r="64" spans="2:14">
      <c r="B64" s="5">
        <v>1232894</v>
      </c>
      <c r="C64" s="9">
        <v>1153</v>
      </c>
      <c r="D64" s="9">
        <v>336</v>
      </c>
      <c r="E64" s="9">
        <v>576</v>
      </c>
      <c r="F64" s="9">
        <v>576</v>
      </c>
      <c r="G64" s="9">
        <v>0</v>
      </c>
      <c r="H64" s="9">
        <v>0</v>
      </c>
      <c r="I64" s="9">
        <v>0</v>
      </c>
      <c r="J64" s="9">
        <v>949</v>
      </c>
      <c r="K64" s="9">
        <v>0</v>
      </c>
      <c r="L64" s="9">
        <v>192</v>
      </c>
      <c r="N64" s="78">
        <v>3782</v>
      </c>
    </row>
    <row r="65" spans="2:14">
      <c r="B65" s="5">
        <v>1232895</v>
      </c>
      <c r="C65" s="9">
        <v>997</v>
      </c>
      <c r="D65" s="9">
        <v>200</v>
      </c>
      <c r="E65" s="9">
        <v>500</v>
      </c>
      <c r="F65" s="9">
        <v>500</v>
      </c>
      <c r="G65" s="9">
        <v>472</v>
      </c>
      <c r="H65" s="9">
        <v>300</v>
      </c>
      <c r="I65" s="9">
        <v>300</v>
      </c>
      <c r="J65" s="9">
        <v>300</v>
      </c>
      <c r="K65" s="9">
        <v>583</v>
      </c>
      <c r="L65" s="9">
        <v>400</v>
      </c>
      <c r="N65" s="78">
        <v>4552</v>
      </c>
    </row>
    <row r="66" spans="2:14">
      <c r="B66" s="5">
        <v>1232922</v>
      </c>
      <c r="C66" s="9">
        <v>0</v>
      </c>
      <c r="D66" s="9">
        <v>0</v>
      </c>
      <c r="E66" s="9">
        <v>0</v>
      </c>
      <c r="F66" s="9">
        <v>0</v>
      </c>
      <c r="G66" s="9">
        <v>272</v>
      </c>
      <c r="H66" s="9">
        <v>0</v>
      </c>
      <c r="I66" s="9">
        <v>0</v>
      </c>
      <c r="J66" s="9">
        <v>0</v>
      </c>
      <c r="K66" s="9">
        <v>283</v>
      </c>
      <c r="L66" s="9">
        <v>100</v>
      </c>
      <c r="N66" s="78">
        <v>655</v>
      </c>
    </row>
    <row r="67" spans="2:14">
      <c r="B67" s="5">
        <v>1232982</v>
      </c>
      <c r="C67" s="9">
        <v>450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50</v>
      </c>
      <c r="N67" s="78">
        <v>500</v>
      </c>
    </row>
    <row r="68" spans="2:14">
      <c r="B68" s="5">
        <v>1233025</v>
      </c>
      <c r="C68" s="9">
        <v>0</v>
      </c>
      <c r="D68" s="9">
        <v>3843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82</v>
      </c>
      <c r="K68" s="9">
        <v>0</v>
      </c>
      <c r="L68" s="9">
        <v>1974</v>
      </c>
      <c r="N68" s="78">
        <v>5899</v>
      </c>
    </row>
    <row r="69" spans="2:14">
      <c r="B69" s="5">
        <v>1233165</v>
      </c>
      <c r="C69" s="9">
        <v>0</v>
      </c>
      <c r="D69" s="9">
        <v>0</v>
      </c>
      <c r="E69" s="9">
        <v>0</v>
      </c>
      <c r="F69" s="9">
        <v>370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N69" s="78">
        <v>370</v>
      </c>
    </row>
    <row r="70" spans="2:14">
      <c r="B70" s="5">
        <v>1233383</v>
      </c>
      <c r="C70" s="9">
        <v>0</v>
      </c>
      <c r="D70" s="9">
        <v>0</v>
      </c>
      <c r="E70" s="9">
        <v>0</v>
      </c>
      <c r="F70" s="9">
        <v>0</v>
      </c>
      <c r="G70" s="9">
        <v>150</v>
      </c>
      <c r="H70" s="9">
        <v>0</v>
      </c>
      <c r="I70" s="9">
        <v>0</v>
      </c>
      <c r="J70" s="9">
        <v>0</v>
      </c>
      <c r="K70" s="9">
        <v>150</v>
      </c>
      <c r="L70" s="9">
        <v>0</v>
      </c>
      <c r="N70" s="78">
        <v>300</v>
      </c>
    </row>
    <row r="71" spans="2:14">
      <c r="B71" s="5">
        <v>1233384</v>
      </c>
      <c r="C71" s="9">
        <v>997</v>
      </c>
      <c r="D71" s="9">
        <v>200</v>
      </c>
      <c r="E71" s="9">
        <v>500</v>
      </c>
      <c r="F71" s="9">
        <v>500</v>
      </c>
      <c r="G71" s="9">
        <v>200</v>
      </c>
      <c r="H71" s="9">
        <v>300</v>
      </c>
      <c r="I71" s="9">
        <v>300</v>
      </c>
      <c r="J71" s="9">
        <v>300</v>
      </c>
      <c r="K71" s="9">
        <v>300</v>
      </c>
      <c r="L71" s="9">
        <v>300</v>
      </c>
      <c r="N71" s="78">
        <v>3897</v>
      </c>
    </row>
    <row r="72" spans="2:14">
      <c r="B72" s="5">
        <v>1233385</v>
      </c>
      <c r="C72" s="9">
        <v>253</v>
      </c>
      <c r="D72" s="9">
        <v>336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192</v>
      </c>
      <c r="N72" s="78">
        <v>781</v>
      </c>
    </row>
    <row r="73" spans="2:14">
      <c r="B73" s="5">
        <v>1233386</v>
      </c>
      <c r="C73" s="9">
        <v>0</v>
      </c>
      <c r="D73" s="9">
        <v>0</v>
      </c>
      <c r="E73" s="9">
        <v>576</v>
      </c>
      <c r="F73" s="9">
        <v>0</v>
      </c>
      <c r="G73" s="9">
        <v>0</v>
      </c>
      <c r="H73" s="9">
        <v>0</v>
      </c>
      <c r="I73" s="9">
        <v>0</v>
      </c>
      <c r="J73" s="9">
        <v>512</v>
      </c>
      <c r="K73" s="9">
        <v>0</v>
      </c>
      <c r="L73" s="9">
        <v>0</v>
      </c>
      <c r="N73" s="78">
        <v>1088</v>
      </c>
    </row>
    <row r="74" spans="2:14">
      <c r="B74" s="5">
        <v>1233387</v>
      </c>
      <c r="C74" s="9">
        <v>900</v>
      </c>
      <c r="D74" s="9">
        <v>0</v>
      </c>
      <c r="E74" s="9">
        <v>0</v>
      </c>
      <c r="F74" s="9">
        <v>576</v>
      </c>
      <c r="G74" s="9">
        <v>0</v>
      </c>
      <c r="H74" s="9">
        <v>0</v>
      </c>
      <c r="I74" s="9">
        <v>0</v>
      </c>
      <c r="J74" s="9">
        <v>437</v>
      </c>
      <c r="K74" s="9">
        <v>0</v>
      </c>
      <c r="L74" s="9">
        <v>0</v>
      </c>
      <c r="N74" s="78">
        <v>1913</v>
      </c>
    </row>
    <row r="75" spans="2:14">
      <c r="B75" s="5">
        <v>1233580</v>
      </c>
      <c r="C75" s="9">
        <v>0</v>
      </c>
      <c r="D75" s="9">
        <v>0</v>
      </c>
      <c r="E75" s="9">
        <v>0</v>
      </c>
      <c r="F75" s="9">
        <v>50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N75" s="78">
        <v>50</v>
      </c>
    </row>
    <row r="76" spans="2:14">
      <c r="B76" s="5">
        <v>1233587</v>
      </c>
      <c r="C76" s="9">
        <v>10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5</v>
      </c>
      <c r="N76" s="78">
        <v>15</v>
      </c>
    </row>
    <row r="77" spans="2:14">
      <c r="B77" s="5">
        <v>1234110</v>
      </c>
      <c r="C77" s="9">
        <v>0</v>
      </c>
      <c r="D77" s="9">
        <v>0</v>
      </c>
      <c r="E77" s="9">
        <v>0</v>
      </c>
      <c r="F77" s="9">
        <v>170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N77" s="78">
        <v>170</v>
      </c>
    </row>
    <row r="78" spans="2:14">
      <c r="B78" s="5">
        <v>1234111</v>
      </c>
      <c r="C78" s="9">
        <v>0</v>
      </c>
      <c r="D78" s="9">
        <v>0</v>
      </c>
      <c r="E78" s="9">
        <v>0</v>
      </c>
      <c r="F78" s="9">
        <v>170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N78" s="78">
        <v>170</v>
      </c>
    </row>
    <row r="79" spans="2:14">
      <c r="B79" s="5">
        <v>1234217</v>
      </c>
      <c r="C79" s="9">
        <v>0</v>
      </c>
      <c r="D79" s="9">
        <v>0</v>
      </c>
      <c r="E79" s="9">
        <v>0</v>
      </c>
      <c r="F79" s="9">
        <v>170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N79" s="78">
        <v>170</v>
      </c>
    </row>
    <row r="80" spans="2:14">
      <c r="B80" s="5">
        <v>1234222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868</v>
      </c>
      <c r="I80" s="9">
        <v>0</v>
      </c>
      <c r="J80" s="9">
        <v>0</v>
      </c>
      <c r="K80" s="9">
        <v>0</v>
      </c>
      <c r="L80" s="9">
        <v>777</v>
      </c>
      <c r="N80" s="78">
        <v>1645</v>
      </c>
    </row>
    <row r="81" spans="2:14" s="58" customFormat="1">
      <c r="B81" s="58">
        <v>1234614</v>
      </c>
      <c r="C81" s="18">
        <v>468</v>
      </c>
      <c r="D81" s="18">
        <v>216</v>
      </c>
      <c r="E81" s="18">
        <v>216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432</v>
      </c>
      <c r="N81" s="254">
        <v>1332</v>
      </c>
    </row>
    <row r="82" spans="2:14">
      <c r="B82" s="5">
        <v>1234905</v>
      </c>
      <c r="C82" s="9">
        <v>2277</v>
      </c>
      <c r="D82" s="9">
        <v>550</v>
      </c>
      <c r="E82" s="9">
        <v>950</v>
      </c>
      <c r="F82" s="9">
        <v>300</v>
      </c>
      <c r="G82" s="9">
        <v>450</v>
      </c>
      <c r="H82" s="9">
        <v>750</v>
      </c>
      <c r="I82" s="9">
        <v>750</v>
      </c>
      <c r="J82" s="9">
        <v>850</v>
      </c>
      <c r="K82" s="9">
        <v>950</v>
      </c>
      <c r="L82" s="9">
        <v>550</v>
      </c>
      <c r="N82" s="78">
        <v>8377</v>
      </c>
    </row>
    <row r="83" spans="2:14">
      <c r="B83" s="5">
        <v>1235097</v>
      </c>
      <c r="C83" s="9">
        <v>400</v>
      </c>
      <c r="D83" s="9">
        <v>0</v>
      </c>
      <c r="E83" s="9">
        <v>321</v>
      </c>
      <c r="F83" s="9">
        <v>0</v>
      </c>
      <c r="G83" s="9">
        <v>0</v>
      </c>
      <c r="H83" s="9">
        <v>374</v>
      </c>
      <c r="I83" s="9">
        <v>300</v>
      </c>
      <c r="J83" s="9">
        <v>300</v>
      </c>
      <c r="K83" s="9">
        <v>500</v>
      </c>
      <c r="L83" s="9">
        <v>300</v>
      </c>
      <c r="N83" s="78">
        <v>2495</v>
      </c>
    </row>
    <row r="84" spans="2:14">
      <c r="B84" s="5">
        <v>1235845</v>
      </c>
      <c r="C84" s="9">
        <v>2042</v>
      </c>
      <c r="D84" s="9">
        <v>0</v>
      </c>
      <c r="E84" s="9">
        <v>0</v>
      </c>
      <c r="F84" s="9">
        <v>0</v>
      </c>
      <c r="G84" s="9">
        <v>0</v>
      </c>
      <c r="H84" s="9">
        <v>359</v>
      </c>
      <c r="I84" s="9">
        <v>0</v>
      </c>
      <c r="J84" s="9">
        <v>0</v>
      </c>
      <c r="K84" s="9">
        <v>0</v>
      </c>
      <c r="L84" s="9">
        <v>547</v>
      </c>
      <c r="N84" s="78">
        <v>2948</v>
      </c>
    </row>
    <row r="85" spans="2:14">
      <c r="B85" s="5">
        <v>1235958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5</v>
      </c>
      <c r="N85" s="78">
        <v>5</v>
      </c>
    </row>
    <row r="86" spans="2:14">
      <c r="B86" s="5">
        <v>1236387</v>
      </c>
      <c r="C86" s="9">
        <v>0</v>
      </c>
      <c r="D86" s="9">
        <v>0</v>
      </c>
      <c r="E86" s="9">
        <v>0</v>
      </c>
      <c r="F86" s="9">
        <v>600</v>
      </c>
      <c r="G86" s="9">
        <v>400</v>
      </c>
      <c r="H86" s="9">
        <v>500</v>
      </c>
      <c r="I86" s="9">
        <v>0</v>
      </c>
      <c r="J86" s="9">
        <v>510</v>
      </c>
      <c r="K86" s="9">
        <v>0</v>
      </c>
      <c r="L86" s="9">
        <v>0</v>
      </c>
      <c r="N86" s="78">
        <v>2010</v>
      </c>
    </row>
    <row r="87" spans="2:14">
      <c r="B87" s="5">
        <v>1236600</v>
      </c>
      <c r="C87" s="9">
        <v>0</v>
      </c>
      <c r="D87" s="9">
        <v>0</v>
      </c>
      <c r="E87" s="9">
        <v>0</v>
      </c>
      <c r="F87" s="9">
        <v>0</v>
      </c>
      <c r="G87" s="9">
        <v>913</v>
      </c>
      <c r="H87" s="9">
        <v>0</v>
      </c>
      <c r="I87" s="9">
        <v>0</v>
      </c>
      <c r="J87" s="9">
        <v>0</v>
      </c>
      <c r="K87" s="9">
        <v>873</v>
      </c>
      <c r="L87" s="9">
        <v>100</v>
      </c>
      <c r="N87" s="78">
        <v>1886</v>
      </c>
    </row>
    <row r="88" spans="2:14">
      <c r="B88" s="5">
        <v>1236601</v>
      </c>
      <c r="C88" s="9">
        <v>0</v>
      </c>
      <c r="D88" s="9">
        <v>0</v>
      </c>
      <c r="E88" s="9">
        <v>0</v>
      </c>
      <c r="F88" s="9">
        <v>0</v>
      </c>
      <c r="G88" s="9">
        <v>105</v>
      </c>
      <c r="H88" s="9">
        <v>0</v>
      </c>
      <c r="I88" s="9">
        <v>0</v>
      </c>
      <c r="J88" s="9">
        <v>0</v>
      </c>
      <c r="K88" s="9">
        <v>100</v>
      </c>
      <c r="L88" s="9">
        <v>0</v>
      </c>
      <c r="N88" s="78">
        <v>205</v>
      </c>
    </row>
    <row r="89" spans="2:14">
      <c r="B89" s="5">
        <v>1236930</v>
      </c>
      <c r="C89" s="9">
        <v>1750</v>
      </c>
      <c r="D89" s="9">
        <v>1454</v>
      </c>
      <c r="E89" s="9">
        <v>318</v>
      </c>
      <c r="F89" s="9">
        <v>2070</v>
      </c>
      <c r="G89" s="9">
        <v>800</v>
      </c>
      <c r="H89" s="9">
        <v>1572</v>
      </c>
      <c r="I89" s="9">
        <v>850</v>
      </c>
      <c r="J89" s="9">
        <v>2628</v>
      </c>
      <c r="K89" s="9">
        <v>1300</v>
      </c>
      <c r="L89" s="9">
        <v>1654</v>
      </c>
      <c r="N89" s="78">
        <v>14396</v>
      </c>
    </row>
    <row r="90" spans="2:14">
      <c r="B90" s="5">
        <v>1237210</v>
      </c>
      <c r="C90" s="9">
        <v>195</v>
      </c>
      <c r="D90" s="9">
        <v>0</v>
      </c>
      <c r="E90" s="9">
        <v>160</v>
      </c>
      <c r="F90" s="9">
        <v>0</v>
      </c>
      <c r="G90" s="9">
        <v>0</v>
      </c>
      <c r="H90" s="9">
        <v>375</v>
      </c>
      <c r="I90" s="9">
        <v>160</v>
      </c>
      <c r="J90" s="9">
        <v>160</v>
      </c>
      <c r="K90" s="9">
        <v>0</v>
      </c>
      <c r="L90" s="9">
        <v>0</v>
      </c>
      <c r="N90" s="78">
        <v>1050</v>
      </c>
    </row>
    <row r="91" spans="2:14">
      <c r="B91" s="5">
        <v>1237468</v>
      </c>
      <c r="C91" s="9">
        <v>34</v>
      </c>
      <c r="D91" s="9">
        <v>0</v>
      </c>
      <c r="E91" s="9">
        <v>0</v>
      </c>
      <c r="F91" s="9">
        <v>216</v>
      </c>
      <c r="G91" s="9">
        <v>82</v>
      </c>
      <c r="H91" s="9">
        <v>0</v>
      </c>
      <c r="I91" s="9">
        <v>0</v>
      </c>
      <c r="J91" s="9">
        <v>0</v>
      </c>
      <c r="K91" s="9">
        <v>79</v>
      </c>
      <c r="L91" s="9">
        <v>216</v>
      </c>
      <c r="N91" s="78">
        <v>627</v>
      </c>
    </row>
    <row r="92" spans="2:14">
      <c r="B92" s="5">
        <v>1238092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144</v>
      </c>
      <c r="N92" s="78">
        <v>144</v>
      </c>
    </row>
    <row r="93" spans="2:14">
      <c r="B93" s="5">
        <v>1238453</v>
      </c>
      <c r="C93" s="9">
        <v>191</v>
      </c>
      <c r="D93" s="9">
        <v>0</v>
      </c>
      <c r="E93" s="9">
        <v>0</v>
      </c>
      <c r="F93" s="9">
        <v>0</v>
      </c>
      <c r="G93" s="9">
        <v>190</v>
      </c>
      <c r="H93" s="9">
        <v>0</v>
      </c>
      <c r="I93" s="9">
        <v>0</v>
      </c>
      <c r="J93" s="9">
        <v>0</v>
      </c>
      <c r="K93" s="9">
        <v>175</v>
      </c>
      <c r="L93" s="9">
        <v>0</v>
      </c>
      <c r="N93" s="78">
        <v>556</v>
      </c>
    </row>
    <row r="94" spans="2:14">
      <c r="B94" s="5">
        <v>1238480</v>
      </c>
      <c r="C94" s="9">
        <v>2994</v>
      </c>
      <c r="D94" s="9">
        <v>4854</v>
      </c>
      <c r="E94" s="9">
        <v>5997</v>
      </c>
      <c r="F94" s="9">
        <v>5255</v>
      </c>
      <c r="G94" s="9">
        <v>3790</v>
      </c>
      <c r="H94" s="9">
        <v>4439</v>
      </c>
      <c r="I94" s="9">
        <v>3485</v>
      </c>
      <c r="J94" s="9">
        <v>4842</v>
      </c>
      <c r="K94" s="9">
        <v>2000</v>
      </c>
      <c r="L94" s="9">
        <v>5559</v>
      </c>
      <c r="N94" s="78">
        <v>43215</v>
      </c>
    </row>
    <row r="95" spans="2:14">
      <c r="B95" s="5">
        <v>1238605</v>
      </c>
      <c r="C95" s="9">
        <v>0</v>
      </c>
      <c r="D95" s="9">
        <v>0</v>
      </c>
      <c r="E95" s="9">
        <v>0</v>
      </c>
      <c r="F95" s="9">
        <v>626</v>
      </c>
      <c r="G95" s="9">
        <v>0</v>
      </c>
      <c r="H95" s="9">
        <v>0</v>
      </c>
      <c r="I95" s="9">
        <v>0</v>
      </c>
      <c r="J95" s="9">
        <v>0</v>
      </c>
      <c r="K95" s="9">
        <v>700</v>
      </c>
      <c r="L95" s="9">
        <v>0</v>
      </c>
      <c r="N95" s="78">
        <v>1326</v>
      </c>
    </row>
    <row r="96" spans="2:14">
      <c r="B96" s="5">
        <v>1240180</v>
      </c>
      <c r="C96" s="9">
        <v>300</v>
      </c>
      <c r="D96" s="9">
        <v>0</v>
      </c>
      <c r="E96" s="9">
        <v>0</v>
      </c>
      <c r="F96" s="9">
        <v>150</v>
      </c>
      <c r="G96" s="9">
        <v>200</v>
      </c>
      <c r="H96" s="9">
        <v>0</v>
      </c>
      <c r="I96" s="9">
        <v>0</v>
      </c>
      <c r="J96" s="9">
        <v>948</v>
      </c>
      <c r="K96" s="9">
        <v>650</v>
      </c>
      <c r="L96" s="9">
        <v>0</v>
      </c>
      <c r="N96" s="78">
        <v>2248</v>
      </c>
    </row>
    <row r="97" spans="2:14">
      <c r="B97" s="5">
        <v>1240184</v>
      </c>
      <c r="C97" s="9">
        <v>300</v>
      </c>
      <c r="D97" s="9">
        <v>0</v>
      </c>
      <c r="E97" s="9">
        <v>0</v>
      </c>
      <c r="F97" s="9">
        <v>150</v>
      </c>
      <c r="G97" s="9">
        <v>200</v>
      </c>
      <c r="H97" s="9">
        <v>0</v>
      </c>
      <c r="I97" s="9">
        <v>0</v>
      </c>
      <c r="J97" s="9">
        <v>948</v>
      </c>
      <c r="K97" s="9">
        <v>650</v>
      </c>
      <c r="L97" s="9">
        <v>0</v>
      </c>
      <c r="N97" s="78">
        <v>2248</v>
      </c>
    </row>
    <row r="98" spans="2:14">
      <c r="B98" s="5">
        <v>1241343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20</v>
      </c>
      <c r="J98" s="9">
        <v>0</v>
      </c>
      <c r="K98" s="9">
        <v>0</v>
      </c>
      <c r="L98" s="9">
        <v>0</v>
      </c>
      <c r="N98" s="78">
        <v>20</v>
      </c>
    </row>
    <row r="99" spans="2:14">
      <c r="B99" s="5">
        <v>1241347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20</v>
      </c>
      <c r="J99" s="9">
        <v>0</v>
      </c>
      <c r="K99" s="9">
        <v>0</v>
      </c>
      <c r="L99" s="9">
        <v>0</v>
      </c>
      <c r="N99" s="78">
        <v>20</v>
      </c>
    </row>
    <row r="100" spans="2:14">
      <c r="B100" s="5">
        <v>1241387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151</v>
      </c>
      <c r="J100" s="9">
        <v>0</v>
      </c>
      <c r="K100" s="9">
        <v>0</v>
      </c>
      <c r="L100" s="9">
        <v>0</v>
      </c>
      <c r="N100" s="78">
        <v>151</v>
      </c>
    </row>
    <row r="101" spans="2:14">
      <c r="B101" s="5">
        <v>1241474</v>
      </c>
      <c r="C101" s="9">
        <v>0</v>
      </c>
      <c r="D101" s="9">
        <v>37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N101" s="78">
        <v>37</v>
      </c>
    </row>
    <row r="102" spans="2:14">
      <c r="B102" s="5">
        <v>1241480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26</v>
      </c>
      <c r="J102" s="9">
        <v>0</v>
      </c>
      <c r="K102" s="9">
        <v>0</v>
      </c>
      <c r="L102" s="9">
        <v>0</v>
      </c>
      <c r="N102" s="78">
        <v>26</v>
      </c>
    </row>
  </sheetData>
  <mergeCells count="4">
    <mergeCell ref="A7:A8"/>
    <mergeCell ref="B7:B8"/>
    <mergeCell ref="A42:A43"/>
    <mergeCell ref="B42:B43"/>
  </mergeCells>
  <phoneticPr fontId="1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0153-1FFC-4C1B-B5A7-86082B49CCA8}">
  <dimension ref="A1:S59"/>
  <sheetViews>
    <sheetView zoomScale="145" zoomScaleNormal="145" workbookViewId="0">
      <selection activeCell="A27" sqref="A27:XFD27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8" width="9.5" style="9" customWidth="1"/>
    <col min="19" max="19" width="9.5" style="9" bestFit="1" customWidth="1"/>
    <col min="20" max="16384" width="9.33203125" style="5"/>
  </cols>
  <sheetData>
    <row r="1" spans="1:19">
      <c r="A1" s="19" t="s">
        <v>0</v>
      </c>
      <c r="B1" s="9" t="s">
        <v>1041</v>
      </c>
      <c r="C1" s="9" t="s">
        <v>1042</v>
      </c>
      <c r="D1" s="9" t="s">
        <v>1043</v>
      </c>
      <c r="E1" s="9" t="s">
        <v>1044</v>
      </c>
      <c r="F1" s="9" t="s">
        <v>1082</v>
      </c>
      <c r="G1" s="18" t="s">
        <v>1083</v>
      </c>
      <c r="H1" s="9" t="s">
        <v>1084</v>
      </c>
      <c r="I1" s="9" t="s">
        <v>1085</v>
      </c>
      <c r="J1" s="9" t="s">
        <v>1086</v>
      </c>
      <c r="K1" s="9" t="s">
        <v>1087</v>
      </c>
      <c r="L1" s="9" t="s">
        <v>1088</v>
      </c>
      <c r="M1" s="9" t="s">
        <v>1145</v>
      </c>
      <c r="N1" s="9" t="s">
        <v>1146</v>
      </c>
      <c r="O1" s="9" t="s">
        <v>1147</v>
      </c>
      <c r="P1" s="9" t="s">
        <v>1148</v>
      </c>
      <c r="Q1" s="9" t="s">
        <v>1149</v>
      </c>
      <c r="R1" s="9" t="s">
        <v>1150</v>
      </c>
      <c r="S1" s="9" t="s">
        <v>1151</v>
      </c>
    </row>
    <row r="2" spans="1:19">
      <c r="A2" s="19">
        <v>1229673</v>
      </c>
      <c r="B2" s="9">
        <v>252</v>
      </c>
      <c r="C2" s="9">
        <v>0</v>
      </c>
      <c r="D2" s="9">
        <v>0</v>
      </c>
      <c r="E2" s="9">
        <v>0</v>
      </c>
      <c r="F2" s="9">
        <v>250</v>
      </c>
      <c r="G2" s="18">
        <v>250</v>
      </c>
      <c r="H2" s="9">
        <v>250</v>
      </c>
      <c r="I2" s="9">
        <v>250</v>
      </c>
      <c r="J2" s="9">
        <v>300</v>
      </c>
      <c r="K2" s="9">
        <v>0</v>
      </c>
      <c r="L2" s="9">
        <v>0</v>
      </c>
      <c r="M2" s="9">
        <v>300</v>
      </c>
      <c r="N2" s="9">
        <v>300</v>
      </c>
      <c r="O2" s="9">
        <v>300</v>
      </c>
      <c r="P2" s="9">
        <v>300</v>
      </c>
      <c r="Q2" s="9">
        <v>300</v>
      </c>
      <c r="R2" s="9">
        <v>0</v>
      </c>
      <c r="S2" s="9">
        <v>0</v>
      </c>
    </row>
    <row r="3" spans="1:19">
      <c r="A3" s="19">
        <v>1230854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200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100</v>
      </c>
      <c r="R3" s="9">
        <v>0</v>
      </c>
      <c r="S3" s="9">
        <v>0</v>
      </c>
    </row>
    <row r="4" spans="1:19">
      <c r="A4" s="19">
        <v>1237088</v>
      </c>
      <c r="B4" s="9">
        <v>202</v>
      </c>
      <c r="C4" s="9">
        <v>870</v>
      </c>
      <c r="D4" s="9">
        <v>0</v>
      </c>
      <c r="E4" s="9">
        <v>0</v>
      </c>
      <c r="F4" s="9">
        <v>650</v>
      </c>
      <c r="G4" s="18">
        <v>804</v>
      </c>
      <c r="H4" s="9">
        <v>518</v>
      </c>
      <c r="I4" s="9">
        <v>746</v>
      </c>
      <c r="J4" s="9">
        <v>418</v>
      </c>
      <c r="K4" s="9">
        <v>0</v>
      </c>
      <c r="L4" s="9">
        <v>0</v>
      </c>
      <c r="M4" s="9">
        <v>436</v>
      </c>
      <c r="N4" s="9">
        <v>158</v>
      </c>
      <c r="O4" s="9">
        <v>626</v>
      </c>
      <c r="P4" s="9">
        <v>466</v>
      </c>
      <c r="Q4" s="9">
        <v>230</v>
      </c>
      <c r="R4" s="9">
        <v>0</v>
      </c>
      <c r="S4" s="9">
        <v>0</v>
      </c>
    </row>
    <row r="5" spans="1:19">
      <c r="A5" s="19">
        <v>1236091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200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300</v>
      </c>
      <c r="Q5" s="9">
        <v>0</v>
      </c>
      <c r="R5" s="9">
        <v>0</v>
      </c>
      <c r="S5" s="9">
        <v>0</v>
      </c>
    </row>
    <row r="6" spans="1:19">
      <c r="A6" s="19">
        <v>1238128</v>
      </c>
      <c r="B6" s="9">
        <v>464</v>
      </c>
      <c r="C6" s="9">
        <v>464</v>
      </c>
      <c r="D6" s="9">
        <v>0</v>
      </c>
      <c r="E6" s="9">
        <v>0</v>
      </c>
      <c r="F6" s="9">
        <v>590</v>
      </c>
      <c r="G6" s="18">
        <v>838</v>
      </c>
      <c r="H6" s="9">
        <v>464</v>
      </c>
      <c r="I6" s="9">
        <v>882</v>
      </c>
      <c r="J6" s="9">
        <v>464</v>
      </c>
      <c r="K6" s="9">
        <v>0</v>
      </c>
      <c r="L6" s="9">
        <v>0</v>
      </c>
      <c r="M6" s="9">
        <v>464</v>
      </c>
      <c r="N6" s="9">
        <v>82</v>
      </c>
      <c r="O6" s="9">
        <v>0</v>
      </c>
      <c r="P6" s="9">
        <v>0</v>
      </c>
      <c r="Q6" s="9">
        <v>0</v>
      </c>
      <c r="R6" s="9">
        <v>0</v>
      </c>
      <c r="S6" s="9">
        <v>0</v>
      </c>
    </row>
    <row r="7" spans="1:19">
      <c r="A7" s="19">
        <v>1236962</v>
      </c>
      <c r="B7" s="9">
        <v>300</v>
      </c>
      <c r="C7" s="9">
        <v>200</v>
      </c>
      <c r="D7" s="9">
        <v>0</v>
      </c>
      <c r="E7" s="9">
        <v>0</v>
      </c>
      <c r="F7" s="9">
        <v>0</v>
      </c>
      <c r="G7" s="18">
        <v>200</v>
      </c>
      <c r="H7" s="9">
        <v>200</v>
      </c>
      <c r="I7" s="9">
        <v>300</v>
      </c>
      <c r="J7" s="9">
        <v>0</v>
      </c>
      <c r="K7" s="9">
        <v>0</v>
      </c>
      <c r="L7" s="9">
        <v>0</v>
      </c>
      <c r="M7" s="9">
        <v>300</v>
      </c>
      <c r="N7" s="9">
        <v>300</v>
      </c>
      <c r="O7" s="9">
        <v>0</v>
      </c>
      <c r="P7" s="9">
        <v>0</v>
      </c>
      <c r="Q7" s="9">
        <v>0</v>
      </c>
      <c r="R7" s="9">
        <v>0</v>
      </c>
      <c r="S7" s="9">
        <v>0</v>
      </c>
    </row>
    <row r="8" spans="1:19">
      <c r="A8" s="19">
        <v>1233761</v>
      </c>
      <c r="B8" s="9">
        <v>0</v>
      </c>
      <c r="C8" s="9">
        <v>0</v>
      </c>
      <c r="D8" s="9">
        <v>0</v>
      </c>
      <c r="E8" s="9">
        <v>0</v>
      </c>
      <c r="F8" s="9">
        <v>200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350</v>
      </c>
      <c r="R8" s="9">
        <v>0</v>
      </c>
      <c r="S8" s="9">
        <v>0</v>
      </c>
    </row>
    <row r="9" spans="1:19">
      <c r="A9" s="19">
        <v>1239651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400</v>
      </c>
      <c r="K9" s="9">
        <v>0</v>
      </c>
      <c r="L9" s="9">
        <v>0</v>
      </c>
      <c r="M9" s="9">
        <v>100</v>
      </c>
      <c r="N9" s="9">
        <v>0</v>
      </c>
      <c r="O9" s="9">
        <v>0</v>
      </c>
      <c r="P9" s="9">
        <v>400</v>
      </c>
      <c r="Q9" s="9">
        <v>0</v>
      </c>
      <c r="R9" s="9">
        <v>0</v>
      </c>
      <c r="S9" s="9">
        <v>0</v>
      </c>
    </row>
    <row r="10" spans="1:19">
      <c r="A10" s="19">
        <v>1239988</v>
      </c>
      <c r="B10" s="9">
        <v>330</v>
      </c>
      <c r="C10" s="9">
        <v>400</v>
      </c>
      <c r="D10" s="9">
        <v>0</v>
      </c>
      <c r="E10" s="9">
        <v>0</v>
      </c>
      <c r="F10" s="9">
        <v>50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</row>
    <row r="11" spans="1:19">
      <c r="A11" s="19">
        <v>1240180</v>
      </c>
      <c r="B11" s="9">
        <v>50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140</v>
      </c>
      <c r="I11" s="9">
        <v>390</v>
      </c>
      <c r="J11" s="9">
        <v>306</v>
      </c>
      <c r="K11" s="9">
        <v>0</v>
      </c>
      <c r="L11" s="9">
        <v>0</v>
      </c>
      <c r="M11" s="9">
        <v>306</v>
      </c>
      <c r="N11" s="9">
        <v>390</v>
      </c>
      <c r="O11" s="9">
        <v>306</v>
      </c>
      <c r="P11" s="9">
        <v>390</v>
      </c>
      <c r="Q11" s="9">
        <v>306</v>
      </c>
      <c r="R11" s="9">
        <v>0</v>
      </c>
      <c r="S11" s="9">
        <v>0</v>
      </c>
    </row>
    <row r="12" spans="1:19">
      <c r="A12" s="19">
        <v>1240184</v>
      </c>
      <c r="B12" s="9">
        <v>50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314</v>
      </c>
      <c r="J12" s="9">
        <v>306</v>
      </c>
      <c r="K12" s="9">
        <v>0</v>
      </c>
      <c r="L12" s="9">
        <v>0</v>
      </c>
      <c r="M12" s="9">
        <v>306</v>
      </c>
      <c r="N12" s="9">
        <v>390</v>
      </c>
      <c r="O12" s="9">
        <v>306</v>
      </c>
      <c r="P12" s="9">
        <v>390</v>
      </c>
      <c r="Q12" s="9">
        <v>306</v>
      </c>
      <c r="R12" s="9">
        <v>0</v>
      </c>
      <c r="S12" s="9">
        <v>0</v>
      </c>
    </row>
    <row r="13" spans="1:19">
      <c r="A13" s="19">
        <v>1240308</v>
      </c>
      <c r="B13" s="9">
        <v>270</v>
      </c>
      <c r="C13" s="9">
        <v>0</v>
      </c>
      <c r="D13" s="9">
        <v>0</v>
      </c>
      <c r="E13" s="9">
        <v>0</v>
      </c>
      <c r="F13" s="9">
        <v>0</v>
      </c>
      <c r="G13" s="18">
        <v>150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350</v>
      </c>
      <c r="O13" s="9">
        <v>0</v>
      </c>
      <c r="P13" s="9">
        <v>0</v>
      </c>
      <c r="Q13" s="9">
        <v>94</v>
      </c>
      <c r="R13" s="9">
        <v>0</v>
      </c>
      <c r="S13" s="9">
        <v>0</v>
      </c>
    </row>
    <row r="14" spans="1:19">
      <c r="A14" s="19">
        <v>1241601</v>
      </c>
      <c r="B14" s="9">
        <v>1500</v>
      </c>
      <c r="C14" s="9">
        <v>1192</v>
      </c>
      <c r="D14" s="9">
        <v>0</v>
      </c>
      <c r="E14" s="9">
        <v>0</v>
      </c>
      <c r="F14" s="9">
        <v>1498</v>
      </c>
      <c r="G14" s="18">
        <v>1048</v>
      </c>
      <c r="H14" s="9">
        <v>1148</v>
      </c>
      <c r="I14" s="9">
        <v>1082</v>
      </c>
      <c r="J14" s="9">
        <v>1188</v>
      </c>
      <c r="K14" s="9">
        <v>0</v>
      </c>
      <c r="L14" s="9">
        <v>0</v>
      </c>
      <c r="M14" s="9">
        <v>1084</v>
      </c>
      <c r="N14" s="9">
        <v>1380</v>
      </c>
      <c r="O14" s="9">
        <v>1502</v>
      </c>
      <c r="P14" s="9">
        <v>1704</v>
      </c>
      <c r="Q14" s="9">
        <v>1112</v>
      </c>
      <c r="R14" s="9">
        <v>0</v>
      </c>
      <c r="S14" s="9">
        <v>0</v>
      </c>
    </row>
    <row r="15" spans="1:19">
      <c r="A15" s="19">
        <v>1242242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18">
        <v>78</v>
      </c>
      <c r="H15" s="9">
        <v>122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8" spans="1:19">
      <c r="A18" s="19" t="s">
        <v>0</v>
      </c>
      <c r="B18" s="9" t="s">
        <v>1041</v>
      </c>
      <c r="C18" s="9" t="s">
        <v>1042</v>
      </c>
      <c r="D18" s="9" t="s">
        <v>1043</v>
      </c>
      <c r="E18" s="9" t="s">
        <v>1044</v>
      </c>
      <c r="F18" s="9" t="s">
        <v>1082</v>
      </c>
      <c r="G18" s="9" t="s">
        <v>1083</v>
      </c>
      <c r="H18" s="9" t="s">
        <v>1084</v>
      </c>
      <c r="I18" s="9" t="s">
        <v>1085</v>
      </c>
      <c r="J18" s="9" t="s">
        <v>1086</v>
      </c>
      <c r="K18" s="9" t="s">
        <v>1087</v>
      </c>
      <c r="L18" s="9" t="s">
        <v>1088</v>
      </c>
      <c r="M18" s="9" t="s">
        <v>1145</v>
      </c>
      <c r="N18" s="9" t="s">
        <v>1146</v>
      </c>
      <c r="O18" s="9" t="s">
        <v>1147</v>
      </c>
      <c r="P18" s="9" t="s">
        <v>1148</v>
      </c>
      <c r="Q18" s="9" t="s">
        <v>1149</v>
      </c>
      <c r="R18" s="9" t="s">
        <v>1150</v>
      </c>
      <c r="S18" s="9" t="s">
        <v>1151</v>
      </c>
    </row>
    <row r="19" spans="1:19">
      <c r="A19" s="19">
        <v>1237608</v>
      </c>
      <c r="B19" s="9">
        <v>0</v>
      </c>
      <c r="C19" s="9">
        <v>0</v>
      </c>
      <c r="D19" s="9">
        <v>0</v>
      </c>
      <c r="E19" s="9">
        <v>0</v>
      </c>
      <c r="F19" s="9">
        <v>300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</row>
    <row r="20" spans="1:19">
      <c r="A20" s="19">
        <v>1236387</v>
      </c>
      <c r="B20" s="9">
        <v>0</v>
      </c>
      <c r="C20" s="9">
        <v>0</v>
      </c>
      <c r="D20" s="9">
        <v>0</v>
      </c>
      <c r="E20" s="9">
        <v>0</v>
      </c>
      <c r="F20" s="9">
        <v>238</v>
      </c>
      <c r="G20" s="9">
        <v>357</v>
      </c>
      <c r="H20" s="18">
        <v>357</v>
      </c>
      <c r="I20" s="18">
        <v>255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</row>
    <row r="21" spans="1:19">
      <c r="A21" s="19">
        <v>1232775</v>
      </c>
      <c r="B21" s="9">
        <v>242</v>
      </c>
      <c r="C21" s="9">
        <v>242</v>
      </c>
      <c r="D21" s="9">
        <v>0</v>
      </c>
      <c r="E21" s="9">
        <v>0</v>
      </c>
      <c r="F21" s="9">
        <v>242</v>
      </c>
      <c r="G21" s="9">
        <v>242</v>
      </c>
      <c r="H21" s="18">
        <v>242</v>
      </c>
      <c r="I21" s="18">
        <v>245</v>
      </c>
      <c r="J21" s="9">
        <v>242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159</v>
      </c>
      <c r="Q21" s="9">
        <v>484</v>
      </c>
      <c r="R21" s="9">
        <v>0</v>
      </c>
      <c r="S21" s="9">
        <v>0</v>
      </c>
    </row>
    <row r="22" spans="1:19">
      <c r="A22" s="19">
        <v>1238605</v>
      </c>
      <c r="B22" s="9">
        <v>190</v>
      </c>
      <c r="C22" s="9">
        <v>190</v>
      </c>
      <c r="D22" s="9">
        <v>0</v>
      </c>
      <c r="E22" s="9">
        <v>0</v>
      </c>
      <c r="F22" s="9">
        <v>40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175</v>
      </c>
      <c r="N22" s="9">
        <v>190</v>
      </c>
      <c r="O22" s="9">
        <v>187</v>
      </c>
      <c r="P22" s="9">
        <v>58</v>
      </c>
      <c r="Q22" s="9">
        <v>0</v>
      </c>
      <c r="R22" s="9">
        <v>0</v>
      </c>
      <c r="S22" s="9">
        <v>0</v>
      </c>
    </row>
    <row r="25" spans="1:19">
      <c r="A25" s="19" t="s">
        <v>0</v>
      </c>
      <c r="B25" s="9" t="s">
        <v>1041</v>
      </c>
      <c r="C25" s="9" t="s">
        <v>1042</v>
      </c>
      <c r="D25" s="9" t="s">
        <v>1043</v>
      </c>
      <c r="E25" s="9" t="s">
        <v>1044</v>
      </c>
      <c r="F25" s="9" t="s">
        <v>1082</v>
      </c>
      <c r="G25" s="9" t="s">
        <v>1083</v>
      </c>
      <c r="H25" s="9" t="s">
        <v>1084</v>
      </c>
      <c r="I25" s="9" t="s">
        <v>1085</v>
      </c>
      <c r="J25" s="9" t="s">
        <v>1086</v>
      </c>
      <c r="K25" s="9" t="s">
        <v>1087</v>
      </c>
      <c r="L25" s="9" t="s">
        <v>1088</v>
      </c>
      <c r="M25" s="9" t="s">
        <v>1145</v>
      </c>
      <c r="N25" s="9" t="s">
        <v>1146</v>
      </c>
      <c r="O25" s="9" t="s">
        <v>1147</v>
      </c>
      <c r="P25" s="9" t="s">
        <v>1148</v>
      </c>
      <c r="Q25" s="9" t="s">
        <v>1149</v>
      </c>
      <c r="R25" s="9" t="s">
        <v>1150</v>
      </c>
      <c r="S25" s="9" t="s">
        <v>1151</v>
      </c>
    </row>
    <row r="26" spans="1:19">
      <c r="A26" s="19">
        <v>1227306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323</v>
      </c>
      <c r="H26" s="18">
        <v>267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546</v>
      </c>
      <c r="O26" s="9">
        <v>200</v>
      </c>
      <c r="P26" s="9">
        <v>0</v>
      </c>
      <c r="Q26" s="9">
        <v>100</v>
      </c>
      <c r="R26" s="9">
        <v>0</v>
      </c>
      <c r="S26" s="9">
        <v>0</v>
      </c>
    </row>
    <row r="27" spans="1:19">
      <c r="A27" s="19">
        <v>1231090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90</v>
      </c>
      <c r="I27" s="9">
        <v>150</v>
      </c>
      <c r="J27" s="9">
        <v>0</v>
      </c>
      <c r="K27" s="9">
        <v>0</v>
      </c>
      <c r="L27" s="9">
        <v>0</v>
      </c>
      <c r="M27" s="9">
        <v>0</v>
      </c>
      <c r="N27" s="9">
        <v>542</v>
      </c>
      <c r="O27" s="9">
        <v>0</v>
      </c>
      <c r="P27" s="9">
        <v>0</v>
      </c>
      <c r="Q27" s="9">
        <v>1360</v>
      </c>
      <c r="R27" s="9">
        <v>0</v>
      </c>
      <c r="S27" s="9">
        <v>0</v>
      </c>
    </row>
    <row r="28" spans="1:19">
      <c r="A28" s="19">
        <v>1229776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90</v>
      </c>
      <c r="I28" s="9">
        <v>150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280</v>
      </c>
      <c r="R28" s="9">
        <v>0</v>
      </c>
      <c r="S28" s="9">
        <v>0</v>
      </c>
    </row>
    <row r="29" spans="1:19">
      <c r="A29" s="19">
        <v>1225464</v>
      </c>
      <c r="B29" s="9">
        <v>0</v>
      </c>
      <c r="C29" s="9">
        <v>0</v>
      </c>
      <c r="D29" s="9">
        <v>0</v>
      </c>
      <c r="E29" s="9">
        <v>0</v>
      </c>
      <c r="F29" s="9">
        <v>252</v>
      </c>
      <c r="G29" s="18">
        <v>654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</row>
    <row r="30" spans="1:19">
      <c r="A30" s="19">
        <v>1231797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35</v>
      </c>
      <c r="R30" s="9">
        <v>0</v>
      </c>
      <c r="S30" s="9">
        <v>0</v>
      </c>
    </row>
    <row r="31" spans="1:19">
      <c r="A31" s="19">
        <v>1229088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5</v>
      </c>
      <c r="R31" s="9">
        <v>0</v>
      </c>
      <c r="S31" s="9">
        <v>0</v>
      </c>
    </row>
    <row r="32" spans="1:19">
      <c r="A32" s="19">
        <v>1234222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670</v>
      </c>
      <c r="N32" s="9">
        <v>390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</row>
    <row r="33" spans="1:19">
      <c r="A33" s="19">
        <v>1232528</v>
      </c>
      <c r="B33" s="9">
        <v>1372</v>
      </c>
      <c r="C33" s="9">
        <v>1078</v>
      </c>
      <c r="D33" s="9">
        <v>0</v>
      </c>
      <c r="E33" s="9">
        <v>0</v>
      </c>
      <c r="F33" s="9">
        <v>891</v>
      </c>
      <c r="G33" s="18">
        <v>1246</v>
      </c>
      <c r="H33" s="9">
        <v>923</v>
      </c>
      <c r="I33" s="9">
        <v>574</v>
      </c>
      <c r="J33" s="9">
        <v>440</v>
      </c>
      <c r="K33" s="9">
        <v>0</v>
      </c>
      <c r="L33" s="9">
        <v>0</v>
      </c>
      <c r="M33" s="9">
        <v>464</v>
      </c>
      <c r="N33" s="9">
        <v>686</v>
      </c>
      <c r="O33" s="9">
        <v>990</v>
      </c>
      <c r="P33" s="9">
        <v>1246</v>
      </c>
      <c r="Q33" s="9">
        <v>5431</v>
      </c>
      <c r="R33" s="9">
        <v>0</v>
      </c>
      <c r="S33" s="9">
        <v>0</v>
      </c>
    </row>
    <row r="34" spans="1:19">
      <c r="A34" s="19">
        <v>1232846</v>
      </c>
      <c r="B34" s="9">
        <v>369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608</v>
      </c>
      <c r="Q34" s="9">
        <v>2163</v>
      </c>
      <c r="R34" s="9">
        <v>0</v>
      </c>
      <c r="S34" s="9">
        <v>0</v>
      </c>
    </row>
    <row r="35" spans="1:19">
      <c r="A35" s="19">
        <v>1233383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101</v>
      </c>
      <c r="I35" s="9">
        <v>117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spans="1:19">
      <c r="A36" s="19">
        <v>1220847</v>
      </c>
      <c r="B36" s="9">
        <v>0</v>
      </c>
      <c r="C36" s="9">
        <v>0</v>
      </c>
      <c r="D36" s="9">
        <v>0</v>
      </c>
      <c r="E36" s="9">
        <v>0</v>
      </c>
      <c r="F36" s="98">
        <v>213</v>
      </c>
      <c r="G36" s="98">
        <v>27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5250</v>
      </c>
      <c r="R36" s="9">
        <v>0</v>
      </c>
      <c r="S36" s="9">
        <v>0</v>
      </c>
    </row>
    <row r="37" spans="1:19">
      <c r="A37" s="19">
        <v>1235097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200</v>
      </c>
      <c r="P37" s="9">
        <v>200</v>
      </c>
      <c r="Q37" s="9">
        <v>0</v>
      </c>
      <c r="R37" s="9">
        <v>0</v>
      </c>
      <c r="S37" s="9">
        <v>0</v>
      </c>
    </row>
    <row r="38" spans="1:19">
      <c r="A38" s="19">
        <v>1236600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420</v>
      </c>
      <c r="P38" s="9">
        <v>540</v>
      </c>
      <c r="Q38" s="9">
        <v>39</v>
      </c>
      <c r="R38" s="9">
        <v>0</v>
      </c>
      <c r="S38" s="9">
        <v>0</v>
      </c>
    </row>
    <row r="39" spans="1:19">
      <c r="A39" s="19">
        <v>1236601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143</v>
      </c>
      <c r="R39" s="9">
        <v>0</v>
      </c>
      <c r="S39" s="9">
        <v>0</v>
      </c>
    </row>
    <row r="40" spans="1:19">
      <c r="A40" s="19">
        <v>1236619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90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19">
        <v>1236930</v>
      </c>
      <c r="B41" s="9">
        <v>339</v>
      </c>
      <c r="C41" s="9">
        <v>267</v>
      </c>
      <c r="D41" s="9">
        <v>0</v>
      </c>
      <c r="E41" s="9">
        <v>0</v>
      </c>
      <c r="F41" s="9">
        <v>267</v>
      </c>
      <c r="G41" s="9">
        <v>321</v>
      </c>
      <c r="H41" s="18">
        <v>240</v>
      </c>
      <c r="I41" s="9">
        <v>396</v>
      </c>
      <c r="J41" s="9">
        <v>509</v>
      </c>
      <c r="K41" s="9">
        <v>0</v>
      </c>
      <c r="L41" s="9">
        <v>0</v>
      </c>
      <c r="M41" s="9">
        <v>1105</v>
      </c>
      <c r="N41" s="9">
        <v>400</v>
      </c>
      <c r="O41" s="9">
        <v>522</v>
      </c>
      <c r="P41" s="9">
        <v>612</v>
      </c>
      <c r="Q41" s="9">
        <v>1270</v>
      </c>
      <c r="R41" s="9">
        <v>0</v>
      </c>
      <c r="S41" s="9">
        <v>0</v>
      </c>
    </row>
    <row r="42" spans="1:19">
      <c r="A42" s="19">
        <v>1237468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18">
        <v>368</v>
      </c>
      <c r="H42" s="9">
        <v>120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19">
        <v>1237210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160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>
      <c r="A44" s="19">
        <v>1237457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18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1:19">
      <c r="A45" s="19">
        <v>1237386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150</v>
      </c>
      <c r="Q45" s="9">
        <v>0</v>
      </c>
      <c r="R45" s="9">
        <v>0</v>
      </c>
      <c r="S45" s="9">
        <v>0</v>
      </c>
    </row>
    <row r="46" spans="1:19">
      <c r="A46" s="19">
        <v>1234905</v>
      </c>
      <c r="B46" s="9">
        <v>0</v>
      </c>
      <c r="C46" s="9">
        <v>0</v>
      </c>
      <c r="D46" s="9">
        <v>0</v>
      </c>
      <c r="E46" s="9">
        <v>0</v>
      </c>
      <c r="F46" s="9">
        <v>352</v>
      </c>
      <c r="G46" s="9">
        <v>138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19">
        <v>1238480</v>
      </c>
      <c r="B47" s="9">
        <v>1149</v>
      </c>
      <c r="C47" s="9">
        <v>920</v>
      </c>
      <c r="D47" s="9">
        <v>0</v>
      </c>
      <c r="E47" s="9">
        <v>0</v>
      </c>
      <c r="F47" s="9">
        <v>815</v>
      </c>
      <c r="G47" s="18">
        <v>861</v>
      </c>
      <c r="H47" s="9">
        <v>646</v>
      </c>
      <c r="I47" s="9">
        <v>1097</v>
      </c>
      <c r="J47" s="9">
        <v>969</v>
      </c>
      <c r="K47" s="9">
        <v>0</v>
      </c>
      <c r="L47" s="9">
        <v>0</v>
      </c>
      <c r="M47" s="9">
        <v>1531</v>
      </c>
      <c r="N47" s="9">
        <v>1166</v>
      </c>
      <c r="O47" s="9">
        <v>700</v>
      </c>
      <c r="P47" s="9">
        <v>836</v>
      </c>
      <c r="Q47" s="9">
        <v>1852</v>
      </c>
      <c r="R47" s="9">
        <v>0</v>
      </c>
      <c r="S47" s="9">
        <v>0</v>
      </c>
    </row>
    <row r="48" spans="1:19">
      <c r="A48" s="19">
        <v>1232775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31</v>
      </c>
      <c r="I48" s="9">
        <v>285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241</v>
      </c>
      <c r="Q48" s="9">
        <v>0</v>
      </c>
      <c r="R48" s="9">
        <v>0</v>
      </c>
      <c r="S48" s="9">
        <v>0</v>
      </c>
    </row>
    <row r="49" spans="1:19">
      <c r="A49" s="19">
        <v>1240180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250</v>
      </c>
      <c r="P49" s="9">
        <v>0</v>
      </c>
      <c r="Q49" s="9">
        <v>0</v>
      </c>
      <c r="R49" s="9">
        <v>0</v>
      </c>
      <c r="S49" s="9">
        <v>0</v>
      </c>
    </row>
    <row r="50" spans="1:19">
      <c r="A50" s="19">
        <v>1240184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250</v>
      </c>
      <c r="P50" s="9">
        <v>0</v>
      </c>
      <c r="Q50" s="9">
        <v>0</v>
      </c>
      <c r="R50" s="9">
        <v>0</v>
      </c>
      <c r="S50" s="9">
        <v>0</v>
      </c>
    </row>
    <row r="51" spans="1:19">
      <c r="A51" s="19">
        <v>1216452</v>
      </c>
      <c r="B51" s="9">
        <v>0</v>
      </c>
      <c r="C51" s="9">
        <v>499</v>
      </c>
      <c r="D51" s="9">
        <v>0</v>
      </c>
      <c r="E51" s="9">
        <v>0</v>
      </c>
      <c r="F51" s="9">
        <v>0</v>
      </c>
      <c r="G51" s="9">
        <v>258</v>
      </c>
      <c r="H51" s="9">
        <v>102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19">
        <v>1231011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300</v>
      </c>
      <c r="Q52" s="9">
        <v>0</v>
      </c>
      <c r="R52" s="9">
        <v>0</v>
      </c>
      <c r="S52" s="9">
        <v>0</v>
      </c>
    </row>
    <row r="53" spans="1:19">
      <c r="A53" s="19">
        <v>1232894</v>
      </c>
      <c r="B53" s="9">
        <v>369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608</v>
      </c>
      <c r="Q53" s="9">
        <v>640</v>
      </c>
      <c r="R53" s="9">
        <v>0</v>
      </c>
      <c r="S53" s="9">
        <v>1153</v>
      </c>
    </row>
    <row r="54" spans="1:19">
      <c r="A54" s="19">
        <v>1233386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608</v>
      </c>
      <c r="Q54" s="9">
        <v>512</v>
      </c>
      <c r="R54" s="9">
        <v>0</v>
      </c>
      <c r="S54" s="9">
        <v>0</v>
      </c>
    </row>
    <row r="55" spans="1:19">
      <c r="A55" s="19">
        <v>1233387</v>
      </c>
      <c r="B55" s="9">
        <v>369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128</v>
      </c>
      <c r="R55" s="9">
        <v>0</v>
      </c>
      <c r="S55" s="9">
        <v>900</v>
      </c>
    </row>
    <row r="56" spans="1:19">
      <c r="A56" s="19">
        <v>1233385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253</v>
      </c>
    </row>
    <row r="57" spans="1:19">
      <c r="A57" s="19">
        <v>1232895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370</v>
      </c>
      <c r="R57" s="9">
        <v>0</v>
      </c>
      <c r="S57" s="9">
        <v>0</v>
      </c>
    </row>
    <row r="58" spans="1:19">
      <c r="A58" s="19">
        <v>1232922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370</v>
      </c>
      <c r="R58" s="9">
        <v>0</v>
      </c>
      <c r="S58" s="9">
        <v>0</v>
      </c>
    </row>
    <row r="59" spans="1:19">
      <c r="A59" s="19">
        <v>1238092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49</v>
      </c>
      <c r="K59" s="9">
        <v>0</v>
      </c>
      <c r="L59" s="9">
        <v>0</v>
      </c>
      <c r="M59" s="9">
        <v>95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</row>
  </sheetData>
  <autoFilter ref="A1:S15" xr:uid="{FF830153-1FFC-4C1B-B5A7-86082B49CCA8}"/>
  <phoneticPr fontId="1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7486-F4A5-4719-92A8-AD4C68C890BC}">
  <dimension ref="A1:R60"/>
  <sheetViews>
    <sheetView topLeftCell="A36" zoomScale="130" zoomScaleNormal="130" workbookViewId="0">
      <selection activeCell="I47" sqref="I47"/>
    </sheetView>
  </sheetViews>
  <sheetFormatPr defaultRowHeight="11.25"/>
  <cols>
    <col min="1" max="1" width="9.1640625" style="13"/>
    <col min="2" max="2" width="9.1640625" style="14"/>
    <col min="3" max="17" width="9.1640625" style="14" customWidth="1"/>
    <col min="18" max="18" width="9.1640625" style="14"/>
  </cols>
  <sheetData>
    <row r="1" spans="1:18">
      <c r="A1" s="25" t="s">
        <v>0</v>
      </c>
      <c r="B1" s="14" t="s">
        <v>1154</v>
      </c>
      <c r="C1" s="14" t="s">
        <v>1155</v>
      </c>
      <c r="D1" s="14" t="s">
        <v>1156</v>
      </c>
      <c r="E1" s="14" t="s">
        <v>1157</v>
      </c>
      <c r="F1" s="14" t="s">
        <v>1158</v>
      </c>
      <c r="G1" s="16" t="s">
        <v>1159</v>
      </c>
      <c r="H1" s="14" t="s">
        <v>1160</v>
      </c>
      <c r="I1" s="14" t="s">
        <v>1161</v>
      </c>
      <c r="J1" s="14" t="s">
        <v>1162</v>
      </c>
      <c r="K1" s="14" t="s">
        <v>1163</v>
      </c>
      <c r="L1" s="14" t="s">
        <v>1164</v>
      </c>
      <c r="M1" s="14" t="s">
        <v>1165</v>
      </c>
      <c r="N1" s="14" t="s">
        <v>1166</v>
      </c>
      <c r="O1" s="14" t="s">
        <v>1167</v>
      </c>
      <c r="P1" s="14" t="s">
        <v>1168</v>
      </c>
      <c r="Q1" s="14" t="s">
        <v>1169</v>
      </c>
      <c r="R1" s="14" t="s">
        <v>1170</v>
      </c>
    </row>
    <row r="2" spans="1:18">
      <c r="A2" s="13">
        <v>1229673</v>
      </c>
      <c r="B2" s="14">
        <v>0</v>
      </c>
      <c r="C2" s="14">
        <v>0</v>
      </c>
      <c r="D2" s="14">
        <v>0</v>
      </c>
      <c r="E2" s="14">
        <v>250</v>
      </c>
      <c r="F2" s="14">
        <v>250</v>
      </c>
      <c r="G2" s="16">
        <v>250</v>
      </c>
      <c r="H2" s="14">
        <v>250</v>
      </c>
      <c r="I2" s="14">
        <v>300</v>
      </c>
      <c r="J2" s="14">
        <v>0</v>
      </c>
      <c r="K2" s="14">
        <v>0</v>
      </c>
      <c r="L2" s="14">
        <v>300</v>
      </c>
      <c r="M2" s="14">
        <v>300</v>
      </c>
      <c r="N2" s="14">
        <v>300</v>
      </c>
      <c r="O2" s="14">
        <v>300</v>
      </c>
      <c r="P2" s="14">
        <v>300</v>
      </c>
      <c r="Q2" s="14">
        <v>0</v>
      </c>
      <c r="R2" s="14">
        <v>0</v>
      </c>
    </row>
    <row r="3" spans="1:18">
      <c r="A3" s="13">
        <v>1230854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200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100</v>
      </c>
      <c r="Q3" s="14">
        <v>0</v>
      </c>
      <c r="R3" s="14">
        <v>0</v>
      </c>
    </row>
    <row r="4" spans="1:18">
      <c r="A4" s="13">
        <v>1237088</v>
      </c>
      <c r="B4" s="14">
        <v>870</v>
      </c>
      <c r="C4" s="14">
        <v>0</v>
      </c>
      <c r="D4" s="14">
        <v>0</v>
      </c>
      <c r="E4" s="14">
        <v>650</v>
      </c>
      <c r="F4" s="14">
        <v>804</v>
      </c>
      <c r="G4" s="16">
        <v>518</v>
      </c>
      <c r="H4" s="14">
        <v>746</v>
      </c>
      <c r="I4" s="14">
        <v>418</v>
      </c>
      <c r="J4" s="14">
        <v>0</v>
      </c>
      <c r="K4" s="14">
        <v>0</v>
      </c>
      <c r="L4" s="14">
        <v>436</v>
      </c>
      <c r="M4" s="14">
        <v>158</v>
      </c>
      <c r="N4" s="14">
        <v>626</v>
      </c>
      <c r="O4" s="14">
        <v>466</v>
      </c>
      <c r="P4" s="14">
        <v>230</v>
      </c>
      <c r="Q4" s="14">
        <v>0</v>
      </c>
      <c r="R4" s="14">
        <v>0</v>
      </c>
    </row>
    <row r="5" spans="1:18">
      <c r="A5" s="13">
        <v>1236091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6">
        <v>200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300</v>
      </c>
      <c r="P5" s="14">
        <v>0</v>
      </c>
      <c r="Q5" s="14">
        <v>0</v>
      </c>
      <c r="R5" s="14">
        <v>0</v>
      </c>
    </row>
    <row r="6" spans="1:18">
      <c r="A6" s="13">
        <v>1238128</v>
      </c>
      <c r="B6" s="14">
        <v>464</v>
      </c>
      <c r="C6" s="14">
        <v>0</v>
      </c>
      <c r="D6" s="14">
        <v>0</v>
      </c>
      <c r="E6" s="14">
        <v>590</v>
      </c>
      <c r="F6" s="14">
        <v>838</v>
      </c>
      <c r="G6" s="16">
        <v>464</v>
      </c>
      <c r="H6" s="14">
        <v>882</v>
      </c>
      <c r="I6" s="14">
        <v>464</v>
      </c>
      <c r="J6" s="14">
        <v>0</v>
      </c>
      <c r="K6" s="14">
        <v>0</v>
      </c>
      <c r="L6" s="14">
        <v>464</v>
      </c>
      <c r="M6" s="14">
        <v>82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</row>
    <row r="7" spans="1:18">
      <c r="A7" s="13">
        <v>1236962</v>
      </c>
      <c r="B7" s="14">
        <v>200</v>
      </c>
      <c r="C7" s="14">
        <v>0</v>
      </c>
      <c r="D7" s="14">
        <v>0</v>
      </c>
      <c r="E7" s="14">
        <v>0</v>
      </c>
      <c r="F7" s="14">
        <v>200</v>
      </c>
      <c r="G7" s="16">
        <v>200</v>
      </c>
      <c r="H7" s="14">
        <v>300</v>
      </c>
      <c r="I7" s="14">
        <v>0</v>
      </c>
      <c r="J7" s="14">
        <v>0</v>
      </c>
      <c r="K7" s="14">
        <v>0</v>
      </c>
      <c r="L7" s="14">
        <v>300</v>
      </c>
      <c r="M7" s="14">
        <v>300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</row>
    <row r="8" spans="1:18">
      <c r="A8" s="13">
        <v>1233761</v>
      </c>
      <c r="B8" s="14">
        <v>0</v>
      </c>
      <c r="C8" s="14">
        <v>0</v>
      </c>
      <c r="D8" s="14">
        <v>0</v>
      </c>
      <c r="E8" s="14">
        <v>200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350</v>
      </c>
      <c r="Q8" s="14">
        <v>0</v>
      </c>
      <c r="R8" s="14">
        <v>0</v>
      </c>
    </row>
    <row r="9" spans="1:18">
      <c r="A9" s="13">
        <v>1239651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400</v>
      </c>
      <c r="J9" s="14">
        <v>0</v>
      </c>
      <c r="K9" s="14">
        <v>0</v>
      </c>
      <c r="L9" s="14">
        <v>100</v>
      </c>
      <c r="M9" s="14">
        <v>0</v>
      </c>
      <c r="N9" s="14">
        <v>0</v>
      </c>
      <c r="O9" s="14">
        <v>400</v>
      </c>
      <c r="P9" s="14">
        <v>0</v>
      </c>
      <c r="Q9" s="14">
        <v>0</v>
      </c>
      <c r="R9" s="14">
        <v>0</v>
      </c>
    </row>
    <row r="10" spans="1:18">
      <c r="A10" s="13">
        <v>1239988</v>
      </c>
      <c r="B10" s="14">
        <v>400</v>
      </c>
      <c r="C10" s="14">
        <v>0</v>
      </c>
      <c r="D10" s="14">
        <v>0</v>
      </c>
      <c r="E10" s="14">
        <v>50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</row>
    <row r="11" spans="1:18">
      <c r="A11" s="13">
        <v>1240180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6">
        <v>140</v>
      </c>
      <c r="H11" s="14">
        <v>390</v>
      </c>
      <c r="I11" s="14">
        <v>306</v>
      </c>
      <c r="J11" s="14">
        <v>0</v>
      </c>
      <c r="K11" s="14">
        <v>0</v>
      </c>
      <c r="L11" s="14">
        <v>306</v>
      </c>
      <c r="M11" s="14">
        <v>390</v>
      </c>
      <c r="N11" s="14">
        <v>306</v>
      </c>
      <c r="O11" s="14">
        <v>390</v>
      </c>
      <c r="P11" s="14">
        <v>306</v>
      </c>
      <c r="Q11" s="14">
        <v>0</v>
      </c>
      <c r="R11" s="14">
        <v>0</v>
      </c>
    </row>
    <row r="12" spans="1:18">
      <c r="A12" s="13">
        <v>1240184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314</v>
      </c>
      <c r="I12" s="14">
        <v>306</v>
      </c>
      <c r="J12" s="14">
        <v>0</v>
      </c>
      <c r="K12" s="14">
        <v>0</v>
      </c>
      <c r="L12" s="14">
        <v>306</v>
      </c>
      <c r="M12" s="14">
        <v>390</v>
      </c>
      <c r="N12" s="14">
        <v>306</v>
      </c>
      <c r="O12" s="14">
        <v>390</v>
      </c>
      <c r="P12" s="14">
        <v>306</v>
      </c>
      <c r="Q12" s="14">
        <v>0</v>
      </c>
      <c r="R12" s="14">
        <v>0</v>
      </c>
    </row>
    <row r="13" spans="1:18">
      <c r="A13" s="13">
        <v>1240308</v>
      </c>
      <c r="B13" s="14">
        <v>0</v>
      </c>
      <c r="C13" s="14">
        <v>0</v>
      </c>
      <c r="D13" s="14">
        <v>0</v>
      </c>
      <c r="E13" s="14">
        <v>0</v>
      </c>
      <c r="F13" s="14">
        <v>150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350</v>
      </c>
      <c r="N13" s="14">
        <v>0</v>
      </c>
      <c r="O13" s="14">
        <v>0</v>
      </c>
      <c r="P13" s="14">
        <v>94</v>
      </c>
      <c r="Q13" s="14">
        <v>0</v>
      </c>
      <c r="R13" s="14">
        <v>0</v>
      </c>
    </row>
    <row r="14" spans="1:18">
      <c r="A14" s="13">
        <v>1241601</v>
      </c>
      <c r="B14" s="14">
        <v>1192</v>
      </c>
      <c r="C14" s="14">
        <v>0</v>
      </c>
      <c r="D14" s="14">
        <v>0</v>
      </c>
      <c r="E14" s="14">
        <v>1498</v>
      </c>
      <c r="F14" s="14">
        <v>1048</v>
      </c>
      <c r="G14" s="16">
        <v>1148</v>
      </c>
      <c r="H14" s="14">
        <v>1082</v>
      </c>
      <c r="I14" s="14">
        <v>1188</v>
      </c>
      <c r="J14" s="14">
        <v>0</v>
      </c>
      <c r="K14" s="14">
        <v>0</v>
      </c>
      <c r="L14" s="14">
        <v>1084</v>
      </c>
      <c r="M14" s="14">
        <v>1380</v>
      </c>
      <c r="N14" s="14">
        <v>1502</v>
      </c>
      <c r="O14" s="14">
        <v>1704</v>
      </c>
      <c r="P14" s="14">
        <v>1112</v>
      </c>
      <c r="Q14" s="14">
        <v>0</v>
      </c>
      <c r="R14" s="14">
        <v>0</v>
      </c>
    </row>
    <row r="15" spans="1:18">
      <c r="A15" s="13">
        <v>1242242</v>
      </c>
      <c r="B15" s="14">
        <v>0</v>
      </c>
      <c r="C15" s="14">
        <v>0</v>
      </c>
      <c r="D15" s="14">
        <v>0</v>
      </c>
      <c r="E15" s="14">
        <v>0</v>
      </c>
      <c r="F15" s="14">
        <v>78</v>
      </c>
      <c r="G15" s="14">
        <v>122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</row>
    <row r="18" spans="1:18">
      <c r="A18" s="256" t="s">
        <v>0</v>
      </c>
      <c r="B18" s="257" t="s">
        <v>1042</v>
      </c>
      <c r="C18" s="257" t="s">
        <v>1043</v>
      </c>
      <c r="D18" s="258" t="s">
        <v>1044</v>
      </c>
      <c r="E18" s="257" t="s">
        <v>1082</v>
      </c>
      <c r="F18" s="257" t="s">
        <v>1083</v>
      </c>
      <c r="G18" s="257" t="s">
        <v>1084</v>
      </c>
      <c r="H18" s="257" t="s">
        <v>1085</v>
      </c>
      <c r="I18" s="257" t="s">
        <v>1086</v>
      </c>
      <c r="J18" s="257" t="s">
        <v>1087</v>
      </c>
      <c r="K18" s="258" t="s">
        <v>1088</v>
      </c>
      <c r="L18" s="257" t="s">
        <v>1145</v>
      </c>
      <c r="M18" s="257" t="s">
        <v>1146</v>
      </c>
      <c r="N18" s="257" t="s">
        <v>1147</v>
      </c>
      <c r="O18" s="257" t="s">
        <v>1148</v>
      </c>
      <c r="P18" s="257" t="s">
        <v>1149</v>
      </c>
      <c r="Q18" s="257" t="s">
        <v>1150</v>
      </c>
      <c r="R18" s="258" t="s">
        <v>1151</v>
      </c>
    </row>
    <row r="19" spans="1:18">
      <c r="A19" s="255">
        <v>1237608</v>
      </c>
      <c r="B19" s="259">
        <v>0</v>
      </c>
      <c r="C19" s="259">
        <v>0</v>
      </c>
      <c r="D19" s="259">
        <v>0</v>
      </c>
      <c r="E19" s="259">
        <v>300</v>
      </c>
      <c r="F19" s="259">
        <v>0</v>
      </c>
      <c r="G19" s="259">
        <v>0</v>
      </c>
      <c r="H19" s="259">
        <v>0</v>
      </c>
      <c r="I19" s="259">
        <v>0</v>
      </c>
      <c r="J19" s="259">
        <v>0</v>
      </c>
      <c r="K19" s="259">
        <v>0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v>0</v>
      </c>
      <c r="R19" s="259">
        <v>0</v>
      </c>
    </row>
    <row r="20" spans="1:18">
      <c r="A20" s="255">
        <v>1236387</v>
      </c>
      <c r="B20" s="259">
        <v>0</v>
      </c>
      <c r="C20" s="259">
        <v>0</v>
      </c>
      <c r="D20" s="259">
        <v>0</v>
      </c>
      <c r="E20" s="259">
        <v>238</v>
      </c>
      <c r="F20" s="259">
        <v>357</v>
      </c>
      <c r="G20" s="259">
        <v>357</v>
      </c>
      <c r="H20" s="259">
        <v>255</v>
      </c>
      <c r="I20" s="259">
        <v>0</v>
      </c>
      <c r="J20" s="259">
        <v>0</v>
      </c>
      <c r="K20" s="259">
        <v>0</v>
      </c>
      <c r="L20" s="259">
        <v>0</v>
      </c>
      <c r="M20" s="259">
        <v>0</v>
      </c>
      <c r="N20" s="259">
        <v>0</v>
      </c>
      <c r="O20" s="259">
        <v>0</v>
      </c>
      <c r="P20" s="259">
        <v>0</v>
      </c>
      <c r="Q20" s="259">
        <v>0</v>
      </c>
      <c r="R20" s="259">
        <v>0</v>
      </c>
    </row>
    <row r="21" spans="1:18">
      <c r="A21" s="255">
        <v>1232775</v>
      </c>
      <c r="B21" s="259">
        <v>242</v>
      </c>
      <c r="C21" s="259">
        <v>0</v>
      </c>
      <c r="D21" s="259">
        <v>0</v>
      </c>
      <c r="E21" s="259">
        <v>242</v>
      </c>
      <c r="F21" s="259">
        <v>242</v>
      </c>
      <c r="G21" s="259">
        <v>242</v>
      </c>
      <c r="H21" s="259">
        <v>245</v>
      </c>
      <c r="I21" s="260">
        <v>242</v>
      </c>
      <c r="J21" s="259">
        <v>0</v>
      </c>
      <c r="K21" s="259">
        <v>0</v>
      </c>
      <c r="L21" s="259">
        <v>0</v>
      </c>
      <c r="M21" s="259">
        <v>0</v>
      </c>
      <c r="N21" s="259">
        <v>0</v>
      </c>
      <c r="O21" s="259">
        <v>159</v>
      </c>
      <c r="P21" s="259">
        <v>484</v>
      </c>
      <c r="Q21" s="259">
        <v>0</v>
      </c>
      <c r="R21" s="259">
        <v>0</v>
      </c>
    </row>
    <row r="22" spans="1:18">
      <c r="A22" s="255">
        <v>1238605</v>
      </c>
      <c r="B22" s="259">
        <v>190</v>
      </c>
      <c r="C22" s="259">
        <v>0</v>
      </c>
      <c r="D22" s="259">
        <v>0</v>
      </c>
      <c r="E22" s="259">
        <v>40</v>
      </c>
      <c r="F22" s="259">
        <v>0</v>
      </c>
      <c r="G22" s="259">
        <v>0</v>
      </c>
      <c r="H22" s="259">
        <v>0</v>
      </c>
      <c r="I22" s="259">
        <v>0</v>
      </c>
      <c r="J22" s="259">
        <v>0</v>
      </c>
      <c r="K22" s="259">
        <v>0</v>
      </c>
      <c r="L22" s="260">
        <v>175</v>
      </c>
      <c r="M22" s="259">
        <v>190</v>
      </c>
      <c r="N22" s="259">
        <v>187</v>
      </c>
      <c r="O22" s="259">
        <v>58</v>
      </c>
      <c r="P22" s="259">
        <v>0</v>
      </c>
      <c r="Q22" s="259">
        <v>0</v>
      </c>
      <c r="R22" s="259">
        <v>0</v>
      </c>
    </row>
    <row r="26" spans="1:18">
      <c r="A26" s="25" t="s">
        <v>0</v>
      </c>
      <c r="B26" s="14" t="s">
        <v>1154</v>
      </c>
      <c r="C26" s="14" t="s">
        <v>1155</v>
      </c>
      <c r="D26" s="14" t="s">
        <v>1156</v>
      </c>
      <c r="E26" s="14" t="s">
        <v>1157</v>
      </c>
      <c r="F26" s="14" t="s">
        <v>1158</v>
      </c>
      <c r="G26" s="14" t="s">
        <v>1159</v>
      </c>
      <c r="H26" s="14" t="s">
        <v>1160</v>
      </c>
      <c r="I26" s="14" t="s">
        <v>1161</v>
      </c>
      <c r="J26" s="14" t="s">
        <v>1162</v>
      </c>
      <c r="K26" s="14" t="s">
        <v>1163</v>
      </c>
      <c r="L26" s="14" t="s">
        <v>1164</v>
      </c>
      <c r="M26" s="14" t="s">
        <v>1165</v>
      </c>
      <c r="N26" s="14" t="s">
        <v>1166</v>
      </c>
      <c r="O26" s="14" t="s">
        <v>1167</v>
      </c>
      <c r="P26" s="14" t="s">
        <v>1168</v>
      </c>
      <c r="Q26" s="14" t="s">
        <v>1169</v>
      </c>
      <c r="R26" s="14" t="s">
        <v>1170</v>
      </c>
    </row>
    <row r="27" spans="1:18">
      <c r="A27" s="13">
        <v>1227306</v>
      </c>
      <c r="B27" s="14">
        <v>0</v>
      </c>
      <c r="C27" s="14">
        <v>0</v>
      </c>
      <c r="D27" s="14">
        <v>0</v>
      </c>
      <c r="E27" s="14">
        <v>0</v>
      </c>
      <c r="F27" s="14">
        <v>323</v>
      </c>
      <c r="G27" s="24">
        <v>267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546</v>
      </c>
      <c r="N27" s="14">
        <v>200</v>
      </c>
      <c r="O27" s="14">
        <v>0</v>
      </c>
      <c r="P27" s="14">
        <v>100</v>
      </c>
      <c r="Q27" s="14">
        <v>0</v>
      </c>
      <c r="R27" s="14">
        <v>0</v>
      </c>
    </row>
    <row r="28" spans="1:18">
      <c r="A28" s="13">
        <v>1231090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6">
        <v>90</v>
      </c>
      <c r="H28" s="14">
        <v>150</v>
      </c>
      <c r="I28" s="14">
        <v>0</v>
      </c>
      <c r="J28" s="14">
        <v>0</v>
      </c>
      <c r="K28" s="14">
        <v>0</v>
      </c>
      <c r="L28" s="14">
        <v>0</v>
      </c>
      <c r="M28" s="14">
        <v>542</v>
      </c>
      <c r="N28" s="14">
        <v>0</v>
      </c>
      <c r="O28" s="14">
        <v>0</v>
      </c>
      <c r="P28" s="14">
        <v>1360</v>
      </c>
      <c r="Q28" s="14">
        <v>0</v>
      </c>
      <c r="R28" s="14">
        <v>0</v>
      </c>
    </row>
    <row r="29" spans="1:18">
      <c r="A29" s="13">
        <v>1229776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6">
        <v>90</v>
      </c>
      <c r="H29" s="14">
        <v>150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280</v>
      </c>
      <c r="Q29" s="14">
        <v>0</v>
      </c>
      <c r="R29" s="14">
        <v>0</v>
      </c>
    </row>
    <row r="30" spans="1:18">
      <c r="A30" s="13">
        <v>1225464</v>
      </c>
      <c r="B30" s="14">
        <v>0</v>
      </c>
      <c r="C30" s="14">
        <v>0</v>
      </c>
      <c r="D30" s="14">
        <v>0</v>
      </c>
      <c r="E30" s="14">
        <v>252</v>
      </c>
      <c r="F30" s="14">
        <v>654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</row>
    <row r="31" spans="1:18">
      <c r="A31" s="13">
        <v>1231797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35</v>
      </c>
      <c r="Q31" s="14">
        <v>0</v>
      </c>
      <c r="R31" s="14">
        <v>0</v>
      </c>
    </row>
    <row r="32" spans="1:18">
      <c r="A32" s="13">
        <v>1229088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5</v>
      </c>
      <c r="Q32" s="14">
        <v>0</v>
      </c>
      <c r="R32" s="14">
        <v>0</v>
      </c>
    </row>
    <row r="33" spans="1:18">
      <c r="A33" s="13">
        <v>1234222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670</v>
      </c>
      <c r="M33" s="14">
        <v>390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</row>
    <row r="34" spans="1:18">
      <c r="A34" s="13">
        <v>1232528</v>
      </c>
      <c r="B34" s="14">
        <v>1078</v>
      </c>
      <c r="C34" s="14">
        <v>0</v>
      </c>
      <c r="D34" s="14">
        <v>0</v>
      </c>
      <c r="E34" s="14">
        <v>891</v>
      </c>
      <c r="F34" s="14">
        <v>1246</v>
      </c>
      <c r="G34" s="16">
        <v>923</v>
      </c>
      <c r="H34" s="14">
        <v>574</v>
      </c>
      <c r="I34" s="14">
        <v>440</v>
      </c>
      <c r="J34" s="14">
        <v>0</v>
      </c>
      <c r="K34" s="14">
        <v>0</v>
      </c>
      <c r="L34" s="14">
        <v>464</v>
      </c>
      <c r="M34" s="14">
        <v>686</v>
      </c>
      <c r="N34" s="14">
        <v>990</v>
      </c>
      <c r="O34" s="14">
        <v>1246</v>
      </c>
      <c r="P34" s="14">
        <v>5431</v>
      </c>
      <c r="Q34" s="14">
        <v>0</v>
      </c>
      <c r="R34" s="14">
        <v>0</v>
      </c>
    </row>
    <row r="35" spans="1:18">
      <c r="A35" s="13">
        <v>1232846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608</v>
      </c>
      <c r="P35" s="14">
        <v>2163</v>
      </c>
      <c r="Q35" s="14">
        <v>0</v>
      </c>
      <c r="R35" s="14">
        <v>0</v>
      </c>
    </row>
    <row r="36" spans="1:18">
      <c r="A36" s="13">
        <v>1233383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6">
        <v>101</v>
      </c>
      <c r="H36" s="14">
        <v>117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</row>
    <row r="37" spans="1:18">
      <c r="A37" s="13">
        <v>1220847</v>
      </c>
      <c r="B37" s="14">
        <v>0</v>
      </c>
      <c r="C37" s="14">
        <v>0</v>
      </c>
      <c r="D37" s="14">
        <v>0</v>
      </c>
      <c r="E37" s="14">
        <v>213</v>
      </c>
      <c r="F37" s="14">
        <v>27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5250</v>
      </c>
      <c r="Q37" s="14">
        <v>0</v>
      </c>
      <c r="R37" s="14">
        <v>0</v>
      </c>
    </row>
    <row r="38" spans="1:18">
      <c r="A38" s="13">
        <v>1235097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200</v>
      </c>
      <c r="O38" s="14">
        <v>200</v>
      </c>
      <c r="P38" s="14">
        <v>0</v>
      </c>
      <c r="Q38" s="14">
        <v>0</v>
      </c>
      <c r="R38" s="14">
        <v>0</v>
      </c>
    </row>
    <row r="39" spans="1:18">
      <c r="A39" s="13">
        <v>1236600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420</v>
      </c>
      <c r="O39" s="14">
        <v>540</v>
      </c>
      <c r="P39" s="14">
        <v>39</v>
      </c>
      <c r="Q39" s="14">
        <v>0</v>
      </c>
      <c r="R39" s="14">
        <v>0</v>
      </c>
    </row>
    <row r="40" spans="1:18">
      <c r="A40" s="13">
        <v>1236601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143</v>
      </c>
      <c r="Q40" s="14">
        <v>0</v>
      </c>
      <c r="R40" s="14">
        <v>0</v>
      </c>
    </row>
    <row r="41" spans="1:18">
      <c r="A41" s="13">
        <v>1236619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90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</row>
    <row r="42" spans="1:18">
      <c r="A42" s="13">
        <v>1236930</v>
      </c>
      <c r="B42" s="14">
        <v>267</v>
      </c>
      <c r="C42" s="14">
        <v>0</v>
      </c>
      <c r="D42" s="14">
        <v>0</v>
      </c>
      <c r="E42" s="14">
        <v>267</v>
      </c>
      <c r="F42" s="14">
        <v>321</v>
      </c>
      <c r="G42" s="14">
        <v>240</v>
      </c>
      <c r="H42" s="16">
        <v>396</v>
      </c>
      <c r="I42" s="14">
        <v>509</v>
      </c>
      <c r="J42" s="14">
        <v>0</v>
      </c>
      <c r="K42" s="14">
        <v>0</v>
      </c>
      <c r="L42" s="14">
        <v>1105</v>
      </c>
      <c r="M42" s="14">
        <v>400</v>
      </c>
      <c r="N42" s="14">
        <v>522</v>
      </c>
      <c r="O42" s="14">
        <v>612</v>
      </c>
      <c r="P42" s="14">
        <v>1270</v>
      </c>
      <c r="Q42" s="14">
        <v>0</v>
      </c>
      <c r="R42" s="14">
        <v>0</v>
      </c>
    </row>
    <row r="43" spans="1:18">
      <c r="A43" s="13">
        <v>1237468</v>
      </c>
      <c r="B43" s="14">
        <v>0</v>
      </c>
      <c r="C43" s="14">
        <v>0</v>
      </c>
      <c r="D43" s="14">
        <v>0</v>
      </c>
      <c r="E43" s="14">
        <v>0</v>
      </c>
      <c r="F43" s="14">
        <v>368</v>
      </c>
      <c r="G43" s="16">
        <v>120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</row>
    <row r="44" spans="1:18">
      <c r="A44" s="13">
        <v>1237210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160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</row>
    <row r="45" spans="1:18">
      <c r="A45" s="13">
        <v>1237457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18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</row>
    <row r="46" spans="1:18">
      <c r="A46" s="13">
        <v>1237386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150</v>
      </c>
      <c r="P46" s="14">
        <v>0</v>
      </c>
      <c r="Q46" s="14">
        <v>0</v>
      </c>
      <c r="R46" s="14">
        <v>0</v>
      </c>
    </row>
    <row r="47" spans="1:18">
      <c r="A47" s="13">
        <v>1234905</v>
      </c>
      <c r="B47" s="14">
        <v>0</v>
      </c>
      <c r="C47" s="14">
        <v>0</v>
      </c>
      <c r="D47" s="14">
        <v>0</v>
      </c>
      <c r="E47" s="14">
        <v>352</v>
      </c>
      <c r="F47" s="14">
        <v>138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</row>
    <row r="48" spans="1:18">
      <c r="A48" s="13">
        <v>1238480</v>
      </c>
      <c r="B48" s="14">
        <v>920</v>
      </c>
      <c r="C48" s="14">
        <v>0</v>
      </c>
      <c r="D48" s="14">
        <v>0</v>
      </c>
      <c r="E48" s="14">
        <v>815</v>
      </c>
      <c r="F48" s="14">
        <v>861</v>
      </c>
      <c r="G48" s="16">
        <v>646</v>
      </c>
      <c r="H48" s="14">
        <v>1097</v>
      </c>
      <c r="I48" s="14">
        <v>969</v>
      </c>
      <c r="J48" s="14">
        <v>0</v>
      </c>
      <c r="K48" s="14">
        <v>0</v>
      </c>
      <c r="L48" s="14">
        <v>1482</v>
      </c>
      <c r="M48" s="14">
        <v>1361</v>
      </c>
      <c r="N48" s="14">
        <v>700</v>
      </c>
      <c r="O48" s="14">
        <v>836</v>
      </c>
      <c r="P48" s="14">
        <v>1852</v>
      </c>
      <c r="Q48" s="14">
        <v>0</v>
      </c>
      <c r="R48" s="14">
        <v>0</v>
      </c>
    </row>
    <row r="49" spans="1:18">
      <c r="A49" s="13">
        <v>1232775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6">
        <v>31</v>
      </c>
      <c r="H49" s="14">
        <v>285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241</v>
      </c>
      <c r="P49" s="14">
        <v>0</v>
      </c>
      <c r="Q49" s="14">
        <v>0</v>
      </c>
      <c r="R49" s="14">
        <v>0</v>
      </c>
    </row>
    <row r="50" spans="1:18">
      <c r="A50" s="13">
        <v>1240180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250</v>
      </c>
      <c r="O50" s="14">
        <v>0</v>
      </c>
      <c r="P50" s="14">
        <v>0</v>
      </c>
      <c r="Q50" s="14">
        <v>0</v>
      </c>
      <c r="R50" s="14">
        <v>0</v>
      </c>
    </row>
    <row r="51" spans="1:18">
      <c r="A51" s="13">
        <v>1240184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250</v>
      </c>
      <c r="O51" s="14">
        <v>0</v>
      </c>
      <c r="P51" s="14">
        <v>0</v>
      </c>
      <c r="Q51" s="14">
        <v>0</v>
      </c>
      <c r="R51" s="14">
        <v>0</v>
      </c>
    </row>
    <row r="52" spans="1:18">
      <c r="A52" s="13">
        <v>1216452</v>
      </c>
      <c r="B52" s="14">
        <v>499</v>
      </c>
      <c r="C52" s="14">
        <v>0</v>
      </c>
      <c r="D52" s="14">
        <v>0</v>
      </c>
      <c r="E52" s="14">
        <v>0</v>
      </c>
      <c r="F52" s="16">
        <v>258</v>
      </c>
      <c r="G52" s="14">
        <v>102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</row>
    <row r="53" spans="1:18">
      <c r="A53" s="13">
        <v>1231011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300</v>
      </c>
      <c r="P53" s="14">
        <v>0</v>
      </c>
      <c r="Q53" s="14">
        <v>0</v>
      </c>
      <c r="R53" s="14">
        <v>0</v>
      </c>
    </row>
    <row r="54" spans="1:18">
      <c r="A54" s="13">
        <v>1232894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608</v>
      </c>
      <c r="P54" s="14">
        <v>640</v>
      </c>
      <c r="Q54" s="14">
        <v>0</v>
      </c>
      <c r="R54" s="14">
        <v>1153</v>
      </c>
    </row>
    <row r="55" spans="1:18">
      <c r="A55" s="13">
        <v>1233386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608</v>
      </c>
      <c r="P55" s="14">
        <v>512</v>
      </c>
      <c r="Q55" s="14">
        <v>0</v>
      </c>
      <c r="R55" s="14">
        <v>0</v>
      </c>
    </row>
    <row r="56" spans="1:18">
      <c r="A56" s="13">
        <v>1233387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128</v>
      </c>
      <c r="Q56" s="14">
        <v>0</v>
      </c>
      <c r="R56" s="14">
        <v>900</v>
      </c>
    </row>
    <row r="57" spans="1:18">
      <c r="A57" s="13">
        <v>1233385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253</v>
      </c>
    </row>
    <row r="58" spans="1:18">
      <c r="A58" s="13">
        <v>1232895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370</v>
      </c>
      <c r="Q58" s="14">
        <v>0</v>
      </c>
      <c r="R58" s="14">
        <v>0</v>
      </c>
    </row>
    <row r="59" spans="1:18">
      <c r="A59" s="13">
        <v>1232922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370</v>
      </c>
      <c r="Q59" s="14">
        <v>0</v>
      </c>
      <c r="R59" s="14">
        <v>0</v>
      </c>
    </row>
    <row r="60" spans="1:18">
      <c r="A60" s="13">
        <v>1238092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49</v>
      </c>
      <c r="J60" s="14">
        <v>0</v>
      </c>
      <c r="K60" s="14">
        <v>0</v>
      </c>
      <c r="L60" s="14">
        <v>95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</row>
  </sheetData>
  <autoFilter ref="A1:R15" xr:uid="{CC667486-F4A5-4719-92A8-AD4C68C890BC}"/>
  <phoneticPr fontId="1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6662-7541-4EC0-BC33-A2C7B10B10C7}">
  <dimension ref="A1:Q66"/>
  <sheetViews>
    <sheetView topLeftCell="A21" zoomScale="115" zoomScaleNormal="115" workbookViewId="0">
      <selection activeCell="O36" sqref="O36"/>
    </sheetView>
  </sheetViews>
  <sheetFormatPr defaultRowHeight="11.25"/>
  <cols>
    <col min="1" max="1" width="9.1640625" style="263"/>
    <col min="2" max="2" width="9.1640625" style="14"/>
    <col min="3" max="14" width="9.1640625" style="14" customWidth="1"/>
    <col min="15" max="16" width="9.1640625" style="14"/>
  </cols>
  <sheetData>
    <row r="1" spans="1:15">
      <c r="A1" s="261" t="s">
        <v>0</v>
      </c>
      <c r="B1" s="14" t="s">
        <v>1171</v>
      </c>
      <c r="C1" s="14" t="s">
        <v>1172</v>
      </c>
      <c r="D1" s="14" t="s">
        <v>1173</v>
      </c>
      <c r="E1" s="16" t="s">
        <v>1174</v>
      </c>
      <c r="F1" s="14" t="s">
        <v>1175</v>
      </c>
      <c r="G1" s="14" t="s">
        <v>1176</v>
      </c>
      <c r="H1" s="14" t="s">
        <v>1177</v>
      </c>
      <c r="I1" s="14" t="s">
        <v>1178</v>
      </c>
      <c r="J1" s="14" t="s">
        <v>1179</v>
      </c>
      <c r="K1" s="14" t="s">
        <v>1180</v>
      </c>
      <c r="L1" s="14" t="s">
        <v>1181</v>
      </c>
      <c r="M1" s="14" t="s">
        <v>1182</v>
      </c>
      <c r="N1" s="14" t="s">
        <v>1183</v>
      </c>
      <c r="O1" s="14" t="s">
        <v>1184</v>
      </c>
    </row>
    <row r="2" spans="1:15">
      <c r="A2" s="263">
        <v>1229673</v>
      </c>
      <c r="B2" s="14">
        <v>250</v>
      </c>
      <c r="C2" s="14">
        <v>250</v>
      </c>
      <c r="D2" s="14">
        <v>250</v>
      </c>
      <c r="E2" s="16">
        <v>250</v>
      </c>
      <c r="F2" s="14">
        <v>300</v>
      </c>
      <c r="G2" s="14">
        <v>0</v>
      </c>
      <c r="H2" s="14">
        <v>0</v>
      </c>
      <c r="I2" s="14">
        <v>300</v>
      </c>
      <c r="J2" s="14">
        <v>300</v>
      </c>
      <c r="K2" s="14">
        <v>300</v>
      </c>
      <c r="L2" s="14">
        <v>300</v>
      </c>
      <c r="M2" s="14">
        <v>300</v>
      </c>
      <c r="N2" s="14">
        <v>0</v>
      </c>
      <c r="O2" s="14">
        <v>0</v>
      </c>
    </row>
    <row r="3" spans="1:15">
      <c r="A3" s="263">
        <v>1230854</v>
      </c>
      <c r="B3" s="14">
        <v>0</v>
      </c>
      <c r="C3" s="14">
        <v>0</v>
      </c>
      <c r="D3" s="14">
        <v>0</v>
      </c>
      <c r="E3" s="16">
        <v>200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100</v>
      </c>
      <c r="N3" s="14">
        <v>0</v>
      </c>
      <c r="O3" s="14">
        <v>0</v>
      </c>
    </row>
    <row r="4" spans="1:15">
      <c r="A4" s="263">
        <v>1237088</v>
      </c>
      <c r="B4" s="14">
        <v>650</v>
      </c>
      <c r="C4" s="14">
        <v>804</v>
      </c>
      <c r="D4" s="14">
        <v>518</v>
      </c>
      <c r="E4" s="16">
        <v>746</v>
      </c>
      <c r="F4" s="14">
        <v>418</v>
      </c>
      <c r="G4" s="14">
        <v>0</v>
      </c>
      <c r="H4" s="14">
        <v>0</v>
      </c>
      <c r="I4" s="14">
        <v>436</v>
      </c>
      <c r="J4" s="14">
        <v>158</v>
      </c>
      <c r="K4" s="14">
        <v>626</v>
      </c>
      <c r="L4" s="14">
        <v>466</v>
      </c>
      <c r="M4" s="14">
        <v>230</v>
      </c>
      <c r="N4" s="14">
        <v>0</v>
      </c>
      <c r="O4" s="14">
        <v>0</v>
      </c>
    </row>
    <row r="5" spans="1:15">
      <c r="A5" s="263">
        <v>1236091</v>
      </c>
      <c r="B5" s="14">
        <v>0</v>
      </c>
      <c r="C5" s="14">
        <v>0</v>
      </c>
      <c r="D5" s="14">
        <v>200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300</v>
      </c>
      <c r="M5" s="14">
        <v>0</v>
      </c>
      <c r="N5" s="14">
        <v>0</v>
      </c>
      <c r="O5" s="14">
        <v>0</v>
      </c>
    </row>
    <row r="6" spans="1:15">
      <c r="A6" s="263">
        <v>1238128</v>
      </c>
      <c r="B6" s="14">
        <v>590</v>
      </c>
      <c r="C6" s="14">
        <v>838</v>
      </c>
      <c r="D6" s="14">
        <v>464</v>
      </c>
      <c r="E6" s="16">
        <v>882</v>
      </c>
      <c r="F6" s="14">
        <v>464</v>
      </c>
      <c r="G6" s="14">
        <v>0</v>
      </c>
      <c r="H6" s="14">
        <v>0</v>
      </c>
      <c r="I6" s="14">
        <v>464</v>
      </c>
      <c r="J6" s="14">
        <v>82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</row>
    <row r="7" spans="1:15">
      <c r="A7" s="263">
        <v>1236962</v>
      </c>
      <c r="B7" s="14">
        <v>0</v>
      </c>
      <c r="C7" s="14">
        <v>200</v>
      </c>
      <c r="D7" s="14">
        <v>200</v>
      </c>
      <c r="E7" s="16">
        <v>300</v>
      </c>
      <c r="F7" s="14">
        <v>0</v>
      </c>
      <c r="G7" s="14">
        <v>0</v>
      </c>
      <c r="H7" s="14">
        <v>0</v>
      </c>
      <c r="I7" s="14">
        <v>300</v>
      </c>
      <c r="J7" s="14">
        <v>300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</row>
    <row r="8" spans="1:15">
      <c r="A8" s="263">
        <v>1233761</v>
      </c>
      <c r="B8" s="14">
        <v>200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350</v>
      </c>
      <c r="N8" s="14">
        <v>0</v>
      </c>
      <c r="O8" s="14">
        <v>0</v>
      </c>
    </row>
    <row r="9" spans="1:15">
      <c r="A9" s="263">
        <v>1239651</v>
      </c>
      <c r="B9" s="14">
        <v>0</v>
      </c>
      <c r="C9" s="14">
        <v>0</v>
      </c>
      <c r="D9" s="14">
        <v>0</v>
      </c>
      <c r="E9" s="14">
        <v>0</v>
      </c>
      <c r="F9" s="14">
        <v>400</v>
      </c>
      <c r="G9" s="14">
        <v>0</v>
      </c>
      <c r="H9" s="14">
        <v>0</v>
      </c>
      <c r="I9" s="14">
        <v>100</v>
      </c>
      <c r="J9" s="14">
        <v>0</v>
      </c>
      <c r="K9" s="14">
        <v>0</v>
      </c>
      <c r="L9" s="14">
        <v>400</v>
      </c>
      <c r="M9" s="14">
        <v>0</v>
      </c>
      <c r="N9" s="14">
        <v>0</v>
      </c>
      <c r="O9" s="14">
        <v>0</v>
      </c>
    </row>
    <row r="10" spans="1:15">
      <c r="A10" s="263">
        <v>1239988</v>
      </c>
      <c r="B10" s="14">
        <v>50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 spans="1:15">
      <c r="A11" s="263">
        <v>1240180</v>
      </c>
      <c r="B11" s="14">
        <v>0</v>
      </c>
      <c r="C11" s="14">
        <v>0</v>
      </c>
      <c r="D11" s="14">
        <v>140</v>
      </c>
      <c r="E11" s="16">
        <v>390</v>
      </c>
      <c r="F11" s="14">
        <v>306</v>
      </c>
      <c r="G11" s="14">
        <v>0</v>
      </c>
      <c r="H11" s="14">
        <v>0</v>
      </c>
      <c r="I11" s="14">
        <v>306</v>
      </c>
      <c r="J11" s="14">
        <v>390</v>
      </c>
      <c r="K11" s="14">
        <v>306</v>
      </c>
      <c r="L11" s="14">
        <v>390</v>
      </c>
      <c r="M11" s="14">
        <v>306</v>
      </c>
      <c r="N11" s="14">
        <v>0</v>
      </c>
      <c r="O11" s="14">
        <v>0</v>
      </c>
    </row>
    <row r="12" spans="1:15">
      <c r="A12" s="263">
        <v>1240184</v>
      </c>
      <c r="B12" s="14">
        <v>0</v>
      </c>
      <c r="C12" s="14">
        <v>0</v>
      </c>
      <c r="D12" s="14">
        <v>0</v>
      </c>
      <c r="E12" s="16">
        <v>314</v>
      </c>
      <c r="F12" s="14">
        <v>306</v>
      </c>
      <c r="G12" s="14">
        <v>0</v>
      </c>
      <c r="H12" s="14">
        <v>0</v>
      </c>
      <c r="I12" s="14">
        <v>306</v>
      </c>
      <c r="J12" s="14">
        <v>390</v>
      </c>
      <c r="K12" s="14">
        <v>306</v>
      </c>
      <c r="L12" s="14">
        <v>390</v>
      </c>
      <c r="M12" s="14">
        <v>306</v>
      </c>
      <c r="N12" s="14">
        <v>0</v>
      </c>
      <c r="O12" s="14">
        <v>0</v>
      </c>
    </row>
    <row r="13" spans="1:15">
      <c r="A13" s="263">
        <v>1240308</v>
      </c>
      <c r="B13" s="14">
        <v>0</v>
      </c>
      <c r="C13" s="14">
        <v>150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350</v>
      </c>
      <c r="K13" s="14">
        <v>0</v>
      </c>
      <c r="L13" s="14">
        <v>0</v>
      </c>
      <c r="M13" s="14">
        <v>94</v>
      </c>
      <c r="N13" s="14">
        <v>0</v>
      </c>
      <c r="O13" s="14">
        <v>0</v>
      </c>
    </row>
    <row r="14" spans="1:15">
      <c r="A14" s="263">
        <v>1241601</v>
      </c>
      <c r="B14" s="14">
        <v>1498</v>
      </c>
      <c r="C14" s="14">
        <v>1048</v>
      </c>
      <c r="D14" s="14">
        <v>1148</v>
      </c>
      <c r="E14" s="16">
        <v>1082</v>
      </c>
      <c r="F14" s="14">
        <v>1188</v>
      </c>
      <c r="G14" s="14">
        <v>0</v>
      </c>
      <c r="H14" s="14">
        <v>0</v>
      </c>
      <c r="I14" s="14">
        <v>1084</v>
      </c>
      <c r="J14" s="14">
        <v>1380</v>
      </c>
      <c r="K14" s="14">
        <v>1502</v>
      </c>
      <c r="L14" s="14">
        <v>1704</v>
      </c>
      <c r="M14" s="14">
        <v>1112</v>
      </c>
      <c r="N14" s="14">
        <v>0</v>
      </c>
      <c r="O14" s="14">
        <v>0</v>
      </c>
    </row>
    <row r="15" spans="1:15">
      <c r="A15" s="263">
        <v>1242242</v>
      </c>
      <c r="B15" s="14">
        <v>0</v>
      </c>
      <c r="C15" s="14">
        <v>78</v>
      </c>
      <c r="D15" s="14">
        <v>122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</row>
    <row r="19" spans="1:17">
      <c r="A19" s="264" t="s">
        <v>0</v>
      </c>
      <c r="B19" s="257" t="s">
        <v>1082</v>
      </c>
      <c r="C19" s="257" t="s">
        <v>1083</v>
      </c>
      <c r="D19" s="257" t="s">
        <v>1084</v>
      </c>
      <c r="E19" s="257" t="s">
        <v>1085</v>
      </c>
      <c r="F19" s="257" t="s">
        <v>1086</v>
      </c>
      <c r="G19" s="257" t="s">
        <v>1087</v>
      </c>
      <c r="H19" s="258" t="s">
        <v>1088</v>
      </c>
      <c r="I19" s="257" t="s">
        <v>1145</v>
      </c>
      <c r="J19" s="257" t="s">
        <v>1146</v>
      </c>
      <c r="K19" s="257" t="s">
        <v>1147</v>
      </c>
      <c r="L19" s="257" t="s">
        <v>1148</v>
      </c>
      <c r="M19" s="257" t="s">
        <v>1149</v>
      </c>
      <c r="N19" s="257" t="s">
        <v>1150</v>
      </c>
      <c r="O19" s="258" t="s">
        <v>1151</v>
      </c>
    </row>
    <row r="20" spans="1:17">
      <c r="A20" s="262">
        <v>1237608</v>
      </c>
      <c r="B20" s="259">
        <v>300</v>
      </c>
      <c r="C20" s="259">
        <v>0</v>
      </c>
      <c r="D20" s="259">
        <v>0</v>
      </c>
      <c r="E20" s="259">
        <v>0</v>
      </c>
      <c r="F20" s="259">
        <v>0</v>
      </c>
      <c r="G20" s="259">
        <v>0</v>
      </c>
      <c r="H20" s="259">
        <v>0</v>
      </c>
      <c r="I20" s="259">
        <v>0</v>
      </c>
      <c r="J20" s="259">
        <v>0</v>
      </c>
      <c r="K20" s="259">
        <v>0</v>
      </c>
      <c r="L20" s="259">
        <v>0</v>
      </c>
      <c r="M20" s="259">
        <v>0</v>
      </c>
      <c r="N20" s="259">
        <v>0</v>
      </c>
      <c r="O20" s="259">
        <v>0</v>
      </c>
    </row>
    <row r="21" spans="1:17">
      <c r="A21" s="262">
        <v>1236387</v>
      </c>
      <c r="B21" s="259">
        <v>238</v>
      </c>
      <c r="C21" s="259">
        <v>357</v>
      </c>
      <c r="D21" s="259">
        <v>357</v>
      </c>
      <c r="E21" s="259">
        <v>255</v>
      </c>
      <c r="F21" s="259">
        <v>0</v>
      </c>
      <c r="G21" s="259">
        <v>0</v>
      </c>
      <c r="H21" s="259">
        <v>0</v>
      </c>
      <c r="I21" s="259">
        <v>0</v>
      </c>
      <c r="J21" s="259">
        <v>0</v>
      </c>
      <c r="K21" s="259">
        <v>0</v>
      </c>
      <c r="L21" s="259">
        <v>0</v>
      </c>
      <c r="M21" s="259">
        <v>0</v>
      </c>
      <c r="N21" s="259">
        <v>0</v>
      </c>
      <c r="O21" s="259">
        <v>0</v>
      </c>
    </row>
    <row r="22" spans="1:17">
      <c r="A22" s="262">
        <v>1232775</v>
      </c>
      <c r="B22" s="259">
        <v>242</v>
      </c>
      <c r="C22" s="259">
        <v>242</v>
      </c>
      <c r="D22" s="259">
        <v>242</v>
      </c>
      <c r="E22" s="259">
        <v>245</v>
      </c>
      <c r="F22" s="259">
        <v>242</v>
      </c>
      <c r="G22" s="259">
        <v>0</v>
      </c>
      <c r="H22" s="259">
        <v>0</v>
      </c>
      <c r="I22" s="259">
        <v>0</v>
      </c>
      <c r="J22" s="259">
        <v>0</v>
      </c>
      <c r="K22" s="259">
        <v>0</v>
      </c>
      <c r="L22" s="259">
        <v>159</v>
      </c>
      <c r="M22" s="259">
        <v>484</v>
      </c>
      <c r="N22" s="259">
        <v>0</v>
      </c>
      <c r="O22" s="259">
        <v>0</v>
      </c>
    </row>
    <row r="23" spans="1:17">
      <c r="A23" s="262">
        <v>1238605</v>
      </c>
      <c r="B23" s="259">
        <v>40</v>
      </c>
      <c r="C23" s="259">
        <v>0</v>
      </c>
      <c r="D23" s="259">
        <v>0</v>
      </c>
      <c r="E23" s="259">
        <v>0</v>
      </c>
      <c r="F23" s="259">
        <v>0</v>
      </c>
      <c r="G23" s="259">
        <v>0</v>
      </c>
      <c r="H23" s="259">
        <v>0</v>
      </c>
      <c r="I23" s="259">
        <v>175</v>
      </c>
      <c r="J23" s="259">
        <v>190</v>
      </c>
      <c r="K23" s="259">
        <v>187</v>
      </c>
      <c r="L23" s="259">
        <v>58</v>
      </c>
      <c r="M23" s="259">
        <v>0</v>
      </c>
      <c r="N23" s="259">
        <v>0</v>
      </c>
      <c r="O23" s="259">
        <v>0</v>
      </c>
    </row>
    <row r="26" spans="1:17">
      <c r="A26" s="261" t="s">
        <v>0</v>
      </c>
      <c r="B26" s="14" t="s">
        <v>1171</v>
      </c>
      <c r="C26" s="14" t="s">
        <v>1172</v>
      </c>
      <c r="D26" s="14" t="s">
        <v>1173</v>
      </c>
      <c r="E26" s="14" t="s">
        <v>1174</v>
      </c>
      <c r="F26" s="14" t="s">
        <v>1175</v>
      </c>
      <c r="G26" s="14" t="s">
        <v>1176</v>
      </c>
      <c r="H26" s="14" t="s">
        <v>1177</v>
      </c>
      <c r="I26" s="14" t="s">
        <v>1178</v>
      </c>
      <c r="J26" s="14" t="s">
        <v>1179</v>
      </c>
      <c r="K26" s="14" t="s">
        <v>1180</v>
      </c>
      <c r="L26" s="14" t="s">
        <v>1181</v>
      </c>
      <c r="M26" s="14" t="s">
        <v>1182</v>
      </c>
      <c r="N26" s="14" t="s">
        <v>1183</v>
      </c>
      <c r="O26" s="14" t="s">
        <v>1184</v>
      </c>
    </row>
    <row r="27" spans="1:17">
      <c r="A27" s="263">
        <v>1227306</v>
      </c>
      <c r="B27" s="14">
        <v>0</v>
      </c>
      <c r="C27" s="14">
        <v>323</v>
      </c>
      <c r="D27" s="92">
        <v>267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546</v>
      </c>
      <c r="K27" s="14">
        <v>200</v>
      </c>
      <c r="L27" s="14">
        <v>0</v>
      </c>
      <c r="M27" s="14">
        <v>100</v>
      </c>
      <c r="N27" s="14">
        <v>0</v>
      </c>
      <c r="O27" s="14">
        <v>0</v>
      </c>
      <c r="Q27" s="184">
        <f>SUM(B27:O27)</f>
        <v>1436</v>
      </c>
    </row>
    <row r="28" spans="1:17">
      <c r="A28" s="263">
        <v>1231090</v>
      </c>
      <c r="B28" s="14">
        <v>0</v>
      </c>
      <c r="C28" s="14">
        <v>0</v>
      </c>
      <c r="D28" s="14">
        <v>90</v>
      </c>
      <c r="E28" s="16">
        <v>150</v>
      </c>
      <c r="F28" s="14">
        <v>0</v>
      </c>
      <c r="G28" s="14">
        <v>0</v>
      </c>
      <c r="H28" s="14">
        <v>0</v>
      </c>
      <c r="I28" s="14">
        <v>0</v>
      </c>
      <c r="J28" s="14">
        <v>542</v>
      </c>
      <c r="K28" s="14">
        <v>0</v>
      </c>
      <c r="L28" s="14">
        <v>0</v>
      </c>
      <c r="M28" s="14">
        <v>1260</v>
      </c>
      <c r="N28" s="14">
        <v>0</v>
      </c>
      <c r="O28" s="14">
        <v>0</v>
      </c>
      <c r="Q28" s="184">
        <f t="shared" ref="Q28:Q62" si="0">SUM(B28:O28)</f>
        <v>2042</v>
      </c>
    </row>
    <row r="29" spans="1:17">
      <c r="A29" s="263">
        <v>1229776</v>
      </c>
      <c r="B29" s="14">
        <v>0</v>
      </c>
      <c r="C29" s="14">
        <v>0</v>
      </c>
      <c r="D29" s="14">
        <v>90</v>
      </c>
      <c r="E29" s="16">
        <v>150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180</v>
      </c>
      <c r="N29" s="14">
        <v>0</v>
      </c>
      <c r="O29" s="14">
        <v>0</v>
      </c>
      <c r="Q29" s="184">
        <f t="shared" si="0"/>
        <v>420</v>
      </c>
    </row>
    <row r="30" spans="1:17">
      <c r="A30" s="263">
        <v>1225464</v>
      </c>
      <c r="B30" s="14">
        <v>252</v>
      </c>
      <c r="C30" s="14">
        <v>654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Q30" s="184">
        <f t="shared" si="0"/>
        <v>906</v>
      </c>
    </row>
    <row r="31" spans="1:17">
      <c r="A31" s="263">
        <v>1231797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35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Q31" s="184">
        <f t="shared" si="0"/>
        <v>35</v>
      </c>
    </row>
    <row r="32" spans="1:17">
      <c r="A32" s="263">
        <v>1229088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N32" s="14">
        <v>0</v>
      </c>
      <c r="O32" s="14">
        <v>0</v>
      </c>
      <c r="Q32" s="184">
        <f t="shared" si="0"/>
        <v>0</v>
      </c>
    </row>
    <row r="33" spans="1:17">
      <c r="A33" s="263">
        <v>1232693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5</v>
      </c>
      <c r="L33" s="14">
        <v>0</v>
      </c>
      <c r="M33" s="14">
        <v>0</v>
      </c>
      <c r="N33" s="14">
        <v>0</v>
      </c>
      <c r="O33" s="14">
        <v>0</v>
      </c>
      <c r="Q33" s="184">
        <f t="shared" si="0"/>
        <v>5</v>
      </c>
    </row>
    <row r="34" spans="1:17">
      <c r="A34" s="263">
        <v>1233025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5</v>
      </c>
      <c r="L34" s="14">
        <v>0</v>
      </c>
      <c r="M34" s="14">
        <v>0</v>
      </c>
      <c r="N34" s="14">
        <v>0</v>
      </c>
      <c r="O34" s="14">
        <v>0</v>
      </c>
      <c r="Q34" s="184">
        <f t="shared" si="0"/>
        <v>5</v>
      </c>
    </row>
    <row r="35" spans="1:17">
      <c r="A35" s="263">
        <v>1234222</v>
      </c>
      <c r="B35" s="14">
        <v>0</v>
      </c>
      <c r="C35" s="14">
        <v>0</v>
      </c>
      <c r="D35" s="14">
        <v>0</v>
      </c>
      <c r="E35" s="14">
        <v>0</v>
      </c>
      <c r="F35" s="14">
        <v>59</v>
      </c>
      <c r="G35" s="14">
        <v>0</v>
      </c>
      <c r="H35" s="14">
        <v>0</v>
      </c>
      <c r="I35" s="14">
        <v>559</v>
      </c>
      <c r="J35" s="14">
        <v>390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Q35" s="184">
        <f t="shared" si="0"/>
        <v>1008</v>
      </c>
    </row>
    <row r="36" spans="1:17">
      <c r="A36" s="263">
        <v>1232528</v>
      </c>
      <c r="B36" s="14">
        <v>891</v>
      </c>
      <c r="C36" s="14">
        <v>1246</v>
      </c>
      <c r="D36" s="14">
        <v>923</v>
      </c>
      <c r="E36" s="16">
        <v>574</v>
      </c>
      <c r="F36" s="14">
        <v>440</v>
      </c>
      <c r="G36" s="14">
        <v>0</v>
      </c>
      <c r="H36" s="14">
        <v>0</v>
      </c>
      <c r="I36" s="14">
        <v>464</v>
      </c>
      <c r="J36" s="14">
        <v>686</v>
      </c>
      <c r="K36" s="14">
        <v>990</v>
      </c>
      <c r="L36" s="14">
        <v>1246</v>
      </c>
      <c r="M36" s="14">
        <v>5450</v>
      </c>
      <c r="N36" s="14">
        <v>0</v>
      </c>
      <c r="O36" s="14">
        <v>0</v>
      </c>
      <c r="Q36" s="184">
        <f t="shared" si="0"/>
        <v>12910</v>
      </c>
    </row>
    <row r="37" spans="1:17">
      <c r="A37" s="263">
        <v>1232846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1248</v>
      </c>
      <c r="M37" s="14">
        <v>1270</v>
      </c>
      <c r="N37" s="14">
        <v>0</v>
      </c>
      <c r="O37" s="14">
        <v>0</v>
      </c>
      <c r="Q37" s="184">
        <f t="shared" si="0"/>
        <v>2518</v>
      </c>
    </row>
    <row r="38" spans="1:17">
      <c r="A38" s="263">
        <v>1233383</v>
      </c>
      <c r="B38" s="14">
        <v>0</v>
      </c>
      <c r="C38" s="14">
        <v>0</v>
      </c>
      <c r="D38" s="14">
        <v>101</v>
      </c>
      <c r="E38" s="16">
        <v>117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Q38" s="184">
        <f t="shared" si="0"/>
        <v>218</v>
      </c>
    </row>
    <row r="39" spans="1:17">
      <c r="A39" s="263">
        <v>1220847</v>
      </c>
      <c r="B39" s="14">
        <v>213</v>
      </c>
      <c r="C39" s="14">
        <v>27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5250</v>
      </c>
      <c r="N39" s="14">
        <v>0</v>
      </c>
      <c r="O39" s="14">
        <v>0</v>
      </c>
      <c r="Q39" s="184">
        <f t="shared" si="0"/>
        <v>5490</v>
      </c>
    </row>
    <row r="40" spans="1:17">
      <c r="A40" s="263">
        <v>1235097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200</v>
      </c>
      <c r="L40" s="14">
        <v>200</v>
      </c>
      <c r="M40" s="14">
        <v>0</v>
      </c>
      <c r="N40" s="14">
        <v>0</v>
      </c>
      <c r="O40" s="14">
        <v>0</v>
      </c>
      <c r="Q40" s="184">
        <f t="shared" si="0"/>
        <v>400</v>
      </c>
    </row>
    <row r="41" spans="1:17">
      <c r="A41" s="263">
        <v>1236600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420</v>
      </c>
      <c r="L41" s="14">
        <v>540</v>
      </c>
      <c r="M41" s="14">
        <v>39</v>
      </c>
      <c r="N41" s="14">
        <v>0</v>
      </c>
      <c r="O41" s="14">
        <v>0</v>
      </c>
      <c r="Q41" s="184">
        <f t="shared" si="0"/>
        <v>999</v>
      </c>
    </row>
    <row r="42" spans="1:17">
      <c r="A42" s="263">
        <v>1236601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143</v>
      </c>
      <c r="N42" s="14">
        <v>0</v>
      </c>
      <c r="O42" s="14">
        <v>0</v>
      </c>
      <c r="Q42" s="184">
        <f t="shared" si="0"/>
        <v>143</v>
      </c>
    </row>
    <row r="43" spans="1:17">
      <c r="A43" s="263">
        <v>1236619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90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Q43" s="184">
        <f t="shared" si="0"/>
        <v>90</v>
      </c>
    </row>
    <row r="44" spans="1:17">
      <c r="A44" s="263">
        <v>1236930</v>
      </c>
      <c r="B44" s="14">
        <v>267</v>
      </c>
      <c r="C44" s="14">
        <v>321</v>
      </c>
      <c r="D44" s="14">
        <v>240</v>
      </c>
      <c r="E44" s="14">
        <v>396</v>
      </c>
      <c r="F44" s="16">
        <v>509</v>
      </c>
      <c r="G44" s="14">
        <v>0</v>
      </c>
      <c r="H44" s="14">
        <v>0</v>
      </c>
      <c r="I44" s="14">
        <v>1105</v>
      </c>
      <c r="J44" s="14">
        <v>400</v>
      </c>
      <c r="K44" s="14">
        <v>522</v>
      </c>
      <c r="L44" s="14">
        <v>612</v>
      </c>
      <c r="M44" s="14">
        <v>1270</v>
      </c>
      <c r="N44" s="14">
        <v>0</v>
      </c>
      <c r="O44" s="14">
        <v>0</v>
      </c>
      <c r="Q44" s="184">
        <f t="shared" si="0"/>
        <v>5642</v>
      </c>
    </row>
    <row r="45" spans="1:17">
      <c r="A45" s="263">
        <v>1237468</v>
      </c>
      <c r="B45" s="14">
        <v>0</v>
      </c>
      <c r="C45" s="14">
        <v>368</v>
      </c>
      <c r="D45" s="14">
        <v>120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Q45" s="184">
        <f t="shared" si="0"/>
        <v>488</v>
      </c>
    </row>
    <row r="46" spans="1:17">
      <c r="A46" s="263">
        <v>1237210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160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Q46" s="184">
        <f t="shared" si="0"/>
        <v>160</v>
      </c>
    </row>
    <row r="47" spans="1:17">
      <c r="A47" s="263">
        <v>1237457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18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Q47" s="184">
        <f t="shared" si="0"/>
        <v>18</v>
      </c>
    </row>
    <row r="48" spans="1:17">
      <c r="A48" s="263">
        <v>1237386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150</v>
      </c>
      <c r="M48" s="14">
        <v>0</v>
      </c>
      <c r="N48" s="14">
        <v>0</v>
      </c>
      <c r="O48" s="14">
        <v>0</v>
      </c>
      <c r="Q48" s="184">
        <f t="shared" si="0"/>
        <v>150</v>
      </c>
    </row>
    <row r="49" spans="1:17">
      <c r="A49" s="263">
        <v>1234905</v>
      </c>
      <c r="B49" s="14">
        <v>352</v>
      </c>
      <c r="C49" s="14">
        <v>138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Q49" s="184">
        <f t="shared" si="0"/>
        <v>490</v>
      </c>
    </row>
    <row r="50" spans="1:17">
      <c r="A50" s="263">
        <v>1238480</v>
      </c>
      <c r="B50" s="14">
        <v>815</v>
      </c>
      <c r="C50" s="14">
        <v>861</v>
      </c>
      <c r="D50" s="14">
        <v>646</v>
      </c>
      <c r="E50" s="16">
        <v>1097</v>
      </c>
      <c r="F50" s="14">
        <v>969</v>
      </c>
      <c r="G50" s="14">
        <v>0</v>
      </c>
      <c r="H50" s="14">
        <v>0</v>
      </c>
      <c r="I50" s="14">
        <v>1482</v>
      </c>
      <c r="J50" s="14">
        <v>1361</v>
      </c>
      <c r="K50" s="14">
        <v>700</v>
      </c>
      <c r="L50" s="14">
        <v>836</v>
      </c>
      <c r="M50" s="14">
        <v>1852</v>
      </c>
      <c r="N50" s="14">
        <v>0</v>
      </c>
      <c r="O50" s="14">
        <v>0</v>
      </c>
      <c r="Q50" s="184">
        <f t="shared" si="0"/>
        <v>10619</v>
      </c>
    </row>
    <row r="51" spans="1:17">
      <c r="A51" s="263">
        <v>1232775</v>
      </c>
      <c r="B51" s="14">
        <v>0</v>
      </c>
      <c r="C51" s="14">
        <v>0</v>
      </c>
      <c r="D51" s="14">
        <v>31</v>
      </c>
      <c r="E51" s="16">
        <v>285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241</v>
      </c>
      <c r="M51" s="14">
        <v>0</v>
      </c>
      <c r="N51" s="14">
        <v>0</v>
      </c>
      <c r="O51" s="14">
        <v>0</v>
      </c>
      <c r="Q51" s="184">
        <f t="shared" si="0"/>
        <v>557</v>
      </c>
    </row>
    <row r="52" spans="1:17">
      <c r="A52" s="263">
        <v>1240180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250</v>
      </c>
      <c r="L52" s="14">
        <v>0</v>
      </c>
      <c r="M52" s="14">
        <v>0</v>
      </c>
      <c r="N52" s="14">
        <v>0</v>
      </c>
      <c r="O52" s="14">
        <v>0</v>
      </c>
      <c r="Q52" s="184">
        <f t="shared" si="0"/>
        <v>250</v>
      </c>
    </row>
    <row r="53" spans="1:17">
      <c r="A53" s="263">
        <v>1240184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250</v>
      </c>
      <c r="L53" s="14">
        <v>0</v>
      </c>
      <c r="M53" s="14">
        <v>0</v>
      </c>
      <c r="N53" s="14">
        <v>0</v>
      </c>
      <c r="O53" s="14">
        <v>0</v>
      </c>
      <c r="Q53" s="184">
        <f t="shared" si="0"/>
        <v>250</v>
      </c>
    </row>
    <row r="54" spans="1:17">
      <c r="A54" s="263">
        <v>1216452</v>
      </c>
      <c r="B54" s="14">
        <v>0</v>
      </c>
      <c r="C54" s="14">
        <v>258</v>
      </c>
      <c r="D54" s="16">
        <v>102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Q54" s="184">
        <f t="shared" si="0"/>
        <v>360</v>
      </c>
    </row>
    <row r="55" spans="1:17">
      <c r="A55" s="263">
        <v>1231011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300</v>
      </c>
      <c r="M55" s="14">
        <v>0</v>
      </c>
      <c r="N55" s="14">
        <v>0</v>
      </c>
      <c r="O55" s="14">
        <v>0</v>
      </c>
      <c r="Q55" s="184">
        <f t="shared" si="0"/>
        <v>300</v>
      </c>
    </row>
    <row r="56" spans="1:17">
      <c r="A56" s="263">
        <v>1232894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1248</v>
      </c>
      <c r="M56" s="14">
        <v>900</v>
      </c>
      <c r="N56" s="14">
        <v>0</v>
      </c>
      <c r="O56" s="14">
        <v>0</v>
      </c>
      <c r="Q56" s="184">
        <f t="shared" si="0"/>
        <v>2148</v>
      </c>
    </row>
    <row r="57" spans="1:17">
      <c r="A57" s="263">
        <v>1233386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1120</v>
      </c>
      <c r="M57" s="14">
        <v>0</v>
      </c>
      <c r="N57" s="14">
        <v>0</v>
      </c>
      <c r="O57" s="14">
        <v>0</v>
      </c>
      <c r="Q57" s="184">
        <f t="shared" si="0"/>
        <v>1120</v>
      </c>
    </row>
    <row r="58" spans="1:17">
      <c r="A58" s="263">
        <v>1233387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128</v>
      </c>
      <c r="M58" s="14">
        <v>900</v>
      </c>
      <c r="N58" s="14">
        <v>0</v>
      </c>
      <c r="O58" s="14">
        <v>0</v>
      </c>
      <c r="Q58" s="184">
        <f t="shared" si="0"/>
        <v>1028</v>
      </c>
    </row>
    <row r="59" spans="1:17">
      <c r="A59" s="263">
        <v>1233385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253</v>
      </c>
      <c r="Q59" s="184">
        <f t="shared" si="0"/>
        <v>253</v>
      </c>
    </row>
    <row r="60" spans="1:17">
      <c r="A60" s="263">
        <v>1232895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370</v>
      </c>
      <c r="N60" s="14">
        <v>0</v>
      </c>
      <c r="O60" s="14">
        <v>0</v>
      </c>
      <c r="Q60" s="184">
        <f t="shared" si="0"/>
        <v>370</v>
      </c>
    </row>
    <row r="61" spans="1:17">
      <c r="A61" s="263">
        <v>1232922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370</v>
      </c>
      <c r="N61" s="14">
        <v>0</v>
      </c>
      <c r="O61" s="14">
        <v>0</v>
      </c>
      <c r="Q61" s="184">
        <f t="shared" si="0"/>
        <v>370</v>
      </c>
    </row>
    <row r="62" spans="1:17">
      <c r="A62" s="263">
        <v>1238092</v>
      </c>
      <c r="B62" s="14">
        <v>0</v>
      </c>
      <c r="C62" s="14">
        <v>0</v>
      </c>
      <c r="D62" s="14">
        <v>0</v>
      </c>
      <c r="E62" s="14">
        <v>0</v>
      </c>
      <c r="F62" s="14">
        <v>49</v>
      </c>
      <c r="G62" s="14">
        <v>0</v>
      </c>
      <c r="H62" s="14">
        <v>0</v>
      </c>
      <c r="I62" s="14">
        <v>95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Q62" s="184">
        <f t="shared" si="0"/>
        <v>144</v>
      </c>
    </row>
    <row r="64" spans="1:17">
      <c r="B64" s="14">
        <f>SUM(B27:B63)</f>
        <v>2790</v>
      </c>
      <c r="C64" s="14">
        <f t="shared" ref="C64:O64" si="1">SUM(C27:C63)</f>
        <v>4196</v>
      </c>
      <c r="D64" s="14">
        <f t="shared" si="1"/>
        <v>2610</v>
      </c>
      <c r="E64" s="14">
        <f t="shared" si="1"/>
        <v>2769</v>
      </c>
      <c r="F64" s="14">
        <f t="shared" si="1"/>
        <v>2026</v>
      </c>
      <c r="G64" s="14">
        <f t="shared" si="1"/>
        <v>0</v>
      </c>
      <c r="H64" s="14">
        <f t="shared" si="1"/>
        <v>0</v>
      </c>
      <c r="I64" s="14">
        <f t="shared" si="1"/>
        <v>3813</v>
      </c>
      <c r="J64" s="14">
        <f t="shared" si="1"/>
        <v>4120</v>
      </c>
      <c r="K64" s="14">
        <f t="shared" si="1"/>
        <v>3542</v>
      </c>
      <c r="L64" s="14">
        <f t="shared" si="1"/>
        <v>7869</v>
      </c>
      <c r="M64" s="14">
        <f t="shared" si="1"/>
        <v>19354</v>
      </c>
      <c r="N64" s="14">
        <f t="shared" si="1"/>
        <v>0</v>
      </c>
      <c r="O64" s="14">
        <f t="shared" si="1"/>
        <v>253</v>
      </c>
    </row>
    <row r="65" spans="2:15">
      <c r="B65" s="14">
        <v>2790</v>
      </c>
      <c r="C65" s="14">
        <v>4196</v>
      </c>
      <c r="D65" s="14">
        <v>2610</v>
      </c>
      <c r="E65" s="14">
        <v>2769</v>
      </c>
      <c r="F65" s="14">
        <v>2026</v>
      </c>
      <c r="G65" s="14">
        <v>0</v>
      </c>
      <c r="H65" s="14">
        <v>0</v>
      </c>
      <c r="I65" s="14">
        <v>3813</v>
      </c>
      <c r="J65" s="14">
        <v>4120</v>
      </c>
      <c r="K65" s="14">
        <v>3542</v>
      </c>
      <c r="L65" s="14">
        <v>7869</v>
      </c>
      <c r="M65" s="14">
        <v>19354</v>
      </c>
      <c r="N65" s="14">
        <v>0</v>
      </c>
      <c r="O65" s="14">
        <v>0</v>
      </c>
    </row>
    <row r="66" spans="2:15">
      <c r="B66" s="14">
        <f>+B64-B65</f>
        <v>0</v>
      </c>
      <c r="C66" s="14">
        <f t="shared" ref="C66:O66" si="2">+C64-C65</f>
        <v>0</v>
      </c>
      <c r="D66" s="14">
        <f t="shared" si="2"/>
        <v>0</v>
      </c>
      <c r="E66" s="14">
        <f t="shared" si="2"/>
        <v>0</v>
      </c>
      <c r="F66" s="14">
        <f t="shared" si="2"/>
        <v>0</v>
      </c>
      <c r="G66" s="14">
        <f t="shared" si="2"/>
        <v>0</v>
      </c>
      <c r="H66" s="14">
        <f t="shared" si="2"/>
        <v>0</v>
      </c>
      <c r="I66" s="14">
        <f t="shared" si="2"/>
        <v>0</v>
      </c>
      <c r="J66" s="14">
        <f t="shared" si="2"/>
        <v>0</v>
      </c>
      <c r="K66" s="14">
        <f t="shared" si="2"/>
        <v>0</v>
      </c>
      <c r="L66" s="14">
        <f t="shared" si="2"/>
        <v>0</v>
      </c>
      <c r="M66" s="14">
        <f t="shared" si="2"/>
        <v>0</v>
      </c>
      <c r="N66" s="14">
        <f t="shared" si="2"/>
        <v>0</v>
      </c>
      <c r="O66" s="14">
        <f t="shared" si="2"/>
        <v>253</v>
      </c>
    </row>
  </sheetData>
  <autoFilter ref="A1:O15" xr:uid="{CDAF6662-7541-4EC0-BC33-A2C7B10B10C7}"/>
  <phoneticPr fontId="1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BB96-AA02-4F07-8915-F3E62CF5F3D3}">
  <dimension ref="A1:U71"/>
  <sheetViews>
    <sheetView topLeftCell="A25" zoomScale="130" zoomScaleNormal="130" workbookViewId="0">
      <selection activeCell="R30" sqref="R30"/>
    </sheetView>
  </sheetViews>
  <sheetFormatPr defaultRowHeight="11.25"/>
  <cols>
    <col min="1" max="1" width="9.1640625" style="13"/>
    <col min="2" max="2" width="9.1640625" style="14"/>
    <col min="3" max="20" width="9.1640625" style="14" customWidth="1"/>
    <col min="21" max="21" width="9.1640625" style="14"/>
  </cols>
  <sheetData>
    <row r="1" spans="1:21">
      <c r="A1" s="25" t="s">
        <v>0</v>
      </c>
      <c r="B1" s="14" t="s">
        <v>1185</v>
      </c>
      <c r="C1" s="14" t="s">
        <v>1186</v>
      </c>
      <c r="D1" s="14" t="s">
        <v>1187</v>
      </c>
      <c r="E1" s="16" t="s">
        <v>1188</v>
      </c>
      <c r="F1" s="14" t="s">
        <v>1189</v>
      </c>
      <c r="G1" s="14" t="s">
        <v>1190</v>
      </c>
      <c r="H1" s="14" t="s">
        <v>1191</v>
      </c>
      <c r="I1" s="14" t="s">
        <v>1192</v>
      </c>
      <c r="J1" s="14" t="s">
        <v>1193</v>
      </c>
      <c r="K1" s="14" t="s">
        <v>1194</v>
      </c>
      <c r="L1" s="14" t="s">
        <v>1195</v>
      </c>
      <c r="M1" s="14" t="s">
        <v>1196</v>
      </c>
      <c r="N1" s="14" t="s">
        <v>1197</v>
      </c>
      <c r="O1" s="14" t="s">
        <v>1199</v>
      </c>
      <c r="P1" s="14" t="s">
        <v>1201</v>
      </c>
      <c r="Q1" s="14" t="s">
        <v>1203</v>
      </c>
      <c r="R1" s="14" t="s">
        <v>1205</v>
      </c>
      <c r="S1" s="14" t="s">
        <v>1207</v>
      </c>
      <c r="T1" s="14" t="s">
        <v>1209</v>
      </c>
      <c r="U1" s="14" t="s">
        <v>1211</v>
      </c>
    </row>
    <row r="2" spans="1:21">
      <c r="A2" s="13">
        <v>1229673</v>
      </c>
      <c r="B2" s="14">
        <v>250</v>
      </c>
      <c r="C2" s="14">
        <v>250</v>
      </c>
      <c r="D2" s="14">
        <v>250</v>
      </c>
      <c r="E2" s="16">
        <v>300</v>
      </c>
      <c r="F2" s="14">
        <v>0</v>
      </c>
      <c r="G2" s="14">
        <v>0</v>
      </c>
      <c r="H2" s="14">
        <v>300</v>
      </c>
      <c r="I2" s="14">
        <v>300</v>
      </c>
      <c r="J2" s="14">
        <v>300</v>
      </c>
      <c r="K2" s="14">
        <v>300</v>
      </c>
      <c r="L2" s="14">
        <v>300</v>
      </c>
      <c r="M2" s="14">
        <v>0</v>
      </c>
      <c r="N2" s="14">
        <v>0</v>
      </c>
      <c r="O2" s="14">
        <v>250</v>
      </c>
      <c r="P2" s="14">
        <v>250</v>
      </c>
      <c r="Q2" s="14">
        <v>250</v>
      </c>
      <c r="R2" s="14">
        <v>300</v>
      </c>
      <c r="S2" s="14">
        <v>300</v>
      </c>
      <c r="T2" s="14">
        <v>0</v>
      </c>
      <c r="U2" s="14">
        <v>0</v>
      </c>
    </row>
    <row r="3" spans="1:21">
      <c r="A3" s="13">
        <v>1230854</v>
      </c>
      <c r="B3" s="14">
        <v>0</v>
      </c>
      <c r="C3" s="14">
        <v>0</v>
      </c>
      <c r="D3" s="14">
        <v>200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100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</row>
    <row r="4" spans="1:21">
      <c r="A4" s="13">
        <v>1235623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508</v>
      </c>
      <c r="P4" s="14">
        <v>960</v>
      </c>
      <c r="Q4" s="14">
        <v>404</v>
      </c>
      <c r="R4" s="14">
        <v>0</v>
      </c>
      <c r="S4" s="14">
        <v>0</v>
      </c>
      <c r="T4" s="14">
        <v>0</v>
      </c>
      <c r="U4" s="14">
        <v>0</v>
      </c>
    </row>
    <row r="5" spans="1:21">
      <c r="A5" s="13">
        <v>1237088</v>
      </c>
      <c r="B5" s="14">
        <v>804</v>
      </c>
      <c r="C5" s="14">
        <v>518</v>
      </c>
      <c r="D5" s="14">
        <v>746</v>
      </c>
      <c r="E5" s="16">
        <v>418</v>
      </c>
      <c r="F5" s="14">
        <v>0</v>
      </c>
      <c r="G5" s="14">
        <v>0</v>
      </c>
      <c r="H5" s="14">
        <v>436</v>
      </c>
      <c r="I5" s="14">
        <v>158</v>
      </c>
      <c r="J5" s="14">
        <v>626</v>
      </c>
      <c r="K5" s="14">
        <v>466</v>
      </c>
      <c r="L5" s="14">
        <v>230</v>
      </c>
      <c r="M5" s="14">
        <v>0</v>
      </c>
      <c r="N5" s="14">
        <v>0</v>
      </c>
      <c r="O5" s="14">
        <v>700</v>
      </c>
      <c r="P5" s="14">
        <v>868</v>
      </c>
      <c r="Q5" s="14">
        <v>908</v>
      </c>
      <c r="R5" s="14">
        <v>542</v>
      </c>
      <c r="S5" s="14">
        <v>178</v>
      </c>
      <c r="T5" s="14">
        <v>0</v>
      </c>
      <c r="U5" s="14">
        <v>0</v>
      </c>
    </row>
    <row r="6" spans="1:21">
      <c r="A6" s="13">
        <v>1236091</v>
      </c>
      <c r="B6" s="14">
        <v>0</v>
      </c>
      <c r="C6" s="14">
        <v>200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300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</row>
    <row r="7" spans="1:21">
      <c r="A7" s="13">
        <v>1234905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566</v>
      </c>
      <c r="T7" s="14">
        <v>0</v>
      </c>
      <c r="U7" s="14">
        <v>0</v>
      </c>
    </row>
    <row r="8" spans="1:21">
      <c r="A8" s="13">
        <v>1238128</v>
      </c>
      <c r="B8" s="14">
        <v>838</v>
      </c>
      <c r="C8" s="14">
        <v>464</v>
      </c>
      <c r="D8" s="14">
        <v>882</v>
      </c>
      <c r="E8" s="16">
        <v>464</v>
      </c>
      <c r="F8" s="14">
        <v>0</v>
      </c>
      <c r="G8" s="14">
        <v>0</v>
      </c>
      <c r="H8" s="14">
        <v>464</v>
      </c>
      <c r="I8" s="14">
        <v>82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</row>
    <row r="9" spans="1:21">
      <c r="A9" s="13">
        <v>1237748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104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</row>
    <row r="10" spans="1:21">
      <c r="A10" s="13">
        <v>1236962</v>
      </c>
      <c r="B10" s="14">
        <v>200</v>
      </c>
      <c r="C10" s="14">
        <v>200</v>
      </c>
      <c r="D10" s="14">
        <v>300</v>
      </c>
      <c r="E10" s="14">
        <v>0</v>
      </c>
      <c r="F10" s="14">
        <v>0</v>
      </c>
      <c r="G10" s="14">
        <v>0</v>
      </c>
      <c r="H10" s="14">
        <v>300</v>
      </c>
      <c r="I10" s="14">
        <v>300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200</v>
      </c>
      <c r="P10" s="14">
        <v>0</v>
      </c>
      <c r="Q10" s="14">
        <v>0</v>
      </c>
      <c r="R10" s="14">
        <v>308</v>
      </c>
      <c r="S10" s="14">
        <v>200</v>
      </c>
      <c r="T10" s="14">
        <v>0</v>
      </c>
      <c r="U10" s="14">
        <v>0</v>
      </c>
    </row>
    <row r="11" spans="1:21">
      <c r="A11" s="13">
        <v>1233761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350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</row>
    <row r="12" spans="1:21">
      <c r="A12" s="13">
        <v>1239651</v>
      </c>
      <c r="B12" s="14">
        <v>0</v>
      </c>
      <c r="C12" s="14">
        <v>0</v>
      </c>
      <c r="D12" s="14">
        <v>0</v>
      </c>
      <c r="E12" s="16">
        <v>400</v>
      </c>
      <c r="F12" s="14">
        <v>0</v>
      </c>
      <c r="G12" s="14">
        <v>0</v>
      </c>
      <c r="H12" s="14">
        <v>100</v>
      </c>
      <c r="I12" s="14">
        <v>0</v>
      </c>
      <c r="J12" s="14">
        <v>0</v>
      </c>
      <c r="K12" s="14">
        <v>400</v>
      </c>
      <c r="L12" s="14">
        <v>0</v>
      </c>
      <c r="M12" s="14">
        <v>0</v>
      </c>
      <c r="N12" s="14">
        <v>0</v>
      </c>
      <c r="O12" s="14">
        <v>0</v>
      </c>
      <c r="P12" s="14">
        <v>300</v>
      </c>
      <c r="Q12" s="14">
        <v>0</v>
      </c>
      <c r="R12" s="14">
        <v>150</v>
      </c>
      <c r="S12" s="14">
        <v>0</v>
      </c>
      <c r="T12" s="14">
        <v>0</v>
      </c>
      <c r="U12" s="14">
        <v>0</v>
      </c>
    </row>
    <row r="13" spans="1:21">
      <c r="A13" s="13">
        <v>1240180</v>
      </c>
      <c r="B13" s="14">
        <v>0</v>
      </c>
      <c r="C13" s="14">
        <v>140</v>
      </c>
      <c r="D13" s="14">
        <v>390</v>
      </c>
      <c r="E13" s="16">
        <v>306</v>
      </c>
      <c r="F13" s="14">
        <v>0</v>
      </c>
      <c r="G13" s="14">
        <v>0</v>
      </c>
      <c r="H13" s="14">
        <v>306</v>
      </c>
      <c r="I13" s="14">
        <v>390</v>
      </c>
      <c r="J13" s="14">
        <v>306</v>
      </c>
      <c r="K13" s="14">
        <v>390</v>
      </c>
      <c r="L13" s="14">
        <v>306</v>
      </c>
      <c r="M13" s="14">
        <v>0</v>
      </c>
      <c r="N13" s="14">
        <v>0</v>
      </c>
      <c r="O13" s="14">
        <v>338</v>
      </c>
      <c r="P13" s="14">
        <v>430</v>
      </c>
      <c r="Q13" s="14">
        <v>338</v>
      </c>
      <c r="R13" s="14">
        <v>420</v>
      </c>
      <c r="S13" s="14">
        <v>0</v>
      </c>
      <c r="T13" s="14">
        <v>0</v>
      </c>
      <c r="U13" s="14">
        <v>0</v>
      </c>
    </row>
    <row r="14" spans="1:21">
      <c r="A14" s="13">
        <v>1240184</v>
      </c>
      <c r="B14" s="14">
        <v>0</v>
      </c>
      <c r="C14" s="14">
        <v>0</v>
      </c>
      <c r="D14" s="14">
        <v>314</v>
      </c>
      <c r="E14" s="16">
        <v>306</v>
      </c>
      <c r="F14" s="14">
        <v>0</v>
      </c>
      <c r="G14" s="14">
        <v>0</v>
      </c>
      <c r="H14" s="14">
        <v>306</v>
      </c>
      <c r="I14" s="14">
        <v>390</v>
      </c>
      <c r="J14" s="14">
        <v>306</v>
      </c>
      <c r="K14" s="14">
        <v>390</v>
      </c>
      <c r="L14" s="14">
        <v>306</v>
      </c>
      <c r="M14" s="14">
        <v>0</v>
      </c>
      <c r="N14" s="14">
        <v>0</v>
      </c>
      <c r="O14" s="14">
        <v>338</v>
      </c>
      <c r="P14" s="14">
        <v>296</v>
      </c>
      <c r="Q14" s="14">
        <v>338</v>
      </c>
      <c r="R14" s="14">
        <v>420</v>
      </c>
      <c r="S14" s="14">
        <v>0</v>
      </c>
      <c r="T14" s="14">
        <v>0</v>
      </c>
      <c r="U14" s="14">
        <v>0</v>
      </c>
    </row>
    <row r="15" spans="1:21">
      <c r="A15" s="13">
        <v>1240308</v>
      </c>
      <c r="B15" s="14">
        <v>150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350</v>
      </c>
      <c r="J15" s="14">
        <v>0</v>
      </c>
      <c r="K15" s="14">
        <v>0</v>
      </c>
      <c r="L15" s="14">
        <v>94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100</v>
      </c>
      <c r="S15" s="14">
        <v>0</v>
      </c>
      <c r="T15" s="14">
        <v>0</v>
      </c>
      <c r="U15" s="14">
        <v>0</v>
      </c>
    </row>
    <row r="16" spans="1:21">
      <c r="A16" s="13">
        <v>1241601</v>
      </c>
      <c r="B16" s="14">
        <v>1048</v>
      </c>
      <c r="C16" s="14">
        <v>1148</v>
      </c>
      <c r="D16" s="14">
        <v>1082</v>
      </c>
      <c r="E16" s="16">
        <v>1188</v>
      </c>
      <c r="F16" s="14">
        <v>0</v>
      </c>
      <c r="G16" s="14">
        <v>0</v>
      </c>
      <c r="H16" s="14">
        <v>1084</v>
      </c>
      <c r="I16" s="14">
        <v>1380</v>
      </c>
      <c r="J16" s="14">
        <v>1352</v>
      </c>
      <c r="K16" s="14">
        <v>1704</v>
      </c>
      <c r="L16" s="14">
        <v>1112</v>
      </c>
      <c r="M16" s="14">
        <v>0</v>
      </c>
      <c r="N16" s="14">
        <v>0</v>
      </c>
      <c r="O16" s="14">
        <v>1112</v>
      </c>
      <c r="P16" s="14">
        <v>1564</v>
      </c>
      <c r="Q16" s="14">
        <v>950</v>
      </c>
      <c r="R16" s="14">
        <v>2168</v>
      </c>
      <c r="S16" s="14">
        <v>1156</v>
      </c>
      <c r="T16" s="14">
        <v>0</v>
      </c>
      <c r="U16" s="14">
        <v>0</v>
      </c>
    </row>
    <row r="17" spans="1:21">
      <c r="A17" s="13">
        <v>1242242</v>
      </c>
      <c r="B17" s="14">
        <v>78</v>
      </c>
      <c r="C17" s="14">
        <v>122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</row>
    <row r="21" spans="1:21">
      <c r="A21" s="25" t="s">
        <v>0</v>
      </c>
      <c r="B21" s="14" t="s">
        <v>1185</v>
      </c>
      <c r="C21" s="14" t="s">
        <v>1186</v>
      </c>
      <c r="D21" s="14" t="s">
        <v>1187</v>
      </c>
      <c r="E21" s="14" t="s">
        <v>1188</v>
      </c>
      <c r="F21" s="14" t="s">
        <v>1189</v>
      </c>
      <c r="G21" s="14" t="s">
        <v>1190</v>
      </c>
      <c r="H21" s="14" t="s">
        <v>1191</v>
      </c>
      <c r="I21" s="14" t="s">
        <v>1192</v>
      </c>
      <c r="J21" s="14" t="s">
        <v>1193</v>
      </c>
      <c r="K21" s="14" t="s">
        <v>1194</v>
      </c>
      <c r="L21" s="14" t="s">
        <v>1195</v>
      </c>
      <c r="M21" s="14" t="s">
        <v>1196</v>
      </c>
      <c r="N21" s="14" t="s">
        <v>1197</v>
      </c>
      <c r="O21" s="14" t="s">
        <v>1199</v>
      </c>
      <c r="P21" s="14" t="s">
        <v>1201</v>
      </c>
      <c r="Q21" s="14" t="s">
        <v>1203</v>
      </c>
      <c r="R21" s="14" t="s">
        <v>1205</v>
      </c>
      <c r="S21" s="14" t="s">
        <v>1207</v>
      </c>
      <c r="T21" s="14" t="s">
        <v>1209</v>
      </c>
      <c r="U21" s="14" t="s">
        <v>1211</v>
      </c>
    </row>
    <row r="22" spans="1:21">
      <c r="A22" s="13">
        <v>1232846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44</v>
      </c>
      <c r="R22" s="14">
        <v>0</v>
      </c>
      <c r="S22" s="14">
        <v>352</v>
      </c>
      <c r="T22" s="14">
        <v>0</v>
      </c>
      <c r="U22" s="14">
        <v>0</v>
      </c>
    </row>
    <row r="23" spans="1:21">
      <c r="A23" s="13">
        <v>1232895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44</v>
      </c>
      <c r="R23" s="14">
        <v>0</v>
      </c>
      <c r="S23" s="14">
        <v>352</v>
      </c>
      <c r="T23" s="14">
        <v>0</v>
      </c>
      <c r="U23" s="14">
        <v>0</v>
      </c>
    </row>
    <row r="24" spans="1:21">
      <c r="A24" s="13">
        <v>1233384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44</v>
      </c>
      <c r="R24" s="14">
        <v>0</v>
      </c>
      <c r="S24" s="14">
        <v>352</v>
      </c>
      <c r="T24" s="14">
        <v>0</v>
      </c>
      <c r="U24" s="14">
        <v>0</v>
      </c>
    </row>
    <row r="25" spans="1:21">
      <c r="A25" s="13">
        <v>1236110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100</v>
      </c>
      <c r="Q25" s="14">
        <v>200</v>
      </c>
      <c r="R25" s="14">
        <v>0</v>
      </c>
      <c r="S25" s="14">
        <v>0</v>
      </c>
      <c r="T25" s="14">
        <v>0</v>
      </c>
      <c r="U25" s="14">
        <v>0</v>
      </c>
    </row>
    <row r="26" spans="1:21">
      <c r="A26" s="13">
        <v>1236387</v>
      </c>
      <c r="B26" s="14">
        <v>357</v>
      </c>
      <c r="C26" s="14">
        <v>357</v>
      </c>
      <c r="D26" s="14">
        <v>255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110</v>
      </c>
      <c r="T26" s="14">
        <v>0</v>
      </c>
      <c r="U26" s="14">
        <v>0</v>
      </c>
    </row>
    <row r="27" spans="1:21">
      <c r="A27" s="13">
        <v>1232775</v>
      </c>
      <c r="B27" s="14">
        <v>242</v>
      </c>
      <c r="C27" s="14">
        <v>242</v>
      </c>
      <c r="D27" s="14">
        <v>245</v>
      </c>
      <c r="E27" s="14">
        <v>242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159</v>
      </c>
      <c r="L27" s="14">
        <v>484</v>
      </c>
      <c r="M27" s="14">
        <v>0</v>
      </c>
      <c r="N27" s="14">
        <v>0</v>
      </c>
      <c r="O27" s="14">
        <v>487</v>
      </c>
      <c r="P27" s="14">
        <v>487</v>
      </c>
      <c r="Q27" s="14">
        <v>275</v>
      </c>
      <c r="R27" s="14">
        <v>0</v>
      </c>
      <c r="S27" s="14">
        <v>0</v>
      </c>
      <c r="T27" s="14">
        <v>0</v>
      </c>
      <c r="U27" s="14">
        <v>0</v>
      </c>
    </row>
    <row r="28" spans="1:21">
      <c r="A28" s="13">
        <v>1230685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183</v>
      </c>
      <c r="R28" s="14">
        <v>0</v>
      </c>
      <c r="S28" s="14">
        <v>217</v>
      </c>
      <c r="T28" s="14">
        <v>0</v>
      </c>
      <c r="U28" s="14">
        <v>0</v>
      </c>
    </row>
    <row r="29" spans="1:21">
      <c r="A29" s="13">
        <v>1238605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73">
        <v>175</v>
      </c>
      <c r="I29" s="14">
        <v>190</v>
      </c>
      <c r="J29" s="14">
        <v>187</v>
      </c>
      <c r="K29" s="14">
        <v>58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</row>
    <row r="33" spans="1:21">
      <c r="A33" s="256" t="s">
        <v>0</v>
      </c>
      <c r="B33" s="257" t="s">
        <v>1083</v>
      </c>
      <c r="C33" s="257" t="s">
        <v>1084</v>
      </c>
      <c r="D33" s="257" t="s">
        <v>1085</v>
      </c>
      <c r="E33" s="257" t="s">
        <v>1086</v>
      </c>
      <c r="F33" s="257" t="s">
        <v>1087</v>
      </c>
      <c r="G33" s="258" t="s">
        <v>1088</v>
      </c>
      <c r="H33" s="257" t="s">
        <v>1145</v>
      </c>
      <c r="I33" s="257" t="s">
        <v>1146</v>
      </c>
      <c r="J33" s="257" t="s">
        <v>1147</v>
      </c>
      <c r="K33" s="257" t="s">
        <v>1148</v>
      </c>
      <c r="L33" s="257" t="s">
        <v>1149</v>
      </c>
      <c r="M33" s="257" t="s">
        <v>1150</v>
      </c>
      <c r="N33" s="258" t="s">
        <v>1151</v>
      </c>
      <c r="O33" s="257" t="s">
        <v>1198</v>
      </c>
      <c r="P33" s="257" t="s">
        <v>1200</v>
      </c>
      <c r="Q33" s="257" t="s">
        <v>1202</v>
      </c>
      <c r="R33" s="257" t="s">
        <v>1204</v>
      </c>
      <c r="S33" s="257" t="s">
        <v>1206</v>
      </c>
      <c r="T33" s="257" t="s">
        <v>1208</v>
      </c>
      <c r="U33" s="258" t="s">
        <v>1210</v>
      </c>
    </row>
    <row r="34" spans="1:21">
      <c r="A34" s="265">
        <v>1234614</v>
      </c>
      <c r="B34" s="259">
        <v>0</v>
      </c>
      <c r="C34" s="259">
        <v>0</v>
      </c>
      <c r="D34" s="259">
        <v>0</v>
      </c>
      <c r="E34" s="259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0</v>
      </c>
      <c r="P34" s="259">
        <v>450</v>
      </c>
      <c r="Q34" s="259">
        <v>150</v>
      </c>
      <c r="R34" s="259">
        <v>0</v>
      </c>
      <c r="S34" s="259">
        <v>468</v>
      </c>
      <c r="T34" s="259">
        <v>0</v>
      </c>
      <c r="U34" s="259">
        <v>0</v>
      </c>
    </row>
    <row r="35" spans="1:21">
      <c r="A35" s="255">
        <v>1221967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225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</row>
    <row r="36" spans="1:21">
      <c r="A36" s="255">
        <v>1227306</v>
      </c>
      <c r="B36" s="259">
        <v>323</v>
      </c>
      <c r="C36" s="259">
        <v>267</v>
      </c>
      <c r="D36" s="259">
        <v>0</v>
      </c>
      <c r="E36" s="259">
        <v>0</v>
      </c>
      <c r="F36" s="259">
        <v>0</v>
      </c>
      <c r="G36" s="259">
        <v>0</v>
      </c>
      <c r="H36" s="259">
        <v>0</v>
      </c>
      <c r="I36" s="259">
        <v>546</v>
      </c>
      <c r="J36" s="259">
        <v>200</v>
      </c>
      <c r="K36" s="259">
        <v>0</v>
      </c>
      <c r="L36" s="259">
        <v>300</v>
      </c>
      <c r="M36" s="259">
        <v>0</v>
      </c>
      <c r="N36" s="259">
        <v>0</v>
      </c>
      <c r="O36" s="259">
        <v>0</v>
      </c>
      <c r="P36" s="259">
        <v>0</v>
      </c>
      <c r="Q36" s="259">
        <v>0</v>
      </c>
      <c r="R36" s="259">
        <v>0</v>
      </c>
      <c r="S36" s="259">
        <v>0</v>
      </c>
      <c r="T36" s="259">
        <v>0</v>
      </c>
      <c r="U36" s="259">
        <v>0</v>
      </c>
    </row>
    <row r="37" spans="1:21">
      <c r="A37" s="255">
        <v>1231090</v>
      </c>
      <c r="B37" s="259">
        <v>0</v>
      </c>
      <c r="C37" s="259">
        <v>90</v>
      </c>
      <c r="D37" s="259">
        <v>150</v>
      </c>
      <c r="E37" s="259">
        <v>0</v>
      </c>
      <c r="F37" s="259">
        <v>0</v>
      </c>
      <c r="G37" s="259">
        <v>0</v>
      </c>
      <c r="H37" s="259">
        <v>190</v>
      </c>
      <c r="I37" s="259">
        <v>0</v>
      </c>
      <c r="J37" s="259">
        <v>542</v>
      </c>
      <c r="K37" s="259">
        <v>0</v>
      </c>
      <c r="L37" s="259">
        <v>90</v>
      </c>
      <c r="M37" s="259">
        <v>0</v>
      </c>
      <c r="N37" s="259">
        <v>0</v>
      </c>
      <c r="O37" s="259">
        <v>0</v>
      </c>
      <c r="P37" s="259">
        <v>0</v>
      </c>
      <c r="Q37" s="259">
        <v>0</v>
      </c>
      <c r="R37" s="259">
        <v>0</v>
      </c>
      <c r="S37" s="259">
        <v>1180</v>
      </c>
      <c r="T37" s="259">
        <v>0</v>
      </c>
      <c r="U37" s="259">
        <v>0</v>
      </c>
    </row>
    <row r="38" spans="1:21">
      <c r="A38" s="255">
        <v>1229776</v>
      </c>
      <c r="B38" s="259">
        <v>0</v>
      </c>
      <c r="C38" s="259">
        <v>90</v>
      </c>
      <c r="D38" s="259">
        <v>150</v>
      </c>
      <c r="E38" s="259">
        <v>0</v>
      </c>
      <c r="F38" s="259">
        <v>0</v>
      </c>
      <c r="G38" s="259">
        <v>0</v>
      </c>
      <c r="H38" s="259">
        <v>190</v>
      </c>
      <c r="I38" s="259">
        <v>0</v>
      </c>
      <c r="J38" s="259">
        <v>0</v>
      </c>
      <c r="K38" s="259">
        <v>0</v>
      </c>
      <c r="L38" s="259">
        <v>90</v>
      </c>
      <c r="M38" s="259">
        <v>0</v>
      </c>
      <c r="N38" s="259">
        <v>0</v>
      </c>
      <c r="O38" s="259">
        <v>0</v>
      </c>
      <c r="P38" s="259">
        <v>0</v>
      </c>
      <c r="Q38" s="259">
        <v>0</v>
      </c>
      <c r="R38" s="259">
        <v>0</v>
      </c>
      <c r="S38" s="259">
        <v>100</v>
      </c>
      <c r="T38" s="259">
        <v>0</v>
      </c>
      <c r="U38" s="259">
        <v>0</v>
      </c>
    </row>
    <row r="39" spans="1:21">
      <c r="A39" s="255">
        <v>1225464</v>
      </c>
      <c r="B39" s="259">
        <v>654</v>
      </c>
      <c r="C39" s="259">
        <v>0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59">
        <v>0</v>
      </c>
      <c r="Q39" s="259">
        <v>0</v>
      </c>
      <c r="R39" s="259">
        <v>0</v>
      </c>
      <c r="S39" s="259">
        <v>0</v>
      </c>
      <c r="T39" s="259">
        <v>0</v>
      </c>
      <c r="U39" s="259">
        <v>0</v>
      </c>
    </row>
    <row r="40" spans="1:21">
      <c r="A40" s="255">
        <v>1231797</v>
      </c>
      <c r="B40" s="259">
        <v>0</v>
      </c>
      <c r="C40" s="259">
        <v>0</v>
      </c>
      <c r="D40" s="259">
        <v>0</v>
      </c>
      <c r="E40" s="259">
        <v>0</v>
      </c>
      <c r="F40" s="259">
        <v>0</v>
      </c>
      <c r="G40" s="259">
        <v>0</v>
      </c>
      <c r="H40" s="259">
        <v>0</v>
      </c>
      <c r="I40" s="259">
        <v>35</v>
      </c>
      <c r="J40" s="259">
        <v>0</v>
      </c>
      <c r="K40" s="259">
        <v>0</v>
      </c>
      <c r="L40" s="259">
        <v>0</v>
      </c>
      <c r="M40" s="259">
        <v>0</v>
      </c>
      <c r="N40" s="259">
        <v>0</v>
      </c>
      <c r="O40" s="259">
        <v>0</v>
      </c>
      <c r="P40" s="259">
        <v>0</v>
      </c>
      <c r="Q40" s="259">
        <v>0</v>
      </c>
      <c r="R40" s="259">
        <v>0</v>
      </c>
      <c r="S40" s="259">
        <v>0</v>
      </c>
      <c r="T40" s="259">
        <v>0</v>
      </c>
      <c r="U40" s="259">
        <v>0</v>
      </c>
    </row>
    <row r="41" spans="1:21">
      <c r="A41" s="255">
        <v>1232693</v>
      </c>
      <c r="B41" s="259">
        <v>0</v>
      </c>
      <c r="C41" s="259">
        <v>0</v>
      </c>
      <c r="D41" s="259">
        <v>0</v>
      </c>
      <c r="E41" s="259">
        <v>0</v>
      </c>
      <c r="F41" s="259">
        <v>0</v>
      </c>
      <c r="G41" s="259">
        <v>0</v>
      </c>
      <c r="H41" s="259">
        <v>0</v>
      </c>
      <c r="I41" s="259">
        <v>0</v>
      </c>
      <c r="J41" s="259">
        <v>5</v>
      </c>
      <c r="K41" s="259">
        <v>0</v>
      </c>
      <c r="L41" s="259">
        <v>0</v>
      </c>
      <c r="M41" s="259">
        <v>0</v>
      </c>
      <c r="N41" s="259">
        <v>0</v>
      </c>
      <c r="O41" s="259">
        <v>0</v>
      </c>
      <c r="P41" s="259">
        <v>0</v>
      </c>
      <c r="Q41" s="259">
        <v>0</v>
      </c>
      <c r="R41" s="259">
        <v>0</v>
      </c>
      <c r="S41" s="259">
        <v>0</v>
      </c>
      <c r="T41" s="259">
        <v>0</v>
      </c>
      <c r="U41" s="259">
        <v>0</v>
      </c>
    </row>
    <row r="42" spans="1:21">
      <c r="A42" s="255">
        <v>1233025</v>
      </c>
      <c r="B42" s="259">
        <v>0</v>
      </c>
      <c r="C42" s="259">
        <v>0</v>
      </c>
      <c r="D42" s="259">
        <v>0</v>
      </c>
      <c r="E42" s="259">
        <v>0</v>
      </c>
      <c r="F42" s="259">
        <v>0</v>
      </c>
      <c r="G42" s="259">
        <v>0</v>
      </c>
      <c r="H42" s="259">
        <v>0</v>
      </c>
      <c r="I42" s="259">
        <v>0</v>
      </c>
      <c r="J42" s="259">
        <v>5</v>
      </c>
      <c r="K42" s="259">
        <v>0</v>
      </c>
      <c r="L42" s="259">
        <v>0</v>
      </c>
      <c r="M42" s="259">
        <v>0</v>
      </c>
      <c r="N42" s="259">
        <v>0</v>
      </c>
      <c r="O42" s="259">
        <v>0</v>
      </c>
      <c r="P42" s="259">
        <v>0</v>
      </c>
      <c r="Q42" s="259">
        <v>0</v>
      </c>
      <c r="R42" s="259">
        <v>0</v>
      </c>
      <c r="S42" s="259">
        <v>0</v>
      </c>
      <c r="T42" s="259">
        <v>0</v>
      </c>
      <c r="U42" s="259">
        <v>0</v>
      </c>
    </row>
    <row r="43" spans="1:21">
      <c r="A43" s="255">
        <v>1234222</v>
      </c>
      <c r="B43" s="259">
        <v>0</v>
      </c>
      <c r="C43" s="259">
        <v>0</v>
      </c>
      <c r="D43" s="259">
        <v>0</v>
      </c>
      <c r="E43" s="260">
        <v>59</v>
      </c>
      <c r="F43" s="259">
        <v>0</v>
      </c>
      <c r="G43" s="259">
        <v>0</v>
      </c>
      <c r="H43" s="259">
        <v>611</v>
      </c>
      <c r="I43" s="259">
        <v>390</v>
      </c>
      <c r="J43" s="259">
        <v>0</v>
      </c>
      <c r="K43" s="259">
        <v>0</v>
      </c>
      <c r="L43" s="259">
        <v>0</v>
      </c>
      <c r="M43" s="259">
        <v>0</v>
      </c>
      <c r="N43" s="259">
        <v>0</v>
      </c>
      <c r="O43" s="259">
        <v>0</v>
      </c>
      <c r="P43" s="259">
        <v>0</v>
      </c>
      <c r="Q43" s="259">
        <v>0</v>
      </c>
      <c r="R43" s="259">
        <v>0</v>
      </c>
      <c r="S43" s="259">
        <v>0</v>
      </c>
      <c r="T43" s="259">
        <v>0</v>
      </c>
      <c r="U43" s="259">
        <v>0</v>
      </c>
    </row>
    <row r="44" spans="1:21">
      <c r="A44" s="255">
        <v>1232528</v>
      </c>
      <c r="B44" s="259">
        <v>1246</v>
      </c>
      <c r="C44" s="259">
        <v>923</v>
      </c>
      <c r="D44" s="259">
        <v>574</v>
      </c>
      <c r="E44" s="260">
        <v>440</v>
      </c>
      <c r="F44" s="259">
        <v>0</v>
      </c>
      <c r="G44" s="259">
        <v>0</v>
      </c>
      <c r="H44" s="259">
        <v>904</v>
      </c>
      <c r="I44" s="259">
        <v>1246</v>
      </c>
      <c r="J44" s="259">
        <v>550</v>
      </c>
      <c r="K44" s="259">
        <v>686</v>
      </c>
      <c r="L44" s="259">
        <v>1110</v>
      </c>
      <c r="M44" s="259">
        <v>0</v>
      </c>
      <c r="N44" s="259">
        <v>0</v>
      </c>
      <c r="O44" s="259">
        <v>996</v>
      </c>
      <c r="P44" s="259">
        <v>234</v>
      </c>
      <c r="Q44" s="259">
        <v>400</v>
      </c>
      <c r="R44" s="259">
        <v>1386</v>
      </c>
      <c r="S44" s="259">
        <v>4310</v>
      </c>
      <c r="T44" s="259">
        <v>0</v>
      </c>
      <c r="U44" s="259">
        <v>0</v>
      </c>
    </row>
    <row r="45" spans="1:21">
      <c r="A45" s="255">
        <v>1232846</v>
      </c>
      <c r="B45" s="259">
        <v>0</v>
      </c>
      <c r="C45" s="259">
        <v>0</v>
      </c>
      <c r="D45" s="259">
        <v>0</v>
      </c>
      <c r="E45" s="259">
        <v>0</v>
      </c>
      <c r="F45" s="259">
        <v>0</v>
      </c>
      <c r="G45" s="259">
        <v>0</v>
      </c>
      <c r="H45" s="259">
        <v>0</v>
      </c>
      <c r="I45" s="259">
        <v>0</v>
      </c>
      <c r="J45" s="259">
        <v>0</v>
      </c>
      <c r="K45" s="259">
        <v>0</v>
      </c>
      <c r="L45" s="259">
        <v>370</v>
      </c>
      <c r="M45" s="259">
        <v>0</v>
      </c>
      <c r="N45" s="259">
        <v>0</v>
      </c>
      <c r="O45" s="259">
        <v>1248</v>
      </c>
      <c r="P45" s="259">
        <v>900</v>
      </c>
      <c r="Q45" s="259">
        <v>253</v>
      </c>
      <c r="R45" s="259">
        <v>0</v>
      </c>
      <c r="S45" s="259">
        <v>0</v>
      </c>
      <c r="T45" s="259">
        <v>0</v>
      </c>
      <c r="U45" s="259">
        <v>0</v>
      </c>
    </row>
    <row r="46" spans="1:21">
      <c r="A46" s="255">
        <v>1233383</v>
      </c>
      <c r="B46" s="259">
        <v>0</v>
      </c>
      <c r="C46" s="259">
        <v>101</v>
      </c>
      <c r="D46" s="259">
        <v>117</v>
      </c>
      <c r="E46" s="259">
        <v>0</v>
      </c>
      <c r="F46" s="259">
        <v>0</v>
      </c>
      <c r="G46" s="259">
        <v>0</v>
      </c>
      <c r="H46" s="259">
        <v>0</v>
      </c>
      <c r="I46" s="259">
        <v>0</v>
      </c>
      <c r="J46" s="259">
        <v>0</v>
      </c>
      <c r="K46" s="259">
        <v>0</v>
      </c>
      <c r="L46" s="259">
        <v>0</v>
      </c>
      <c r="M46" s="259">
        <v>0</v>
      </c>
      <c r="N46" s="259">
        <v>0</v>
      </c>
      <c r="O46" s="259">
        <v>0</v>
      </c>
      <c r="P46" s="259">
        <v>0</v>
      </c>
      <c r="Q46" s="259">
        <v>0</v>
      </c>
      <c r="R46" s="259">
        <v>0</v>
      </c>
      <c r="S46" s="259">
        <v>0</v>
      </c>
      <c r="T46" s="259">
        <v>0</v>
      </c>
      <c r="U46" s="259">
        <v>0</v>
      </c>
    </row>
    <row r="47" spans="1:21">
      <c r="A47" s="255">
        <v>1220847</v>
      </c>
      <c r="B47" s="259">
        <v>27</v>
      </c>
      <c r="C47" s="259">
        <v>0</v>
      </c>
      <c r="D47" s="259">
        <v>0</v>
      </c>
      <c r="E47" s="259">
        <v>0</v>
      </c>
      <c r="F47" s="259">
        <v>0</v>
      </c>
      <c r="G47" s="259">
        <v>0</v>
      </c>
      <c r="H47" s="259">
        <v>0</v>
      </c>
      <c r="I47" s="259">
        <v>100</v>
      </c>
      <c r="J47" s="259">
        <v>0</v>
      </c>
      <c r="K47" s="259">
        <v>0</v>
      </c>
      <c r="L47" s="259">
        <v>0</v>
      </c>
      <c r="M47" s="259">
        <v>0</v>
      </c>
      <c r="N47" s="259">
        <v>0</v>
      </c>
      <c r="O47" s="259">
        <v>0</v>
      </c>
      <c r="P47" s="259">
        <v>0</v>
      </c>
      <c r="Q47" s="259">
        <v>0</v>
      </c>
      <c r="R47" s="259">
        <v>0</v>
      </c>
      <c r="S47" s="259">
        <v>5250</v>
      </c>
      <c r="T47" s="259">
        <v>0</v>
      </c>
      <c r="U47" s="259">
        <v>0</v>
      </c>
    </row>
    <row r="48" spans="1:21">
      <c r="A48" s="255">
        <v>1235845</v>
      </c>
      <c r="B48" s="259">
        <v>0</v>
      </c>
      <c r="C48" s="259">
        <v>0</v>
      </c>
      <c r="D48" s="259">
        <v>0</v>
      </c>
      <c r="E48" s="259">
        <v>0</v>
      </c>
      <c r="F48" s="259">
        <v>0</v>
      </c>
      <c r="G48" s="259">
        <v>0</v>
      </c>
      <c r="H48" s="259">
        <v>0</v>
      </c>
      <c r="I48" s="259">
        <v>0</v>
      </c>
      <c r="J48" s="259">
        <v>0</v>
      </c>
      <c r="K48" s="259">
        <v>0</v>
      </c>
      <c r="L48" s="259">
        <v>0</v>
      </c>
      <c r="M48" s="259">
        <v>0</v>
      </c>
      <c r="N48" s="259">
        <v>0</v>
      </c>
      <c r="O48" s="259">
        <v>292</v>
      </c>
      <c r="P48" s="259">
        <v>192</v>
      </c>
      <c r="Q48" s="259">
        <v>0</v>
      </c>
      <c r="R48" s="259">
        <v>0</v>
      </c>
      <c r="S48" s="259">
        <v>0</v>
      </c>
      <c r="T48" s="259">
        <v>0</v>
      </c>
      <c r="U48" s="259">
        <v>0</v>
      </c>
    </row>
    <row r="49" spans="1:21">
      <c r="A49" s="255">
        <v>1235097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200</v>
      </c>
      <c r="K49" s="259">
        <v>200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200</v>
      </c>
      <c r="S49" s="259">
        <v>200</v>
      </c>
      <c r="T49" s="259">
        <v>0</v>
      </c>
      <c r="U49" s="259">
        <v>0</v>
      </c>
    </row>
    <row r="50" spans="1:21">
      <c r="A50" s="255">
        <v>1236600</v>
      </c>
      <c r="B50" s="259">
        <v>0</v>
      </c>
      <c r="C50" s="259">
        <v>0</v>
      </c>
      <c r="D50" s="259">
        <v>0</v>
      </c>
      <c r="E50" s="259">
        <v>0</v>
      </c>
      <c r="F50" s="259">
        <v>0</v>
      </c>
      <c r="G50" s="259">
        <v>0</v>
      </c>
      <c r="H50" s="259">
        <v>0</v>
      </c>
      <c r="I50" s="259">
        <v>0</v>
      </c>
      <c r="J50" s="259">
        <v>420</v>
      </c>
      <c r="K50" s="259">
        <v>540</v>
      </c>
      <c r="L50" s="259">
        <v>39</v>
      </c>
      <c r="M50" s="259">
        <v>0</v>
      </c>
      <c r="N50" s="259">
        <v>0</v>
      </c>
      <c r="O50" s="259">
        <v>0</v>
      </c>
      <c r="P50" s="259">
        <v>0</v>
      </c>
      <c r="Q50" s="259">
        <v>0</v>
      </c>
      <c r="R50" s="259">
        <v>0</v>
      </c>
      <c r="S50" s="259">
        <v>0</v>
      </c>
      <c r="T50" s="259">
        <v>0</v>
      </c>
      <c r="U50" s="259">
        <v>0</v>
      </c>
    </row>
    <row r="51" spans="1:21">
      <c r="A51" s="255">
        <v>1236601</v>
      </c>
      <c r="B51" s="259">
        <v>0</v>
      </c>
      <c r="C51" s="259">
        <v>0</v>
      </c>
      <c r="D51" s="259">
        <v>0</v>
      </c>
      <c r="E51" s="259">
        <v>0</v>
      </c>
      <c r="F51" s="259">
        <v>0</v>
      </c>
      <c r="G51" s="259">
        <v>0</v>
      </c>
      <c r="H51" s="259">
        <v>0</v>
      </c>
      <c r="I51" s="259">
        <v>0</v>
      </c>
      <c r="J51" s="259">
        <v>0</v>
      </c>
      <c r="K51" s="259">
        <v>0</v>
      </c>
      <c r="L51" s="259">
        <v>143</v>
      </c>
      <c r="M51" s="259">
        <v>0</v>
      </c>
      <c r="N51" s="259">
        <v>0</v>
      </c>
      <c r="O51" s="259">
        <v>0</v>
      </c>
      <c r="P51" s="259">
        <v>0</v>
      </c>
      <c r="Q51" s="259">
        <v>0</v>
      </c>
      <c r="R51" s="259">
        <v>0</v>
      </c>
      <c r="S51" s="259">
        <v>0</v>
      </c>
      <c r="T51" s="259">
        <v>0</v>
      </c>
      <c r="U51" s="259">
        <v>0</v>
      </c>
    </row>
    <row r="52" spans="1:21">
      <c r="A52" s="255">
        <v>1236619</v>
      </c>
      <c r="B52" s="259">
        <v>0</v>
      </c>
      <c r="C52" s="259">
        <v>0</v>
      </c>
      <c r="D52" s="259">
        <v>0</v>
      </c>
      <c r="E52" s="259">
        <v>0</v>
      </c>
      <c r="F52" s="259">
        <v>0</v>
      </c>
      <c r="G52" s="259">
        <v>0</v>
      </c>
      <c r="H52" s="259">
        <v>90</v>
      </c>
      <c r="I52" s="259">
        <v>0</v>
      </c>
      <c r="J52" s="259">
        <v>0</v>
      </c>
      <c r="K52" s="259">
        <v>0</v>
      </c>
      <c r="L52" s="259">
        <v>0</v>
      </c>
      <c r="M52" s="259">
        <v>0</v>
      </c>
      <c r="N52" s="259">
        <v>0</v>
      </c>
      <c r="O52" s="259">
        <v>0</v>
      </c>
      <c r="P52" s="259">
        <v>0</v>
      </c>
      <c r="Q52" s="259">
        <v>0</v>
      </c>
      <c r="R52" s="259">
        <v>0</v>
      </c>
      <c r="S52" s="259">
        <v>0</v>
      </c>
      <c r="T52" s="259">
        <v>0</v>
      </c>
      <c r="U52" s="259">
        <v>0</v>
      </c>
    </row>
    <row r="53" spans="1:21">
      <c r="A53" s="255">
        <v>1236930</v>
      </c>
      <c r="B53" s="259">
        <v>321</v>
      </c>
      <c r="C53" s="259">
        <v>240</v>
      </c>
      <c r="D53" s="259">
        <v>396</v>
      </c>
      <c r="E53" s="259">
        <v>509</v>
      </c>
      <c r="F53" s="259">
        <v>0</v>
      </c>
      <c r="G53" s="259">
        <v>0</v>
      </c>
      <c r="H53" s="260">
        <v>765</v>
      </c>
      <c r="I53" s="259">
        <v>322</v>
      </c>
      <c r="J53" s="259">
        <v>100</v>
      </c>
      <c r="K53" s="259">
        <v>350</v>
      </c>
      <c r="L53" s="259">
        <v>300</v>
      </c>
      <c r="M53" s="259">
        <v>0</v>
      </c>
      <c r="N53" s="259">
        <v>0</v>
      </c>
      <c r="O53" s="259">
        <v>300</v>
      </c>
      <c r="P53" s="259">
        <v>100</v>
      </c>
      <c r="Q53" s="259">
        <v>300</v>
      </c>
      <c r="R53" s="259">
        <v>100</v>
      </c>
      <c r="S53" s="259">
        <v>2022</v>
      </c>
      <c r="T53" s="259">
        <v>0</v>
      </c>
      <c r="U53" s="259">
        <v>0</v>
      </c>
    </row>
    <row r="54" spans="1:21">
      <c r="A54" s="255">
        <v>1237468</v>
      </c>
      <c r="B54" s="259">
        <v>368</v>
      </c>
      <c r="C54" s="259">
        <v>120</v>
      </c>
      <c r="D54" s="259">
        <v>0</v>
      </c>
      <c r="E54" s="259">
        <v>0</v>
      </c>
      <c r="F54" s="259">
        <v>0</v>
      </c>
      <c r="G54" s="259">
        <v>0</v>
      </c>
      <c r="H54" s="259">
        <v>0</v>
      </c>
      <c r="I54" s="259">
        <v>0</v>
      </c>
      <c r="J54" s="259">
        <v>0</v>
      </c>
      <c r="K54" s="259">
        <v>0</v>
      </c>
      <c r="L54" s="259">
        <v>0</v>
      </c>
      <c r="M54" s="259">
        <v>0</v>
      </c>
      <c r="N54" s="259">
        <v>0</v>
      </c>
      <c r="O54" s="259">
        <v>0</v>
      </c>
      <c r="P54" s="259">
        <v>0</v>
      </c>
      <c r="Q54" s="259">
        <v>0</v>
      </c>
      <c r="R54" s="259">
        <v>0</v>
      </c>
      <c r="S54" s="259">
        <v>0</v>
      </c>
      <c r="T54" s="259">
        <v>0</v>
      </c>
      <c r="U54" s="259">
        <v>0</v>
      </c>
    </row>
    <row r="55" spans="1:21">
      <c r="A55" s="265">
        <v>1237210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161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195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</row>
    <row r="56" spans="1:21">
      <c r="A56" s="255">
        <v>1237457</v>
      </c>
      <c r="B56" s="259">
        <v>0</v>
      </c>
      <c r="C56" s="259">
        <v>0</v>
      </c>
      <c r="D56" s="259">
        <v>0</v>
      </c>
      <c r="E56" s="259">
        <v>0</v>
      </c>
      <c r="F56" s="259">
        <v>0</v>
      </c>
      <c r="G56" s="259">
        <v>0</v>
      </c>
      <c r="H56" s="259">
        <v>0</v>
      </c>
      <c r="I56" s="259">
        <v>0</v>
      </c>
      <c r="J56" s="259">
        <v>0</v>
      </c>
      <c r="K56" s="259">
        <v>18</v>
      </c>
      <c r="L56" s="259">
        <v>0</v>
      </c>
      <c r="M56" s="259">
        <v>0</v>
      </c>
      <c r="N56" s="259">
        <v>0</v>
      </c>
      <c r="O56" s="259">
        <v>0</v>
      </c>
      <c r="P56" s="259">
        <v>0</v>
      </c>
      <c r="Q56" s="259">
        <v>0</v>
      </c>
      <c r="R56" s="259">
        <v>0</v>
      </c>
      <c r="S56" s="259">
        <v>0</v>
      </c>
      <c r="T56" s="259">
        <v>0</v>
      </c>
      <c r="U56" s="259">
        <v>0</v>
      </c>
    </row>
    <row r="57" spans="1:21">
      <c r="A57" s="255">
        <v>1237386</v>
      </c>
      <c r="B57" s="259">
        <v>0</v>
      </c>
      <c r="C57" s="259">
        <v>0</v>
      </c>
      <c r="D57" s="259">
        <v>0</v>
      </c>
      <c r="E57" s="259">
        <v>0</v>
      </c>
      <c r="F57" s="259">
        <v>0</v>
      </c>
      <c r="G57" s="259">
        <v>0</v>
      </c>
      <c r="H57" s="259">
        <v>0</v>
      </c>
      <c r="I57" s="259">
        <v>0</v>
      </c>
      <c r="J57" s="259">
        <v>0</v>
      </c>
      <c r="K57" s="259">
        <v>150</v>
      </c>
      <c r="L57" s="259">
        <v>0</v>
      </c>
      <c r="M57" s="259">
        <v>0</v>
      </c>
      <c r="N57" s="259">
        <v>0</v>
      </c>
      <c r="O57" s="259">
        <v>0</v>
      </c>
      <c r="P57" s="259">
        <v>0</v>
      </c>
      <c r="Q57" s="259">
        <v>0</v>
      </c>
      <c r="R57" s="259">
        <v>0</v>
      </c>
      <c r="S57" s="259">
        <v>0</v>
      </c>
      <c r="T57" s="259">
        <v>0</v>
      </c>
      <c r="U57" s="259">
        <v>0</v>
      </c>
    </row>
    <row r="58" spans="1:21">
      <c r="A58" s="265">
        <v>1234905</v>
      </c>
      <c r="B58" s="259">
        <v>138</v>
      </c>
      <c r="C58" s="259">
        <v>0</v>
      </c>
      <c r="D58" s="259">
        <v>0</v>
      </c>
      <c r="E58" s="259">
        <v>0</v>
      </c>
      <c r="F58" s="259">
        <v>0</v>
      </c>
      <c r="G58" s="259">
        <v>0</v>
      </c>
      <c r="H58" s="259">
        <v>0</v>
      </c>
      <c r="I58" s="259">
        <v>0</v>
      </c>
      <c r="J58" s="259">
        <v>0</v>
      </c>
      <c r="K58" s="259">
        <v>0</v>
      </c>
      <c r="L58" s="259">
        <v>0</v>
      </c>
      <c r="M58" s="259">
        <v>0</v>
      </c>
      <c r="N58" s="259">
        <v>0</v>
      </c>
      <c r="O58" s="259">
        <v>450</v>
      </c>
      <c r="P58" s="259">
        <v>700</v>
      </c>
      <c r="Q58" s="259">
        <v>300</v>
      </c>
      <c r="R58" s="259">
        <v>400</v>
      </c>
      <c r="S58" s="259">
        <v>0</v>
      </c>
      <c r="T58" s="259">
        <v>0</v>
      </c>
      <c r="U58" s="259">
        <v>0</v>
      </c>
    </row>
    <row r="59" spans="1:21">
      <c r="A59" s="255">
        <v>1238480</v>
      </c>
      <c r="B59" s="259">
        <v>861</v>
      </c>
      <c r="C59" s="259">
        <v>323</v>
      </c>
      <c r="D59" s="259">
        <v>1097</v>
      </c>
      <c r="E59" s="260">
        <v>969</v>
      </c>
      <c r="F59" s="259">
        <v>0</v>
      </c>
      <c r="G59" s="259">
        <v>0</v>
      </c>
      <c r="H59" s="259">
        <v>640</v>
      </c>
      <c r="I59" s="259">
        <v>1131</v>
      </c>
      <c r="J59" s="259">
        <v>700</v>
      </c>
      <c r="K59" s="259">
        <v>836</v>
      </c>
      <c r="L59" s="259">
        <v>550</v>
      </c>
      <c r="M59" s="259">
        <v>0</v>
      </c>
      <c r="N59" s="259">
        <v>0</v>
      </c>
      <c r="O59" s="259">
        <v>350</v>
      </c>
      <c r="P59" s="259">
        <v>872</v>
      </c>
      <c r="Q59" s="259">
        <v>693</v>
      </c>
      <c r="R59" s="259">
        <v>611</v>
      </c>
      <c r="S59" s="259">
        <v>1875</v>
      </c>
      <c r="T59" s="259">
        <v>0</v>
      </c>
      <c r="U59" s="259">
        <v>0</v>
      </c>
    </row>
    <row r="60" spans="1:21">
      <c r="A60" s="255">
        <v>1232775</v>
      </c>
      <c r="B60" s="259">
        <v>0</v>
      </c>
      <c r="C60" s="259">
        <v>31</v>
      </c>
      <c r="D60" s="259">
        <v>285</v>
      </c>
      <c r="E60" s="259">
        <v>0</v>
      </c>
      <c r="F60" s="259">
        <v>0</v>
      </c>
      <c r="G60" s="259">
        <v>0</v>
      </c>
      <c r="H60" s="259">
        <v>0</v>
      </c>
      <c r="I60" s="259">
        <v>0</v>
      </c>
      <c r="J60" s="259">
        <v>0</v>
      </c>
      <c r="K60" s="259">
        <v>241</v>
      </c>
      <c r="L60" s="259">
        <v>0</v>
      </c>
      <c r="M60" s="259">
        <v>0</v>
      </c>
      <c r="N60" s="259">
        <v>0</v>
      </c>
      <c r="O60" s="259">
        <v>0</v>
      </c>
      <c r="P60" s="259">
        <v>0</v>
      </c>
      <c r="Q60" s="259">
        <v>0</v>
      </c>
      <c r="R60" s="259">
        <v>0</v>
      </c>
      <c r="S60" s="259">
        <v>0</v>
      </c>
      <c r="T60" s="259">
        <v>0</v>
      </c>
      <c r="U60" s="259">
        <v>0</v>
      </c>
    </row>
    <row r="61" spans="1:21">
      <c r="A61" s="255">
        <v>1240180</v>
      </c>
      <c r="B61" s="259">
        <v>0</v>
      </c>
      <c r="C61" s="259">
        <v>0</v>
      </c>
      <c r="D61" s="259">
        <v>0</v>
      </c>
      <c r="E61" s="259">
        <v>0</v>
      </c>
      <c r="F61" s="259">
        <v>0</v>
      </c>
      <c r="G61" s="259">
        <v>0</v>
      </c>
      <c r="H61" s="259">
        <v>0</v>
      </c>
      <c r="I61" s="259">
        <v>0</v>
      </c>
      <c r="J61" s="259">
        <v>250</v>
      </c>
      <c r="K61" s="259">
        <v>0</v>
      </c>
      <c r="L61" s="259">
        <v>0</v>
      </c>
      <c r="M61" s="259">
        <v>0</v>
      </c>
      <c r="N61" s="259">
        <v>0</v>
      </c>
      <c r="O61" s="259">
        <v>0</v>
      </c>
      <c r="P61" s="259">
        <v>0</v>
      </c>
      <c r="Q61" s="259">
        <v>0</v>
      </c>
      <c r="R61" s="259">
        <v>0</v>
      </c>
      <c r="S61" s="259">
        <v>300</v>
      </c>
      <c r="T61" s="259">
        <v>0</v>
      </c>
      <c r="U61" s="259">
        <v>0</v>
      </c>
    </row>
    <row r="62" spans="1:21">
      <c r="A62" s="255">
        <v>1240184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250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300</v>
      </c>
      <c r="T62" s="259">
        <v>0</v>
      </c>
      <c r="U62" s="259">
        <v>0</v>
      </c>
    </row>
    <row r="63" spans="1:21">
      <c r="A63" s="255">
        <v>1216452</v>
      </c>
      <c r="B63" s="259">
        <v>258</v>
      </c>
      <c r="C63" s="259">
        <v>102</v>
      </c>
      <c r="D63" s="259">
        <v>0</v>
      </c>
      <c r="E63" s="259">
        <v>0</v>
      </c>
      <c r="F63" s="259">
        <v>0</v>
      </c>
      <c r="G63" s="259">
        <v>0</v>
      </c>
      <c r="H63" s="259">
        <v>0</v>
      </c>
      <c r="I63" s="259">
        <v>0</v>
      </c>
      <c r="J63" s="259">
        <v>0</v>
      </c>
      <c r="K63" s="259">
        <v>0</v>
      </c>
      <c r="L63" s="259">
        <v>0</v>
      </c>
      <c r="M63" s="259">
        <v>0</v>
      </c>
      <c r="N63" s="259">
        <v>0</v>
      </c>
      <c r="O63" s="259">
        <v>0</v>
      </c>
      <c r="P63" s="259">
        <v>0</v>
      </c>
      <c r="Q63" s="259">
        <v>0</v>
      </c>
      <c r="R63" s="259">
        <v>0</v>
      </c>
      <c r="S63" s="259">
        <v>0</v>
      </c>
      <c r="T63" s="259">
        <v>0</v>
      </c>
      <c r="U63" s="259">
        <v>0</v>
      </c>
    </row>
    <row r="64" spans="1:21">
      <c r="A64" s="255">
        <v>1231011</v>
      </c>
      <c r="B64" s="259">
        <v>0</v>
      </c>
      <c r="C64" s="259">
        <v>0</v>
      </c>
      <c r="D64" s="259">
        <v>0</v>
      </c>
      <c r="E64" s="259">
        <v>0</v>
      </c>
      <c r="F64" s="259">
        <v>0</v>
      </c>
      <c r="G64" s="259">
        <v>0</v>
      </c>
      <c r="H64" s="259">
        <v>0</v>
      </c>
      <c r="I64" s="259">
        <v>0</v>
      </c>
      <c r="J64" s="259">
        <v>0</v>
      </c>
      <c r="K64" s="259">
        <v>0</v>
      </c>
      <c r="L64" s="259">
        <v>0</v>
      </c>
      <c r="M64" s="259">
        <v>0</v>
      </c>
      <c r="N64" s="259">
        <v>0</v>
      </c>
      <c r="O64" s="259">
        <v>0</v>
      </c>
      <c r="P64" s="259">
        <v>0</v>
      </c>
      <c r="Q64" s="259">
        <v>300</v>
      </c>
      <c r="R64" s="259">
        <v>0</v>
      </c>
      <c r="S64" s="259">
        <v>0</v>
      </c>
      <c r="T64" s="259">
        <v>0</v>
      </c>
      <c r="U64" s="259">
        <v>0</v>
      </c>
    </row>
    <row r="65" spans="1:21">
      <c r="A65" s="255">
        <v>1232894</v>
      </c>
      <c r="B65" s="259">
        <v>0</v>
      </c>
      <c r="C65" s="259">
        <v>0</v>
      </c>
      <c r="D65" s="259">
        <v>0</v>
      </c>
      <c r="E65" s="259">
        <v>0</v>
      </c>
      <c r="F65" s="259">
        <v>0</v>
      </c>
      <c r="G65" s="259">
        <v>0</v>
      </c>
      <c r="H65" s="259">
        <v>0</v>
      </c>
      <c r="I65" s="259">
        <v>0</v>
      </c>
      <c r="J65" s="259">
        <v>0</v>
      </c>
      <c r="K65" s="259">
        <v>0</v>
      </c>
      <c r="L65" s="259">
        <v>0</v>
      </c>
      <c r="M65" s="259">
        <v>0</v>
      </c>
      <c r="N65" s="259">
        <v>0</v>
      </c>
      <c r="O65" s="259">
        <v>1248</v>
      </c>
      <c r="P65" s="259">
        <v>900</v>
      </c>
      <c r="Q65" s="259">
        <v>253</v>
      </c>
      <c r="R65" s="259">
        <v>0</v>
      </c>
      <c r="S65" s="259">
        <v>0</v>
      </c>
      <c r="T65" s="259">
        <v>0</v>
      </c>
      <c r="U65" s="259">
        <v>0</v>
      </c>
    </row>
    <row r="66" spans="1:21">
      <c r="A66" s="255">
        <v>1233386</v>
      </c>
      <c r="B66" s="259">
        <v>0</v>
      </c>
      <c r="C66" s="259">
        <v>0</v>
      </c>
      <c r="D66" s="259">
        <v>0</v>
      </c>
      <c r="E66" s="259">
        <v>0</v>
      </c>
      <c r="F66" s="259">
        <v>0</v>
      </c>
      <c r="G66" s="259">
        <v>0</v>
      </c>
      <c r="H66" s="259">
        <v>0</v>
      </c>
      <c r="I66" s="259">
        <v>0</v>
      </c>
      <c r="J66" s="259">
        <v>0</v>
      </c>
      <c r="K66" s="259">
        <v>0</v>
      </c>
      <c r="L66" s="259">
        <v>0</v>
      </c>
      <c r="M66" s="259">
        <v>0</v>
      </c>
      <c r="N66" s="259">
        <v>0</v>
      </c>
      <c r="O66" s="259">
        <v>1120</v>
      </c>
      <c r="P66" s="259">
        <v>0</v>
      </c>
      <c r="Q66" s="259">
        <v>0</v>
      </c>
      <c r="R66" s="259">
        <v>0</v>
      </c>
      <c r="S66" s="259">
        <v>0</v>
      </c>
      <c r="T66" s="259">
        <v>0</v>
      </c>
      <c r="U66" s="259">
        <v>0</v>
      </c>
    </row>
    <row r="67" spans="1:21">
      <c r="A67" s="255">
        <v>1233387</v>
      </c>
      <c r="B67" s="259">
        <v>0</v>
      </c>
      <c r="C67" s="259">
        <v>0</v>
      </c>
      <c r="D67" s="259">
        <v>0</v>
      </c>
      <c r="E67" s="259">
        <v>0</v>
      </c>
      <c r="F67" s="259">
        <v>0</v>
      </c>
      <c r="G67" s="259">
        <v>0</v>
      </c>
      <c r="H67" s="259">
        <v>0</v>
      </c>
      <c r="I67" s="259">
        <v>0</v>
      </c>
      <c r="J67" s="259">
        <v>0</v>
      </c>
      <c r="K67" s="259">
        <v>0</v>
      </c>
      <c r="L67" s="259">
        <v>0</v>
      </c>
      <c r="M67" s="259">
        <v>0</v>
      </c>
      <c r="N67" s="259">
        <v>0</v>
      </c>
      <c r="O67" s="259">
        <v>128</v>
      </c>
      <c r="P67" s="259">
        <v>900</v>
      </c>
      <c r="Q67" s="259">
        <v>0</v>
      </c>
      <c r="R67" s="259">
        <v>0</v>
      </c>
      <c r="S67" s="259">
        <v>0</v>
      </c>
      <c r="T67" s="259">
        <v>0</v>
      </c>
      <c r="U67" s="259">
        <v>0</v>
      </c>
    </row>
    <row r="68" spans="1:21">
      <c r="A68" s="255">
        <v>1233385</v>
      </c>
      <c r="B68" s="259">
        <v>0</v>
      </c>
      <c r="C68" s="259">
        <v>0</v>
      </c>
      <c r="D68" s="259">
        <v>0</v>
      </c>
      <c r="E68" s="259">
        <v>0</v>
      </c>
      <c r="F68" s="259">
        <v>0</v>
      </c>
      <c r="G68" s="259">
        <v>0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v>253</v>
      </c>
      <c r="R68" s="259">
        <v>0</v>
      </c>
      <c r="S68" s="259">
        <v>0</v>
      </c>
      <c r="T68" s="259">
        <v>0</v>
      </c>
      <c r="U68" s="259">
        <v>0</v>
      </c>
    </row>
    <row r="69" spans="1:21">
      <c r="A69" s="255">
        <v>1232895</v>
      </c>
      <c r="B69" s="259">
        <v>0</v>
      </c>
      <c r="C69" s="259">
        <v>0</v>
      </c>
      <c r="D69" s="259">
        <v>0</v>
      </c>
      <c r="E69" s="259">
        <v>0</v>
      </c>
      <c r="F69" s="259">
        <v>0</v>
      </c>
      <c r="G69" s="259">
        <v>0</v>
      </c>
      <c r="H69" s="259">
        <v>0</v>
      </c>
      <c r="I69" s="259">
        <v>0</v>
      </c>
      <c r="J69" s="259">
        <v>0</v>
      </c>
      <c r="K69" s="259">
        <v>0</v>
      </c>
      <c r="L69" s="259">
        <v>370</v>
      </c>
      <c r="M69" s="259">
        <v>0</v>
      </c>
      <c r="N69" s="259">
        <v>0</v>
      </c>
      <c r="O69" s="259">
        <v>0</v>
      </c>
      <c r="P69" s="259">
        <v>0</v>
      </c>
      <c r="Q69" s="259">
        <v>0</v>
      </c>
      <c r="R69" s="259">
        <v>0</v>
      </c>
      <c r="S69" s="259">
        <v>0</v>
      </c>
      <c r="T69" s="259">
        <v>0</v>
      </c>
      <c r="U69" s="259">
        <v>0</v>
      </c>
    </row>
    <row r="70" spans="1:21">
      <c r="A70" s="255">
        <v>1232922</v>
      </c>
      <c r="B70" s="259">
        <v>0</v>
      </c>
      <c r="C70" s="259">
        <v>0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370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</row>
    <row r="71" spans="1:21">
      <c r="A71" s="255">
        <v>1238092</v>
      </c>
      <c r="B71" s="259">
        <v>0</v>
      </c>
      <c r="C71" s="259">
        <v>0</v>
      </c>
      <c r="D71" s="259">
        <v>0</v>
      </c>
      <c r="E71" s="260">
        <v>49</v>
      </c>
      <c r="F71" s="259">
        <v>0</v>
      </c>
      <c r="G71" s="259">
        <v>0</v>
      </c>
      <c r="H71" s="259">
        <v>95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</v>
      </c>
      <c r="T71" s="259">
        <v>0</v>
      </c>
      <c r="U71" s="259">
        <v>0</v>
      </c>
    </row>
  </sheetData>
  <autoFilter ref="A1:U17" xr:uid="{65AABB96-AA02-4F07-8915-F3E62CF5F3D3}"/>
  <phoneticPr fontId="1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7A87-5E28-4906-BA29-307C47AE6442}">
  <dimension ref="A1:W71"/>
  <sheetViews>
    <sheetView zoomScale="130" zoomScaleNormal="130" workbookViewId="0">
      <selection activeCell="J14" sqref="J14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5" style="9" bestFit="1" customWidth="1"/>
    <col min="21" max="23" width="9.33203125" style="9"/>
    <col min="24" max="16384" width="9.33203125" style="5"/>
  </cols>
  <sheetData>
    <row r="1" spans="1:20">
      <c r="A1" s="5" t="s">
        <v>0</v>
      </c>
      <c r="B1" s="9" t="s">
        <v>1084</v>
      </c>
      <c r="C1" s="9" t="s">
        <v>1085</v>
      </c>
      <c r="D1" s="9" t="s">
        <v>1086</v>
      </c>
      <c r="E1" s="9" t="s">
        <v>1087</v>
      </c>
      <c r="F1" s="9" t="s">
        <v>1088</v>
      </c>
      <c r="G1" s="18" t="s">
        <v>1145</v>
      </c>
      <c r="H1" s="9" t="s">
        <v>1146</v>
      </c>
      <c r="I1" s="9" t="s">
        <v>1147</v>
      </c>
      <c r="J1" s="9" t="s">
        <v>1148</v>
      </c>
      <c r="K1" s="9" t="s">
        <v>1149</v>
      </c>
      <c r="L1" s="9" t="s">
        <v>1150</v>
      </c>
      <c r="M1" s="9" t="s">
        <v>1151</v>
      </c>
      <c r="N1" s="9" t="s">
        <v>1198</v>
      </c>
      <c r="O1" s="9" t="s">
        <v>1200</v>
      </c>
      <c r="P1" s="9" t="s">
        <v>1202</v>
      </c>
      <c r="Q1" s="9" t="s">
        <v>1204</v>
      </c>
      <c r="R1" s="9" t="s">
        <v>1206</v>
      </c>
      <c r="S1" s="9" t="s">
        <v>1208</v>
      </c>
      <c r="T1" s="9" t="s">
        <v>1210</v>
      </c>
    </row>
    <row r="2" spans="1:20">
      <c r="A2" s="5">
        <v>1229673</v>
      </c>
      <c r="B2" s="9">
        <v>250</v>
      </c>
      <c r="C2" s="9">
        <v>250</v>
      </c>
      <c r="D2" s="9">
        <v>300</v>
      </c>
      <c r="E2" s="9">
        <v>0</v>
      </c>
      <c r="F2" s="9">
        <v>0</v>
      </c>
      <c r="G2" s="18">
        <v>300</v>
      </c>
      <c r="H2" s="9">
        <v>300</v>
      </c>
      <c r="I2" s="9">
        <v>300</v>
      </c>
      <c r="J2" s="9">
        <v>300</v>
      </c>
      <c r="K2" s="9">
        <v>300</v>
      </c>
      <c r="L2" s="9">
        <v>0</v>
      </c>
      <c r="M2" s="9">
        <v>0</v>
      </c>
      <c r="N2" s="9">
        <v>250</v>
      </c>
      <c r="O2" s="9">
        <v>250</v>
      </c>
      <c r="P2" s="9">
        <v>250</v>
      </c>
      <c r="Q2" s="9">
        <v>300</v>
      </c>
      <c r="R2" s="9">
        <v>300</v>
      </c>
      <c r="S2" s="9">
        <v>0</v>
      </c>
      <c r="T2" s="9">
        <v>0</v>
      </c>
    </row>
    <row r="3" spans="1:20">
      <c r="A3" s="5">
        <v>1230854</v>
      </c>
      <c r="B3" s="9">
        <v>0</v>
      </c>
      <c r="C3" s="9">
        <v>200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100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</row>
    <row r="4" spans="1:20">
      <c r="A4" s="5">
        <v>1235623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508</v>
      </c>
      <c r="O4" s="9">
        <v>960</v>
      </c>
      <c r="P4" s="9">
        <v>404</v>
      </c>
      <c r="Q4" s="9">
        <v>0</v>
      </c>
      <c r="R4" s="9">
        <v>0</v>
      </c>
      <c r="S4" s="9">
        <v>0</v>
      </c>
      <c r="T4" s="9">
        <v>0</v>
      </c>
    </row>
    <row r="5" spans="1:20">
      <c r="A5" s="5">
        <v>1237088</v>
      </c>
      <c r="B5" s="9">
        <v>518</v>
      </c>
      <c r="C5" s="9">
        <v>746</v>
      </c>
      <c r="D5" s="9">
        <v>418</v>
      </c>
      <c r="E5" s="9">
        <v>0</v>
      </c>
      <c r="F5" s="9">
        <v>0</v>
      </c>
      <c r="G5" s="18">
        <v>436</v>
      </c>
      <c r="H5" s="9">
        <v>158</v>
      </c>
      <c r="I5" s="9">
        <v>676</v>
      </c>
      <c r="J5" s="9">
        <v>466</v>
      </c>
      <c r="K5" s="9">
        <v>308</v>
      </c>
      <c r="L5" s="9">
        <v>0</v>
      </c>
      <c r="M5" s="9">
        <v>0</v>
      </c>
      <c r="N5" s="9">
        <v>574</v>
      </c>
      <c r="O5" s="9">
        <v>868</v>
      </c>
      <c r="P5" s="9">
        <v>780</v>
      </c>
      <c r="Q5" s="9">
        <v>542</v>
      </c>
      <c r="R5" s="9">
        <v>178</v>
      </c>
      <c r="S5" s="9">
        <v>0</v>
      </c>
      <c r="T5" s="9">
        <v>0</v>
      </c>
    </row>
    <row r="6" spans="1:20">
      <c r="A6" s="5">
        <v>1236091</v>
      </c>
      <c r="B6" s="9">
        <v>200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300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5">
        <v>1234905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566</v>
      </c>
      <c r="S7" s="9">
        <v>0</v>
      </c>
      <c r="T7" s="9">
        <v>0</v>
      </c>
    </row>
    <row r="8" spans="1:20">
      <c r="A8" s="5">
        <v>1238128</v>
      </c>
      <c r="B8" s="9">
        <v>464</v>
      </c>
      <c r="C8" s="9">
        <v>882</v>
      </c>
      <c r="D8" s="9">
        <v>464</v>
      </c>
      <c r="E8" s="9">
        <v>0</v>
      </c>
      <c r="F8" s="9">
        <v>0</v>
      </c>
      <c r="G8" s="18">
        <v>464</v>
      </c>
      <c r="H8" s="9">
        <v>84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</row>
    <row r="9" spans="1:20">
      <c r="A9" s="5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104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</row>
    <row r="10" spans="1:20">
      <c r="A10" s="5">
        <v>1236962</v>
      </c>
      <c r="B10" s="9">
        <v>200</v>
      </c>
      <c r="C10" s="9">
        <v>300</v>
      </c>
      <c r="D10" s="9">
        <v>0</v>
      </c>
      <c r="E10" s="9">
        <v>0</v>
      </c>
      <c r="F10" s="9">
        <v>0</v>
      </c>
      <c r="G10" s="18">
        <v>300</v>
      </c>
      <c r="H10" s="9">
        <v>300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200</v>
      </c>
      <c r="O10" s="9">
        <v>0</v>
      </c>
      <c r="P10" s="9">
        <v>0</v>
      </c>
      <c r="Q10" s="9">
        <v>308</v>
      </c>
      <c r="R10" s="9">
        <v>200</v>
      </c>
      <c r="S10" s="9">
        <v>0</v>
      </c>
      <c r="T10" s="9">
        <v>0</v>
      </c>
    </row>
    <row r="11" spans="1:20">
      <c r="A11" s="5">
        <v>1233761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150</v>
      </c>
      <c r="J11" s="9">
        <v>0</v>
      </c>
      <c r="K11" s="9">
        <v>200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</row>
    <row r="12" spans="1:20">
      <c r="A12" s="5">
        <v>1239651</v>
      </c>
      <c r="B12" s="9">
        <v>0</v>
      </c>
      <c r="C12" s="9">
        <v>0</v>
      </c>
      <c r="D12" s="9">
        <v>400</v>
      </c>
      <c r="E12" s="9">
        <v>0</v>
      </c>
      <c r="F12" s="9">
        <v>0</v>
      </c>
      <c r="G12" s="18">
        <v>100</v>
      </c>
      <c r="H12" s="9">
        <v>0</v>
      </c>
      <c r="I12" s="9">
        <v>0</v>
      </c>
      <c r="J12" s="9">
        <v>400</v>
      </c>
      <c r="K12" s="9">
        <v>0</v>
      </c>
      <c r="L12" s="9">
        <v>0</v>
      </c>
      <c r="M12" s="9">
        <v>0</v>
      </c>
      <c r="N12" s="9">
        <v>0</v>
      </c>
      <c r="O12" s="9">
        <v>300</v>
      </c>
      <c r="P12" s="9">
        <v>0</v>
      </c>
      <c r="Q12" s="9">
        <v>150</v>
      </c>
      <c r="R12" s="9">
        <v>0</v>
      </c>
      <c r="S12" s="9">
        <v>0</v>
      </c>
      <c r="T12" s="9">
        <v>0</v>
      </c>
    </row>
    <row r="13" spans="1:20">
      <c r="A13" s="5">
        <v>1240180</v>
      </c>
      <c r="B13" s="9">
        <v>140</v>
      </c>
      <c r="C13" s="9">
        <v>390</v>
      </c>
      <c r="D13" s="9">
        <v>306</v>
      </c>
      <c r="E13" s="9">
        <v>0</v>
      </c>
      <c r="F13" s="9">
        <v>0</v>
      </c>
      <c r="G13" s="18">
        <v>306</v>
      </c>
      <c r="H13" s="9">
        <v>390</v>
      </c>
      <c r="I13" s="9">
        <v>306</v>
      </c>
      <c r="J13" s="9">
        <v>390</v>
      </c>
      <c r="K13" s="9">
        <v>306</v>
      </c>
      <c r="L13" s="9">
        <v>0</v>
      </c>
      <c r="M13" s="9">
        <v>0</v>
      </c>
      <c r="N13" s="9">
        <v>338</v>
      </c>
      <c r="O13" s="9">
        <v>430</v>
      </c>
      <c r="P13" s="9">
        <v>338</v>
      </c>
      <c r="Q13" s="9">
        <v>420</v>
      </c>
      <c r="R13" s="9">
        <v>0</v>
      </c>
      <c r="S13" s="9">
        <v>0</v>
      </c>
      <c r="T13" s="9">
        <v>0</v>
      </c>
    </row>
    <row r="14" spans="1:20">
      <c r="A14" s="5">
        <v>1240184</v>
      </c>
      <c r="B14" s="9">
        <v>0</v>
      </c>
      <c r="C14" s="9">
        <v>314</v>
      </c>
      <c r="D14" s="9">
        <v>306</v>
      </c>
      <c r="E14" s="9">
        <v>0</v>
      </c>
      <c r="F14" s="9">
        <v>0</v>
      </c>
      <c r="G14" s="18">
        <v>306</v>
      </c>
      <c r="H14" s="9">
        <v>390</v>
      </c>
      <c r="I14" s="9">
        <v>306</v>
      </c>
      <c r="J14" s="9">
        <v>390</v>
      </c>
      <c r="K14" s="9">
        <v>306</v>
      </c>
      <c r="L14" s="9">
        <v>0</v>
      </c>
      <c r="M14" s="9">
        <v>0</v>
      </c>
      <c r="N14" s="9">
        <v>338</v>
      </c>
      <c r="O14" s="9">
        <v>296</v>
      </c>
      <c r="P14" s="9">
        <v>338</v>
      </c>
      <c r="Q14" s="9">
        <v>420</v>
      </c>
      <c r="R14" s="9">
        <v>0</v>
      </c>
      <c r="S14" s="9">
        <v>0</v>
      </c>
      <c r="T14" s="9">
        <v>0</v>
      </c>
    </row>
    <row r="15" spans="1:20">
      <c r="A15" s="5">
        <v>1240308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350</v>
      </c>
      <c r="I15" s="9">
        <v>0</v>
      </c>
      <c r="J15" s="9">
        <v>0</v>
      </c>
      <c r="K15" s="9">
        <v>94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100</v>
      </c>
      <c r="R15" s="9">
        <v>0</v>
      </c>
      <c r="S15" s="9">
        <v>0</v>
      </c>
      <c r="T15" s="9">
        <v>0</v>
      </c>
    </row>
    <row r="16" spans="1:20">
      <c r="A16" s="5">
        <v>1241601</v>
      </c>
      <c r="B16" s="9">
        <v>1148</v>
      </c>
      <c r="C16" s="9">
        <v>1082</v>
      </c>
      <c r="D16" s="9">
        <v>1188</v>
      </c>
      <c r="E16" s="9">
        <v>0</v>
      </c>
      <c r="F16" s="9">
        <v>0</v>
      </c>
      <c r="G16" s="18">
        <v>1084</v>
      </c>
      <c r="H16" s="9">
        <v>1380</v>
      </c>
      <c r="I16" s="9">
        <v>1352</v>
      </c>
      <c r="J16" s="9">
        <v>1704</v>
      </c>
      <c r="K16" s="9">
        <v>1112</v>
      </c>
      <c r="L16" s="9">
        <v>0</v>
      </c>
      <c r="M16" s="9">
        <v>0</v>
      </c>
      <c r="N16" s="9">
        <v>1112</v>
      </c>
      <c r="O16" s="9">
        <v>1564</v>
      </c>
      <c r="P16" s="9">
        <v>950</v>
      </c>
      <c r="Q16" s="9">
        <v>2168</v>
      </c>
      <c r="R16" s="9">
        <v>1156</v>
      </c>
      <c r="S16" s="9">
        <v>0</v>
      </c>
      <c r="T16" s="9">
        <v>0</v>
      </c>
    </row>
    <row r="17" spans="1:20">
      <c r="A17" s="5">
        <v>1242242</v>
      </c>
      <c r="B17" s="9">
        <v>122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</row>
    <row r="21" spans="1:20">
      <c r="A21" s="5" t="s">
        <v>0</v>
      </c>
      <c r="B21" s="9" t="s">
        <v>1084</v>
      </c>
      <c r="C21" s="9" t="s">
        <v>1085</v>
      </c>
      <c r="D21" s="9" t="s">
        <v>1086</v>
      </c>
      <c r="E21" s="9" t="s">
        <v>1087</v>
      </c>
      <c r="F21" s="9" t="s">
        <v>1088</v>
      </c>
      <c r="G21" s="9" t="s">
        <v>1145</v>
      </c>
      <c r="H21" s="9" t="s">
        <v>1146</v>
      </c>
      <c r="I21" s="9" t="s">
        <v>1147</v>
      </c>
      <c r="J21" s="9" t="s">
        <v>1148</v>
      </c>
      <c r="K21" s="9" t="s">
        <v>1149</v>
      </c>
      <c r="L21" s="9" t="s">
        <v>1150</v>
      </c>
      <c r="M21" s="9" t="s">
        <v>1151</v>
      </c>
      <c r="N21" s="9" t="s">
        <v>1198</v>
      </c>
      <c r="O21" s="9" t="s">
        <v>1200</v>
      </c>
      <c r="P21" s="9" t="s">
        <v>1202</v>
      </c>
      <c r="Q21" s="9" t="s">
        <v>1204</v>
      </c>
      <c r="R21" s="9" t="s">
        <v>1206</v>
      </c>
      <c r="S21" s="9" t="s">
        <v>1208</v>
      </c>
      <c r="T21" s="9" t="s">
        <v>1210</v>
      </c>
    </row>
    <row r="22" spans="1:20">
      <c r="A22" s="5">
        <v>1232846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44</v>
      </c>
      <c r="Q22" s="9">
        <v>0</v>
      </c>
      <c r="R22" s="9">
        <v>352</v>
      </c>
      <c r="S22" s="9">
        <v>0</v>
      </c>
      <c r="T22" s="9">
        <v>0</v>
      </c>
    </row>
    <row r="23" spans="1:20">
      <c r="A23" s="5">
        <v>1232895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44</v>
      </c>
      <c r="Q23" s="9">
        <v>0</v>
      </c>
      <c r="R23" s="9">
        <v>352</v>
      </c>
      <c r="S23" s="9">
        <v>0</v>
      </c>
      <c r="T23" s="9">
        <v>0</v>
      </c>
    </row>
    <row r="24" spans="1:20">
      <c r="A24" s="5">
        <v>1233384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44</v>
      </c>
      <c r="Q24" s="9">
        <v>0</v>
      </c>
      <c r="R24" s="9">
        <v>352</v>
      </c>
      <c r="S24" s="9">
        <v>0</v>
      </c>
      <c r="T24" s="9">
        <v>0</v>
      </c>
    </row>
    <row r="25" spans="1:20">
      <c r="A25" s="5">
        <v>1236110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100</v>
      </c>
      <c r="P25" s="9">
        <v>200</v>
      </c>
      <c r="Q25" s="9">
        <v>0</v>
      </c>
      <c r="R25" s="9">
        <v>0</v>
      </c>
      <c r="S25" s="9">
        <v>0</v>
      </c>
      <c r="T25" s="9">
        <v>0</v>
      </c>
    </row>
    <row r="26" spans="1:20">
      <c r="A26" s="5">
        <v>1236387</v>
      </c>
      <c r="B26" s="98">
        <v>357</v>
      </c>
      <c r="C26" s="98">
        <v>255</v>
      </c>
      <c r="D26" s="98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110</v>
      </c>
      <c r="S26" s="9">
        <v>0</v>
      </c>
      <c r="T26" s="9">
        <v>0</v>
      </c>
    </row>
    <row r="27" spans="1:20">
      <c r="A27" s="5">
        <v>1232775</v>
      </c>
      <c r="B27" s="98">
        <v>242</v>
      </c>
      <c r="C27" s="98">
        <v>245</v>
      </c>
      <c r="D27" s="98">
        <v>242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18">
        <v>159</v>
      </c>
      <c r="K27" s="18">
        <v>484</v>
      </c>
      <c r="L27" s="9">
        <v>0</v>
      </c>
      <c r="M27" s="9">
        <v>0</v>
      </c>
      <c r="N27" s="9">
        <v>487</v>
      </c>
      <c r="O27" s="9">
        <v>487</v>
      </c>
      <c r="P27" s="9">
        <v>275</v>
      </c>
      <c r="Q27" s="9">
        <v>0</v>
      </c>
      <c r="R27" s="9">
        <v>0</v>
      </c>
      <c r="S27" s="9">
        <v>0</v>
      </c>
      <c r="T27" s="9">
        <v>0</v>
      </c>
    </row>
    <row r="28" spans="1:20">
      <c r="A28" s="5">
        <v>1230685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183</v>
      </c>
      <c r="Q28" s="9">
        <v>0</v>
      </c>
      <c r="R28" s="9">
        <v>217</v>
      </c>
      <c r="S28" s="9">
        <v>0</v>
      </c>
      <c r="T28" s="9">
        <v>0</v>
      </c>
    </row>
    <row r="29" spans="1:20">
      <c r="A29" s="5">
        <v>1238605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8">
        <v>175</v>
      </c>
      <c r="H29" s="18">
        <v>190</v>
      </c>
      <c r="I29" s="18">
        <v>187</v>
      </c>
      <c r="J29" s="18">
        <v>58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</row>
    <row r="34" spans="1:20">
      <c r="A34" s="5" t="s">
        <v>0</v>
      </c>
      <c r="B34" s="9" t="s">
        <v>1084</v>
      </c>
      <c r="C34" s="9" t="s">
        <v>1085</v>
      </c>
      <c r="D34" s="9" t="s">
        <v>1086</v>
      </c>
      <c r="E34" s="9" t="s">
        <v>1087</v>
      </c>
      <c r="F34" s="9" t="s">
        <v>1088</v>
      </c>
      <c r="G34" s="9" t="s">
        <v>1145</v>
      </c>
      <c r="H34" s="9" t="s">
        <v>1146</v>
      </c>
      <c r="I34" s="9" t="s">
        <v>1147</v>
      </c>
      <c r="J34" s="9" t="s">
        <v>1148</v>
      </c>
      <c r="K34" s="9" t="s">
        <v>1149</v>
      </c>
      <c r="L34" s="9" t="s">
        <v>1150</v>
      </c>
      <c r="M34" s="9" t="s">
        <v>1151</v>
      </c>
      <c r="N34" s="9" t="s">
        <v>1198</v>
      </c>
      <c r="O34" s="9" t="s">
        <v>1200</v>
      </c>
      <c r="P34" s="9" t="s">
        <v>1202</v>
      </c>
      <c r="Q34" s="9" t="s">
        <v>1204</v>
      </c>
      <c r="R34" s="9" t="s">
        <v>1206</v>
      </c>
      <c r="S34" s="9" t="s">
        <v>1208</v>
      </c>
      <c r="T34" s="9" t="s">
        <v>1210</v>
      </c>
    </row>
    <row r="35" spans="1:20">
      <c r="A35" s="5">
        <v>1221967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225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</row>
    <row r="36" spans="1:20">
      <c r="A36" s="5">
        <v>1234614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285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</row>
    <row r="37" spans="1:20">
      <c r="A37" s="5">
        <v>1227306</v>
      </c>
      <c r="B37" s="9">
        <v>267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230</v>
      </c>
      <c r="J37" s="9">
        <v>487</v>
      </c>
      <c r="K37" s="9">
        <v>118</v>
      </c>
      <c r="L37" s="9">
        <v>0</v>
      </c>
      <c r="M37" s="9">
        <v>0</v>
      </c>
      <c r="N37" s="9">
        <v>41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</row>
    <row r="38" spans="1:20">
      <c r="A38" s="5">
        <v>1231090</v>
      </c>
      <c r="B38" s="9">
        <v>90</v>
      </c>
      <c r="C38" s="9">
        <v>150</v>
      </c>
      <c r="D38" s="9">
        <v>0</v>
      </c>
      <c r="E38" s="9">
        <v>0</v>
      </c>
      <c r="F38" s="9">
        <v>0</v>
      </c>
      <c r="G38" s="9">
        <v>0</v>
      </c>
      <c r="H38" s="9">
        <v>343</v>
      </c>
      <c r="I38" s="9">
        <v>199</v>
      </c>
      <c r="J38" s="9">
        <v>0</v>
      </c>
      <c r="K38" s="9">
        <v>115</v>
      </c>
      <c r="L38" s="9">
        <v>0</v>
      </c>
      <c r="M38" s="9">
        <v>0</v>
      </c>
      <c r="N38" s="9">
        <v>65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</row>
    <row r="39" spans="1:20">
      <c r="A39" s="5">
        <v>1229776</v>
      </c>
      <c r="B39" s="9">
        <v>90</v>
      </c>
      <c r="C39" s="9">
        <v>150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115</v>
      </c>
      <c r="L39" s="9">
        <v>0</v>
      </c>
      <c r="M39" s="9">
        <v>0</v>
      </c>
      <c r="N39" s="9">
        <v>65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</row>
    <row r="40" spans="1:20">
      <c r="A40" s="5">
        <v>1231797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35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</row>
    <row r="41" spans="1:20">
      <c r="A41" s="5">
        <v>1232693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5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</row>
    <row r="42" spans="1:20">
      <c r="A42" s="5">
        <v>1233025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5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</row>
    <row r="43" spans="1:20">
      <c r="A43" s="5">
        <v>1234222</v>
      </c>
      <c r="B43" s="9">
        <v>0</v>
      </c>
      <c r="C43" s="9">
        <v>0</v>
      </c>
      <c r="D43" s="9">
        <v>120</v>
      </c>
      <c r="E43" s="9">
        <v>0</v>
      </c>
      <c r="F43" s="9">
        <v>0</v>
      </c>
      <c r="G43" s="18">
        <v>592</v>
      </c>
      <c r="H43" s="9">
        <v>348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</row>
    <row r="44" spans="1:20">
      <c r="A44" s="5">
        <v>1232528</v>
      </c>
      <c r="B44" s="9">
        <v>904</v>
      </c>
      <c r="C44" s="9">
        <v>574</v>
      </c>
      <c r="D44" s="9">
        <v>440</v>
      </c>
      <c r="E44" s="9">
        <v>0</v>
      </c>
      <c r="F44" s="9">
        <v>0</v>
      </c>
      <c r="G44" s="18">
        <v>904</v>
      </c>
      <c r="H44" s="9">
        <v>746</v>
      </c>
      <c r="I44" s="9">
        <v>539</v>
      </c>
      <c r="J44" s="9">
        <v>686</v>
      </c>
      <c r="K44" s="9">
        <v>740</v>
      </c>
      <c r="L44" s="9">
        <v>0</v>
      </c>
      <c r="M44" s="9">
        <v>0</v>
      </c>
      <c r="N44" s="9">
        <v>1018</v>
      </c>
      <c r="O44" s="9">
        <v>534</v>
      </c>
      <c r="P44" s="9">
        <v>1160</v>
      </c>
      <c r="Q44" s="9">
        <v>1685</v>
      </c>
      <c r="R44" s="9">
        <v>1070</v>
      </c>
      <c r="S44" s="9">
        <v>0</v>
      </c>
      <c r="T44" s="9">
        <v>0</v>
      </c>
    </row>
    <row r="45" spans="1:20">
      <c r="A45" s="5">
        <v>1232846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370</v>
      </c>
      <c r="P45" s="9">
        <v>561</v>
      </c>
      <c r="Q45" s="9">
        <v>1028</v>
      </c>
      <c r="R45" s="9">
        <v>0</v>
      </c>
      <c r="S45" s="9">
        <v>0</v>
      </c>
      <c r="T45" s="9">
        <v>0</v>
      </c>
    </row>
    <row r="46" spans="1:20">
      <c r="A46" s="5">
        <v>1233383</v>
      </c>
      <c r="B46" s="9">
        <v>101</v>
      </c>
      <c r="C46" s="9">
        <v>117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0">
      <c r="A47" s="5">
        <v>1220847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100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</row>
    <row r="48" spans="1:20">
      <c r="A48" s="5">
        <v>1235845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484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</row>
    <row r="49" spans="1:20">
      <c r="A49" s="5">
        <v>1235097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18">
        <v>200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300</v>
      </c>
      <c r="R49" s="9">
        <v>300</v>
      </c>
      <c r="S49" s="9">
        <v>0</v>
      </c>
      <c r="T49" s="9">
        <v>0</v>
      </c>
    </row>
    <row r="50" spans="1:20">
      <c r="A50" s="5">
        <v>1236600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150</v>
      </c>
      <c r="J50" s="9">
        <v>533</v>
      </c>
      <c r="K50" s="9">
        <v>316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</row>
    <row r="51" spans="1:20">
      <c r="A51" s="5">
        <v>1236601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93</v>
      </c>
      <c r="L51" s="9">
        <v>0</v>
      </c>
      <c r="M51" s="9">
        <v>0</v>
      </c>
      <c r="N51" s="9">
        <v>50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</row>
    <row r="52" spans="1:20">
      <c r="A52" s="5">
        <v>1236619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90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</row>
    <row r="53" spans="1:20">
      <c r="A53" s="5">
        <v>1236930</v>
      </c>
      <c r="B53" s="9">
        <v>240</v>
      </c>
      <c r="C53" s="9">
        <v>396</v>
      </c>
      <c r="D53" s="9">
        <v>509</v>
      </c>
      <c r="E53" s="9">
        <v>0</v>
      </c>
      <c r="F53" s="9">
        <v>0</v>
      </c>
      <c r="G53" s="9">
        <v>481</v>
      </c>
      <c r="H53" s="18">
        <v>398</v>
      </c>
      <c r="I53" s="9">
        <v>158</v>
      </c>
      <c r="J53" s="9">
        <v>170</v>
      </c>
      <c r="K53" s="9">
        <v>266</v>
      </c>
      <c r="L53" s="9">
        <v>0</v>
      </c>
      <c r="M53" s="9">
        <v>0</v>
      </c>
      <c r="N53" s="9">
        <v>300</v>
      </c>
      <c r="O53" s="9">
        <v>514</v>
      </c>
      <c r="P53" s="9">
        <v>300</v>
      </c>
      <c r="Q53" s="9">
        <v>100</v>
      </c>
      <c r="R53" s="9">
        <v>0</v>
      </c>
      <c r="S53" s="9">
        <v>0</v>
      </c>
      <c r="T53" s="9">
        <v>0</v>
      </c>
    </row>
    <row r="54" spans="1:20">
      <c r="A54" s="5">
        <v>1237468</v>
      </c>
      <c r="B54" s="9">
        <v>120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</row>
    <row r="55" spans="1:20">
      <c r="A55" s="5">
        <v>1237210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161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</row>
    <row r="56" spans="1:20">
      <c r="A56" s="5">
        <v>1237457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18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5">
        <v>1237386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150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</row>
    <row r="58" spans="1:20">
      <c r="A58" s="5">
        <v>1234905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450</v>
      </c>
      <c r="O58" s="9">
        <v>700</v>
      </c>
      <c r="P58" s="9">
        <v>300</v>
      </c>
      <c r="Q58" s="9">
        <v>400</v>
      </c>
      <c r="R58" s="9">
        <v>0</v>
      </c>
      <c r="S58" s="9">
        <v>0</v>
      </c>
      <c r="T58" s="9">
        <v>0</v>
      </c>
    </row>
    <row r="59" spans="1:20">
      <c r="A59" s="5">
        <v>1238480</v>
      </c>
      <c r="B59" s="9">
        <v>323</v>
      </c>
      <c r="C59" s="9">
        <v>1097</v>
      </c>
      <c r="D59" s="9">
        <v>969</v>
      </c>
      <c r="E59" s="9">
        <v>0</v>
      </c>
      <c r="F59" s="9">
        <v>0</v>
      </c>
      <c r="G59" s="18">
        <v>756</v>
      </c>
      <c r="H59" s="9">
        <v>1170</v>
      </c>
      <c r="I59" s="9">
        <v>853</v>
      </c>
      <c r="J59" s="9">
        <v>1169</v>
      </c>
      <c r="K59" s="9">
        <v>689</v>
      </c>
      <c r="L59" s="9">
        <v>0</v>
      </c>
      <c r="M59" s="9">
        <v>0</v>
      </c>
      <c r="N59" s="9">
        <v>350</v>
      </c>
      <c r="O59" s="9">
        <v>872</v>
      </c>
      <c r="P59" s="9">
        <v>693</v>
      </c>
      <c r="Q59" s="9">
        <v>801</v>
      </c>
      <c r="R59" s="9">
        <v>623</v>
      </c>
      <c r="S59" s="9">
        <v>0</v>
      </c>
      <c r="T59" s="9">
        <v>0</v>
      </c>
    </row>
    <row r="60" spans="1:20">
      <c r="A60" s="5">
        <v>1232775</v>
      </c>
      <c r="B60" s="9">
        <v>78</v>
      </c>
      <c r="C60" s="9">
        <v>238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</row>
    <row r="61" spans="1:20">
      <c r="A61" s="5">
        <v>1240180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93</v>
      </c>
      <c r="J61" s="9">
        <v>157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300</v>
      </c>
      <c r="S61" s="9">
        <v>0</v>
      </c>
      <c r="T61" s="9">
        <v>0</v>
      </c>
    </row>
    <row r="62" spans="1:20">
      <c r="A62" s="5">
        <v>1240184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93</v>
      </c>
      <c r="J62" s="9">
        <v>157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300</v>
      </c>
      <c r="S62" s="9">
        <v>0</v>
      </c>
      <c r="T62" s="9">
        <v>0</v>
      </c>
    </row>
    <row r="63" spans="1:20">
      <c r="A63" s="5">
        <v>1216452</v>
      </c>
      <c r="B63" s="9">
        <v>102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</row>
    <row r="64" spans="1:20">
      <c r="A64" s="5">
        <v>1231011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300</v>
      </c>
      <c r="Q64" s="9">
        <v>0</v>
      </c>
      <c r="R64" s="9">
        <v>0</v>
      </c>
      <c r="S64" s="9">
        <v>0</v>
      </c>
      <c r="T64" s="9">
        <v>0</v>
      </c>
    </row>
    <row r="65" spans="1:20">
      <c r="A65" s="5">
        <v>1232894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561</v>
      </c>
      <c r="Q65" s="9">
        <v>1028</v>
      </c>
      <c r="R65" s="9">
        <v>0</v>
      </c>
      <c r="S65" s="9">
        <v>0</v>
      </c>
      <c r="T65" s="9">
        <v>0</v>
      </c>
    </row>
    <row r="66" spans="1:20">
      <c r="A66" s="5">
        <v>1233386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308</v>
      </c>
      <c r="Q66" s="9">
        <v>0</v>
      </c>
      <c r="R66" s="9">
        <v>0</v>
      </c>
      <c r="S66" s="9">
        <v>0</v>
      </c>
      <c r="T66" s="9">
        <v>0</v>
      </c>
    </row>
    <row r="67" spans="1:20">
      <c r="A67" s="5">
        <v>1233387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1028</v>
      </c>
      <c r="R67" s="9">
        <v>0</v>
      </c>
      <c r="S67" s="9">
        <v>0</v>
      </c>
      <c r="T67" s="9">
        <v>0</v>
      </c>
    </row>
    <row r="68" spans="1:20">
      <c r="A68" s="5">
        <v>1233385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253</v>
      </c>
      <c r="Q68" s="9">
        <v>0</v>
      </c>
      <c r="R68" s="9">
        <v>0</v>
      </c>
      <c r="S68" s="9">
        <v>0</v>
      </c>
      <c r="T68" s="9">
        <v>0</v>
      </c>
    </row>
    <row r="69" spans="1:20">
      <c r="A69" s="5">
        <v>1232895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370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</row>
    <row r="70" spans="1:20">
      <c r="A70" s="5">
        <v>1232922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370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</row>
    <row r="71" spans="1:20">
      <c r="A71" s="5">
        <v>1238092</v>
      </c>
      <c r="B71" s="9">
        <v>0</v>
      </c>
      <c r="C71" s="9">
        <v>0</v>
      </c>
      <c r="D71" s="9">
        <v>49</v>
      </c>
      <c r="E71" s="9">
        <v>0</v>
      </c>
      <c r="F71" s="9">
        <v>0</v>
      </c>
      <c r="G71" s="18">
        <v>95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</row>
  </sheetData>
  <autoFilter ref="A1:T17" xr:uid="{F0087A87-5E28-4906-BA29-307C47AE6442}"/>
  <phoneticPr fontId="1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654D-603E-436E-9603-73D001C696BA}">
  <sheetPr>
    <tabColor rgb="FFFFFF00"/>
  </sheetPr>
  <dimension ref="A1:R105"/>
  <sheetViews>
    <sheetView zoomScale="130" zoomScaleNormal="130" workbookViewId="0">
      <pane xSplit="2" ySplit="8" topLeftCell="C35" activePane="bottomRight" state="frozen"/>
      <selection pane="topRight" activeCell="C1" sqref="C1"/>
      <selection pane="bottomLeft" activeCell="A9" sqref="A9"/>
      <selection pane="bottomRight" activeCell="B47" sqref="B47"/>
    </sheetView>
  </sheetViews>
  <sheetFormatPr defaultColWidth="9.33203125" defaultRowHeight="12"/>
  <cols>
    <col min="1" max="1" width="9.5" style="5" bestFit="1" customWidth="1"/>
    <col min="2" max="2" width="10.1640625" style="5" bestFit="1" customWidth="1"/>
    <col min="3" max="12" width="13" style="108" customWidth="1"/>
    <col min="13" max="13" width="9.33203125" style="5"/>
    <col min="14" max="14" width="10" style="108" bestFit="1" customWidth="1"/>
    <col min="15" max="16384" width="9.33203125" style="5"/>
  </cols>
  <sheetData>
    <row r="1" spans="1:18" s="80" customFormat="1">
      <c r="A1" s="81"/>
      <c r="B1" s="81" t="s">
        <v>730</v>
      </c>
      <c r="C1" s="9">
        <f>+C2-C3</f>
        <v>0</v>
      </c>
      <c r="D1" s="9">
        <f t="shared" ref="D1:L1" si="0">+D2-D3</f>
        <v>0</v>
      </c>
      <c r="E1" s="9">
        <f t="shared" si="0"/>
        <v>0</v>
      </c>
      <c r="F1" s="9">
        <f t="shared" si="0"/>
        <v>20736</v>
      </c>
      <c r="G1" s="9">
        <f t="shared" si="0"/>
        <v>0</v>
      </c>
      <c r="H1" s="9">
        <f t="shared" si="0"/>
        <v>500</v>
      </c>
      <c r="I1" s="9">
        <f t="shared" si="0"/>
        <v>0</v>
      </c>
      <c r="J1" s="9">
        <f t="shared" si="0"/>
        <v>0</v>
      </c>
      <c r="K1" s="9">
        <f t="shared" si="0"/>
        <v>0</v>
      </c>
      <c r="L1" s="9">
        <f t="shared" si="0"/>
        <v>0</v>
      </c>
      <c r="M1" s="193"/>
      <c r="N1" s="194"/>
      <c r="O1" s="194"/>
      <c r="P1" s="194"/>
      <c r="Q1" s="194"/>
      <c r="R1" s="194"/>
    </row>
    <row r="2" spans="1:18" s="80" customFormat="1">
      <c r="A2" s="81"/>
      <c r="B2" s="81" t="s">
        <v>729</v>
      </c>
      <c r="C2" s="9">
        <v>38997</v>
      </c>
      <c r="D2" s="9">
        <v>68086</v>
      </c>
      <c r="E2" s="9">
        <v>52032</v>
      </c>
      <c r="F2" s="9">
        <v>63028</v>
      </c>
      <c r="G2" s="9">
        <v>27683</v>
      </c>
      <c r="H2" s="9">
        <v>45317</v>
      </c>
      <c r="I2" s="9">
        <v>57519</v>
      </c>
      <c r="J2" s="9">
        <v>48881</v>
      </c>
      <c r="K2" s="9">
        <v>39553</v>
      </c>
      <c r="L2" s="9">
        <v>37704</v>
      </c>
      <c r="M2" s="193">
        <v>0</v>
      </c>
      <c r="N2" s="194"/>
      <c r="O2" s="194"/>
      <c r="P2" s="194"/>
      <c r="Q2" s="194"/>
      <c r="R2" s="194"/>
    </row>
    <row r="3" spans="1:18" s="196" customFormat="1">
      <c r="A3" s="195"/>
      <c r="B3" s="195" t="s">
        <v>30</v>
      </c>
      <c r="C3" s="63">
        <f>+C4+C5</f>
        <v>38997</v>
      </c>
      <c r="D3" s="63">
        <f t="shared" ref="D3:L3" si="1">+D4+D5</f>
        <v>68086</v>
      </c>
      <c r="E3" s="63">
        <f t="shared" si="1"/>
        <v>52032</v>
      </c>
      <c r="F3" s="63">
        <f t="shared" si="1"/>
        <v>42292</v>
      </c>
      <c r="G3" s="63">
        <f t="shared" si="1"/>
        <v>27683</v>
      </c>
      <c r="H3" s="63">
        <f t="shared" si="1"/>
        <v>44817</v>
      </c>
      <c r="I3" s="63">
        <f t="shared" si="1"/>
        <v>57519</v>
      </c>
      <c r="J3" s="63">
        <f t="shared" si="1"/>
        <v>48881</v>
      </c>
      <c r="K3" s="63">
        <f t="shared" si="1"/>
        <v>39553</v>
      </c>
      <c r="L3" s="63">
        <f t="shared" si="1"/>
        <v>37704</v>
      </c>
      <c r="M3" s="197"/>
      <c r="N3" s="198"/>
      <c r="O3" s="198"/>
      <c r="P3" s="198"/>
      <c r="Q3" s="198"/>
      <c r="R3" s="198"/>
    </row>
    <row r="4" spans="1:18" s="80" customFormat="1">
      <c r="A4" s="81"/>
      <c r="B4" s="81" t="s">
        <v>31</v>
      </c>
      <c r="C4" s="9">
        <f>SUM(C9:C38)</f>
        <v>20037</v>
      </c>
      <c r="D4" s="9">
        <f t="shared" ref="D4:L4" si="2">SUM(D9:D38)</f>
        <v>30698</v>
      </c>
      <c r="E4" s="9">
        <f t="shared" si="2"/>
        <v>26184</v>
      </c>
      <c r="F4" s="9">
        <f t="shared" si="2"/>
        <v>24598</v>
      </c>
      <c r="G4" s="9">
        <f t="shared" si="2"/>
        <v>18896</v>
      </c>
      <c r="H4" s="9">
        <f t="shared" si="2"/>
        <v>22322</v>
      </c>
      <c r="I4" s="9">
        <f t="shared" si="2"/>
        <v>29846</v>
      </c>
      <c r="J4" s="9">
        <f t="shared" si="2"/>
        <v>28746</v>
      </c>
      <c r="K4" s="9">
        <f t="shared" si="2"/>
        <v>24150</v>
      </c>
      <c r="L4" s="9">
        <f t="shared" si="2"/>
        <v>26400</v>
      </c>
      <c r="M4" s="193"/>
      <c r="N4" s="194"/>
      <c r="O4" s="194"/>
      <c r="P4" s="194"/>
      <c r="Q4" s="194"/>
      <c r="R4" s="194"/>
    </row>
    <row r="5" spans="1:18" s="80" customFormat="1">
      <c r="A5" s="81"/>
      <c r="B5" s="81" t="s">
        <v>27</v>
      </c>
      <c r="C5" s="9">
        <f>SUM(C47:C105)</f>
        <v>18960</v>
      </c>
      <c r="D5" s="9">
        <f t="shared" ref="D5:L5" si="3">SUM(D47:D105)</f>
        <v>37388</v>
      </c>
      <c r="E5" s="9">
        <f t="shared" si="3"/>
        <v>25848</v>
      </c>
      <c r="F5" s="9">
        <f t="shared" si="3"/>
        <v>17694</v>
      </c>
      <c r="G5" s="9">
        <f t="shared" si="3"/>
        <v>8787</v>
      </c>
      <c r="H5" s="9">
        <f t="shared" si="3"/>
        <v>22495</v>
      </c>
      <c r="I5" s="9">
        <f t="shared" si="3"/>
        <v>27673</v>
      </c>
      <c r="J5" s="9">
        <f t="shared" si="3"/>
        <v>20135</v>
      </c>
      <c r="K5" s="9">
        <f t="shared" si="3"/>
        <v>15403</v>
      </c>
      <c r="L5" s="9">
        <f t="shared" si="3"/>
        <v>11304</v>
      </c>
      <c r="M5" s="193"/>
      <c r="N5" s="194"/>
      <c r="O5" s="194"/>
      <c r="P5" s="194"/>
      <c r="Q5" s="194"/>
      <c r="R5" s="194"/>
    </row>
    <row r="7" spans="1:18" s="33" customFormat="1">
      <c r="A7" s="307"/>
      <c r="B7" s="307" t="s">
        <v>0</v>
      </c>
      <c r="C7" s="269" t="s">
        <v>847</v>
      </c>
      <c r="D7" s="269" t="s">
        <v>876</v>
      </c>
      <c r="E7" s="269" t="s">
        <v>902</v>
      </c>
      <c r="F7" s="269" t="s">
        <v>927</v>
      </c>
      <c r="G7" s="269" t="s">
        <v>939</v>
      </c>
      <c r="H7" s="269" t="s">
        <v>997</v>
      </c>
      <c r="I7" s="269" t="s">
        <v>1045</v>
      </c>
      <c r="J7" s="269" t="s">
        <v>1089</v>
      </c>
      <c r="K7" s="269" t="s">
        <v>1152</v>
      </c>
      <c r="L7" s="269" t="s">
        <v>1212</v>
      </c>
      <c r="N7" s="271">
        <v>458064</v>
      </c>
      <c r="O7" s="33">
        <v>478800</v>
      </c>
      <c r="P7" s="272">
        <f>+O7-N7</f>
        <v>20736</v>
      </c>
    </row>
    <row r="8" spans="1:18" s="33" customFormat="1">
      <c r="A8" s="307"/>
      <c r="B8" s="308"/>
      <c r="C8" s="270" t="s">
        <v>848</v>
      </c>
      <c r="D8" s="270" t="s">
        <v>877</v>
      </c>
      <c r="E8" s="270" t="s">
        <v>903</v>
      </c>
      <c r="F8" s="270" t="s">
        <v>928</v>
      </c>
      <c r="G8" s="270" t="s">
        <v>998</v>
      </c>
      <c r="H8" s="270" t="s">
        <v>999</v>
      </c>
      <c r="I8" s="270" t="s">
        <v>1046</v>
      </c>
      <c r="J8" s="270" t="s">
        <v>1090</v>
      </c>
      <c r="K8" s="270" t="s">
        <v>1153</v>
      </c>
      <c r="L8" s="270" t="s">
        <v>1213</v>
      </c>
      <c r="N8" s="271"/>
    </row>
    <row r="9" spans="1:18">
      <c r="A9" s="266"/>
      <c r="B9" s="267">
        <v>1226384</v>
      </c>
      <c r="C9" s="268">
        <v>0</v>
      </c>
      <c r="D9" s="268">
        <v>1060</v>
      </c>
      <c r="E9" s="268">
        <v>0</v>
      </c>
      <c r="F9" s="268">
        <v>0</v>
      </c>
      <c r="G9" s="268">
        <v>453</v>
      </c>
      <c r="H9" s="268">
        <v>936</v>
      </c>
      <c r="I9" s="268">
        <v>712</v>
      </c>
      <c r="J9" s="268">
        <v>0</v>
      </c>
      <c r="K9" s="268">
        <v>845</v>
      </c>
      <c r="L9" s="268">
        <v>0</v>
      </c>
      <c r="N9" s="108">
        <v>4006</v>
      </c>
    </row>
    <row r="10" spans="1:18">
      <c r="A10" s="266"/>
      <c r="B10" s="267">
        <v>1226388</v>
      </c>
      <c r="C10" s="268">
        <v>0</v>
      </c>
      <c r="D10" s="268">
        <v>1060</v>
      </c>
      <c r="E10" s="268">
        <v>0</v>
      </c>
      <c r="F10" s="268">
        <v>0</v>
      </c>
      <c r="G10" s="268">
        <v>453</v>
      </c>
      <c r="H10" s="268">
        <v>936</v>
      </c>
      <c r="I10" s="268">
        <v>712</v>
      </c>
      <c r="J10" s="268">
        <v>0</v>
      </c>
      <c r="K10" s="268">
        <v>845</v>
      </c>
      <c r="L10" s="268">
        <v>0</v>
      </c>
      <c r="N10" s="108">
        <v>4006</v>
      </c>
    </row>
    <row r="11" spans="1:18">
      <c r="A11" s="266"/>
      <c r="B11" s="267">
        <v>1229673</v>
      </c>
      <c r="C11" s="268">
        <v>0</v>
      </c>
      <c r="D11" s="268">
        <v>1000</v>
      </c>
      <c r="E11" s="268">
        <v>1000</v>
      </c>
      <c r="F11" s="268">
        <v>800</v>
      </c>
      <c r="G11" s="268">
        <v>800</v>
      </c>
      <c r="H11" s="268">
        <v>800</v>
      </c>
      <c r="I11" s="268">
        <v>1000</v>
      </c>
      <c r="J11" s="268">
        <v>1000</v>
      </c>
      <c r="K11" s="268">
        <v>0</v>
      </c>
      <c r="L11" s="268">
        <v>800</v>
      </c>
      <c r="N11" s="108">
        <v>7200</v>
      </c>
    </row>
    <row r="12" spans="1:18">
      <c r="A12" s="266"/>
      <c r="B12" s="267">
        <v>1230692</v>
      </c>
      <c r="C12" s="268">
        <v>1464</v>
      </c>
      <c r="D12" s="268">
        <v>700</v>
      </c>
      <c r="E12" s="268">
        <v>600</v>
      </c>
      <c r="F12" s="268">
        <v>600</v>
      </c>
      <c r="G12" s="268">
        <v>600</v>
      </c>
      <c r="H12" s="268">
        <v>900</v>
      </c>
      <c r="I12" s="268">
        <v>900</v>
      </c>
      <c r="J12" s="268">
        <v>900</v>
      </c>
      <c r="K12" s="268">
        <v>800</v>
      </c>
      <c r="L12" s="268">
        <v>900</v>
      </c>
      <c r="N12" s="108">
        <v>8364</v>
      </c>
    </row>
    <row r="13" spans="1:18">
      <c r="A13" s="266"/>
      <c r="B13" s="267">
        <v>1230696</v>
      </c>
      <c r="C13" s="268">
        <v>184</v>
      </c>
      <c r="D13" s="268">
        <v>100</v>
      </c>
      <c r="E13" s="268">
        <v>200</v>
      </c>
      <c r="F13" s="268">
        <v>100</v>
      </c>
      <c r="G13" s="268">
        <v>100</v>
      </c>
      <c r="H13" s="268">
        <v>200</v>
      </c>
      <c r="I13" s="268">
        <v>200</v>
      </c>
      <c r="J13" s="268">
        <v>200</v>
      </c>
      <c r="K13" s="268">
        <v>0</v>
      </c>
      <c r="L13" s="268">
        <v>200</v>
      </c>
      <c r="N13" s="108">
        <v>1484</v>
      </c>
    </row>
    <row r="14" spans="1:18">
      <c r="A14" s="266"/>
      <c r="B14" s="267">
        <v>1230854</v>
      </c>
      <c r="C14" s="268">
        <v>0</v>
      </c>
      <c r="D14" s="268">
        <v>200</v>
      </c>
      <c r="E14" s="268">
        <v>0</v>
      </c>
      <c r="F14" s="268">
        <v>0</v>
      </c>
      <c r="G14" s="268">
        <v>0</v>
      </c>
      <c r="H14" s="268">
        <v>0</v>
      </c>
      <c r="I14" s="268">
        <v>0</v>
      </c>
      <c r="J14" s="268">
        <v>400</v>
      </c>
      <c r="K14" s="268">
        <v>0</v>
      </c>
      <c r="L14" s="268">
        <v>0</v>
      </c>
      <c r="N14" s="108">
        <v>600</v>
      </c>
    </row>
    <row r="15" spans="1:18">
      <c r="A15" s="266"/>
      <c r="B15" s="267">
        <v>1231202</v>
      </c>
      <c r="C15" s="268">
        <v>0</v>
      </c>
      <c r="D15" s="268">
        <v>0</v>
      </c>
      <c r="E15" s="268">
        <v>100</v>
      </c>
      <c r="F15" s="268">
        <v>0</v>
      </c>
      <c r="G15" s="268">
        <v>0</v>
      </c>
      <c r="H15" s="268">
        <v>0</v>
      </c>
      <c r="I15" s="268">
        <v>0</v>
      </c>
      <c r="J15" s="268">
        <v>0</v>
      </c>
      <c r="K15" s="268">
        <v>0</v>
      </c>
      <c r="L15" s="268">
        <v>0</v>
      </c>
      <c r="N15" s="108">
        <v>100</v>
      </c>
    </row>
    <row r="16" spans="1:18">
      <c r="A16" s="266"/>
      <c r="B16" s="267">
        <v>1231898</v>
      </c>
      <c r="C16" s="268">
        <v>0</v>
      </c>
      <c r="D16" s="268">
        <v>1792</v>
      </c>
      <c r="E16" s="268">
        <v>1344</v>
      </c>
      <c r="F16" s="268">
        <v>1344</v>
      </c>
      <c r="G16" s="268">
        <v>1344</v>
      </c>
      <c r="H16" s="268">
        <v>1304</v>
      </c>
      <c r="I16" s="268">
        <v>2240</v>
      </c>
      <c r="J16" s="268">
        <v>896</v>
      </c>
      <c r="K16" s="268">
        <v>896</v>
      </c>
      <c r="L16" s="268">
        <v>1304</v>
      </c>
      <c r="N16" s="108">
        <v>12464</v>
      </c>
    </row>
    <row r="17" spans="1:14">
      <c r="A17" s="266"/>
      <c r="B17" s="267">
        <v>1233492</v>
      </c>
      <c r="C17" s="268">
        <v>0</v>
      </c>
      <c r="D17" s="268">
        <v>500</v>
      </c>
      <c r="E17" s="268">
        <v>500</v>
      </c>
      <c r="F17" s="268">
        <v>0</v>
      </c>
      <c r="G17" s="268">
        <v>0</v>
      </c>
      <c r="H17" s="268" t="s">
        <v>1214</v>
      </c>
      <c r="I17" s="268">
        <v>500</v>
      </c>
      <c r="J17" s="268">
        <v>500</v>
      </c>
      <c r="K17" s="268">
        <v>500</v>
      </c>
      <c r="L17" s="268">
        <v>500</v>
      </c>
      <c r="N17" s="108">
        <v>3500</v>
      </c>
    </row>
    <row r="18" spans="1:14">
      <c r="A18" s="266"/>
      <c r="B18" s="267">
        <v>1233498</v>
      </c>
      <c r="C18" s="268">
        <v>0</v>
      </c>
      <c r="D18" s="268">
        <v>500</v>
      </c>
      <c r="E18" s="268">
        <v>500</v>
      </c>
      <c r="F18" s="268">
        <v>0</v>
      </c>
      <c r="G18" s="268">
        <v>0</v>
      </c>
      <c r="H18" s="268">
        <v>500</v>
      </c>
      <c r="I18" s="268">
        <v>500</v>
      </c>
      <c r="J18" s="268">
        <v>500</v>
      </c>
      <c r="K18" s="268">
        <v>500</v>
      </c>
      <c r="L18" s="268">
        <v>500</v>
      </c>
      <c r="N18" s="108">
        <v>3500</v>
      </c>
    </row>
    <row r="19" spans="1:14">
      <c r="A19" s="266"/>
      <c r="B19" s="267">
        <v>1233623</v>
      </c>
      <c r="C19" s="268">
        <v>0</v>
      </c>
      <c r="D19" s="268">
        <v>500</v>
      </c>
      <c r="E19" s="268">
        <v>500</v>
      </c>
      <c r="F19" s="268">
        <v>0</v>
      </c>
      <c r="G19" s="268">
        <v>0</v>
      </c>
      <c r="H19" s="268">
        <v>500</v>
      </c>
      <c r="I19" s="268">
        <v>500</v>
      </c>
      <c r="J19" s="268">
        <v>500</v>
      </c>
      <c r="K19" s="268">
        <v>500</v>
      </c>
      <c r="L19" s="268">
        <v>500</v>
      </c>
      <c r="N19" s="108">
        <v>3500</v>
      </c>
    </row>
    <row r="20" spans="1:14">
      <c r="A20" s="266"/>
      <c r="B20" s="267">
        <v>1233761</v>
      </c>
      <c r="C20" s="268">
        <v>0</v>
      </c>
      <c r="D20" s="268">
        <v>0</v>
      </c>
      <c r="E20" s="268">
        <v>150</v>
      </c>
      <c r="F20" s="268">
        <v>200</v>
      </c>
      <c r="G20" s="268">
        <v>100</v>
      </c>
      <c r="H20" s="268">
        <v>0</v>
      </c>
      <c r="I20" s="268">
        <v>100</v>
      </c>
      <c r="J20" s="268">
        <v>150</v>
      </c>
      <c r="K20" s="268">
        <v>100</v>
      </c>
      <c r="L20" s="268">
        <v>0</v>
      </c>
      <c r="N20" s="108">
        <v>800</v>
      </c>
    </row>
    <row r="21" spans="1:14">
      <c r="A21" s="266"/>
      <c r="B21" s="267">
        <v>1233877</v>
      </c>
      <c r="C21" s="268">
        <v>0</v>
      </c>
      <c r="D21" s="268">
        <v>0</v>
      </c>
      <c r="E21" s="268">
        <v>0</v>
      </c>
      <c r="F21" s="268">
        <v>120</v>
      </c>
      <c r="G21" s="268">
        <v>0</v>
      </c>
      <c r="H21" s="268">
        <v>0</v>
      </c>
      <c r="I21" s="268">
        <v>0</v>
      </c>
      <c r="J21" s="268">
        <v>0</v>
      </c>
      <c r="K21" s="268">
        <v>0</v>
      </c>
      <c r="L21" s="268">
        <v>0</v>
      </c>
      <c r="N21" s="108">
        <v>120</v>
      </c>
    </row>
    <row r="22" spans="1:14">
      <c r="A22" s="266"/>
      <c r="B22" s="267">
        <v>1235623</v>
      </c>
      <c r="C22" s="268">
        <v>936</v>
      </c>
      <c r="D22" s="268">
        <v>936</v>
      </c>
      <c r="E22" s="268">
        <v>936</v>
      </c>
      <c r="F22" s="268">
        <v>0</v>
      </c>
      <c r="G22" s="268">
        <v>936</v>
      </c>
      <c r="H22" s="268">
        <v>0</v>
      </c>
      <c r="I22" s="268">
        <v>0</v>
      </c>
      <c r="J22" s="268">
        <v>936</v>
      </c>
      <c r="K22" s="268">
        <v>2808</v>
      </c>
      <c r="L22" s="268">
        <v>0</v>
      </c>
      <c r="N22" s="108">
        <v>7488</v>
      </c>
    </row>
    <row r="23" spans="1:14">
      <c r="A23" s="266"/>
      <c r="B23" s="267">
        <v>1236091</v>
      </c>
      <c r="C23" s="268">
        <v>0</v>
      </c>
      <c r="D23" s="268">
        <v>250</v>
      </c>
      <c r="E23" s="268">
        <v>250</v>
      </c>
      <c r="F23" s="268">
        <v>0</v>
      </c>
      <c r="G23" s="268">
        <v>0</v>
      </c>
      <c r="H23" s="268">
        <v>0</v>
      </c>
      <c r="I23" s="268">
        <v>200</v>
      </c>
      <c r="J23" s="268">
        <v>200</v>
      </c>
      <c r="K23" s="268">
        <v>0</v>
      </c>
      <c r="L23" s="268">
        <v>0</v>
      </c>
      <c r="N23" s="108">
        <v>900</v>
      </c>
    </row>
    <row r="24" spans="1:14">
      <c r="A24" s="266"/>
      <c r="B24" s="267">
        <v>1236488</v>
      </c>
      <c r="C24" s="268">
        <v>1760</v>
      </c>
      <c r="D24" s="268">
        <v>700</v>
      </c>
      <c r="E24" s="268">
        <v>700</v>
      </c>
      <c r="F24" s="268">
        <v>700</v>
      </c>
      <c r="G24" s="268">
        <v>600</v>
      </c>
      <c r="H24" s="268">
        <v>700</v>
      </c>
      <c r="I24" s="268">
        <v>800</v>
      </c>
      <c r="J24" s="268">
        <v>900</v>
      </c>
      <c r="K24" s="268">
        <v>900</v>
      </c>
      <c r="L24" s="268">
        <v>700</v>
      </c>
      <c r="N24" s="108">
        <v>8460</v>
      </c>
    </row>
    <row r="25" spans="1:14">
      <c r="A25" s="266"/>
      <c r="B25" s="267">
        <v>1236534</v>
      </c>
      <c r="C25" s="268">
        <v>16</v>
      </c>
      <c r="D25" s="268">
        <v>300</v>
      </c>
      <c r="E25" s="268">
        <v>200</v>
      </c>
      <c r="F25" s="268">
        <v>0</v>
      </c>
      <c r="G25" s="268">
        <v>0</v>
      </c>
      <c r="H25" s="268">
        <v>300</v>
      </c>
      <c r="I25" s="268">
        <v>200</v>
      </c>
      <c r="J25" s="268">
        <v>0</v>
      </c>
      <c r="K25" s="268">
        <v>0</v>
      </c>
      <c r="L25" s="268">
        <v>300</v>
      </c>
      <c r="N25" s="108">
        <v>1316</v>
      </c>
    </row>
    <row r="26" spans="1:14">
      <c r="A26" s="266"/>
      <c r="B26" s="267">
        <v>1236962</v>
      </c>
      <c r="C26" s="268">
        <v>0</v>
      </c>
      <c r="D26" s="268">
        <v>692</v>
      </c>
      <c r="E26" s="268">
        <v>700</v>
      </c>
      <c r="F26" s="268">
        <v>800</v>
      </c>
      <c r="G26" s="268">
        <v>800</v>
      </c>
      <c r="H26" s="268">
        <v>700</v>
      </c>
      <c r="I26" s="268">
        <v>700</v>
      </c>
      <c r="J26" s="268">
        <v>700</v>
      </c>
      <c r="K26" s="268">
        <v>550</v>
      </c>
      <c r="L26" s="268">
        <v>700</v>
      </c>
      <c r="N26" s="108">
        <v>6342</v>
      </c>
    </row>
    <row r="27" spans="1:14">
      <c r="A27" s="266"/>
      <c r="B27" s="267">
        <v>1237088</v>
      </c>
      <c r="C27" s="268">
        <v>1058</v>
      </c>
      <c r="D27" s="268">
        <v>3440</v>
      </c>
      <c r="E27" s="268">
        <v>3092</v>
      </c>
      <c r="F27" s="268">
        <v>3240</v>
      </c>
      <c r="G27" s="268">
        <v>3042</v>
      </c>
      <c r="H27" s="268">
        <v>2644</v>
      </c>
      <c r="I27" s="268">
        <v>3292</v>
      </c>
      <c r="J27" s="268">
        <v>3142</v>
      </c>
      <c r="K27" s="268">
        <v>3042</v>
      </c>
      <c r="L27" s="268">
        <v>3092</v>
      </c>
      <c r="N27" s="108">
        <v>29084</v>
      </c>
    </row>
    <row r="28" spans="1:14">
      <c r="A28" s="266"/>
      <c r="B28" s="267">
        <v>1237586</v>
      </c>
      <c r="C28" s="268">
        <v>0</v>
      </c>
      <c r="D28" s="268">
        <v>1792</v>
      </c>
      <c r="E28" s="268">
        <v>1344</v>
      </c>
      <c r="F28" s="268">
        <v>1344</v>
      </c>
      <c r="G28" s="268">
        <v>1344</v>
      </c>
      <c r="H28" s="268">
        <v>1304</v>
      </c>
      <c r="I28" s="268">
        <v>2240</v>
      </c>
      <c r="J28" s="268">
        <v>896</v>
      </c>
      <c r="K28" s="268">
        <v>896</v>
      </c>
      <c r="L28" s="268">
        <v>1304</v>
      </c>
      <c r="N28" s="108">
        <v>12464</v>
      </c>
    </row>
    <row r="29" spans="1:14">
      <c r="A29" s="266"/>
      <c r="B29" s="267">
        <v>1237748</v>
      </c>
      <c r="C29" s="268">
        <v>0</v>
      </c>
      <c r="D29" s="268">
        <v>1248</v>
      </c>
      <c r="E29" s="268">
        <v>0</v>
      </c>
      <c r="F29" s="268">
        <v>0</v>
      </c>
      <c r="G29" s="268">
        <v>676</v>
      </c>
      <c r="H29" s="268">
        <v>650</v>
      </c>
      <c r="I29" s="268">
        <v>0</v>
      </c>
      <c r="J29" s="268">
        <v>0</v>
      </c>
      <c r="K29" s="268">
        <v>728</v>
      </c>
      <c r="L29" s="268">
        <v>0</v>
      </c>
      <c r="N29" s="108">
        <v>3302</v>
      </c>
    </row>
    <row r="30" spans="1:14">
      <c r="A30" s="266"/>
      <c r="B30" s="267">
        <v>1238128</v>
      </c>
      <c r="C30" s="268">
        <v>2824</v>
      </c>
      <c r="D30" s="268">
        <v>1216</v>
      </c>
      <c r="E30" s="268">
        <v>2496</v>
      </c>
      <c r="F30" s="268">
        <v>4000</v>
      </c>
      <c r="G30" s="268">
        <v>1248</v>
      </c>
      <c r="H30" s="268">
        <v>1248</v>
      </c>
      <c r="I30" s="268">
        <v>2400</v>
      </c>
      <c r="J30" s="268">
        <v>3776</v>
      </c>
      <c r="K30" s="268">
        <v>800</v>
      </c>
      <c r="L30" s="268">
        <v>2400</v>
      </c>
      <c r="N30" s="108">
        <v>22408</v>
      </c>
    </row>
    <row r="31" spans="1:14">
      <c r="A31" s="266"/>
      <c r="B31" s="267">
        <v>1239651</v>
      </c>
      <c r="C31" s="268">
        <v>150</v>
      </c>
      <c r="D31" s="268">
        <v>400</v>
      </c>
      <c r="E31" s="268">
        <v>400</v>
      </c>
      <c r="F31" s="268">
        <v>550</v>
      </c>
      <c r="G31" s="268">
        <v>0</v>
      </c>
      <c r="H31" s="268">
        <v>300</v>
      </c>
      <c r="I31" s="268">
        <v>200</v>
      </c>
      <c r="J31" s="268">
        <v>300</v>
      </c>
      <c r="K31" s="268">
        <v>340</v>
      </c>
      <c r="L31" s="268">
        <v>300</v>
      </c>
      <c r="N31" s="108">
        <v>2940</v>
      </c>
    </row>
    <row r="32" spans="1:14">
      <c r="A32" s="266"/>
      <c r="B32" s="267">
        <v>1239988</v>
      </c>
      <c r="C32" s="268">
        <v>573</v>
      </c>
      <c r="D32" s="268">
        <v>3200</v>
      </c>
      <c r="E32" s="268">
        <v>1600</v>
      </c>
      <c r="F32" s="268">
        <v>2500</v>
      </c>
      <c r="G32" s="268">
        <v>0</v>
      </c>
      <c r="H32" s="268">
        <v>700</v>
      </c>
      <c r="I32" s="268">
        <v>1900</v>
      </c>
      <c r="J32" s="268">
        <v>2100</v>
      </c>
      <c r="K32" s="268">
        <v>1000</v>
      </c>
      <c r="L32" s="268">
        <v>1600</v>
      </c>
      <c r="N32" s="108">
        <v>15173</v>
      </c>
    </row>
    <row r="33" spans="1:14">
      <c r="A33" s="266"/>
      <c r="B33" s="267">
        <v>1240180</v>
      </c>
      <c r="C33" s="268">
        <v>1621</v>
      </c>
      <c r="D33" s="268">
        <v>1606</v>
      </c>
      <c r="E33" s="268">
        <v>2261</v>
      </c>
      <c r="F33" s="268">
        <v>1650</v>
      </c>
      <c r="G33" s="268">
        <v>900</v>
      </c>
      <c r="H33" s="268">
        <v>1350</v>
      </c>
      <c r="I33" s="268">
        <v>2400</v>
      </c>
      <c r="J33" s="268">
        <v>2200</v>
      </c>
      <c r="K33" s="268">
        <v>1500</v>
      </c>
      <c r="L33" s="268">
        <v>1700</v>
      </c>
      <c r="N33" s="108">
        <v>17188</v>
      </c>
    </row>
    <row r="34" spans="1:14">
      <c r="A34" s="266"/>
      <c r="B34" s="267">
        <v>1240184</v>
      </c>
      <c r="C34" s="268">
        <v>1621</v>
      </c>
      <c r="D34" s="268">
        <v>1606</v>
      </c>
      <c r="E34" s="268">
        <v>1561</v>
      </c>
      <c r="F34" s="268">
        <v>1450</v>
      </c>
      <c r="G34" s="268">
        <v>900</v>
      </c>
      <c r="H34" s="268">
        <v>1350</v>
      </c>
      <c r="I34" s="268">
        <v>2200</v>
      </c>
      <c r="J34" s="268">
        <v>2200</v>
      </c>
      <c r="K34" s="268">
        <v>1400</v>
      </c>
      <c r="L34" s="268">
        <v>1700</v>
      </c>
      <c r="N34" s="108">
        <v>15988</v>
      </c>
    </row>
    <row r="35" spans="1:14">
      <c r="A35" s="266"/>
      <c r="B35" s="267">
        <v>1240308</v>
      </c>
      <c r="C35" s="268">
        <v>1830</v>
      </c>
      <c r="D35" s="268">
        <v>0</v>
      </c>
      <c r="E35" s="268">
        <v>850</v>
      </c>
      <c r="F35" s="268">
        <v>300</v>
      </c>
      <c r="G35" s="268">
        <v>0</v>
      </c>
      <c r="H35" s="268">
        <v>0</v>
      </c>
      <c r="I35" s="268">
        <v>650</v>
      </c>
      <c r="J35" s="268">
        <v>850</v>
      </c>
      <c r="K35" s="268">
        <v>400</v>
      </c>
      <c r="L35" s="268">
        <v>0</v>
      </c>
      <c r="N35" s="108">
        <v>4880</v>
      </c>
    </row>
    <row r="36" spans="1:14">
      <c r="A36" s="266"/>
      <c r="B36" s="267">
        <v>1241134</v>
      </c>
      <c r="C36" s="268">
        <v>0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2100</v>
      </c>
      <c r="N36" s="108">
        <v>2100</v>
      </c>
    </row>
    <row r="37" spans="1:14">
      <c r="A37" s="266"/>
      <c r="B37" s="267">
        <v>1241601</v>
      </c>
      <c r="C37" s="268">
        <v>6000</v>
      </c>
      <c r="D37" s="268">
        <v>5900</v>
      </c>
      <c r="E37" s="268">
        <v>4900</v>
      </c>
      <c r="F37" s="268">
        <v>4900</v>
      </c>
      <c r="G37" s="268">
        <v>4600</v>
      </c>
      <c r="H37" s="268">
        <v>4100</v>
      </c>
      <c r="I37" s="268">
        <v>4400</v>
      </c>
      <c r="J37" s="268">
        <v>4500</v>
      </c>
      <c r="K37" s="268">
        <v>4200</v>
      </c>
      <c r="L37" s="268">
        <v>5400</v>
      </c>
      <c r="N37" s="108">
        <v>48900</v>
      </c>
    </row>
    <row r="38" spans="1:14">
      <c r="A38" s="266"/>
      <c r="B38" s="267">
        <v>1242242</v>
      </c>
      <c r="C38" s="268">
        <v>0</v>
      </c>
      <c r="D38" s="268">
        <v>0</v>
      </c>
      <c r="E38" s="268">
        <v>0</v>
      </c>
      <c r="F38" s="268">
        <v>0</v>
      </c>
      <c r="G38" s="268">
        <v>0</v>
      </c>
      <c r="H38" s="268">
        <v>900</v>
      </c>
      <c r="I38" s="268">
        <v>900</v>
      </c>
      <c r="J38" s="268">
        <v>1000</v>
      </c>
      <c r="K38" s="268">
        <v>600</v>
      </c>
      <c r="L38" s="268">
        <v>400</v>
      </c>
      <c r="N38" s="108">
        <v>3800</v>
      </c>
    </row>
    <row r="45" spans="1:14" s="33" customFormat="1">
      <c r="A45" s="307"/>
      <c r="B45" s="307" t="s">
        <v>0</v>
      </c>
      <c r="C45" s="269" t="s">
        <v>847</v>
      </c>
      <c r="D45" s="269" t="s">
        <v>876</v>
      </c>
      <c r="E45" s="269" t="s">
        <v>902</v>
      </c>
      <c r="F45" s="269" t="s">
        <v>927</v>
      </c>
      <c r="G45" s="269" t="s">
        <v>939</v>
      </c>
      <c r="H45" s="269" t="s">
        <v>997</v>
      </c>
      <c r="I45" s="269" t="s">
        <v>1045</v>
      </c>
      <c r="J45" s="269" t="s">
        <v>1089</v>
      </c>
      <c r="K45" s="269" t="s">
        <v>1152</v>
      </c>
      <c r="L45" s="269" t="s">
        <v>1212</v>
      </c>
      <c r="N45" s="271"/>
    </row>
    <row r="46" spans="1:14" s="33" customFormat="1">
      <c r="A46" s="307"/>
      <c r="B46" s="308"/>
      <c r="C46" s="270" t="s">
        <v>848</v>
      </c>
      <c r="D46" s="270" t="s">
        <v>877</v>
      </c>
      <c r="E46" s="270" t="s">
        <v>903</v>
      </c>
      <c r="F46" s="270" t="s">
        <v>928</v>
      </c>
      <c r="G46" s="270" t="s">
        <v>998</v>
      </c>
      <c r="H46" s="270" t="s">
        <v>999</v>
      </c>
      <c r="I46" s="270" t="s">
        <v>1046</v>
      </c>
      <c r="J46" s="270" t="s">
        <v>1090</v>
      </c>
      <c r="K46" s="270" t="s">
        <v>1153</v>
      </c>
      <c r="L46" s="270" t="s">
        <v>1213</v>
      </c>
      <c r="N46" s="271"/>
    </row>
    <row r="47" spans="1:14">
      <c r="B47" s="5">
        <v>1216452</v>
      </c>
      <c r="C47" s="108">
        <v>1152</v>
      </c>
      <c r="D47" s="108">
        <v>2304</v>
      </c>
      <c r="E47" s="108">
        <v>0</v>
      </c>
      <c r="F47" s="108">
        <v>2214</v>
      </c>
      <c r="G47" s="108">
        <v>288</v>
      </c>
      <c r="H47" s="108">
        <v>486</v>
      </c>
      <c r="I47" s="108">
        <v>0</v>
      </c>
      <c r="J47" s="108">
        <v>1212</v>
      </c>
      <c r="K47" s="108">
        <v>0</v>
      </c>
      <c r="L47" s="108">
        <v>0</v>
      </c>
      <c r="N47" s="108">
        <v>7656</v>
      </c>
    </row>
    <row r="48" spans="1:14">
      <c r="B48" s="5">
        <v>1220847</v>
      </c>
      <c r="C48" s="108">
        <v>0</v>
      </c>
      <c r="D48" s="108">
        <v>5350</v>
      </c>
      <c r="E48" s="108">
        <v>1260</v>
      </c>
      <c r="F48" s="108">
        <v>1050</v>
      </c>
      <c r="G48" s="108">
        <v>0</v>
      </c>
      <c r="H48" s="108">
        <v>0</v>
      </c>
      <c r="I48" s="108">
        <v>784</v>
      </c>
      <c r="J48" s="108">
        <v>0</v>
      </c>
      <c r="K48" s="108">
        <v>0</v>
      </c>
      <c r="L48" s="108">
        <v>0</v>
      </c>
      <c r="N48" s="108">
        <v>8444</v>
      </c>
    </row>
    <row r="49" spans="2:14">
      <c r="B49" s="5">
        <v>1221967</v>
      </c>
      <c r="C49" s="108">
        <v>0</v>
      </c>
      <c r="D49" s="108">
        <v>276</v>
      </c>
      <c r="E49" s="108">
        <v>0</v>
      </c>
      <c r="F49" s="108">
        <v>0</v>
      </c>
      <c r="G49" s="108">
        <v>351</v>
      </c>
      <c r="H49" s="108">
        <v>0</v>
      </c>
      <c r="I49" s="108">
        <v>68</v>
      </c>
      <c r="J49" s="108">
        <v>0</v>
      </c>
      <c r="K49" s="108">
        <v>238</v>
      </c>
      <c r="L49" s="108">
        <v>0</v>
      </c>
      <c r="N49" s="108">
        <v>933</v>
      </c>
    </row>
    <row r="50" spans="2:14">
      <c r="B50" s="5">
        <v>1225464</v>
      </c>
      <c r="C50" s="108">
        <v>0</v>
      </c>
      <c r="D50" s="108">
        <v>0</v>
      </c>
      <c r="E50" s="108">
        <v>756</v>
      </c>
      <c r="F50" s="108">
        <v>0</v>
      </c>
      <c r="G50" s="108">
        <v>0</v>
      </c>
      <c r="H50" s="108">
        <v>0</v>
      </c>
      <c r="I50" s="108">
        <v>1578</v>
      </c>
      <c r="J50" s="108">
        <v>0</v>
      </c>
      <c r="K50" s="108">
        <v>0</v>
      </c>
      <c r="L50" s="108">
        <v>0</v>
      </c>
      <c r="N50" s="108">
        <v>2334</v>
      </c>
    </row>
    <row r="51" spans="2:14">
      <c r="B51" s="5">
        <v>1227306</v>
      </c>
      <c r="C51" s="108">
        <v>0</v>
      </c>
      <c r="D51" s="108">
        <v>764</v>
      </c>
      <c r="E51" s="108">
        <v>800</v>
      </c>
      <c r="F51" s="108">
        <v>0</v>
      </c>
      <c r="G51" s="108">
        <v>0</v>
      </c>
      <c r="H51" s="108">
        <v>400</v>
      </c>
      <c r="I51" s="108">
        <v>650</v>
      </c>
      <c r="J51" s="108">
        <v>900</v>
      </c>
      <c r="K51" s="108">
        <v>300</v>
      </c>
      <c r="L51" s="108">
        <v>400</v>
      </c>
      <c r="N51" s="108">
        <v>4214</v>
      </c>
    </row>
    <row r="52" spans="2:14">
      <c r="B52" s="5">
        <v>1229050</v>
      </c>
      <c r="C52" s="108">
        <v>0</v>
      </c>
      <c r="D52" s="108">
        <v>0</v>
      </c>
      <c r="E52" s="108">
        <v>205</v>
      </c>
      <c r="F52" s="108">
        <v>0</v>
      </c>
      <c r="G52" s="108">
        <v>0</v>
      </c>
      <c r="H52" s="108">
        <v>0</v>
      </c>
      <c r="I52" s="108">
        <v>0</v>
      </c>
      <c r="J52" s="108">
        <v>225</v>
      </c>
      <c r="K52" s="108">
        <v>0</v>
      </c>
      <c r="L52" s="108">
        <v>0</v>
      </c>
      <c r="N52" s="108">
        <v>430</v>
      </c>
    </row>
    <row r="53" spans="2:14">
      <c r="B53" s="5">
        <v>1229088</v>
      </c>
      <c r="C53" s="108">
        <v>40</v>
      </c>
      <c r="D53" s="108">
        <v>50</v>
      </c>
      <c r="E53" s="108">
        <v>0</v>
      </c>
      <c r="F53" s="108">
        <v>0</v>
      </c>
      <c r="G53" s="108">
        <v>0</v>
      </c>
      <c r="H53" s="108">
        <v>50</v>
      </c>
      <c r="I53" s="108">
        <v>0</v>
      </c>
      <c r="J53" s="108">
        <v>200</v>
      </c>
      <c r="K53" s="108">
        <v>0</v>
      </c>
      <c r="L53" s="108">
        <v>0</v>
      </c>
      <c r="N53" s="108">
        <v>340</v>
      </c>
    </row>
    <row r="54" spans="2:14">
      <c r="B54" s="5">
        <v>1229776</v>
      </c>
      <c r="C54" s="108">
        <v>0</v>
      </c>
      <c r="D54" s="108">
        <v>180</v>
      </c>
      <c r="E54" s="108">
        <v>350</v>
      </c>
      <c r="F54" s="108">
        <v>0</v>
      </c>
      <c r="G54" s="108">
        <v>0</v>
      </c>
      <c r="H54" s="108">
        <v>0</v>
      </c>
      <c r="I54" s="108">
        <v>0</v>
      </c>
      <c r="J54" s="108">
        <v>0</v>
      </c>
      <c r="K54" s="108">
        <v>180</v>
      </c>
      <c r="L54" s="108">
        <v>0</v>
      </c>
      <c r="N54" s="108">
        <v>710</v>
      </c>
    </row>
    <row r="55" spans="2:14">
      <c r="B55" s="5">
        <v>1230685</v>
      </c>
      <c r="C55" s="108">
        <v>0</v>
      </c>
      <c r="D55" s="108">
        <v>0</v>
      </c>
      <c r="E55" s="108">
        <v>0</v>
      </c>
      <c r="F55" s="108">
        <v>0</v>
      </c>
      <c r="G55" s="108">
        <v>0</v>
      </c>
      <c r="H55" s="108">
        <v>0</v>
      </c>
      <c r="I55" s="108">
        <v>400</v>
      </c>
      <c r="J55" s="108">
        <v>0</v>
      </c>
      <c r="K55" s="108">
        <v>0</v>
      </c>
      <c r="L55" s="108">
        <v>0</v>
      </c>
      <c r="N55" s="108">
        <v>400</v>
      </c>
    </row>
    <row r="56" spans="2:14">
      <c r="B56" s="5">
        <v>1230791</v>
      </c>
      <c r="C56" s="108">
        <v>0</v>
      </c>
      <c r="D56" s="108">
        <v>0</v>
      </c>
      <c r="E56" s="108">
        <v>0</v>
      </c>
      <c r="F56" s="108">
        <v>0</v>
      </c>
      <c r="G56" s="108">
        <v>0</v>
      </c>
      <c r="H56" s="108">
        <v>0</v>
      </c>
      <c r="I56" s="108">
        <v>140</v>
      </c>
      <c r="J56" s="108">
        <v>0</v>
      </c>
      <c r="K56" s="108">
        <v>0</v>
      </c>
      <c r="L56" s="108">
        <v>0</v>
      </c>
      <c r="N56" s="108">
        <v>140</v>
      </c>
    </row>
    <row r="57" spans="2:14">
      <c r="B57" s="5">
        <v>1231090</v>
      </c>
      <c r="C57" s="108">
        <v>0</v>
      </c>
      <c r="D57" s="108">
        <v>2510</v>
      </c>
      <c r="E57" s="108">
        <v>890</v>
      </c>
      <c r="F57" s="108">
        <v>0</v>
      </c>
      <c r="G57" s="108">
        <v>0</v>
      </c>
      <c r="H57" s="108">
        <v>0</v>
      </c>
      <c r="I57" s="108">
        <v>300</v>
      </c>
      <c r="J57" s="108">
        <v>990</v>
      </c>
      <c r="K57" s="108">
        <v>180</v>
      </c>
      <c r="L57" s="108">
        <v>0</v>
      </c>
      <c r="N57" s="108">
        <v>4870</v>
      </c>
    </row>
    <row r="58" spans="2:14">
      <c r="B58" s="5">
        <v>1231578</v>
      </c>
      <c r="C58" s="108">
        <v>500</v>
      </c>
      <c r="D58" s="108">
        <v>0</v>
      </c>
      <c r="E58" s="108">
        <v>0</v>
      </c>
      <c r="F58" s="108">
        <v>0</v>
      </c>
      <c r="G58" s="108">
        <v>0</v>
      </c>
      <c r="H58" s="108">
        <v>0</v>
      </c>
      <c r="I58" s="108">
        <v>200</v>
      </c>
      <c r="J58" s="108">
        <v>300</v>
      </c>
      <c r="K58" s="108">
        <v>100</v>
      </c>
      <c r="L58" s="108">
        <v>0</v>
      </c>
      <c r="N58" s="108">
        <v>1100</v>
      </c>
    </row>
    <row r="59" spans="2:14">
      <c r="B59" s="5">
        <v>1231797</v>
      </c>
      <c r="C59" s="108">
        <v>0</v>
      </c>
      <c r="D59" s="108">
        <v>0</v>
      </c>
      <c r="E59" s="108">
        <v>0</v>
      </c>
      <c r="F59" s="108">
        <v>154</v>
      </c>
      <c r="G59" s="108">
        <v>0</v>
      </c>
      <c r="H59" s="108">
        <v>0</v>
      </c>
      <c r="I59" s="108">
        <v>0</v>
      </c>
      <c r="J59" s="108">
        <v>137</v>
      </c>
      <c r="K59" s="108">
        <v>0</v>
      </c>
      <c r="L59" s="108">
        <v>0</v>
      </c>
      <c r="N59" s="108">
        <v>291</v>
      </c>
    </row>
    <row r="60" spans="2:14">
      <c r="B60" s="5">
        <v>1231860</v>
      </c>
      <c r="C60" s="108">
        <v>0</v>
      </c>
      <c r="D60" s="108">
        <v>100</v>
      </c>
      <c r="E60" s="108">
        <v>0</v>
      </c>
      <c r="F60" s="108">
        <v>0</v>
      </c>
      <c r="G60" s="108">
        <v>0</v>
      </c>
      <c r="H60" s="108">
        <v>0</v>
      </c>
      <c r="I60" s="108">
        <v>0</v>
      </c>
      <c r="J60" s="108">
        <v>0</v>
      </c>
      <c r="K60" s="108">
        <v>0</v>
      </c>
      <c r="L60" s="108">
        <v>0</v>
      </c>
      <c r="N60" s="108">
        <v>100</v>
      </c>
    </row>
    <row r="61" spans="2:14">
      <c r="B61" s="5">
        <v>1232066</v>
      </c>
      <c r="C61" s="108">
        <v>252</v>
      </c>
      <c r="D61" s="108">
        <v>0</v>
      </c>
      <c r="E61" s="108">
        <v>0</v>
      </c>
      <c r="F61" s="108">
        <v>0</v>
      </c>
      <c r="G61" s="108">
        <v>252</v>
      </c>
      <c r="H61" s="108">
        <v>0</v>
      </c>
      <c r="I61" s="108">
        <v>0</v>
      </c>
      <c r="J61" s="108">
        <v>0</v>
      </c>
      <c r="K61" s="108">
        <v>234</v>
      </c>
      <c r="L61" s="108">
        <v>0</v>
      </c>
      <c r="N61" s="108">
        <v>738</v>
      </c>
    </row>
    <row r="62" spans="2:14">
      <c r="B62" s="4">
        <v>1232528</v>
      </c>
      <c r="C62" s="108">
        <v>0</v>
      </c>
      <c r="D62" s="108">
        <v>6654</v>
      </c>
      <c r="E62" s="108">
        <v>4580</v>
      </c>
      <c r="F62" s="108">
        <v>3540</v>
      </c>
      <c r="G62" s="108">
        <v>1000</v>
      </c>
      <c r="H62" s="108">
        <v>2836</v>
      </c>
      <c r="I62" s="108">
        <v>4428</v>
      </c>
      <c r="J62" s="108">
        <v>3000</v>
      </c>
      <c r="K62" s="108">
        <v>4000</v>
      </c>
      <c r="L62" s="108">
        <v>854</v>
      </c>
      <c r="N62" s="108">
        <v>30892</v>
      </c>
    </row>
    <row r="63" spans="2:14">
      <c r="B63" s="5">
        <v>1232553</v>
      </c>
      <c r="C63" s="108">
        <v>108</v>
      </c>
      <c r="D63" s="108">
        <v>0</v>
      </c>
      <c r="E63" s="108">
        <v>0</v>
      </c>
      <c r="F63" s="108">
        <v>0</v>
      </c>
      <c r="G63" s="108">
        <v>0</v>
      </c>
      <c r="H63" s="108">
        <v>0</v>
      </c>
      <c r="I63" s="108">
        <v>0</v>
      </c>
      <c r="J63" s="108">
        <v>0</v>
      </c>
      <c r="K63" s="108">
        <v>108</v>
      </c>
      <c r="L63" s="108">
        <v>0</v>
      </c>
      <c r="N63" s="108">
        <v>216</v>
      </c>
    </row>
    <row r="64" spans="2:14">
      <c r="B64" s="5">
        <v>1232693</v>
      </c>
      <c r="C64" s="108">
        <v>1000</v>
      </c>
      <c r="D64" s="108">
        <v>890</v>
      </c>
      <c r="E64" s="108">
        <v>0</v>
      </c>
      <c r="F64" s="108">
        <v>0</v>
      </c>
      <c r="G64" s="108">
        <v>0</v>
      </c>
      <c r="H64" s="108">
        <v>1000</v>
      </c>
      <c r="I64" s="108">
        <v>1035</v>
      </c>
      <c r="J64" s="108">
        <v>0</v>
      </c>
      <c r="K64" s="108">
        <v>0</v>
      </c>
      <c r="L64" s="108">
        <v>1000</v>
      </c>
      <c r="N64" s="108">
        <v>4925</v>
      </c>
    </row>
    <row r="65" spans="2:14">
      <c r="B65" s="5">
        <v>1232775</v>
      </c>
      <c r="C65" s="108">
        <v>0</v>
      </c>
      <c r="D65" s="108">
        <v>0</v>
      </c>
      <c r="E65" s="108">
        <v>1830</v>
      </c>
      <c r="F65" s="108">
        <v>1010</v>
      </c>
      <c r="G65" s="108">
        <v>161</v>
      </c>
      <c r="H65" s="108">
        <v>1350</v>
      </c>
      <c r="I65" s="108">
        <v>1586</v>
      </c>
      <c r="J65" s="108">
        <v>1260</v>
      </c>
      <c r="K65" s="108">
        <v>878</v>
      </c>
      <c r="L65" s="108">
        <v>0</v>
      </c>
      <c r="N65" s="108">
        <v>8075</v>
      </c>
    </row>
    <row r="66" spans="2:14">
      <c r="B66" s="5">
        <v>1232846</v>
      </c>
      <c r="C66" s="108">
        <v>1613</v>
      </c>
      <c r="D66" s="108">
        <v>1300</v>
      </c>
      <c r="E66" s="108">
        <v>1076</v>
      </c>
      <c r="F66" s="108">
        <v>472</v>
      </c>
      <c r="G66" s="108">
        <v>300</v>
      </c>
      <c r="H66" s="108">
        <v>1136</v>
      </c>
      <c r="I66" s="108">
        <v>737</v>
      </c>
      <c r="J66" s="108">
        <v>583</v>
      </c>
      <c r="K66" s="108">
        <v>400</v>
      </c>
      <c r="L66" s="108">
        <v>0</v>
      </c>
      <c r="N66" s="108">
        <v>7617</v>
      </c>
    </row>
    <row r="67" spans="2:14">
      <c r="B67" s="5">
        <v>1232894</v>
      </c>
      <c r="C67" s="108">
        <v>812</v>
      </c>
      <c r="D67" s="108">
        <v>800</v>
      </c>
      <c r="E67" s="108">
        <v>576</v>
      </c>
      <c r="F67" s="108">
        <v>0</v>
      </c>
      <c r="G67" s="108">
        <v>0</v>
      </c>
      <c r="H67" s="108">
        <v>836</v>
      </c>
      <c r="I67" s="108">
        <v>437</v>
      </c>
      <c r="J67" s="108">
        <v>0</v>
      </c>
      <c r="K67" s="108">
        <v>0</v>
      </c>
      <c r="L67" s="108">
        <v>0</v>
      </c>
      <c r="N67" s="108">
        <v>3461</v>
      </c>
    </row>
    <row r="68" spans="2:14">
      <c r="B68" s="5">
        <v>1232895</v>
      </c>
      <c r="C68" s="108">
        <v>801</v>
      </c>
      <c r="D68" s="108">
        <v>500</v>
      </c>
      <c r="E68" s="108">
        <v>500</v>
      </c>
      <c r="F68" s="108">
        <v>472</v>
      </c>
      <c r="G68" s="108">
        <v>300</v>
      </c>
      <c r="H68" s="108">
        <v>300</v>
      </c>
      <c r="I68" s="108">
        <v>300</v>
      </c>
      <c r="J68" s="108">
        <v>583</v>
      </c>
      <c r="K68" s="108">
        <v>400</v>
      </c>
      <c r="L68" s="108">
        <v>0</v>
      </c>
      <c r="N68" s="108">
        <v>4156</v>
      </c>
    </row>
    <row r="69" spans="2:14">
      <c r="B69" s="5">
        <v>1232922</v>
      </c>
      <c r="C69" s="108">
        <v>0</v>
      </c>
      <c r="D69" s="108">
        <v>0</v>
      </c>
      <c r="E69" s="108">
        <v>0</v>
      </c>
      <c r="F69" s="108">
        <v>272</v>
      </c>
      <c r="G69" s="108">
        <v>0</v>
      </c>
      <c r="H69" s="108">
        <v>0</v>
      </c>
      <c r="I69" s="108">
        <v>0</v>
      </c>
      <c r="J69" s="108">
        <v>283</v>
      </c>
      <c r="K69" s="108">
        <v>100</v>
      </c>
      <c r="L69" s="108">
        <v>0</v>
      </c>
      <c r="N69" s="108">
        <v>655</v>
      </c>
    </row>
    <row r="70" spans="2:14">
      <c r="B70" s="5">
        <v>1232982</v>
      </c>
      <c r="C70" s="108">
        <v>450</v>
      </c>
      <c r="D70" s="108">
        <v>0</v>
      </c>
      <c r="E70" s="108">
        <v>0</v>
      </c>
      <c r="F70" s="108">
        <v>0</v>
      </c>
      <c r="G70" s="108">
        <v>0</v>
      </c>
      <c r="H70" s="108">
        <v>0</v>
      </c>
      <c r="I70" s="108">
        <v>0</v>
      </c>
      <c r="J70" s="108">
        <v>0</v>
      </c>
      <c r="K70" s="108">
        <v>50</v>
      </c>
      <c r="L70" s="108">
        <v>0</v>
      </c>
      <c r="N70" s="108">
        <v>500</v>
      </c>
    </row>
    <row r="71" spans="2:14">
      <c r="B71" s="5">
        <v>1233025</v>
      </c>
      <c r="C71" s="108">
        <v>1000</v>
      </c>
      <c r="D71" s="108">
        <v>890</v>
      </c>
      <c r="E71" s="108">
        <v>0</v>
      </c>
      <c r="F71" s="108">
        <v>0</v>
      </c>
      <c r="G71" s="108">
        <v>0</v>
      </c>
      <c r="H71" s="108">
        <v>1000</v>
      </c>
      <c r="I71" s="108">
        <v>1035</v>
      </c>
      <c r="J71" s="108">
        <v>0</v>
      </c>
      <c r="K71" s="108">
        <v>0</v>
      </c>
      <c r="L71" s="108">
        <v>1000</v>
      </c>
      <c r="N71" s="108">
        <v>4925</v>
      </c>
    </row>
    <row r="72" spans="2:14">
      <c r="B72" s="5">
        <v>1233165</v>
      </c>
      <c r="C72" s="108">
        <v>0</v>
      </c>
      <c r="D72" s="108">
        <v>0</v>
      </c>
      <c r="E72" s="108">
        <v>370</v>
      </c>
      <c r="F72" s="108">
        <v>0</v>
      </c>
      <c r="G72" s="108">
        <v>0</v>
      </c>
      <c r="H72" s="108">
        <v>0</v>
      </c>
      <c r="I72" s="108">
        <v>0</v>
      </c>
      <c r="J72" s="108">
        <v>0</v>
      </c>
      <c r="K72" s="108">
        <v>0</v>
      </c>
      <c r="L72" s="108">
        <v>0</v>
      </c>
      <c r="N72" s="108">
        <v>370</v>
      </c>
    </row>
    <row r="73" spans="2:14">
      <c r="B73" s="5">
        <v>1233383</v>
      </c>
      <c r="C73" s="108">
        <v>0</v>
      </c>
      <c r="D73" s="108">
        <v>0</v>
      </c>
      <c r="E73" s="108">
        <v>0</v>
      </c>
      <c r="F73" s="108">
        <v>150</v>
      </c>
      <c r="G73" s="108">
        <v>0</v>
      </c>
      <c r="H73" s="108">
        <v>0</v>
      </c>
      <c r="I73" s="108">
        <v>0</v>
      </c>
      <c r="J73" s="108">
        <v>150</v>
      </c>
      <c r="K73" s="108">
        <v>0</v>
      </c>
      <c r="L73" s="108">
        <v>0</v>
      </c>
      <c r="N73" s="108">
        <v>300</v>
      </c>
    </row>
    <row r="74" spans="2:14">
      <c r="B74" s="5">
        <v>1233384</v>
      </c>
      <c r="C74" s="108">
        <v>801</v>
      </c>
      <c r="D74" s="108">
        <v>500</v>
      </c>
      <c r="E74" s="108">
        <v>500</v>
      </c>
      <c r="F74" s="108">
        <v>200</v>
      </c>
      <c r="G74" s="108">
        <v>300</v>
      </c>
      <c r="H74" s="108">
        <v>300</v>
      </c>
      <c r="I74" s="108">
        <v>300</v>
      </c>
      <c r="J74" s="108">
        <v>300</v>
      </c>
      <c r="K74" s="108">
        <v>300</v>
      </c>
      <c r="L74" s="108">
        <v>0</v>
      </c>
      <c r="N74" s="108">
        <v>3501</v>
      </c>
    </row>
    <row r="75" spans="2:14">
      <c r="B75" s="5">
        <v>1233385</v>
      </c>
      <c r="C75" s="108">
        <v>0</v>
      </c>
      <c r="D75" s="108">
        <v>0</v>
      </c>
      <c r="E75" s="108">
        <v>0</v>
      </c>
      <c r="F75" s="108">
        <v>0</v>
      </c>
      <c r="G75" s="108">
        <v>0</v>
      </c>
      <c r="H75" s="108">
        <v>336</v>
      </c>
      <c r="I75" s="108">
        <v>0</v>
      </c>
      <c r="J75" s="108">
        <v>0</v>
      </c>
      <c r="K75" s="108">
        <v>0</v>
      </c>
      <c r="L75" s="108">
        <v>0</v>
      </c>
      <c r="N75" s="108">
        <v>336</v>
      </c>
    </row>
    <row r="76" spans="2:14">
      <c r="B76" s="5">
        <v>1233386</v>
      </c>
      <c r="C76" s="108">
        <v>812</v>
      </c>
      <c r="D76" s="108">
        <v>800</v>
      </c>
      <c r="E76" s="108">
        <v>0</v>
      </c>
      <c r="F76" s="108">
        <v>0</v>
      </c>
      <c r="G76" s="108">
        <v>0</v>
      </c>
      <c r="H76" s="108">
        <v>500</v>
      </c>
      <c r="I76" s="108">
        <v>0</v>
      </c>
      <c r="J76" s="108">
        <v>0</v>
      </c>
      <c r="K76" s="108">
        <v>0</v>
      </c>
      <c r="L76" s="108">
        <v>0</v>
      </c>
      <c r="N76" s="108">
        <v>2112</v>
      </c>
    </row>
    <row r="77" spans="2:14">
      <c r="B77" s="5">
        <v>1233387</v>
      </c>
      <c r="C77" s="108">
        <v>0</v>
      </c>
      <c r="D77" s="108">
        <v>0</v>
      </c>
      <c r="E77" s="108">
        <v>576</v>
      </c>
      <c r="F77" s="108">
        <v>0</v>
      </c>
      <c r="G77" s="108">
        <v>0</v>
      </c>
      <c r="H77" s="108">
        <v>0</v>
      </c>
      <c r="I77" s="108">
        <v>437</v>
      </c>
      <c r="J77" s="108">
        <v>0</v>
      </c>
      <c r="K77" s="108">
        <v>0</v>
      </c>
      <c r="L77" s="108">
        <v>0</v>
      </c>
      <c r="N77" s="108">
        <v>1013</v>
      </c>
    </row>
    <row r="78" spans="2:14">
      <c r="B78" s="5">
        <v>1233580</v>
      </c>
      <c r="C78" s="108">
        <v>0</v>
      </c>
      <c r="D78" s="108">
        <v>0</v>
      </c>
      <c r="E78" s="108">
        <v>50</v>
      </c>
      <c r="F78" s="108">
        <v>0</v>
      </c>
      <c r="G78" s="108">
        <v>0</v>
      </c>
      <c r="H78" s="108">
        <v>0</v>
      </c>
      <c r="I78" s="108">
        <v>0</v>
      </c>
      <c r="J78" s="108">
        <v>0</v>
      </c>
      <c r="K78" s="108">
        <v>0</v>
      </c>
      <c r="L78" s="108">
        <v>0</v>
      </c>
      <c r="N78" s="108">
        <v>50</v>
      </c>
    </row>
    <row r="79" spans="2:14">
      <c r="B79" s="5">
        <v>1233587</v>
      </c>
      <c r="C79" s="108">
        <v>0</v>
      </c>
      <c r="D79" s="108">
        <v>0</v>
      </c>
      <c r="E79" s="108">
        <v>18</v>
      </c>
      <c r="F79" s="108">
        <v>0</v>
      </c>
      <c r="G79" s="108">
        <v>0</v>
      </c>
      <c r="H79" s="108">
        <v>0</v>
      </c>
      <c r="I79" s="108">
        <v>0</v>
      </c>
      <c r="J79" s="108">
        <v>0</v>
      </c>
      <c r="K79" s="108">
        <v>5</v>
      </c>
      <c r="L79" s="108">
        <v>0</v>
      </c>
      <c r="N79" s="108">
        <v>23</v>
      </c>
    </row>
    <row r="80" spans="2:14">
      <c r="B80" s="5">
        <v>1234110</v>
      </c>
      <c r="C80" s="108">
        <v>0</v>
      </c>
      <c r="D80" s="108">
        <v>0</v>
      </c>
      <c r="E80" s="108">
        <v>170</v>
      </c>
      <c r="F80" s="108">
        <v>0</v>
      </c>
      <c r="G80" s="108">
        <v>0</v>
      </c>
      <c r="H80" s="108">
        <v>0</v>
      </c>
      <c r="I80" s="108">
        <v>0</v>
      </c>
      <c r="J80" s="108">
        <v>0</v>
      </c>
      <c r="K80" s="108">
        <v>0</v>
      </c>
      <c r="L80" s="108">
        <v>0</v>
      </c>
      <c r="N80" s="108">
        <v>170</v>
      </c>
    </row>
    <row r="81" spans="2:14">
      <c r="B81" s="5">
        <v>1234111</v>
      </c>
      <c r="C81" s="108">
        <v>0</v>
      </c>
      <c r="D81" s="108">
        <v>0</v>
      </c>
      <c r="E81" s="108">
        <v>170</v>
      </c>
      <c r="F81" s="108">
        <v>0</v>
      </c>
      <c r="G81" s="108">
        <v>0</v>
      </c>
      <c r="H81" s="108">
        <v>0</v>
      </c>
      <c r="I81" s="108">
        <v>0</v>
      </c>
      <c r="J81" s="108">
        <v>0</v>
      </c>
      <c r="K81" s="108">
        <v>0</v>
      </c>
      <c r="L81" s="108">
        <v>0</v>
      </c>
      <c r="N81" s="108">
        <v>170</v>
      </c>
    </row>
    <row r="82" spans="2:14">
      <c r="B82" s="5">
        <v>1234217</v>
      </c>
      <c r="C82" s="108">
        <v>0</v>
      </c>
      <c r="D82" s="108">
        <v>0</v>
      </c>
      <c r="E82" s="108">
        <v>170</v>
      </c>
      <c r="F82" s="108">
        <v>0</v>
      </c>
      <c r="G82" s="108">
        <v>0</v>
      </c>
      <c r="H82" s="108">
        <v>0</v>
      </c>
      <c r="I82" s="108">
        <v>0</v>
      </c>
      <c r="J82" s="108">
        <v>0</v>
      </c>
      <c r="K82" s="108">
        <v>0</v>
      </c>
      <c r="L82" s="108">
        <v>0</v>
      </c>
      <c r="N82" s="108">
        <v>170</v>
      </c>
    </row>
    <row r="83" spans="2:14">
      <c r="B83" s="5">
        <v>1234222</v>
      </c>
      <c r="C83" s="108">
        <v>0</v>
      </c>
      <c r="D83" s="108">
        <v>0</v>
      </c>
      <c r="E83" s="108">
        <v>0</v>
      </c>
      <c r="F83" s="108">
        <v>0</v>
      </c>
      <c r="G83" s="108">
        <v>868</v>
      </c>
      <c r="H83" s="108">
        <v>0</v>
      </c>
      <c r="I83" s="108">
        <v>0</v>
      </c>
      <c r="J83" s="108">
        <v>0</v>
      </c>
      <c r="K83" s="108">
        <v>777</v>
      </c>
      <c r="L83" s="108">
        <v>0</v>
      </c>
      <c r="N83" s="108">
        <v>1645</v>
      </c>
    </row>
    <row r="84" spans="2:14">
      <c r="B84" s="4">
        <v>1234614</v>
      </c>
      <c r="C84" s="108">
        <v>999</v>
      </c>
      <c r="D84" s="108">
        <v>516</v>
      </c>
      <c r="E84" s="108">
        <v>300</v>
      </c>
      <c r="F84" s="108">
        <v>300</v>
      </c>
      <c r="G84" s="108">
        <v>0</v>
      </c>
      <c r="H84" s="108">
        <v>300</v>
      </c>
      <c r="I84" s="108">
        <v>300</v>
      </c>
      <c r="J84" s="108">
        <v>300</v>
      </c>
      <c r="K84" s="108">
        <v>432</v>
      </c>
      <c r="L84" s="108">
        <v>300</v>
      </c>
      <c r="N84" s="108">
        <v>3747</v>
      </c>
    </row>
    <row r="85" spans="2:14">
      <c r="B85" s="4">
        <v>1234905</v>
      </c>
      <c r="C85" s="108">
        <v>400</v>
      </c>
      <c r="D85" s="108">
        <v>1150</v>
      </c>
      <c r="E85" s="108">
        <v>400</v>
      </c>
      <c r="F85" s="108">
        <v>600</v>
      </c>
      <c r="G85" s="108">
        <v>1050</v>
      </c>
      <c r="H85" s="108">
        <v>950</v>
      </c>
      <c r="I85" s="108">
        <v>1050</v>
      </c>
      <c r="J85" s="108">
        <v>1350</v>
      </c>
      <c r="K85" s="108">
        <v>1000</v>
      </c>
      <c r="L85" s="108">
        <v>1700</v>
      </c>
      <c r="N85" s="108">
        <v>9650</v>
      </c>
    </row>
    <row r="86" spans="2:14">
      <c r="B86" s="5">
        <v>1235097</v>
      </c>
      <c r="C86" s="108">
        <v>0</v>
      </c>
      <c r="D86" s="108">
        <v>321</v>
      </c>
      <c r="E86" s="108">
        <v>200</v>
      </c>
      <c r="F86" s="108">
        <v>0</v>
      </c>
      <c r="G86" s="108">
        <v>374</v>
      </c>
      <c r="H86" s="108">
        <v>300</v>
      </c>
      <c r="I86" s="108">
        <v>300</v>
      </c>
      <c r="J86" s="108">
        <v>500</v>
      </c>
      <c r="K86" s="108">
        <v>300</v>
      </c>
      <c r="L86" s="108">
        <v>500</v>
      </c>
      <c r="N86" s="108">
        <v>2795</v>
      </c>
    </row>
    <row r="87" spans="2:14">
      <c r="B87" s="5">
        <v>1235845</v>
      </c>
      <c r="C87" s="108">
        <v>1100</v>
      </c>
      <c r="D87" s="108">
        <v>100</v>
      </c>
      <c r="E87" s="108">
        <v>0</v>
      </c>
      <c r="F87" s="108">
        <v>0</v>
      </c>
      <c r="G87" s="108">
        <v>359</v>
      </c>
      <c r="H87" s="108">
        <v>0</v>
      </c>
      <c r="I87" s="108">
        <v>0</v>
      </c>
      <c r="J87" s="108">
        <v>0</v>
      </c>
      <c r="K87" s="108">
        <v>547</v>
      </c>
      <c r="L87" s="108">
        <v>0</v>
      </c>
      <c r="N87" s="108">
        <v>2106</v>
      </c>
    </row>
    <row r="88" spans="2:14">
      <c r="B88" s="5">
        <v>1235958</v>
      </c>
      <c r="C88" s="108">
        <v>0</v>
      </c>
      <c r="D88" s="108">
        <v>0</v>
      </c>
      <c r="E88" s="108">
        <v>25</v>
      </c>
      <c r="F88" s="108">
        <v>0</v>
      </c>
      <c r="G88" s="108">
        <v>0</v>
      </c>
      <c r="H88" s="108">
        <v>0</v>
      </c>
      <c r="I88" s="108">
        <v>0</v>
      </c>
      <c r="J88" s="108">
        <v>0</v>
      </c>
      <c r="K88" s="108">
        <v>5</v>
      </c>
      <c r="L88" s="108">
        <v>0</v>
      </c>
      <c r="N88" s="108">
        <v>30</v>
      </c>
    </row>
    <row r="89" spans="2:14">
      <c r="B89" s="5">
        <v>1236387</v>
      </c>
      <c r="C89" s="108">
        <v>0</v>
      </c>
      <c r="D89" s="108">
        <v>0</v>
      </c>
      <c r="E89" s="108">
        <v>600</v>
      </c>
      <c r="F89" s="108">
        <v>400</v>
      </c>
      <c r="G89" s="108">
        <v>500</v>
      </c>
      <c r="H89" s="108">
        <v>0</v>
      </c>
      <c r="I89" s="108">
        <v>510</v>
      </c>
      <c r="J89" s="108">
        <v>0</v>
      </c>
      <c r="K89" s="108">
        <v>0</v>
      </c>
      <c r="L89" s="108">
        <v>0</v>
      </c>
      <c r="N89" s="108">
        <v>2010</v>
      </c>
    </row>
    <row r="90" spans="2:14">
      <c r="B90" s="5">
        <v>1236600</v>
      </c>
      <c r="C90" s="108">
        <v>0</v>
      </c>
      <c r="D90" s="108">
        <v>0</v>
      </c>
      <c r="E90" s="108">
        <v>0</v>
      </c>
      <c r="F90" s="108">
        <v>913</v>
      </c>
      <c r="G90" s="108">
        <v>0</v>
      </c>
      <c r="H90" s="108">
        <v>0</v>
      </c>
      <c r="I90" s="108">
        <v>0</v>
      </c>
      <c r="J90" s="108">
        <v>873</v>
      </c>
      <c r="K90" s="108">
        <v>100</v>
      </c>
      <c r="L90" s="108">
        <v>0</v>
      </c>
      <c r="N90" s="108">
        <v>1886</v>
      </c>
    </row>
    <row r="91" spans="2:14">
      <c r="B91" s="5">
        <v>1236601</v>
      </c>
      <c r="C91" s="108">
        <v>0</v>
      </c>
      <c r="D91" s="108">
        <v>0</v>
      </c>
      <c r="E91" s="108">
        <v>0</v>
      </c>
      <c r="F91" s="108">
        <v>105</v>
      </c>
      <c r="G91" s="108">
        <v>0</v>
      </c>
      <c r="H91" s="108">
        <v>0</v>
      </c>
      <c r="I91" s="108">
        <v>0</v>
      </c>
      <c r="J91" s="108">
        <v>100</v>
      </c>
      <c r="K91" s="108">
        <v>0</v>
      </c>
      <c r="L91" s="108">
        <v>0</v>
      </c>
      <c r="N91" s="108">
        <v>205</v>
      </c>
    </row>
    <row r="92" spans="2:14">
      <c r="B92" s="4">
        <v>1236930</v>
      </c>
      <c r="C92" s="108">
        <v>2402</v>
      </c>
      <c r="D92" s="108">
        <v>5252</v>
      </c>
      <c r="E92" s="108">
        <v>1670</v>
      </c>
      <c r="F92" s="108">
        <v>800</v>
      </c>
      <c r="G92" s="108">
        <v>600</v>
      </c>
      <c r="H92" s="108">
        <v>3610</v>
      </c>
      <c r="I92" s="108">
        <v>4260</v>
      </c>
      <c r="J92" s="108">
        <v>1450</v>
      </c>
      <c r="K92" s="108">
        <v>550</v>
      </c>
      <c r="L92" s="108">
        <v>1150</v>
      </c>
      <c r="N92" s="108">
        <v>21744</v>
      </c>
    </row>
    <row r="93" spans="2:14">
      <c r="B93" s="5">
        <v>1237210</v>
      </c>
      <c r="C93" s="108">
        <v>195</v>
      </c>
      <c r="D93" s="108">
        <v>160</v>
      </c>
      <c r="E93" s="108">
        <v>0</v>
      </c>
      <c r="F93" s="108">
        <v>0</v>
      </c>
      <c r="G93" s="108">
        <v>375</v>
      </c>
      <c r="H93" s="108">
        <v>160</v>
      </c>
      <c r="I93" s="108">
        <v>160</v>
      </c>
      <c r="J93" s="108">
        <v>0</v>
      </c>
      <c r="K93" s="108">
        <v>0</v>
      </c>
      <c r="L93" s="108">
        <v>0</v>
      </c>
      <c r="N93" s="108">
        <v>1050</v>
      </c>
    </row>
    <row r="94" spans="2:14">
      <c r="B94" s="5">
        <v>1237468</v>
      </c>
      <c r="C94" s="108">
        <v>0</v>
      </c>
      <c r="D94" s="108">
        <v>0</v>
      </c>
      <c r="E94" s="108">
        <v>216</v>
      </c>
      <c r="F94" s="108">
        <v>82</v>
      </c>
      <c r="G94" s="108">
        <v>0</v>
      </c>
      <c r="H94" s="108">
        <v>0</v>
      </c>
      <c r="I94" s="108">
        <v>0</v>
      </c>
      <c r="J94" s="108">
        <v>79</v>
      </c>
      <c r="K94" s="108">
        <v>216</v>
      </c>
      <c r="L94" s="108">
        <v>0</v>
      </c>
      <c r="N94" s="108">
        <v>593</v>
      </c>
    </row>
    <row r="95" spans="2:14">
      <c r="B95" s="5">
        <v>1238092</v>
      </c>
      <c r="C95" s="108">
        <v>0</v>
      </c>
      <c r="D95" s="108">
        <v>0</v>
      </c>
      <c r="E95" s="108">
        <v>0</v>
      </c>
      <c r="F95" s="108">
        <v>0</v>
      </c>
      <c r="G95" s="108">
        <v>0</v>
      </c>
      <c r="H95" s="108">
        <v>0</v>
      </c>
      <c r="I95" s="108">
        <v>0</v>
      </c>
      <c r="J95" s="108">
        <v>0</v>
      </c>
      <c r="K95" s="108">
        <v>144</v>
      </c>
      <c r="L95" s="108">
        <v>0</v>
      </c>
      <c r="N95" s="108">
        <v>144</v>
      </c>
    </row>
    <row r="96" spans="2:14">
      <c r="B96" s="5">
        <v>1238453</v>
      </c>
      <c r="C96" s="108">
        <v>191</v>
      </c>
      <c r="D96" s="108">
        <v>0</v>
      </c>
      <c r="E96" s="108">
        <v>0</v>
      </c>
      <c r="F96" s="108">
        <v>190</v>
      </c>
      <c r="G96" s="108">
        <v>0</v>
      </c>
      <c r="H96" s="108">
        <v>0</v>
      </c>
      <c r="I96" s="108">
        <v>0</v>
      </c>
      <c r="J96" s="108">
        <v>175</v>
      </c>
      <c r="K96" s="108">
        <v>0</v>
      </c>
      <c r="L96" s="108">
        <v>0</v>
      </c>
      <c r="N96" s="108">
        <v>556</v>
      </c>
    </row>
    <row r="97" spans="2:14">
      <c r="B97" s="5">
        <v>1238480</v>
      </c>
      <c r="C97" s="108">
        <v>4295</v>
      </c>
      <c r="D97" s="108">
        <v>6021</v>
      </c>
      <c r="E97" s="108">
        <v>5240</v>
      </c>
      <c r="F97" s="108">
        <v>4170</v>
      </c>
      <c r="G97" s="108">
        <v>1709</v>
      </c>
      <c r="H97" s="108">
        <v>6428</v>
      </c>
      <c r="I97" s="108">
        <v>4782</v>
      </c>
      <c r="J97" s="108">
        <v>3885</v>
      </c>
      <c r="K97" s="108">
        <v>3859</v>
      </c>
      <c r="L97" s="108">
        <v>4400</v>
      </c>
      <c r="N97" s="108">
        <v>44789</v>
      </c>
    </row>
    <row r="98" spans="2:14">
      <c r="B98" s="5">
        <v>1238605</v>
      </c>
      <c r="C98" s="108">
        <v>0</v>
      </c>
      <c r="D98" s="108">
        <v>0</v>
      </c>
      <c r="E98" s="108">
        <v>650</v>
      </c>
      <c r="F98" s="108">
        <v>0</v>
      </c>
      <c r="G98" s="108">
        <v>0</v>
      </c>
      <c r="H98" s="108">
        <v>0</v>
      </c>
      <c r="I98" s="108">
        <v>0</v>
      </c>
      <c r="J98" s="108">
        <v>700</v>
      </c>
      <c r="K98" s="108">
        <v>0</v>
      </c>
      <c r="L98" s="108">
        <v>0</v>
      </c>
      <c r="N98" s="108">
        <v>1350</v>
      </c>
    </row>
    <row r="99" spans="2:14">
      <c r="B99" s="5">
        <v>1240180</v>
      </c>
      <c r="C99" s="108">
        <v>0</v>
      </c>
      <c r="D99" s="108">
        <v>0</v>
      </c>
      <c r="E99" s="108">
        <v>850</v>
      </c>
      <c r="F99" s="108">
        <v>300</v>
      </c>
      <c r="G99" s="108">
        <v>0</v>
      </c>
      <c r="H99" s="108">
        <v>0</v>
      </c>
      <c r="I99" s="108">
        <v>948</v>
      </c>
      <c r="J99" s="108">
        <v>300</v>
      </c>
      <c r="K99" s="108">
        <v>0</v>
      </c>
      <c r="L99" s="108">
        <v>0</v>
      </c>
      <c r="N99" s="108">
        <v>2398</v>
      </c>
    </row>
    <row r="100" spans="2:14">
      <c r="B100" s="5">
        <v>1240184</v>
      </c>
      <c r="C100" s="108">
        <v>0</v>
      </c>
      <c r="D100" s="108">
        <v>0</v>
      </c>
      <c r="E100" s="108">
        <v>850</v>
      </c>
      <c r="F100" s="108">
        <v>300</v>
      </c>
      <c r="G100" s="108">
        <v>0</v>
      </c>
      <c r="H100" s="108">
        <v>0</v>
      </c>
      <c r="I100" s="108">
        <v>948</v>
      </c>
      <c r="J100" s="108">
        <v>300</v>
      </c>
      <c r="K100" s="108">
        <v>0</v>
      </c>
      <c r="L100" s="108">
        <v>0</v>
      </c>
      <c r="N100" s="108">
        <v>2398</v>
      </c>
    </row>
    <row r="101" spans="2:14">
      <c r="B101" s="5">
        <v>1241343</v>
      </c>
      <c r="C101" s="108">
        <v>0</v>
      </c>
      <c r="D101" s="108">
        <v>0</v>
      </c>
      <c r="E101" s="108">
        <v>0</v>
      </c>
      <c r="F101" s="108">
        <v>0</v>
      </c>
      <c r="G101" s="108">
        <v>0</v>
      </c>
      <c r="H101" s="108">
        <v>20</v>
      </c>
      <c r="I101" s="108">
        <v>0</v>
      </c>
      <c r="J101" s="108">
        <v>0</v>
      </c>
      <c r="K101" s="108">
        <v>0</v>
      </c>
      <c r="L101" s="108">
        <v>0</v>
      </c>
      <c r="N101" s="108">
        <v>20</v>
      </c>
    </row>
    <row r="102" spans="2:14">
      <c r="B102" s="5">
        <v>1241347</v>
      </c>
      <c r="C102" s="108">
        <v>0</v>
      </c>
      <c r="D102" s="108">
        <v>0</v>
      </c>
      <c r="E102" s="108">
        <v>0</v>
      </c>
      <c r="F102" s="108">
        <v>0</v>
      </c>
      <c r="G102" s="108">
        <v>0</v>
      </c>
      <c r="H102" s="108">
        <v>20</v>
      </c>
      <c r="I102" s="108">
        <v>0</v>
      </c>
      <c r="J102" s="108">
        <v>0</v>
      </c>
      <c r="K102" s="108">
        <v>0</v>
      </c>
      <c r="L102" s="108">
        <v>0</v>
      </c>
      <c r="N102" s="108">
        <v>20</v>
      </c>
    </row>
    <row r="103" spans="2:14">
      <c r="B103" s="5">
        <v>1241387</v>
      </c>
      <c r="C103" s="108">
        <v>0</v>
      </c>
      <c r="D103" s="108">
        <v>0</v>
      </c>
      <c r="E103" s="108">
        <v>0</v>
      </c>
      <c r="F103" s="108">
        <v>0</v>
      </c>
      <c r="G103" s="108">
        <v>0</v>
      </c>
      <c r="H103" s="108">
        <v>151</v>
      </c>
      <c r="I103" s="108">
        <v>0</v>
      </c>
      <c r="J103" s="108">
        <v>0</v>
      </c>
      <c r="K103" s="108">
        <v>0</v>
      </c>
      <c r="L103" s="108">
        <v>0</v>
      </c>
      <c r="N103" s="108">
        <v>151</v>
      </c>
    </row>
    <row r="104" spans="2:14">
      <c r="B104" s="5">
        <v>1241474</v>
      </c>
      <c r="C104" s="108">
        <v>37</v>
      </c>
      <c r="D104" s="108">
        <v>0</v>
      </c>
      <c r="E104" s="108">
        <v>0</v>
      </c>
      <c r="F104" s="108">
        <v>0</v>
      </c>
      <c r="G104" s="108">
        <v>0</v>
      </c>
      <c r="H104" s="108">
        <v>0</v>
      </c>
      <c r="I104" s="108">
        <v>0</v>
      </c>
      <c r="J104" s="108">
        <v>0</v>
      </c>
      <c r="K104" s="108">
        <v>0</v>
      </c>
      <c r="L104" s="108">
        <v>0</v>
      </c>
      <c r="N104" s="108">
        <v>37</v>
      </c>
    </row>
    <row r="105" spans="2:14">
      <c r="B105" s="5">
        <v>1241480</v>
      </c>
      <c r="C105" s="108">
        <v>0</v>
      </c>
      <c r="D105" s="108">
        <v>0</v>
      </c>
      <c r="E105" s="108">
        <v>0</v>
      </c>
      <c r="F105" s="108">
        <v>0</v>
      </c>
      <c r="G105" s="108">
        <v>0</v>
      </c>
      <c r="H105" s="108">
        <v>26</v>
      </c>
      <c r="I105" s="108">
        <v>0</v>
      </c>
      <c r="J105" s="108">
        <v>0</v>
      </c>
      <c r="K105" s="108">
        <v>0</v>
      </c>
      <c r="L105" s="108">
        <v>0</v>
      </c>
      <c r="N105" s="108">
        <v>26</v>
      </c>
    </row>
  </sheetData>
  <mergeCells count="4">
    <mergeCell ref="A7:A8"/>
    <mergeCell ref="B7:B8"/>
    <mergeCell ref="A45:A46"/>
    <mergeCell ref="B45:B46"/>
  </mergeCells>
  <phoneticPr fontId="1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F7B5-7C72-43B8-B291-B169254FF498}">
  <dimension ref="A1:S65"/>
  <sheetViews>
    <sheetView topLeftCell="A33" zoomScale="115" zoomScaleNormal="115" workbookViewId="0">
      <selection activeCell="J51" sqref="J51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8" width="9.5" style="9" customWidth="1"/>
    <col min="19" max="19" width="9.5" style="9" bestFit="1" customWidth="1"/>
    <col min="20" max="16384" width="9.33203125" style="5"/>
  </cols>
  <sheetData>
    <row r="1" spans="1:19">
      <c r="A1" s="19" t="s">
        <v>0</v>
      </c>
      <c r="B1" s="9" t="s">
        <v>1085</v>
      </c>
      <c r="C1" s="9" t="s">
        <v>1086</v>
      </c>
      <c r="D1" s="9" t="s">
        <v>1087</v>
      </c>
      <c r="E1" s="9" t="s">
        <v>1088</v>
      </c>
      <c r="F1" s="9" t="s">
        <v>1145</v>
      </c>
      <c r="G1" s="18" t="s">
        <v>1146</v>
      </c>
      <c r="H1" s="9" t="s">
        <v>1147</v>
      </c>
      <c r="I1" s="9" t="s">
        <v>1148</v>
      </c>
      <c r="J1" s="9" t="s">
        <v>1149</v>
      </c>
      <c r="K1" s="9" t="s">
        <v>1150</v>
      </c>
      <c r="L1" s="9" t="s">
        <v>1151</v>
      </c>
      <c r="M1" s="9" t="s">
        <v>1198</v>
      </c>
      <c r="N1" s="9" t="s">
        <v>1200</v>
      </c>
      <c r="O1" s="9" t="s">
        <v>1202</v>
      </c>
      <c r="P1" s="9" t="s">
        <v>1204</v>
      </c>
      <c r="Q1" s="9" t="s">
        <v>1206</v>
      </c>
      <c r="R1" s="9" t="s">
        <v>1208</v>
      </c>
      <c r="S1" s="9" t="s">
        <v>1210</v>
      </c>
    </row>
    <row r="2" spans="1:19">
      <c r="A2" s="19">
        <v>1229673</v>
      </c>
      <c r="B2" s="9">
        <v>250</v>
      </c>
      <c r="C2" s="9">
        <v>300</v>
      </c>
      <c r="D2" s="9">
        <v>0</v>
      </c>
      <c r="E2" s="9">
        <v>0</v>
      </c>
      <c r="F2" s="9">
        <v>300</v>
      </c>
      <c r="G2" s="18">
        <v>300</v>
      </c>
      <c r="H2" s="9">
        <v>300</v>
      </c>
      <c r="I2" s="9">
        <v>300</v>
      </c>
      <c r="J2" s="9">
        <v>300</v>
      </c>
      <c r="K2" s="9">
        <v>0</v>
      </c>
      <c r="L2" s="9">
        <v>0</v>
      </c>
      <c r="M2" s="9">
        <v>250</v>
      </c>
      <c r="N2" s="9">
        <v>250</v>
      </c>
      <c r="O2" s="9">
        <v>250</v>
      </c>
      <c r="P2" s="9">
        <v>300</v>
      </c>
      <c r="Q2" s="9">
        <v>300</v>
      </c>
      <c r="R2" s="9">
        <v>0</v>
      </c>
      <c r="S2" s="9">
        <v>0</v>
      </c>
    </row>
    <row r="3" spans="1:19">
      <c r="A3" s="19">
        <v>1230854</v>
      </c>
      <c r="B3" s="9">
        <v>200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100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19">
      <c r="A4" s="19">
        <v>1235623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508</v>
      </c>
      <c r="N4" s="9">
        <v>960</v>
      </c>
      <c r="O4" s="9">
        <v>404</v>
      </c>
      <c r="P4" s="9">
        <v>0</v>
      </c>
      <c r="Q4" s="9">
        <v>0</v>
      </c>
      <c r="R4" s="9">
        <v>0</v>
      </c>
      <c r="S4" s="9">
        <v>0</v>
      </c>
    </row>
    <row r="5" spans="1:19">
      <c r="A5" s="19">
        <v>1237088</v>
      </c>
      <c r="B5" s="9">
        <v>746</v>
      </c>
      <c r="C5" s="9">
        <v>418</v>
      </c>
      <c r="D5" s="9">
        <v>0</v>
      </c>
      <c r="E5" s="9">
        <v>0</v>
      </c>
      <c r="F5" s="9">
        <v>436</v>
      </c>
      <c r="G5" s="18">
        <v>158</v>
      </c>
      <c r="H5" s="9">
        <v>676</v>
      </c>
      <c r="I5" s="9">
        <v>466</v>
      </c>
      <c r="J5" s="9">
        <v>308</v>
      </c>
      <c r="K5" s="9">
        <v>0</v>
      </c>
      <c r="L5" s="9">
        <v>0</v>
      </c>
      <c r="M5" s="9">
        <v>574</v>
      </c>
      <c r="N5" s="9">
        <v>868</v>
      </c>
      <c r="O5" s="9">
        <v>780</v>
      </c>
      <c r="P5" s="9">
        <v>542</v>
      </c>
      <c r="Q5" s="9">
        <v>178</v>
      </c>
      <c r="R5" s="9">
        <v>0</v>
      </c>
      <c r="S5" s="9">
        <v>0</v>
      </c>
    </row>
    <row r="6" spans="1:19">
      <c r="A6" s="19">
        <v>1236091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300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</row>
    <row r="7" spans="1:19">
      <c r="A7" s="19">
        <v>1234905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566</v>
      </c>
      <c r="R7" s="9">
        <v>0</v>
      </c>
      <c r="S7" s="9">
        <v>0</v>
      </c>
    </row>
    <row r="8" spans="1:19">
      <c r="A8" s="19">
        <v>1238128</v>
      </c>
      <c r="B8" s="9">
        <v>882</v>
      </c>
      <c r="C8" s="9">
        <v>464</v>
      </c>
      <c r="D8" s="9">
        <v>0</v>
      </c>
      <c r="E8" s="9">
        <v>0</v>
      </c>
      <c r="F8" s="9">
        <v>464</v>
      </c>
      <c r="G8" s="18">
        <v>84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</row>
    <row r="9" spans="1:19">
      <c r="A9" s="19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104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>
      <c r="A10" s="19">
        <v>1236962</v>
      </c>
      <c r="B10" s="9">
        <v>300</v>
      </c>
      <c r="C10" s="9">
        <v>0</v>
      </c>
      <c r="D10" s="9">
        <v>0</v>
      </c>
      <c r="E10" s="9">
        <v>0</v>
      </c>
      <c r="F10" s="9">
        <v>300</v>
      </c>
      <c r="G10" s="18">
        <v>300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200</v>
      </c>
      <c r="N10" s="9">
        <v>0</v>
      </c>
      <c r="O10" s="9">
        <v>0</v>
      </c>
      <c r="P10" s="9">
        <v>308</v>
      </c>
      <c r="Q10" s="9">
        <v>200</v>
      </c>
      <c r="R10" s="9">
        <v>0</v>
      </c>
      <c r="S10" s="9">
        <v>0</v>
      </c>
    </row>
    <row r="11" spans="1:19">
      <c r="A11" s="19">
        <v>1233761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150</v>
      </c>
      <c r="I11" s="9">
        <v>0</v>
      </c>
      <c r="J11" s="9">
        <v>200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spans="1:19">
      <c r="A12" s="19">
        <v>1239651</v>
      </c>
      <c r="B12" s="9">
        <v>0</v>
      </c>
      <c r="C12" s="9">
        <v>400</v>
      </c>
      <c r="D12" s="9">
        <v>0</v>
      </c>
      <c r="E12" s="9">
        <v>0</v>
      </c>
      <c r="F12" s="9">
        <v>100</v>
      </c>
      <c r="G12" s="9">
        <v>0</v>
      </c>
      <c r="H12" s="9">
        <v>0</v>
      </c>
      <c r="I12" s="9">
        <v>400</v>
      </c>
      <c r="J12" s="9">
        <v>0</v>
      </c>
      <c r="K12" s="9">
        <v>0</v>
      </c>
      <c r="L12" s="9">
        <v>0</v>
      </c>
      <c r="M12" s="9">
        <v>0</v>
      </c>
      <c r="N12" s="9">
        <v>300</v>
      </c>
      <c r="O12" s="9">
        <v>0</v>
      </c>
      <c r="P12" s="9">
        <v>150</v>
      </c>
      <c r="Q12" s="9">
        <v>0</v>
      </c>
      <c r="R12" s="9">
        <v>0</v>
      </c>
      <c r="S12" s="9">
        <v>0</v>
      </c>
    </row>
    <row r="13" spans="1:19">
      <c r="A13" s="19">
        <v>1240180</v>
      </c>
      <c r="B13" s="9">
        <v>390</v>
      </c>
      <c r="C13" s="9">
        <v>306</v>
      </c>
      <c r="D13" s="9">
        <v>0</v>
      </c>
      <c r="E13" s="9">
        <v>0</v>
      </c>
      <c r="F13" s="9">
        <v>306</v>
      </c>
      <c r="G13" s="18">
        <v>390</v>
      </c>
      <c r="H13" s="9">
        <v>306</v>
      </c>
      <c r="I13" s="9">
        <v>390</v>
      </c>
      <c r="J13" s="9">
        <v>306</v>
      </c>
      <c r="K13" s="9">
        <v>0</v>
      </c>
      <c r="L13" s="9">
        <v>0</v>
      </c>
      <c r="M13" s="9">
        <v>338</v>
      </c>
      <c r="N13" s="9">
        <v>430</v>
      </c>
      <c r="O13" s="9">
        <v>338</v>
      </c>
      <c r="P13" s="9">
        <v>420</v>
      </c>
      <c r="Q13" s="9">
        <v>0</v>
      </c>
      <c r="R13" s="9">
        <v>0</v>
      </c>
      <c r="S13" s="9">
        <v>0</v>
      </c>
    </row>
    <row r="14" spans="1:19">
      <c r="A14" s="19">
        <v>1240184</v>
      </c>
      <c r="B14" s="9">
        <v>314</v>
      </c>
      <c r="C14" s="9">
        <v>306</v>
      </c>
      <c r="D14" s="9">
        <v>0</v>
      </c>
      <c r="E14" s="9">
        <v>0</v>
      </c>
      <c r="F14" s="9">
        <v>306</v>
      </c>
      <c r="G14" s="18">
        <v>390</v>
      </c>
      <c r="H14" s="9">
        <v>306</v>
      </c>
      <c r="I14" s="9">
        <v>390</v>
      </c>
      <c r="J14" s="9">
        <v>306</v>
      </c>
      <c r="K14" s="9">
        <v>0</v>
      </c>
      <c r="L14" s="9">
        <v>0</v>
      </c>
      <c r="M14" s="9">
        <v>338</v>
      </c>
      <c r="N14" s="9">
        <v>296</v>
      </c>
      <c r="O14" s="9">
        <v>338</v>
      </c>
      <c r="P14" s="9">
        <v>420</v>
      </c>
      <c r="Q14" s="9">
        <v>0</v>
      </c>
      <c r="R14" s="9">
        <v>0</v>
      </c>
      <c r="S14" s="9">
        <v>0</v>
      </c>
    </row>
    <row r="15" spans="1:19">
      <c r="A15" s="19">
        <v>1240308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18">
        <v>350</v>
      </c>
      <c r="H15" s="9">
        <v>0</v>
      </c>
      <c r="I15" s="9">
        <v>0</v>
      </c>
      <c r="J15" s="9">
        <v>94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100</v>
      </c>
      <c r="Q15" s="9">
        <v>0</v>
      </c>
      <c r="R15" s="9">
        <v>0</v>
      </c>
      <c r="S15" s="9">
        <v>0</v>
      </c>
    </row>
    <row r="16" spans="1:19">
      <c r="A16" s="19">
        <v>1241601</v>
      </c>
      <c r="B16" s="9">
        <v>1082</v>
      </c>
      <c r="C16" s="9">
        <v>1188</v>
      </c>
      <c r="D16" s="9">
        <v>0</v>
      </c>
      <c r="E16" s="9">
        <v>0</v>
      </c>
      <c r="F16" s="9">
        <v>1084</v>
      </c>
      <c r="G16" s="18">
        <v>1380</v>
      </c>
      <c r="H16" s="9">
        <v>1352</v>
      </c>
      <c r="I16" s="9">
        <v>1704</v>
      </c>
      <c r="J16" s="9">
        <v>1112</v>
      </c>
      <c r="K16" s="9">
        <v>0</v>
      </c>
      <c r="L16" s="9">
        <v>0</v>
      </c>
      <c r="M16" s="9">
        <v>1112</v>
      </c>
      <c r="N16" s="9">
        <v>1564</v>
      </c>
      <c r="O16" s="9">
        <v>950</v>
      </c>
      <c r="P16" s="9">
        <v>2168</v>
      </c>
      <c r="Q16" s="9">
        <v>1156</v>
      </c>
      <c r="R16" s="9">
        <v>0</v>
      </c>
      <c r="S16" s="9">
        <v>0</v>
      </c>
    </row>
    <row r="20" spans="1:19">
      <c r="A20" s="19" t="s">
        <v>0</v>
      </c>
      <c r="B20" s="9" t="s">
        <v>1085</v>
      </c>
      <c r="C20" s="9" t="s">
        <v>1086</v>
      </c>
      <c r="D20" s="9" t="s">
        <v>1087</v>
      </c>
      <c r="E20" s="9" t="s">
        <v>1088</v>
      </c>
      <c r="F20" s="9" t="s">
        <v>1145</v>
      </c>
      <c r="G20" s="9" t="s">
        <v>1146</v>
      </c>
      <c r="H20" s="9" t="s">
        <v>1147</v>
      </c>
      <c r="I20" s="9" t="s">
        <v>1148</v>
      </c>
      <c r="J20" s="9" t="s">
        <v>1149</v>
      </c>
      <c r="K20" s="9" t="s">
        <v>1150</v>
      </c>
      <c r="L20" s="9" t="s">
        <v>1151</v>
      </c>
      <c r="M20" s="9" t="s">
        <v>1198</v>
      </c>
      <c r="N20" s="9" t="s">
        <v>1200</v>
      </c>
      <c r="O20" s="9" t="s">
        <v>1202</v>
      </c>
      <c r="P20" s="9" t="s">
        <v>1204</v>
      </c>
      <c r="Q20" s="9" t="s">
        <v>1206</v>
      </c>
      <c r="R20" s="9" t="s">
        <v>1208</v>
      </c>
      <c r="S20" s="9" t="s">
        <v>1210</v>
      </c>
    </row>
    <row r="21" spans="1:19">
      <c r="A21" s="19">
        <v>1232846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44</v>
      </c>
      <c r="P21" s="9">
        <v>0</v>
      </c>
      <c r="Q21" s="9">
        <v>352</v>
      </c>
      <c r="R21" s="9">
        <v>0</v>
      </c>
      <c r="S21" s="9">
        <v>0</v>
      </c>
    </row>
    <row r="22" spans="1:19">
      <c r="A22" s="19">
        <v>1232895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44</v>
      </c>
      <c r="P22" s="9">
        <v>0</v>
      </c>
      <c r="Q22" s="9">
        <v>352</v>
      </c>
      <c r="R22" s="9">
        <v>0</v>
      </c>
      <c r="S22" s="9">
        <v>0</v>
      </c>
    </row>
    <row r="23" spans="1:19">
      <c r="A23" s="19">
        <v>1233384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44</v>
      </c>
      <c r="P23" s="9">
        <v>0</v>
      </c>
      <c r="Q23" s="9">
        <v>352</v>
      </c>
      <c r="R23" s="9">
        <v>0</v>
      </c>
      <c r="S23" s="9">
        <v>0</v>
      </c>
    </row>
    <row r="24" spans="1:19">
      <c r="A24" s="19">
        <v>1236110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100</v>
      </c>
      <c r="O24" s="9">
        <v>200</v>
      </c>
      <c r="P24" s="9">
        <v>0</v>
      </c>
      <c r="Q24" s="9">
        <v>0</v>
      </c>
      <c r="R24" s="9">
        <v>0</v>
      </c>
      <c r="S24" s="9">
        <v>0</v>
      </c>
    </row>
    <row r="25" spans="1:19">
      <c r="A25" s="19">
        <v>1236387</v>
      </c>
      <c r="B25" s="9">
        <v>255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110</v>
      </c>
      <c r="R25" s="9">
        <v>0</v>
      </c>
      <c r="S25" s="9">
        <v>0</v>
      </c>
    </row>
    <row r="26" spans="1:19">
      <c r="A26" s="19">
        <v>1232775</v>
      </c>
      <c r="B26" s="9">
        <v>245</v>
      </c>
      <c r="C26" s="9">
        <v>242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8">
        <v>159</v>
      </c>
      <c r="J26" s="18">
        <v>484</v>
      </c>
      <c r="K26" s="9">
        <v>0</v>
      </c>
      <c r="L26" s="9">
        <v>0</v>
      </c>
      <c r="M26" s="9">
        <v>487</v>
      </c>
      <c r="N26" s="9">
        <v>487</v>
      </c>
      <c r="O26" s="9">
        <v>275</v>
      </c>
      <c r="P26" s="9">
        <v>0</v>
      </c>
      <c r="Q26" s="9">
        <v>0</v>
      </c>
      <c r="R26" s="9">
        <v>0</v>
      </c>
      <c r="S26" s="9">
        <v>0</v>
      </c>
    </row>
    <row r="27" spans="1:19">
      <c r="A27" s="19">
        <v>1230685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183</v>
      </c>
      <c r="P27" s="9">
        <v>0</v>
      </c>
      <c r="Q27" s="9">
        <v>217</v>
      </c>
      <c r="R27" s="9">
        <v>0</v>
      </c>
      <c r="S27" s="9">
        <v>0</v>
      </c>
    </row>
    <row r="28" spans="1:19">
      <c r="A28" s="19">
        <v>1238605</v>
      </c>
      <c r="B28" s="9">
        <v>0</v>
      </c>
      <c r="C28" s="9">
        <v>0</v>
      </c>
      <c r="D28" s="9">
        <v>0</v>
      </c>
      <c r="E28" s="9">
        <v>0</v>
      </c>
      <c r="F28" s="9">
        <v>175</v>
      </c>
      <c r="G28" s="18">
        <v>190</v>
      </c>
      <c r="H28" s="18">
        <v>187</v>
      </c>
      <c r="I28" s="18">
        <v>58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32" spans="1:19">
      <c r="A32" s="19" t="s">
        <v>0</v>
      </c>
      <c r="B32" s="9" t="s">
        <v>1085</v>
      </c>
      <c r="C32" s="9" t="s">
        <v>1086</v>
      </c>
      <c r="D32" s="9" t="s">
        <v>1087</v>
      </c>
      <c r="E32" s="9" t="s">
        <v>1088</v>
      </c>
      <c r="F32" s="9" t="s">
        <v>1145</v>
      </c>
      <c r="G32" s="9" t="s">
        <v>1146</v>
      </c>
      <c r="H32" s="9" t="s">
        <v>1147</v>
      </c>
      <c r="I32" s="9" t="s">
        <v>1148</v>
      </c>
      <c r="J32" s="9" t="s">
        <v>1149</v>
      </c>
      <c r="K32" s="9" t="s">
        <v>1150</v>
      </c>
      <c r="L32" s="9" t="s">
        <v>1151</v>
      </c>
      <c r="M32" s="9" t="s">
        <v>1198</v>
      </c>
      <c r="N32" s="9" t="s">
        <v>1200</v>
      </c>
      <c r="O32" s="9" t="s">
        <v>1202</v>
      </c>
      <c r="P32" s="9" t="s">
        <v>1204</v>
      </c>
      <c r="Q32" s="9" t="s">
        <v>1206</v>
      </c>
      <c r="R32" s="9" t="s">
        <v>1208</v>
      </c>
      <c r="S32" s="9" t="s">
        <v>1210</v>
      </c>
    </row>
    <row r="33" spans="1:19">
      <c r="A33" s="19">
        <v>1221967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225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</row>
    <row r="34" spans="1:19">
      <c r="A34" s="19">
        <v>1234614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285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</row>
    <row r="35" spans="1:19">
      <c r="A35" s="19">
        <v>1227306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18">
        <v>230</v>
      </c>
      <c r="I35" s="9">
        <v>487</v>
      </c>
      <c r="J35" s="9">
        <v>118</v>
      </c>
      <c r="K35" s="9">
        <v>0</v>
      </c>
      <c r="L35" s="9">
        <v>0</v>
      </c>
      <c r="M35" s="9">
        <v>41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spans="1:19">
      <c r="A36" s="19">
        <v>1231090</v>
      </c>
      <c r="B36" s="9">
        <v>150</v>
      </c>
      <c r="C36" s="9">
        <v>0</v>
      </c>
      <c r="D36" s="9">
        <v>0</v>
      </c>
      <c r="E36" s="9">
        <v>0</v>
      </c>
      <c r="F36" s="9">
        <v>0</v>
      </c>
      <c r="G36" s="18">
        <v>343</v>
      </c>
      <c r="H36" s="9">
        <v>199</v>
      </c>
      <c r="I36" s="9">
        <v>0</v>
      </c>
      <c r="J36" s="9">
        <v>115</v>
      </c>
      <c r="K36" s="9">
        <v>0</v>
      </c>
      <c r="L36" s="9">
        <v>0</v>
      </c>
      <c r="M36" s="9">
        <v>65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1:19">
      <c r="A37" s="19">
        <v>1229776</v>
      </c>
      <c r="B37" s="9">
        <v>150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115</v>
      </c>
      <c r="K37" s="9">
        <v>0</v>
      </c>
      <c r="L37" s="9">
        <v>0</v>
      </c>
      <c r="M37" s="9">
        <v>65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1:19">
      <c r="A38" s="19">
        <v>1231797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18">
        <v>35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19">
        <v>1232693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18">
        <v>5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19">
        <v>1233025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18">
        <v>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19">
        <v>1234222</v>
      </c>
      <c r="B41" s="9">
        <v>0</v>
      </c>
      <c r="C41" s="9">
        <v>120</v>
      </c>
      <c r="D41" s="9">
        <v>0</v>
      </c>
      <c r="E41" s="9">
        <v>0</v>
      </c>
      <c r="F41" s="9">
        <v>592</v>
      </c>
      <c r="G41" s="18">
        <v>348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19">
        <v>1232528</v>
      </c>
      <c r="B42" s="9">
        <v>574</v>
      </c>
      <c r="C42" s="9">
        <v>440</v>
      </c>
      <c r="D42" s="9">
        <v>0</v>
      </c>
      <c r="E42" s="9">
        <v>0</v>
      </c>
      <c r="F42" s="9">
        <v>904</v>
      </c>
      <c r="G42" s="18">
        <v>746</v>
      </c>
      <c r="H42" s="9">
        <v>539</v>
      </c>
      <c r="I42" s="9">
        <v>686</v>
      </c>
      <c r="J42" s="9">
        <v>740</v>
      </c>
      <c r="K42" s="9">
        <v>0</v>
      </c>
      <c r="L42" s="9">
        <v>0</v>
      </c>
      <c r="M42" s="9">
        <v>1018</v>
      </c>
      <c r="N42" s="9">
        <v>534</v>
      </c>
      <c r="O42" s="9">
        <v>1160</v>
      </c>
      <c r="P42" s="9">
        <v>1685</v>
      </c>
      <c r="Q42" s="9">
        <v>1070</v>
      </c>
      <c r="R42" s="9">
        <v>0</v>
      </c>
      <c r="S42" s="9">
        <v>0</v>
      </c>
    </row>
    <row r="43" spans="1:19">
      <c r="A43" s="19">
        <v>1232846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608</v>
      </c>
      <c r="O43" s="9">
        <v>253</v>
      </c>
      <c r="P43" s="9">
        <v>728</v>
      </c>
      <c r="Q43" s="9">
        <v>0</v>
      </c>
      <c r="R43" s="9">
        <v>0</v>
      </c>
      <c r="S43" s="9">
        <v>0</v>
      </c>
    </row>
    <row r="44" spans="1:19">
      <c r="A44" s="19">
        <v>1233383</v>
      </c>
      <c r="B44" s="9">
        <v>117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1:19">
      <c r="A45" s="19">
        <v>1220847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100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19">
        <v>1235845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484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19">
        <v>1235097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8">
        <v>200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100</v>
      </c>
      <c r="Q47" s="9">
        <v>300</v>
      </c>
      <c r="R47" s="9">
        <v>0</v>
      </c>
      <c r="S47" s="9">
        <v>0</v>
      </c>
    </row>
    <row r="48" spans="1:19">
      <c r="A48" s="19">
        <v>1236600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150</v>
      </c>
      <c r="I48" s="9">
        <v>533</v>
      </c>
      <c r="J48" s="9">
        <v>316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</row>
    <row r="49" spans="1:19">
      <c r="A49" s="19">
        <v>1236601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93</v>
      </c>
      <c r="K49" s="9">
        <v>0</v>
      </c>
      <c r="L49" s="9">
        <v>0</v>
      </c>
      <c r="M49" s="9">
        <v>50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19">
      <c r="A50" s="19">
        <v>1236619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18">
        <v>90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</row>
    <row r="51" spans="1:19">
      <c r="A51" s="19">
        <v>1236930</v>
      </c>
      <c r="B51" s="9">
        <v>396</v>
      </c>
      <c r="C51" s="9">
        <v>509</v>
      </c>
      <c r="D51" s="9">
        <v>0</v>
      </c>
      <c r="E51" s="9">
        <v>0</v>
      </c>
      <c r="F51" s="9">
        <v>481</v>
      </c>
      <c r="G51" s="9">
        <v>398</v>
      </c>
      <c r="H51" s="18">
        <v>158</v>
      </c>
      <c r="I51" s="9">
        <v>170</v>
      </c>
      <c r="J51" s="9">
        <v>266</v>
      </c>
      <c r="K51" s="9">
        <v>0</v>
      </c>
      <c r="L51" s="9">
        <v>0</v>
      </c>
      <c r="M51" s="9">
        <v>300</v>
      </c>
      <c r="N51" s="9">
        <v>514</v>
      </c>
      <c r="O51" s="9">
        <v>300</v>
      </c>
      <c r="P51" s="9">
        <v>300</v>
      </c>
      <c r="Q51" s="9">
        <v>0</v>
      </c>
      <c r="R51" s="9">
        <v>0</v>
      </c>
      <c r="S51" s="9">
        <v>0</v>
      </c>
    </row>
    <row r="52" spans="1:19">
      <c r="A52" s="19">
        <v>1237210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161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19">
      <c r="A53" s="19">
        <v>1237457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18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19">
        <v>1237386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150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</row>
    <row r="55" spans="1:19">
      <c r="A55" s="19">
        <v>1234905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450</v>
      </c>
      <c r="N55" s="9">
        <v>700</v>
      </c>
      <c r="O55" s="9">
        <v>300</v>
      </c>
      <c r="P55" s="9">
        <v>400</v>
      </c>
      <c r="Q55" s="9">
        <v>0</v>
      </c>
      <c r="R55" s="9">
        <v>0</v>
      </c>
      <c r="S55" s="9">
        <v>0</v>
      </c>
    </row>
    <row r="56" spans="1:19">
      <c r="A56" s="19">
        <v>1238480</v>
      </c>
      <c r="B56" s="9">
        <v>1097</v>
      </c>
      <c r="C56" s="9">
        <v>969</v>
      </c>
      <c r="D56" s="9">
        <v>0</v>
      </c>
      <c r="E56" s="9">
        <v>0</v>
      </c>
      <c r="F56" s="9">
        <v>807</v>
      </c>
      <c r="G56" s="18">
        <v>1170</v>
      </c>
      <c r="H56" s="9">
        <v>853</v>
      </c>
      <c r="I56" s="9">
        <v>1169</v>
      </c>
      <c r="J56" s="9">
        <v>689</v>
      </c>
      <c r="K56" s="9">
        <v>0</v>
      </c>
      <c r="L56" s="9">
        <v>0</v>
      </c>
      <c r="M56" s="9">
        <v>350</v>
      </c>
      <c r="N56" s="9">
        <v>872</v>
      </c>
      <c r="O56" s="9">
        <v>693</v>
      </c>
      <c r="P56" s="9">
        <v>801</v>
      </c>
      <c r="Q56" s="9">
        <v>623</v>
      </c>
      <c r="R56" s="9">
        <v>0</v>
      </c>
      <c r="S56" s="9">
        <v>0</v>
      </c>
    </row>
    <row r="57" spans="1:19">
      <c r="A57" s="19">
        <v>1232775</v>
      </c>
      <c r="B57" s="9">
        <v>238</v>
      </c>
      <c r="C57" s="9">
        <v>0</v>
      </c>
      <c r="D57" s="9">
        <v>0</v>
      </c>
      <c r="E57" s="9">
        <v>0</v>
      </c>
      <c r="F57" s="9">
        <v>0</v>
      </c>
      <c r="G57" s="18">
        <v>241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</row>
    <row r="58" spans="1:19">
      <c r="A58" s="19">
        <v>1240180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18">
        <v>93</v>
      </c>
      <c r="I58" s="9">
        <v>157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300</v>
      </c>
      <c r="R58" s="9">
        <v>0</v>
      </c>
      <c r="S58" s="9">
        <v>0</v>
      </c>
    </row>
    <row r="59" spans="1:19">
      <c r="A59" s="19">
        <v>1240184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18">
        <v>93</v>
      </c>
      <c r="I59" s="9">
        <v>157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300</v>
      </c>
      <c r="R59" s="9">
        <v>0</v>
      </c>
      <c r="S59" s="9">
        <v>0</v>
      </c>
    </row>
    <row r="60" spans="1:19">
      <c r="A60" s="19">
        <v>1231011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300</v>
      </c>
      <c r="P60" s="9">
        <v>0</v>
      </c>
      <c r="Q60" s="9">
        <v>0</v>
      </c>
      <c r="R60" s="9">
        <v>0</v>
      </c>
      <c r="S60" s="9">
        <v>0</v>
      </c>
    </row>
    <row r="61" spans="1:19">
      <c r="A61" s="19">
        <v>1232894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608</v>
      </c>
      <c r="O61" s="9">
        <v>253</v>
      </c>
      <c r="P61" s="9">
        <v>728</v>
      </c>
      <c r="Q61" s="9">
        <v>0</v>
      </c>
      <c r="R61" s="9">
        <v>0</v>
      </c>
      <c r="S61" s="9">
        <v>0</v>
      </c>
    </row>
    <row r="62" spans="1:19">
      <c r="A62" s="19">
        <v>1233386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608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 spans="1:19">
      <c r="A63" s="19">
        <v>1233387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728</v>
      </c>
      <c r="Q63" s="9">
        <v>0</v>
      </c>
      <c r="R63" s="9">
        <v>0</v>
      </c>
      <c r="S63" s="9">
        <v>0</v>
      </c>
    </row>
    <row r="64" spans="1:19">
      <c r="A64" s="19">
        <v>1233385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253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19">
        <v>1238092</v>
      </c>
      <c r="B65" s="9">
        <v>0</v>
      </c>
      <c r="C65" s="9">
        <v>49</v>
      </c>
      <c r="D65" s="9">
        <v>0</v>
      </c>
      <c r="E65" s="9">
        <v>0</v>
      </c>
      <c r="F65" s="9">
        <v>95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</sheetData>
  <autoFilter ref="A1:S16" xr:uid="{2514F7B5-7C72-43B8-B291-B169254FF498}"/>
  <phoneticPr fontId="1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7973-D7D2-46E8-97C5-9152403E932A}">
  <dimension ref="A1:R66"/>
  <sheetViews>
    <sheetView topLeftCell="A8" zoomScale="145" zoomScaleNormal="145" workbookViewId="0">
      <selection activeCell="J59" sqref="J59"/>
    </sheetView>
  </sheetViews>
  <sheetFormatPr defaultRowHeight="11.25"/>
  <cols>
    <col min="2" max="2" width="9.1640625" style="14"/>
    <col min="3" max="17" width="9.1640625" style="14" customWidth="1"/>
    <col min="18" max="18" width="9.1640625" style="14"/>
  </cols>
  <sheetData>
    <row r="1" spans="1:18">
      <c r="A1" s="2" t="s">
        <v>0</v>
      </c>
      <c r="B1" s="14" t="s">
        <v>1215</v>
      </c>
      <c r="C1" s="14" t="s">
        <v>1216</v>
      </c>
      <c r="D1" s="14" t="s">
        <v>1217</v>
      </c>
      <c r="E1" s="14" t="s">
        <v>1218</v>
      </c>
      <c r="F1" s="14" t="s">
        <v>1219</v>
      </c>
      <c r="G1" s="16" t="s">
        <v>1220</v>
      </c>
      <c r="H1" s="14" t="s">
        <v>1221</v>
      </c>
      <c r="I1" s="14" t="s">
        <v>1222</v>
      </c>
      <c r="J1" s="14" t="s">
        <v>1223</v>
      </c>
      <c r="K1" s="14" t="s">
        <v>1224</v>
      </c>
      <c r="L1" s="14" t="s">
        <v>1225</v>
      </c>
      <c r="M1" s="14" t="s">
        <v>1226</v>
      </c>
      <c r="N1" s="14" t="s">
        <v>1227</v>
      </c>
      <c r="O1" s="14" t="s">
        <v>1228</v>
      </c>
      <c r="P1" s="14" t="s">
        <v>1229</v>
      </c>
      <c r="Q1" s="14" t="s">
        <v>1230</v>
      </c>
      <c r="R1" s="14" t="s">
        <v>1231</v>
      </c>
    </row>
    <row r="2" spans="1:18">
      <c r="A2">
        <v>1229673</v>
      </c>
      <c r="B2" s="14">
        <v>300</v>
      </c>
      <c r="C2" s="14">
        <v>0</v>
      </c>
      <c r="D2" s="14">
        <v>0</v>
      </c>
      <c r="E2" s="14">
        <v>300</v>
      </c>
      <c r="F2" s="14">
        <v>300</v>
      </c>
      <c r="G2" s="16">
        <v>300</v>
      </c>
      <c r="H2" s="14">
        <v>300</v>
      </c>
      <c r="I2" s="14">
        <v>300</v>
      </c>
      <c r="J2" s="14">
        <v>0</v>
      </c>
      <c r="K2" s="14">
        <v>0</v>
      </c>
      <c r="L2" s="14">
        <v>250</v>
      </c>
      <c r="M2" s="14">
        <v>250</v>
      </c>
      <c r="N2" s="14">
        <v>250</v>
      </c>
      <c r="O2" s="14">
        <v>300</v>
      </c>
      <c r="P2" s="14">
        <v>300</v>
      </c>
      <c r="Q2" s="14">
        <v>0</v>
      </c>
      <c r="R2" s="14">
        <v>0</v>
      </c>
    </row>
    <row r="3" spans="1:18">
      <c r="A3">
        <v>1230854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100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</row>
    <row r="4" spans="1:18">
      <c r="A4">
        <v>1235623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508</v>
      </c>
      <c r="M4" s="14">
        <v>960</v>
      </c>
      <c r="N4" s="14">
        <v>404</v>
      </c>
      <c r="O4" s="14">
        <v>0</v>
      </c>
      <c r="P4" s="14">
        <v>0</v>
      </c>
      <c r="Q4" s="14">
        <v>0</v>
      </c>
      <c r="R4" s="14">
        <v>0</v>
      </c>
    </row>
    <row r="5" spans="1:18">
      <c r="A5">
        <v>1237088</v>
      </c>
      <c r="B5" s="14">
        <v>418</v>
      </c>
      <c r="C5" s="14">
        <v>0</v>
      </c>
      <c r="D5" s="14">
        <v>0</v>
      </c>
      <c r="E5" s="14">
        <v>436</v>
      </c>
      <c r="F5" s="14">
        <v>158</v>
      </c>
      <c r="G5" s="16">
        <v>676</v>
      </c>
      <c r="H5" s="14">
        <v>466</v>
      </c>
      <c r="I5" s="14">
        <v>308</v>
      </c>
      <c r="J5" s="14">
        <v>0</v>
      </c>
      <c r="K5" s="14">
        <v>0</v>
      </c>
      <c r="L5" s="14">
        <v>574</v>
      </c>
      <c r="M5" s="14">
        <v>868</v>
      </c>
      <c r="N5" s="14">
        <v>908</v>
      </c>
      <c r="O5" s="14">
        <v>542</v>
      </c>
      <c r="P5" s="14">
        <v>178</v>
      </c>
      <c r="Q5" s="14">
        <v>0</v>
      </c>
      <c r="R5" s="14">
        <v>0</v>
      </c>
    </row>
    <row r="6" spans="1:18">
      <c r="A6">
        <v>1236091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300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</row>
    <row r="7" spans="1:18">
      <c r="A7">
        <v>1234905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566</v>
      </c>
      <c r="Q7" s="14">
        <v>0</v>
      </c>
      <c r="R7" s="14">
        <v>0</v>
      </c>
    </row>
    <row r="8" spans="1:18">
      <c r="A8">
        <v>1238128</v>
      </c>
      <c r="B8" s="14">
        <v>464</v>
      </c>
      <c r="C8" s="14">
        <v>0</v>
      </c>
      <c r="D8" s="14">
        <v>0</v>
      </c>
      <c r="E8" s="14">
        <v>464</v>
      </c>
      <c r="F8" s="14">
        <v>84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</row>
    <row r="9" spans="1:18">
      <c r="A9">
        <v>1237748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104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</row>
    <row r="10" spans="1:18">
      <c r="A10">
        <v>1236962</v>
      </c>
      <c r="B10" s="14">
        <v>0</v>
      </c>
      <c r="C10" s="14">
        <v>0</v>
      </c>
      <c r="D10" s="14">
        <v>0</v>
      </c>
      <c r="E10" s="14">
        <v>300</v>
      </c>
      <c r="F10" s="14">
        <v>300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200</v>
      </c>
      <c r="M10" s="14">
        <v>0</v>
      </c>
      <c r="N10" s="14">
        <v>0</v>
      </c>
      <c r="O10" s="14">
        <v>308</v>
      </c>
      <c r="P10" s="14">
        <v>200</v>
      </c>
      <c r="Q10" s="14">
        <v>0</v>
      </c>
      <c r="R10" s="14">
        <v>0</v>
      </c>
    </row>
    <row r="11" spans="1:18">
      <c r="A11">
        <v>1233761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6">
        <v>150</v>
      </c>
      <c r="H11" s="14">
        <v>0</v>
      </c>
      <c r="I11" s="14">
        <v>200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</row>
    <row r="12" spans="1:18">
      <c r="A12">
        <v>1239651</v>
      </c>
      <c r="B12" s="14">
        <v>400</v>
      </c>
      <c r="C12" s="14">
        <v>0</v>
      </c>
      <c r="D12" s="14">
        <v>0</v>
      </c>
      <c r="E12" s="14">
        <v>100</v>
      </c>
      <c r="F12" s="14">
        <v>0</v>
      </c>
      <c r="G12" s="14">
        <v>0</v>
      </c>
      <c r="H12" s="14">
        <v>400</v>
      </c>
      <c r="I12" s="14">
        <v>0</v>
      </c>
      <c r="J12" s="14">
        <v>0</v>
      </c>
      <c r="K12" s="14">
        <v>0</v>
      </c>
      <c r="L12" s="14">
        <v>0</v>
      </c>
      <c r="M12" s="14">
        <v>300</v>
      </c>
      <c r="N12" s="14">
        <v>0</v>
      </c>
      <c r="O12" s="14">
        <v>150</v>
      </c>
      <c r="P12" s="14">
        <v>0</v>
      </c>
      <c r="Q12" s="14">
        <v>0</v>
      </c>
      <c r="R12" s="14">
        <v>0</v>
      </c>
    </row>
    <row r="13" spans="1:18">
      <c r="A13">
        <v>1240180</v>
      </c>
      <c r="B13" s="14">
        <v>306</v>
      </c>
      <c r="C13" s="14">
        <v>0</v>
      </c>
      <c r="D13" s="14">
        <v>0</v>
      </c>
      <c r="E13" s="14">
        <v>306</v>
      </c>
      <c r="F13" s="14">
        <v>390</v>
      </c>
      <c r="G13" s="16">
        <v>306</v>
      </c>
      <c r="H13" s="14">
        <v>390</v>
      </c>
      <c r="I13" s="14">
        <v>306</v>
      </c>
      <c r="J13" s="14">
        <v>0</v>
      </c>
      <c r="K13" s="14">
        <v>0</v>
      </c>
      <c r="L13" s="14">
        <v>338</v>
      </c>
      <c r="M13" s="14">
        <v>430</v>
      </c>
      <c r="N13" s="14">
        <v>338</v>
      </c>
      <c r="O13" s="14">
        <v>420</v>
      </c>
      <c r="P13" s="14">
        <v>0</v>
      </c>
      <c r="Q13" s="14">
        <v>0</v>
      </c>
      <c r="R13" s="14">
        <v>0</v>
      </c>
    </row>
    <row r="14" spans="1:18">
      <c r="A14">
        <v>1240184</v>
      </c>
      <c r="B14" s="14">
        <v>306</v>
      </c>
      <c r="C14" s="14">
        <v>0</v>
      </c>
      <c r="D14" s="14">
        <v>0</v>
      </c>
      <c r="E14" s="14">
        <v>306</v>
      </c>
      <c r="F14" s="14">
        <v>390</v>
      </c>
      <c r="G14" s="16">
        <v>306</v>
      </c>
      <c r="H14" s="14">
        <v>390</v>
      </c>
      <c r="I14" s="14">
        <v>306</v>
      </c>
      <c r="J14" s="14">
        <v>0</v>
      </c>
      <c r="K14" s="14">
        <v>0</v>
      </c>
      <c r="L14" s="14">
        <v>338</v>
      </c>
      <c r="M14" s="14">
        <v>296</v>
      </c>
      <c r="N14" s="14">
        <v>338</v>
      </c>
      <c r="O14" s="14">
        <v>420</v>
      </c>
      <c r="P14" s="14">
        <v>0</v>
      </c>
      <c r="Q14" s="14">
        <v>0</v>
      </c>
      <c r="R14" s="14">
        <v>0</v>
      </c>
    </row>
    <row r="15" spans="1:18">
      <c r="A15">
        <v>1240308</v>
      </c>
      <c r="B15" s="14">
        <v>0</v>
      </c>
      <c r="C15" s="14">
        <v>0</v>
      </c>
      <c r="D15" s="14">
        <v>0</v>
      </c>
      <c r="E15" s="14">
        <v>0</v>
      </c>
      <c r="F15" s="14">
        <v>350</v>
      </c>
      <c r="G15" s="14">
        <v>0</v>
      </c>
      <c r="H15" s="14">
        <v>0</v>
      </c>
      <c r="I15" s="14">
        <v>94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100</v>
      </c>
      <c r="P15" s="14">
        <v>0</v>
      </c>
      <c r="Q15" s="14">
        <v>0</v>
      </c>
      <c r="R15" s="14">
        <v>0</v>
      </c>
    </row>
    <row r="16" spans="1:18">
      <c r="A16">
        <v>1241601</v>
      </c>
      <c r="B16" s="14">
        <v>1188</v>
      </c>
      <c r="C16" s="14">
        <v>0</v>
      </c>
      <c r="D16" s="14">
        <v>0</v>
      </c>
      <c r="E16" s="14">
        <v>1084</v>
      </c>
      <c r="F16" s="14">
        <v>1380</v>
      </c>
      <c r="G16" s="16">
        <v>1352</v>
      </c>
      <c r="H16" s="14">
        <v>1704</v>
      </c>
      <c r="I16" s="14">
        <v>1112</v>
      </c>
      <c r="J16" s="14">
        <v>0</v>
      </c>
      <c r="K16" s="14">
        <v>0</v>
      </c>
      <c r="L16" s="14">
        <v>1112</v>
      </c>
      <c r="M16" s="14">
        <v>1564</v>
      </c>
      <c r="N16" s="14">
        <v>950</v>
      </c>
      <c r="O16" s="14">
        <v>2168</v>
      </c>
      <c r="P16" s="14">
        <v>1156</v>
      </c>
      <c r="Q16" s="14">
        <v>0</v>
      </c>
      <c r="R16" s="14">
        <v>0</v>
      </c>
    </row>
    <row r="21" spans="1:18">
      <c r="A21" s="2" t="s">
        <v>0</v>
      </c>
      <c r="B21" s="14" t="s">
        <v>1215</v>
      </c>
      <c r="C21" s="14" t="s">
        <v>1216</v>
      </c>
      <c r="D21" s="14" t="s">
        <v>1217</v>
      </c>
      <c r="E21" s="14" t="s">
        <v>1218</v>
      </c>
      <c r="F21" s="14" t="s">
        <v>1219</v>
      </c>
      <c r="G21" s="14" t="s">
        <v>1220</v>
      </c>
      <c r="H21" s="14" t="s">
        <v>1221</v>
      </c>
      <c r="I21" s="14" t="s">
        <v>1222</v>
      </c>
      <c r="J21" s="14" t="s">
        <v>1223</v>
      </c>
      <c r="K21" s="14" t="s">
        <v>1224</v>
      </c>
      <c r="L21" s="14" t="s">
        <v>1225</v>
      </c>
      <c r="M21" s="14" t="s">
        <v>1226</v>
      </c>
      <c r="N21" s="14" t="s">
        <v>1227</v>
      </c>
      <c r="O21" s="14" t="s">
        <v>1228</v>
      </c>
      <c r="P21" s="14" t="s">
        <v>1229</v>
      </c>
      <c r="Q21" s="14" t="s">
        <v>1230</v>
      </c>
      <c r="R21" s="14" t="s">
        <v>1231</v>
      </c>
    </row>
    <row r="22" spans="1:18">
      <c r="A22">
        <v>1232846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44</v>
      </c>
      <c r="O22" s="14">
        <v>0</v>
      </c>
      <c r="P22" s="14">
        <v>352</v>
      </c>
      <c r="Q22" s="14">
        <v>0</v>
      </c>
      <c r="R22" s="14">
        <v>0</v>
      </c>
    </row>
    <row r="23" spans="1:18">
      <c r="A23">
        <v>1232895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44</v>
      </c>
      <c r="O23" s="14">
        <v>0</v>
      </c>
      <c r="P23" s="14">
        <v>352</v>
      </c>
      <c r="Q23" s="14">
        <v>0</v>
      </c>
      <c r="R23" s="14">
        <v>0</v>
      </c>
    </row>
    <row r="24" spans="1:18">
      <c r="A24">
        <v>1233384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44</v>
      </c>
      <c r="O24" s="14">
        <v>0</v>
      </c>
      <c r="P24" s="14">
        <v>352</v>
      </c>
      <c r="Q24" s="14">
        <v>0</v>
      </c>
      <c r="R24" s="14">
        <v>0</v>
      </c>
    </row>
    <row r="25" spans="1:18">
      <c r="A25">
        <v>1236110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100</v>
      </c>
      <c r="N25" s="14">
        <v>200</v>
      </c>
      <c r="O25" s="14">
        <v>0</v>
      </c>
      <c r="P25" s="14">
        <v>0</v>
      </c>
      <c r="Q25" s="14">
        <v>0</v>
      </c>
      <c r="R25" s="14">
        <v>0</v>
      </c>
    </row>
    <row r="26" spans="1:18">
      <c r="A26">
        <v>1236387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110</v>
      </c>
      <c r="Q26" s="14">
        <v>0</v>
      </c>
      <c r="R26" s="14">
        <v>0</v>
      </c>
    </row>
    <row r="27" spans="1:18">
      <c r="A27">
        <v>1232775</v>
      </c>
      <c r="B27" s="14">
        <v>242</v>
      </c>
      <c r="C27" s="14">
        <v>0</v>
      </c>
      <c r="D27" s="14">
        <v>0</v>
      </c>
      <c r="E27" s="92">
        <v>0</v>
      </c>
      <c r="F27" s="92">
        <v>0</v>
      </c>
      <c r="G27" s="92">
        <v>0</v>
      </c>
      <c r="H27" s="92">
        <v>159</v>
      </c>
      <c r="I27" s="92">
        <v>484</v>
      </c>
      <c r="J27" s="14">
        <v>0</v>
      </c>
      <c r="K27" s="14">
        <v>0</v>
      </c>
      <c r="L27" s="14">
        <v>487</v>
      </c>
      <c r="M27" s="14">
        <v>487</v>
      </c>
      <c r="N27" s="14">
        <v>275</v>
      </c>
      <c r="O27" s="14">
        <v>0</v>
      </c>
      <c r="P27" s="14">
        <v>0</v>
      </c>
      <c r="Q27" s="14">
        <v>0</v>
      </c>
      <c r="R27" s="14">
        <v>0</v>
      </c>
    </row>
    <row r="28" spans="1:18">
      <c r="A28">
        <v>1230685</v>
      </c>
      <c r="B28" s="14">
        <v>0</v>
      </c>
      <c r="C28" s="14">
        <v>0</v>
      </c>
      <c r="D28" s="14">
        <v>0</v>
      </c>
      <c r="E28" s="92">
        <v>0</v>
      </c>
      <c r="F28" s="92">
        <v>0</v>
      </c>
      <c r="G28" s="92">
        <v>0</v>
      </c>
      <c r="H28" s="92">
        <v>0</v>
      </c>
      <c r="I28" s="92">
        <v>0</v>
      </c>
      <c r="J28" s="14">
        <v>0</v>
      </c>
      <c r="K28" s="14">
        <v>0</v>
      </c>
      <c r="L28" s="14">
        <v>0</v>
      </c>
      <c r="M28" s="14">
        <v>0</v>
      </c>
      <c r="N28" s="14">
        <v>183</v>
      </c>
      <c r="O28" s="14">
        <v>0</v>
      </c>
      <c r="P28" s="14">
        <v>217</v>
      </c>
      <c r="Q28" s="14">
        <v>0</v>
      </c>
      <c r="R28" s="14">
        <v>0</v>
      </c>
    </row>
    <row r="29" spans="1:18">
      <c r="A29">
        <v>1238605</v>
      </c>
      <c r="B29" s="14">
        <v>0</v>
      </c>
      <c r="C29" s="14">
        <v>0</v>
      </c>
      <c r="D29" s="14">
        <v>0</v>
      </c>
      <c r="E29" s="92">
        <v>175</v>
      </c>
      <c r="F29" s="92">
        <v>190</v>
      </c>
      <c r="G29" s="92">
        <v>187</v>
      </c>
      <c r="H29" s="92">
        <v>58</v>
      </c>
      <c r="I29" s="92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</row>
    <row r="34" spans="1:18">
      <c r="A34" s="2" t="s">
        <v>0</v>
      </c>
      <c r="B34" s="14" t="s">
        <v>1215</v>
      </c>
      <c r="C34" s="14" t="s">
        <v>1216</v>
      </c>
      <c r="D34" s="14" t="s">
        <v>1217</v>
      </c>
      <c r="E34" s="14" t="s">
        <v>1218</v>
      </c>
      <c r="F34" s="14" t="s">
        <v>1219</v>
      </c>
      <c r="G34" s="14" t="s">
        <v>1220</v>
      </c>
      <c r="H34" s="14" t="s">
        <v>1221</v>
      </c>
      <c r="I34" s="14" t="s">
        <v>1222</v>
      </c>
      <c r="J34" s="14" t="s">
        <v>1223</v>
      </c>
      <c r="K34" s="14" t="s">
        <v>1224</v>
      </c>
      <c r="L34" s="14" t="s">
        <v>1225</v>
      </c>
      <c r="M34" s="14" t="s">
        <v>1226</v>
      </c>
      <c r="N34" s="14" t="s">
        <v>1227</v>
      </c>
      <c r="O34" s="14" t="s">
        <v>1228</v>
      </c>
      <c r="P34" s="14" t="s">
        <v>1229</v>
      </c>
      <c r="Q34" s="14" t="s">
        <v>1230</v>
      </c>
      <c r="R34" s="14" t="s">
        <v>1231</v>
      </c>
    </row>
    <row r="35" spans="1:18">
      <c r="A35">
        <v>1221967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225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</row>
    <row r="36" spans="1:18">
      <c r="A36">
        <v>1234614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285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</row>
    <row r="37" spans="1:18">
      <c r="A37">
        <v>1227306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230</v>
      </c>
      <c r="H37" s="16">
        <v>487</v>
      </c>
      <c r="I37" s="14">
        <v>118</v>
      </c>
      <c r="J37" s="14">
        <v>0</v>
      </c>
      <c r="K37" s="14">
        <v>0</v>
      </c>
      <c r="L37" s="14">
        <v>41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</row>
    <row r="38" spans="1:18">
      <c r="A38">
        <v>1231090</v>
      </c>
      <c r="B38" s="14">
        <v>0</v>
      </c>
      <c r="C38" s="14">
        <v>0</v>
      </c>
      <c r="D38" s="14">
        <v>0</v>
      </c>
      <c r="E38" s="14">
        <v>0</v>
      </c>
      <c r="F38" s="14">
        <v>343</v>
      </c>
      <c r="G38" s="16">
        <v>199</v>
      </c>
      <c r="H38" s="14">
        <v>0</v>
      </c>
      <c r="I38" s="14">
        <v>115</v>
      </c>
      <c r="J38" s="14">
        <v>0</v>
      </c>
      <c r="K38" s="14">
        <v>0</v>
      </c>
      <c r="L38" s="14">
        <v>65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</row>
    <row r="39" spans="1:18">
      <c r="A39">
        <v>1229776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115</v>
      </c>
      <c r="J39" s="14">
        <v>0</v>
      </c>
      <c r="K39" s="14">
        <v>0</v>
      </c>
      <c r="L39" s="14">
        <v>65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</row>
    <row r="40" spans="1:18">
      <c r="A40">
        <v>1231797</v>
      </c>
      <c r="B40" s="14">
        <v>0</v>
      </c>
      <c r="C40" s="14">
        <v>0</v>
      </c>
      <c r="D40" s="14">
        <v>0</v>
      </c>
      <c r="E40" s="14">
        <v>0</v>
      </c>
      <c r="F40" s="14">
        <v>35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</row>
    <row r="41" spans="1:18">
      <c r="A41">
        <v>1232693</v>
      </c>
      <c r="B41" s="14">
        <v>0</v>
      </c>
      <c r="C41" s="14">
        <v>0</v>
      </c>
      <c r="D41" s="14">
        <v>0</v>
      </c>
      <c r="E41" s="14">
        <v>0</v>
      </c>
      <c r="F41" s="14">
        <v>5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</row>
    <row r="42" spans="1:18">
      <c r="A42">
        <v>1233025</v>
      </c>
      <c r="B42" s="14">
        <v>0</v>
      </c>
      <c r="C42" s="14">
        <v>0</v>
      </c>
      <c r="D42" s="14">
        <v>0</v>
      </c>
      <c r="E42" s="14">
        <v>0</v>
      </c>
      <c r="F42" s="14">
        <v>5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</row>
    <row r="43" spans="1:18">
      <c r="A43">
        <v>1234222</v>
      </c>
      <c r="B43" s="14">
        <v>120</v>
      </c>
      <c r="C43" s="14">
        <v>0</v>
      </c>
      <c r="D43" s="14">
        <v>0</v>
      </c>
      <c r="E43" s="14">
        <v>592</v>
      </c>
      <c r="F43" s="14">
        <v>348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</row>
    <row r="44" spans="1:18">
      <c r="A44">
        <v>1232528</v>
      </c>
      <c r="B44" s="14">
        <v>440</v>
      </c>
      <c r="C44" s="14">
        <v>0</v>
      </c>
      <c r="D44" s="14">
        <v>0</v>
      </c>
      <c r="E44" s="14">
        <v>904</v>
      </c>
      <c r="F44" s="14">
        <v>746</v>
      </c>
      <c r="G44" s="16">
        <v>539</v>
      </c>
      <c r="H44" s="16">
        <v>686</v>
      </c>
      <c r="I44" s="14">
        <v>740</v>
      </c>
      <c r="J44" s="14">
        <v>0</v>
      </c>
      <c r="K44" s="14">
        <v>0</v>
      </c>
      <c r="L44" s="14">
        <v>1018</v>
      </c>
      <c r="M44" s="14">
        <v>534</v>
      </c>
      <c r="N44" s="14">
        <v>1160</v>
      </c>
      <c r="O44" s="14">
        <v>1685</v>
      </c>
      <c r="P44" s="14">
        <v>1070</v>
      </c>
      <c r="Q44" s="14">
        <v>0</v>
      </c>
      <c r="R44" s="14">
        <v>0</v>
      </c>
    </row>
    <row r="45" spans="1:18">
      <c r="A45">
        <v>1232846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608</v>
      </c>
      <c r="N45" s="14">
        <v>253</v>
      </c>
      <c r="O45" s="14">
        <v>728</v>
      </c>
      <c r="P45" s="14">
        <v>0</v>
      </c>
      <c r="Q45" s="14">
        <v>0</v>
      </c>
      <c r="R45" s="14">
        <v>0</v>
      </c>
    </row>
    <row r="46" spans="1:18">
      <c r="A46">
        <v>1220847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100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</row>
    <row r="47" spans="1:18">
      <c r="A47">
        <v>1235845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484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</row>
    <row r="48" spans="1:18">
      <c r="A48">
        <v>1235097</v>
      </c>
      <c r="B48" s="14">
        <v>0</v>
      </c>
      <c r="C48" s="14">
        <v>0</v>
      </c>
      <c r="D48" s="14">
        <v>0</v>
      </c>
      <c r="E48" s="14">
        <v>0</v>
      </c>
      <c r="F48" s="14">
        <v>200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100</v>
      </c>
      <c r="P48" s="14">
        <v>300</v>
      </c>
      <c r="Q48" s="14">
        <v>0</v>
      </c>
      <c r="R48" s="14">
        <v>0</v>
      </c>
    </row>
    <row r="49" spans="1:18">
      <c r="A49">
        <v>1236600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6">
        <v>150</v>
      </c>
      <c r="H49" s="14">
        <v>533</v>
      </c>
      <c r="I49" s="14">
        <v>316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</row>
    <row r="50" spans="1:18">
      <c r="A50">
        <v>1236601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93</v>
      </c>
      <c r="J50" s="14">
        <v>0</v>
      </c>
      <c r="K50" s="14">
        <v>0</v>
      </c>
      <c r="L50" s="14">
        <v>50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</row>
    <row r="51" spans="1:18">
      <c r="A51">
        <v>1236619</v>
      </c>
      <c r="B51" s="14">
        <v>0</v>
      </c>
      <c r="C51" s="14">
        <v>0</v>
      </c>
      <c r="D51" s="14">
        <v>0</v>
      </c>
      <c r="E51" s="14">
        <v>0</v>
      </c>
      <c r="F51" s="14">
        <v>90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</row>
    <row r="52" spans="1:18">
      <c r="A52">
        <v>1236930</v>
      </c>
      <c r="B52" s="14">
        <v>509</v>
      </c>
      <c r="C52" s="14">
        <v>0</v>
      </c>
      <c r="D52" s="14">
        <v>0</v>
      </c>
      <c r="E52" s="14">
        <v>481</v>
      </c>
      <c r="F52" s="14">
        <v>398</v>
      </c>
      <c r="G52" s="14">
        <v>158</v>
      </c>
      <c r="H52" s="16">
        <v>170</v>
      </c>
      <c r="I52" s="14">
        <v>266</v>
      </c>
      <c r="J52" s="14">
        <v>0</v>
      </c>
      <c r="K52" s="14">
        <v>0</v>
      </c>
      <c r="L52" s="14">
        <v>300</v>
      </c>
      <c r="M52" s="14">
        <v>514</v>
      </c>
      <c r="N52" s="14">
        <v>300</v>
      </c>
      <c r="O52" s="14">
        <v>300</v>
      </c>
      <c r="P52" s="14">
        <v>0</v>
      </c>
      <c r="Q52" s="14">
        <v>0</v>
      </c>
      <c r="R52" s="14">
        <v>0</v>
      </c>
    </row>
    <row r="53" spans="1:18">
      <c r="A53">
        <v>1237210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6">
        <v>161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</row>
    <row r="54" spans="1:18">
      <c r="A54">
        <v>1237457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18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</row>
    <row r="55" spans="1:18">
      <c r="A55">
        <v>1237386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150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</row>
    <row r="56" spans="1:18">
      <c r="A56">
        <v>1234905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450</v>
      </c>
      <c r="M56" s="14">
        <v>700</v>
      </c>
      <c r="N56" s="14">
        <v>300</v>
      </c>
      <c r="O56" s="14">
        <v>400</v>
      </c>
      <c r="P56" s="14">
        <v>0</v>
      </c>
      <c r="Q56" s="14">
        <v>0</v>
      </c>
      <c r="R56" s="14">
        <v>0</v>
      </c>
    </row>
    <row r="57" spans="1:18">
      <c r="A57">
        <v>1238480</v>
      </c>
      <c r="B57" s="14">
        <v>969</v>
      </c>
      <c r="C57" s="14">
        <v>0</v>
      </c>
      <c r="D57" s="14">
        <v>0</v>
      </c>
      <c r="E57" s="14">
        <v>807</v>
      </c>
      <c r="F57" s="14">
        <v>1170</v>
      </c>
      <c r="G57" s="16">
        <v>853</v>
      </c>
      <c r="H57" s="14">
        <v>1169</v>
      </c>
      <c r="I57" s="14">
        <v>689</v>
      </c>
      <c r="J57" s="14">
        <v>0</v>
      </c>
      <c r="K57" s="14">
        <v>0</v>
      </c>
      <c r="L57" s="14">
        <v>350</v>
      </c>
      <c r="M57" s="14">
        <v>872</v>
      </c>
      <c r="N57" s="14">
        <v>693</v>
      </c>
      <c r="O57" s="14">
        <v>801</v>
      </c>
      <c r="P57" s="14">
        <v>623</v>
      </c>
      <c r="Q57" s="14">
        <v>0</v>
      </c>
      <c r="R57" s="14">
        <v>0</v>
      </c>
    </row>
    <row r="58" spans="1:18">
      <c r="A58">
        <v>1232775</v>
      </c>
      <c r="B58" s="14">
        <v>0</v>
      </c>
      <c r="C58" s="14">
        <v>0</v>
      </c>
      <c r="D58" s="14">
        <v>0</v>
      </c>
      <c r="E58" s="14">
        <v>0</v>
      </c>
      <c r="F58" s="14">
        <v>241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</row>
    <row r="59" spans="1:18">
      <c r="A59">
        <v>1240180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93</v>
      </c>
      <c r="H59" s="16">
        <v>157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300</v>
      </c>
      <c r="Q59" s="14">
        <v>0</v>
      </c>
      <c r="R59" s="14">
        <v>0</v>
      </c>
    </row>
    <row r="60" spans="1:18">
      <c r="A60">
        <v>1240184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93</v>
      </c>
      <c r="H60" s="16">
        <v>157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300</v>
      </c>
      <c r="Q60" s="14">
        <v>0</v>
      </c>
      <c r="R60" s="14">
        <v>0</v>
      </c>
    </row>
    <row r="61" spans="1:18">
      <c r="A61">
        <v>1231011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300</v>
      </c>
      <c r="O61" s="14">
        <v>0</v>
      </c>
      <c r="P61" s="14">
        <v>0</v>
      </c>
      <c r="Q61" s="14">
        <v>0</v>
      </c>
      <c r="R61" s="14">
        <v>0</v>
      </c>
    </row>
    <row r="62" spans="1:18">
      <c r="A62">
        <v>1232894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608</v>
      </c>
      <c r="N62" s="14">
        <v>253</v>
      </c>
      <c r="O62" s="14">
        <v>728</v>
      </c>
      <c r="P62" s="14">
        <v>0</v>
      </c>
      <c r="Q62" s="14">
        <v>0</v>
      </c>
      <c r="R62" s="14">
        <v>0</v>
      </c>
    </row>
    <row r="63" spans="1:18">
      <c r="A63">
        <v>1233386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608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</row>
    <row r="64" spans="1:18">
      <c r="A64">
        <v>1233387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728</v>
      </c>
      <c r="P64" s="14">
        <v>0</v>
      </c>
      <c r="Q64" s="14">
        <v>0</v>
      </c>
      <c r="R64" s="14">
        <v>0</v>
      </c>
    </row>
    <row r="65" spans="1:18">
      <c r="A65">
        <v>1233385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253</v>
      </c>
      <c r="O65" s="14">
        <v>0</v>
      </c>
      <c r="P65" s="14">
        <v>0</v>
      </c>
      <c r="Q65" s="14">
        <v>0</v>
      </c>
      <c r="R65" s="14">
        <v>0</v>
      </c>
    </row>
    <row r="66" spans="1:18">
      <c r="A66">
        <v>1238092</v>
      </c>
      <c r="B66" s="14">
        <v>49</v>
      </c>
      <c r="C66" s="14">
        <v>0</v>
      </c>
      <c r="D66" s="14">
        <v>0</v>
      </c>
      <c r="E66" s="14">
        <v>95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</row>
  </sheetData>
  <autoFilter ref="A1:R16" xr:uid="{40C27973-D7D2-46E8-97C5-9152403E932A}"/>
  <phoneticPr fontId="1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932E-0D04-4976-8CE2-185DA73167D9}">
  <dimension ref="A1:O63"/>
  <sheetViews>
    <sheetView zoomScale="160" zoomScaleNormal="160" workbookViewId="0">
      <selection activeCell="I8" sqref="I8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4" width="9.5" style="9" customWidth="1"/>
    <col min="15" max="15" width="9.5" style="9" bestFit="1" customWidth="1"/>
    <col min="16" max="16384" width="9.33203125" style="5"/>
  </cols>
  <sheetData>
    <row r="1" spans="1:15">
      <c r="A1" s="5" t="s">
        <v>0</v>
      </c>
      <c r="B1" s="9" t="s">
        <v>1145</v>
      </c>
      <c r="C1" s="9" t="s">
        <v>1146</v>
      </c>
      <c r="D1" s="9" t="s">
        <v>1147</v>
      </c>
      <c r="E1" s="18" t="s">
        <v>1148</v>
      </c>
      <c r="F1" s="9" t="s">
        <v>1149</v>
      </c>
      <c r="G1" s="9" t="s">
        <v>1150</v>
      </c>
      <c r="H1" s="9" t="s">
        <v>1151</v>
      </c>
      <c r="I1" s="9" t="s">
        <v>1198</v>
      </c>
      <c r="J1" s="9" t="s">
        <v>1200</v>
      </c>
      <c r="K1" s="9" t="s">
        <v>1202</v>
      </c>
      <c r="L1" s="9" t="s">
        <v>1204</v>
      </c>
      <c r="M1" s="9" t="s">
        <v>1206</v>
      </c>
      <c r="N1" s="9" t="s">
        <v>1208</v>
      </c>
      <c r="O1" s="9" t="s">
        <v>1210</v>
      </c>
    </row>
    <row r="2" spans="1:15">
      <c r="A2" s="5">
        <v>1229673</v>
      </c>
      <c r="B2" s="9">
        <v>300</v>
      </c>
      <c r="C2" s="9">
        <v>300</v>
      </c>
      <c r="D2" s="9">
        <v>300</v>
      </c>
      <c r="E2" s="18">
        <v>300</v>
      </c>
      <c r="F2" s="9">
        <v>300</v>
      </c>
      <c r="G2" s="9">
        <v>0</v>
      </c>
      <c r="H2" s="9">
        <v>0</v>
      </c>
      <c r="I2" s="9">
        <v>250</v>
      </c>
      <c r="J2" s="9">
        <v>250</v>
      </c>
      <c r="K2" s="9">
        <v>250</v>
      </c>
      <c r="L2" s="9">
        <v>300</v>
      </c>
      <c r="M2" s="9">
        <v>300</v>
      </c>
      <c r="N2" s="9">
        <v>0</v>
      </c>
      <c r="O2" s="9">
        <v>0</v>
      </c>
    </row>
    <row r="3" spans="1:15">
      <c r="A3" s="5">
        <v>1230854</v>
      </c>
      <c r="B3" s="9">
        <v>0</v>
      </c>
      <c r="C3" s="9">
        <v>0</v>
      </c>
      <c r="D3" s="9">
        <v>0</v>
      </c>
      <c r="E3" s="9">
        <v>0</v>
      </c>
      <c r="F3" s="9">
        <v>100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>
      <c r="A4" s="5">
        <v>1235623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508</v>
      </c>
      <c r="J4" s="9">
        <v>960</v>
      </c>
      <c r="K4" s="9">
        <v>404</v>
      </c>
      <c r="L4" s="9">
        <v>0</v>
      </c>
      <c r="M4" s="9">
        <v>0</v>
      </c>
      <c r="N4" s="9">
        <v>0</v>
      </c>
      <c r="O4" s="9">
        <v>0</v>
      </c>
    </row>
    <row r="5" spans="1:15">
      <c r="A5" s="5">
        <v>1237088</v>
      </c>
      <c r="B5" s="9">
        <v>436</v>
      </c>
      <c r="C5" s="9">
        <v>158</v>
      </c>
      <c r="D5" s="9">
        <v>676</v>
      </c>
      <c r="E5" s="18">
        <v>466</v>
      </c>
      <c r="F5" s="9">
        <v>308</v>
      </c>
      <c r="G5" s="9">
        <v>0</v>
      </c>
      <c r="H5" s="9">
        <v>0</v>
      </c>
      <c r="I5" s="9">
        <v>574</v>
      </c>
      <c r="J5" s="9">
        <v>868</v>
      </c>
      <c r="K5" s="9">
        <v>908</v>
      </c>
      <c r="L5" s="9">
        <v>542</v>
      </c>
      <c r="M5" s="9">
        <v>178</v>
      </c>
      <c r="N5" s="9">
        <v>0</v>
      </c>
      <c r="O5" s="9">
        <v>0</v>
      </c>
    </row>
    <row r="6" spans="1:15">
      <c r="A6" s="5">
        <v>1236091</v>
      </c>
      <c r="B6" s="9">
        <v>0</v>
      </c>
      <c r="C6" s="9">
        <v>0</v>
      </c>
      <c r="D6" s="9">
        <v>0</v>
      </c>
      <c r="E6" s="18">
        <v>300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</row>
    <row r="7" spans="1:15">
      <c r="A7" s="5">
        <v>1234905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566</v>
      </c>
      <c r="N7" s="9">
        <v>0</v>
      </c>
      <c r="O7" s="9">
        <v>0</v>
      </c>
    </row>
    <row r="8" spans="1:15">
      <c r="A8" s="5">
        <v>1237748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104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</row>
    <row r="9" spans="1:15">
      <c r="A9" s="5">
        <v>1238128</v>
      </c>
      <c r="B9" s="9">
        <v>464</v>
      </c>
      <c r="C9" s="9">
        <v>84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</row>
    <row r="10" spans="1:15">
      <c r="A10" s="5">
        <v>1236962</v>
      </c>
      <c r="B10" s="9">
        <v>300</v>
      </c>
      <c r="C10" s="9">
        <v>300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200</v>
      </c>
      <c r="J10" s="9">
        <v>0</v>
      </c>
      <c r="K10" s="9">
        <v>0</v>
      </c>
      <c r="L10" s="9">
        <v>308</v>
      </c>
      <c r="M10" s="9">
        <v>200</v>
      </c>
      <c r="N10" s="9">
        <v>0</v>
      </c>
      <c r="O10" s="9">
        <v>0</v>
      </c>
    </row>
    <row r="11" spans="1:15">
      <c r="A11" s="5">
        <v>1233761</v>
      </c>
      <c r="B11" s="9">
        <v>0</v>
      </c>
      <c r="C11" s="9">
        <v>0</v>
      </c>
      <c r="D11" s="9">
        <v>150</v>
      </c>
      <c r="E11" s="9">
        <v>0</v>
      </c>
      <c r="F11" s="9">
        <v>200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</row>
    <row r="12" spans="1:15">
      <c r="A12" s="5">
        <v>1239651</v>
      </c>
      <c r="B12" s="9">
        <v>100</v>
      </c>
      <c r="C12" s="9">
        <v>0</v>
      </c>
      <c r="D12" s="9">
        <v>0</v>
      </c>
      <c r="E12" s="18">
        <v>400</v>
      </c>
      <c r="F12" s="9">
        <v>0</v>
      </c>
      <c r="G12" s="9">
        <v>0</v>
      </c>
      <c r="H12" s="9">
        <v>0</v>
      </c>
      <c r="I12" s="9">
        <v>0</v>
      </c>
      <c r="J12" s="9">
        <v>300</v>
      </c>
      <c r="K12" s="9">
        <v>0</v>
      </c>
      <c r="L12" s="9">
        <v>150</v>
      </c>
      <c r="M12" s="9">
        <v>0</v>
      </c>
      <c r="N12" s="9">
        <v>0</v>
      </c>
      <c r="O12" s="9">
        <v>0</v>
      </c>
    </row>
    <row r="13" spans="1:15">
      <c r="A13" s="5">
        <v>1240180</v>
      </c>
      <c r="B13" s="9">
        <v>306</v>
      </c>
      <c r="C13" s="9">
        <v>390</v>
      </c>
      <c r="D13" s="9">
        <v>306</v>
      </c>
      <c r="E13" s="18">
        <v>390</v>
      </c>
      <c r="F13" s="9">
        <v>306</v>
      </c>
      <c r="G13" s="9">
        <v>0</v>
      </c>
      <c r="H13" s="9">
        <v>0</v>
      </c>
      <c r="I13" s="9">
        <v>338</v>
      </c>
      <c r="J13" s="9">
        <v>430</v>
      </c>
      <c r="K13" s="9">
        <v>338</v>
      </c>
      <c r="L13" s="9">
        <v>420</v>
      </c>
      <c r="M13" s="9">
        <v>0</v>
      </c>
      <c r="N13" s="9">
        <v>0</v>
      </c>
      <c r="O13" s="9">
        <v>0</v>
      </c>
    </row>
    <row r="14" spans="1:15">
      <c r="A14" s="5">
        <v>1240184</v>
      </c>
      <c r="B14" s="9">
        <v>306</v>
      </c>
      <c r="C14" s="9">
        <v>390</v>
      </c>
      <c r="D14" s="9">
        <v>306</v>
      </c>
      <c r="E14" s="18">
        <v>390</v>
      </c>
      <c r="F14" s="9">
        <v>306</v>
      </c>
      <c r="G14" s="9">
        <v>0</v>
      </c>
      <c r="H14" s="9">
        <v>0</v>
      </c>
      <c r="I14" s="9">
        <v>338</v>
      </c>
      <c r="J14" s="9">
        <v>296</v>
      </c>
      <c r="K14" s="9">
        <v>338</v>
      </c>
      <c r="L14" s="9">
        <v>420</v>
      </c>
      <c r="M14" s="9">
        <v>0</v>
      </c>
      <c r="N14" s="9">
        <v>0</v>
      </c>
      <c r="O14" s="9">
        <v>0</v>
      </c>
    </row>
    <row r="15" spans="1:15">
      <c r="A15" s="5">
        <v>1240308</v>
      </c>
      <c r="B15" s="9">
        <v>0</v>
      </c>
      <c r="C15" s="9">
        <v>350</v>
      </c>
      <c r="D15" s="9">
        <v>0</v>
      </c>
      <c r="E15" s="9">
        <v>0</v>
      </c>
      <c r="F15" s="9">
        <v>94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100</v>
      </c>
      <c r="M15" s="9">
        <v>0</v>
      </c>
      <c r="N15" s="9">
        <v>0</v>
      </c>
      <c r="O15" s="9">
        <v>0</v>
      </c>
    </row>
    <row r="16" spans="1:15">
      <c r="A16" s="5">
        <v>1241601</v>
      </c>
      <c r="B16" s="9">
        <v>1084</v>
      </c>
      <c r="C16" s="9">
        <v>1380</v>
      </c>
      <c r="D16" s="9">
        <v>1352</v>
      </c>
      <c r="E16" s="18">
        <v>1704</v>
      </c>
      <c r="F16" s="9">
        <v>1112</v>
      </c>
      <c r="G16" s="9">
        <v>0</v>
      </c>
      <c r="H16" s="9">
        <v>0</v>
      </c>
      <c r="I16" s="9">
        <v>1112</v>
      </c>
      <c r="J16" s="9">
        <v>1564</v>
      </c>
      <c r="K16" s="9">
        <v>950</v>
      </c>
      <c r="L16" s="9">
        <v>2168</v>
      </c>
      <c r="M16" s="9">
        <v>1156</v>
      </c>
      <c r="N16" s="9">
        <v>0</v>
      </c>
      <c r="O16" s="9">
        <v>0</v>
      </c>
    </row>
    <row r="20" spans="1:15">
      <c r="A20" s="5" t="s">
        <v>0</v>
      </c>
      <c r="B20" s="9" t="s">
        <v>1145</v>
      </c>
      <c r="C20" s="9" t="s">
        <v>1146</v>
      </c>
      <c r="D20" s="9" t="s">
        <v>1147</v>
      </c>
      <c r="E20" s="9" t="s">
        <v>1148</v>
      </c>
      <c r="F20" s="9" t="s">
        <v>1149</v>
      </c>
      <c r="G20" s="9" t="s">
        <v>1150</v>
      </c>
      <c r="H20" s="9" t="s">
        <v>1151</v>
      </c>
      <c r="I20" s="9" t="s">
        <v>1198</v>
      </c>
      <c r="J20" s="9" t="s">
        <v>1200</v>
      </c>
      <c r="K20" s="9" t="s">
        <v>1202</v>
      </c>
      <c r="L20" s="9" t="s">
        <v>1204</v>
      </c>
      <c r="M20" s="9" t="s">
        <v>1206</v>
      </c>
      <c r="N20" s="9" t="s">
        <v>1208</v>
      </c>
      <c r="O20" s="9" t="s">
        <v>1210</v>
      </c>
    </row>
    <row r="21" spans="1:15">
      <c r="A21" s="5">
        <v>1232846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44</v>
      </c>
      <c r="L21" s="9">
        <v>0</v>
      </c>
      <c r="M21" s="9">
        <v>352</v>
      </c>
      <c r="N21" s="9">
        <v>0</v>
      </c>
      <c r="O21" s="9">
        <v>0</v>
      </c>
    </row>
    <row r="22" spans="1:15">
      <c r="A22" s="5">
        <v>1232895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44</v>
      </c>
      <c r="L22" s="9">
        <v>0</v>
      </c>
      <c r="M22" s="9">
        <v>352</v>
      </c>
      <c r="N22" s="9">
        <v>0</v>
      </c>
      <c r="O22" s="9">
        <v>0</v>
      </c>
    </row>
    <row r="23" spans="1:15">
      <c r="A23" s="5">
        <v>1233384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44</v>
      </c>
      <c r="L23" s="9">
        <v>0</v>
      </c>
      <c r="M23" s="9">
        <v>352</v>
      </c>
      <c r="N23" s="9">
        <v>0</v>
      </c>
      <c r="O23" s="9">
        <v>0</v>
      </c>
    </row>
    <row r="24" spans="1:15">
      <c r="A24" s="5">
        <v>1236110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100</v>
      </c>
      <c r="K24" s="9">
        <v>200</v>
      </c>
      <c r="L24" s="9">
        <v>0</v>
      </c>
      <c r="M24" s="9">
        <v>0</v>
      </c>
      <c r="N24" s="9">
        <v>0</v>
      </c>
      <c r="O24" s="9">
        <v>0</v>
      </c>
    </row>
    <row r="25" spans="1:15">
      <c r="A25" s="5">
        <v>1236387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110</v>
      </c>
      <c r="N25" s="9">
        <v>0</v>
      </c>
      <c r="O25" s="9">
        <v>0</v>
      </c>
    </row>
    <row r="26" spans="1:15">
      <c r="A26" s="5">
        <v>1232775</v>
      </c>
      <c r="B26" s="9">
        <v>0</v>
      </c>
      <c r="C26" s="9">
        <v>0</v>
      </c>
      <c r="D26" s="9">
        <v>0</v>
      </c>
      <c r="E26" s="98">
        <v>159</v>
      </c>
      <c r="F26" s="98">
        <v>484</v>
      </c>
      <c r="G26" s="9">
        <v>0</v>
      </c>
      <c r="H26" s="9">
        <v>0</v>
      </c>
      <c r="I26" s="9">
        <v>487</v>
      </c>
      <c r="J26" s="9">
        <v>487</v>
      </c>
      <c r="K26" s="9">
        <v>275</v>
      </c>
      <c r="L26" s="9">
        <v>0</v>
      </c>
      <c r="M26" s="9">
        <v>0</v>
      </c>
      <c r="N26" s="9">
        <v>0</v>
      </c>
      <c r="O26" s="9">
        <v>0</v>
      </c>
    </row>
    <row r="27" spans="1:15">
      <c r="A27" s="5">
        <v>1230685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183</v>
      </c>
      <c r="L27" s="9">
        <v>0</v>
      </c>
      <c r="M27" s="9">
        <v>217</v>
      </c>
      <c r="N27" s="9">
        <v>0</v>
      </c>
      <c r="O27" s="9">
        <v>0</v>
      </c>
    </row>
    <row r="28" spans="1:15">
      <c r="A28" s="5">
        <v>1238605</v>
      </c>
      <c r="B28" s="9">
        <v>175</v>
      </c>
      <c r="C28" s="98">
        <v>190</v>
      </c>
      <c r="D28" s="98">
        <v>187</v>
      </c>
      <c r="E28" s="98">
        <v>58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31" spans="1:15">
      <c r="A31" s="5" t="s">
        <v>0</v>
      </c>
      <c r="B31" s="9" t="s">
        <v>1145</v>
      </c>
      <c r="C31" s="9" t="s">
        <v>1146</v>
      </c>
      <c r="D31" s="9" t="s">
        <v>1147</v>
      </c>
      <c r="E31" s="9" t="s">
        <v>1148</v>
      </c>
      <c r="F31" s="9" t="s">
        <v>1149</v>
      </c>
      <c r="G31" s="9" t="s">
        <v>1150</v>
      </c>
      <c r="H31" s="9" t="s">
        <v>1151</v>
      </c>
      <c r="I31" s="9" t="s">
        <v>1198</v>
      </c>
      <c r="J31" s="9" t="s">
        <v>1200</v>
      </c>
      <c r="K31" s="9" t="s">
        <v>1202</v>
      </c>
      <c r="L31" s="9" t="s">
        <v>1204</v>
      </c>
      <c r="M31" s="9" t="s">
        <v>1206</v>
      </c>
      <c r="N31" s="9" t="s">
        <v>1208</v>
      </c>
      <c r="O31" s="9" t="s">
        <v>1210</v>
      </c>
    </row>
    <row r="32" spans="1:15">
      <c r="A32" s="5">
        <v>1221967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225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</row>
    <row r="33" spans="1:15">
      <c r="A33" s="5">
        <v>1234614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285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>
      <c r="A34" s="5">
        <v>1227306</v>
      </c>
      <c r="B34" s="9">
        <v>0</v>
      </c>
      <c r="C34" s="9">
        <v>0</v>
      </c>
      <c r="D34" s="9">
        <v>230</v>
      </c>
      <c r="E34" s="9">
        <v>487</v>
      </c>
      <c r="F34" s="9">
        <v>118</v>
      </c>
      <c r="G34" s="9">
        <v>0</v>
      </c>
      <c r="H34" s="9">
        <v>0</v>
      </c>
      <c r="I34" s="9">
        <v>41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</row>
    <row r="35" spans="1:15">
      <c r="A35" s="5">
        <v>1231797</v>
      </c>
      <c r="B35" s="9">
        <v>0</v>
      </c>
      <c r="C35" s="9">
        <v>35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>
      <c r="A36" s="5">
        <v>1229776</v>
      </c>
      <c r="B36" s="9">
        <v>0</v>
      </c>
      <c r="C36" s="9">
        <v>0</v>
      </c>
      <c r="D36" s="9">
        <v>0</v>
      </c>
      <c r="E36" s="9">
        <v>0</v>
      </c>
      <c r="F36" s="9">
        <v>115</v>
      </c>
      <c r="G36" s="9">
        <v>0</v>
      </c>
      <c r="H36" s="9">
        <v>0</v>
      </c>
      <c r="I36" s="9">
        <v>65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>
      <c r="A37" s="5">
        <v>1231090</v>
      </c>
      <c r="B37" s="9">
        <v>0</v>
      </c>
      <c r="C37" s="9">
        <v>343</v>
      </c>
      <c r="D37" s="9">
        <v>199</v>
      </c>
      <c r="E37" s="9">
        <v>0</v>
      </c>
      <c r="F37" s="9">
        <v>115</v>
      </c>
      <c r="G37" s="9">
        <v>0</v>
      </c>
      <c r="H37" s="9">
        <v>0</v>
      </c>
      <c r="I37" s="9">
        <v>65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>
      <c r="A38" s="5">
        <v>1232693</v>
      </c>
      <c r="B38" s="9">
        <v>0</v>
      </c>
      <c r="C38" s="9">
        <v>5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>
      <c r="A39" s="5">
        <v>1233025</v>
      </c>
      <c r="B39" s="9">
        <v>0</v>
      </c>
      <c r="C39" s="9">
        <v>5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>
      <c r="A40" s="5">
        <v>1234222</v>
      </c>
      <c r="B40" s="9">
        <v>500</v>
      </c>
      <c r="C40" s="9">
        <v>440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>
      <c r="A41" s="5">
        <v>1232528</v>
      </c>
      <c r="B41" s="9">
        <v>737</v>
      </c>
      <c r="C41" s="9">
        <v>746</v>
      </c>
      <c r="D41" s="9">
        <v>539</v>
      </c>
      <c r="E41" s="9">
        <v>686</v>
      </c>
      <c r="F41" s="9">
        <v>740</v>
      </c>
      <c r="G41" s="9">
        <v>0</v>
      </c>
      <c r="H41" s="9">
        <v>0</v>
      </c>
      <c r="I41" s="9">
        <v>1018</v>
      </c>
      <c r="J41" s="9">
        <v>534</v>
      </c>
      <c r="K41" s="9">
        <v>1160</v>
      </c>
      <c r="L41" s="9">
        <v>1852</v>
      </c>
      <c r="M41" s="9">
        <v>1070</v>
      </c>
      <c r="N41" s="9">
        <v>0</v>
      </c>
      <c r="O41" s="9">
        <v>0</v>
      </c>
    </row>
    <row r="42" spans="1:15">
      <c r="A42" s="5">
        <v>1232846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608</v>
      </c>
      <c r="K42" s="9">
        <v>253</v>
      </c>
      <c r="L42" s="9">
        <v>728</v>
      </c>
      <c r="M42" s="9">
        <v>0</v>
      </c>
      <c r="N42" s="9">
        <v>0</v>
      </c>
      <c r="O42" s="9">
        <v>0</v>
      </c>
    </row>
    <row r="43" spans="1:15">
      <c r="A43" s="5">
        <v>1220847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100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>
      <c r="A44" s="5">
        <v>1235845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484</v>
      </c>
      <c r="J44" s="9">
        <v>2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>
      <c r="A45" s="5">
        <v>1235097</v>
      </c>
      <c r="B45" s="9">
        <v>0</v>
      </c>
      <c r="C45" s="9">
        <v>200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100</v>
      </c>
      <c r="M45" s="9">
        <v>300</v>
      </c>
      <c r="N45" s="9">
        <v>0</v>
      </c>
      <c r="O45" s="9">
        <v>0</v>
      </c>
    </row>
    <row r="46" spans="1:15">
      <c r="A46" s="5">
        <v>1236600</v>
      </c>
      <c r="B46" s="9">
        <v>0</v>
      </c>
      <c r="C46" s="9">
        <v>0</v>
      </c>
      <c r="D46" s="9">
        <v>150</v>
      </c>
      <c r="E46" s="9">
        <v>533</v>
      </c>
      <c r="F46" s="9">
        <v>316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5">
        <v>1236601</v>
      </c>
      <c r="B47" s="9">
        <v>0</v>
      </c>
      <c r="C47" s="9">
        <v>0</v>
      </c>
      <c r="D47" s="9">
        <v>0</v>
      </c>
      <c r="E47" s="9">
        <v>0</v>
      </c>
      <c r="F47" s="9">
        <v>93</v>
      </c>
      <c r="G47" s="9">
        <v>0</v>
      </c>
      <c r="H47" s="9">
        <v>0</v>
      </c>
      <c r="I47" s="9">
        <v>50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>
      <c r="A48" s="5">
        <v>1236619</v>
      </c>
      <c r="B48" s="9">
        <v>0</v>
      </c>
      <c r="C48" s="9">
        <v>90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>
      <c r="A49" s="5">
        <v>1236930</v>
      </c>
      <c r="B49" s="9">
        <v>481</v>
      </c>
      <c r="C49" s="9">
        <v>398</v>
      </c>
      <c r="D49" s="9">
        <v>158</v>
      </c>
      <c r="E49" s="9">
        <v>170</v>
      </c>
      <c r="F49" s="9">
        <v>266</v>
      </c>
      <c r="G49" s="9">
        <v>0</v>
      </c>
      <c r="H49" s="9">
        <v>0</v>
      </c>
      <c r="I49" s="9">
        <v>300</v>
      </c>
      <c r="J49" s="9">
        <v>514</v>
      </c>
      <c r="K49" s="9">
        <v>300</v>
      </c>
      <c r="L49" s="9">
        <v>300</v>
      </c>
      <c r="M49" s="9">
        <v>0</v>
      </c>
      <c r="N49" s="9">
        <v>0</v>
      </c>
      <c r="O49" s="9">
        <v>0</v>
      </c>
    </row>
    <row r="50" spans="1:15">
      <c r="A50" s="5">
        <v>1237210</v>
      </c>
      <c r="B50" s="9">
        <v>0</v>
      </c>
      <c r="C50" s="9">
        <v>0</v>
      </c>
      <c r="D50" s="9">
        <v>161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>
      <c r="A51" s="5">
        <v>1237457</v>
      </c>
      <c r="B51" s="9">
        <v>0</v>
      </c>
      <c r="C51" s="9">
        <v>0</v>
      </c>
      <c r="D51" s="9">
        <v>0</v>
      </c>
      <c r="E51" s="9">
        <v>18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>
      <c r="A52" s="5">
        <v>1237386</v>
      </c>
      <c r="B52" s="9">
        <v>0</v>
      </c>
      <c r="C52" s="9">
        <v>0</v>
      </c>
      <c r="D52" s="9">
        <v>0</v>
      </c>
      <c r="E52" s="9">
        <v>0</v>
      </c>
      <c r="F52" s="9">
        <v>150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</row>
    <row r="53" spans="1:15">
      <c r="A53" s="5">
        <v>1234905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450</v>
      </c>
      <c r="J53" s="9">
        <v>700</v>
      </c>
      <c r="K53" s="9">
        <v>300</v>
      </c>
      <c r="L53" s="9">
        <v>400</v>
      </c>
      <c r="M53" s="9">
        <v>0</v>
      </c>
      <c r="N53" s="9">
        <v>0</v>
      </c>
      <c r="O53" s="9">
        <v>0</v>
      </c>
    </row>
    <row r="54" spans="1:15">
      <c r="A54" s="5">
        <v>1238480</v>
      </c>
      <c r="B54" s="9">
        <v>738</v>
      </c>
      <c r="C54" s="9">
        <v>1170</v>
      </c>
      <c r="D54" s="9">
        <v>853</v>
      </c>
      <c r="E54" s="9">
        <v>1169</v>
      </c>
      <c r="F54" s="9">
        <v>689</v>
      </c>
      <c r="G54" s="9">
        <v>0</v>
      </c>
      <c r="H54" s="9">
        <v>0</v>
      </c>
      <c r="I54" s="9">
        <v>350</v>
      </c>
      <c r="J54" s="9">
        <v>872</v>
      </c>
      <c r="K54" s="9">
        <v>693</v>
      </c>
      <c r="L54" s="9">
        <v>801</v>
      </c>
      <c r="M54" s="9">
        <v>623</v>
      </c>
      <c r="N54" s="9">
        <v>0</v>
      </c>
      <c r="O54" s="9">
        <v>0</v>
      </c>
    </row>
    <row r="55" spans="1:15">
      <c r="A55" s="5">
        <v>1232775</v>
      </c>
      <c r="B55" s="9">
        <v>0</v>
      </c>
      <c r="C55" s="9">
        <v>196</v>
      </c>
      <c r="D55" s="9">
        <v>45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</row>
    <row r="56" spans="1:15">
      <c r="A56" s="5">
        <v>1240180</v>
      </c>
      <c r="B56" s="9">
        <v>0</v>
      </c>
      <c r="C56" s="9">
        <v>0</v>
      </c>
      <c r="D56" s="9">
        <v>93</v>
      </c>
      <c r="E56" s="9">
        <v>157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300</v>
      </c>
      <c r="N56" s="9">
        <v>0</v>
      </c>
      <c r="O56" s="9">
        <v>0</v>
      </c>
    </row>
    <row r="57" spans="1:15">
      <c r="A57" s="5">
        <v>1240184</v>
      </c>
      <c r="B57" s="9">
        <v>0</v>
      </c>
      <c r="C57" s="9">
        <v>0</v>
      </c>
      <c r="D57" s="9">
        <v>93</v>
      </c>
      <c r="E57" s="9">
        <v>157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300</v>
      </c>
      <c r="N57" s="9">
        <v>0</v>
      </c>
      <c r="O57" s="9">
        <v>0</v>
      </c>
    </row>
    <row r="58" spans="1:15">
      <c r="A58" s="5">
        <v>1231011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300</v>
      </c>
      <c r="L58" s="9">
        <v>0</v>
      </c>
      <c r="M58" s="9">
        <v>0</v>
      </c>
      <c r="N58" s="9">
        <v>0</v>
      </c>
      <c r="O58" s="9">
        <v>0</v>
      </c>
    </row>
    <row r="59" spans="1:15">
      <c r="A59" s="5">
        <v>1232894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608</v>
      </c>
      <c r="K59" s="9">
        <v>253</v>
      </c>
      <c r="L59" s="9">
        <v>728</v>
      </c>
      <c r="M59" s="9">
        <v>0</v>
      </c>
      <c r="N59" s="9">
        <v>0</v>
      </c>
      <c r="O59" s="9">
        <v>0</v>
      </c>
    </row>
    <row r="60" spans="1:15">
      <c r="A60" s="5">
        <v>1233386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608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</row>
    <row r="61" spans="1:15">
      <c r="A61" s="5">
        <v>1233387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728</v>
      </c>
      <c r="M61" s="9">
        <v>0</v>
      </c>
      <c r="N61" s="9">
        <v>0</v>
      </c>
      <c r="O61" s="9">
        <v>0</v>
      </c>
    </row>
    <row r="62" spans="1:15">
      <c r="A62" s="5">
        <v>1233385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253</v>
      </c>
      <c r="L62" s="9">
        <v>0</v>
      </c>
      <c r="M62" s="9">
        <v>0</v>
      </c>
      <c r="N62" s="9">
        <v>0</v>
      </c>
      <c r="O62" s="9">
        <v>0</v>
      </c>
    </row>
    <row r="63" spans="1:15">
      <c r="A63" s="5">
        <v>1238092</v>
      </c>
      <c r="B63" s="9">
        <v>95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</sheetData>
  <autoFilter ref="A1:O16" xr:uid="{E60F932E-0D04-4976-8CE2-185DA73167D9}"/>
  <phoneticPr fontId="1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686A-8195-4036-AF64-08BFD0CD0110}">
  <dimension ref="A1:W73"/>
  <sheetViews>
    <sheetView zoomScaleNormal="100" workbookViewId="0">
      <selection activeCell="X16" sqref="X16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20" width="9.33203125" style="9" customWidth="1"/>
    <col min="21" max="21" width="9.5" style="9" bestFit="1" customWidth="1"/>
    <col min="22" max="16384" width="9.33203125" style="5"/>
  </cols>
  <sheetData>
    <row r="1" spans="1:23">
      <c r="A1" s="5" t="s">
        <v>0</v>
      </c>
      <c r="B1" s="9" t="s">
        <v>1146</v>
      </c>
      <c r="C1" s="9" t="s">
        <v>1147</v>
      </c>
      <c r="D1" s="9" t="s">
        <v>1148</v>
      </c>
      <c r="E1" s="18" t="s">
        <v>1149</v>
      </c>
      <c r="F1" s="9" t="s">
        <v>1150</v>
      </c>
      <c r="G1" s="9" t="s">
        <v>1151</v>
      </c>
      <c r="H1" s="9" t="s">
        <v>1198</v>
      </c>
      <c r="I1" s="9" t="s">
        <v>1200</v>
      </c>
      <c r="J1" s="9" t="s">
        <v>1202</v>
      </c>
      <c r="K1" s="9" t="s">
        <v>1204</v>
      </c>
      <c r="L1" s="9" t="s">
        <v>1206</v>
      </c>
      <c r="M1" s="9" t="s">
        <v>1208</v>
      </c>
      <c r="N1" s="9" t="s">
        <v>1210</v>
      </c>
      <c r="O1" s="9" t="s">
        <v>1232</v>
      </c>
      <c r="P1" s="9" t="s">
        <v>1233</v>
      </c>
      <c r="Q1" s="9" t="s">
        <v>1234</v>
      </c>
      <c r="R1" s="9" t="s">
        <v>1235</v>
      </c>
      <c r="S1" s="9" t="s">
        <v>1236</v>
      </c>
      <c r="T1" s="9" t="s">
        <v>1237</v>
      </c>
      <c r="U1" s="9" t="s">
        <v>1238</v>
      </c>
    </row>
    <row r="2" spans="1:23">
      <c r="A2" s="5">
        <v>1229673</v>
      </c>
      <c r="B2" s="9">
        <v>300</v>
      </c>
      <c r="C2" s="9">
        <v>300</v>
      </c>
      <c r="D2" s="9">
        <v>300</v>
      </c>
      <c r="E2" s="18">
        <v>300</v>
      </c>
      <c r="F2" s="9">
        <v>0</v>
      </c>
      <c r="G2" s="9">
        <v>0</v>
      </c>
      <c r="H2" s="9">
        <v>250</v>
      </c>
      <c r="I2" s="9">
        <v>250</v>
      </c>
      <c r="J2" s="9">
        <v>250</v>
      </c>
      <c r="K2" s="9">
        <v>300</v>
      </c>
      <c r="L2" s="9">
        <v>300</v>
      </c>
      <c r="M2" s="9">
        <v>0</v>
      </c>
      <c r="N2" s="9">
        <v>0</v>
      </c>
      <c r="O2" s="9">
        <v>200</v>
      </c>
      <c r="P2" s="9">
        <v>200</v>
      </c>
      <c r="Q2" s="9">
        <v>200</v>
      </c>
      <c r="R2" s="9">
        <v>200</v>
      </c>
      <c r="S2" s="9">
        <v>0</v>
      </c>
      <c r="T2" s="9">
        <v>0</v>
      </c>
      <c r="U2" s="9">
        <v>0</v>
      </c>
      <c r="W2" s="78">
        <f>SUM(B2:U2)</f>
        <v>3350</v>
      </c>
    </row>
    <row r="3" spans="1:23">
      <c r="A3" s="5">
        <v>1230854</v>
      </c>
      <c r="B3" s="9">
        <v>0</v>
      </c>
      <c r="C3" s="9">
        <v>0</v>
      </c>
      <c r="D3" s="9">
        <v>0</v>
      </c>
      <c r="E3" s="18">
        <v>100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W3" s="78">
        <f t="shared" ref="W3:W16" si="0">SUM(B3:U3)</f>
        <v>100</v>
      </c>
    </row>
    <row r="4" spans="1:23">
      <c r="A4" s="5">
        <v>1235623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508</v>
      </c>
      <c r="I4" s="9">
        <v>960</v>
      </c>
      <c r="J4" s="9">
        <v>404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W4" s="78">
        <f t="shared" si="0"/>
        <v>1872</v>
      </c>
    </row>
    <row r="5" spans="1:23">
      <c r="A5" s="5">
        <v>1237088</v>
      </c>
      <c r="B5" s="9">
        <v>158</v>
      </c>
      <c r="C5" s="9">
        <v>676</v>
      </c>
      <c r="D5" s="9">
        <v>466</v>
      </c>
      <c r="E5" s="18">
        <v>308</v>
      </c>
      <c r="F5" s="9">
        <v>0</v>
      </c>
      <c r="G5" s="9">
        <v>0</v>
      </c>
      <c r="H5" s="9">
        <v>574</v>
      </c>
      <c r="I5" s="9">
        <v>868</v>
      </c>
      <c r="J5" s="9">
        <v>908</v>
      </c>
      <c r="K5" s="9">
        <v>236</v>
      </c>
      <c r="L5" s="9">
        <v>76</v>
      </c>
      <c r="M5" s="9">
        <v>0</v>
      </c>
      <c r="N5" s="9">
        <v>0</v>
      </c>
      <c r="O5" s="9">
        <v>598</v>
      </c>
      <c r="P5" s="9">
        <v>518</v>
      </c>
      <c r="Q5" s="9">
        <v>504</v>
      </c>
      <c r="R5" s="9">
        <v>812</v>
      </c>
      <c r="S5" s="9">
        <v>0</v>
      </c>
      <c r="T5" s="9">
        <v>0</v>
      </c>
      <c r="U5" s="9">
        <v>0</v>
      </c>
      <c r="W5" s="78">
        <f t="shared" si="0"/>
        <v>6702</v>
      </c>
    </row>
    <row r="6" spans="1:23">
      <c r="A6" s="5">
        <v>1236091</v>
      </c>
      <c r="B6" s="9">
        <v>0</v>
      </c>
      <c r="C6" s="9">
        <v>0</v>
      </c>
      <c r="D6" s="9">
        <v>300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W6" s="78">
        <f t="shared" si="0"/>
        <v>300</v>
      </c>
    </row>
    <row r="7" spans="1:23">
      <c r="A7" s="5">
        <v>1234905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136</v>
      </c>
      <c r="M7" s="9">
        <v>0</v>
      </c>
      <c r="N7" s="9">
        <v>0</v>
      </c>
      <c r="O7" s="9">
        <v>420</v>
      </c>
      <c r="P7" s="9">
        <v>420</v>
      </c>
      <c r="Q7" s="9">
        <v>122</v>
      </c>
      <c r="R7" s="9">
        <v>0</v>
      </c>
      <c r="S7" s="9">
        <v>0</v>
      </c>
      <c r="T7" s="9">
        <v>0</v>
      </c>
      <c r="U7" s="9">
        <v>0</v>
      </c>
      <c r="W7" s="78">
        <f t="shared" si="0"/>
        <v>1098</v>
      </c>
    </row>
    <row r="8" spans="1:23">
      <c r="A8" s="5">
        <v>1237748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104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W8" s="78">
        <f t="shared" si="0"/>
        <v>104</v>
      </c>
    </row>
    <row r="9" spans="1:23">
      <c r="A9" s="5">
        <v>1238128</v>
      </c>
      <c r="B9" s="9">
        <v>84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W9" s="78">
        <f t="shared" si="0"/>
        <v>84</v>
      </c>
    </row>
    <row r="10" spans="1:23">
      <c r="A10" s="5">
        <v>1236962</v>
      </c>
      <c r="B10" s="9">
        <v>300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200</v>
      </c>
      <c r="I10" s="9">
        <v>0</v>
      </c>
      <c r="J10" s="9">
        <v>0</v>
      </c>
      <c r="K10" s="9">
        <v>308</v>
      </c>
      <c r="L10" s="9">
        <v>0</v>
      </c>
      <c r="M10" s="9">
        <v>0</v>
      </c>
      <c r="N10" s="9">
        <v>0</v>
      </c>
      <c r="O10" s="9">
        <v>200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W10" s="78">
        <f t="shared" si="0"/>
        <v>1008</v>
      </c>
    </row>
    <row r="11" spans="1:23">
      <c r="A11" s="5">
        <v>1233761</v>
      </c>
      <c r="B11" s="9">
        <v>0</v>
      </c>
      <c r="C11" s="9">
        <v>150</v>
      </c>
      <c r="D11" s="9">
        <v>0</v>
      </c>
      <c r="E11" s="18">
        <v>200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W11" s="78">
        <f t="shared" si="0"/>
        <v>350</v>
      </c>
    </row>
    <row r="12" spans="1:23">
      <c r="A12" s="5">
        <v>1239651</v>
      </c>
      <c r="B12" s="9">
        <v>0</v>
      </c>
      <c r="C12" s="9">
        <v>0</v>
      </c>
      <c r="D12" s="9">
        <v>400</v>
      </c>
      <c r="E12" s="9">
        <v>0</v>
      </c>
      <c r="F12" s="9">
        <v>0</v>
      </c>
      <c r="G12" s="9">
        <v>0</v>
      </c>
      <c r="H12" s="9">
        <v>0</v>
      </c>
      <c r="I12" s="9">
        <v>300</v>
      </c>
      <c r="J12" s="9">
        <v>0</v>
      </c>
      <c r="K12" s="9">
        <v>150</v>
      </c>
      <c r="L12" s="9">
        <v>0</v>
      </c>
      <c r="M12" s="9">
        <v>0</v>
      </c>
      <c r="N12" s="9">
        <v>0</v>
      </c>
      <c r="O12" s="9">
        <v>150</v>
      </c>
      <c r="P12" s="9">
        <v>150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W12" s="78">
        <f t="shared" si="0"/>
        <v>1150</v>
      </c>
    </row>
    <row r="13" spans="1:23">
      <c r="A13" s="5">
        <v>1240180</v>
      </c>
      <c r="B13" s="9">
        <v>390</v>
      </c>
      <c r="C13" s="9">
        <v>306</v>
      </c>
      <c r="D13" s="9">
        <v>390</v>
      </c>
      <c r="E13" s="18">
        <v>306</v>
      </c>
      <c r="F13" s="9">
        <v>0</v>
      </c>
      <c r="G13" s="9">
        <v>0</v>
      </c>
      <c r="H13" s="9">
        <v>338</v>
      </c>
      <c r="I13" s="9">
        <v>430</v>
      </c>
      <c r="J13" s="9">
        <v>338</v>
      </c>
      <c r="K13" s="9">
        <v>430</v>
      </c>
      <c r="L13" s="9">
        <v>338</v>
      </c>
      <c r="M13" s="9">
        <v>0</v>
      </c>
      <c r="N13" s="9">
        <v>0</v>
      </c>
      <c r="O13" s="9">
        <v>430</v>
      </c>
      <c r="P13" s="9">
        <v>431</v>
      </c>
      <c r="Q13" s="9">
        <v>320</v>
      </c>
      <c r="R13" s="9">
        <v>430</v>
      </c>
      <c r="S13" s="9">
        <v>0</v>
      </c>
      <c r="T13" s="9">
        <v>0</v>
      </c>
      <c r="U13" s="9">
        <v>0</v>
      </c>
      <c r="W13" s="78">
        <f t="shared" si="0"/>
        <v>4877</v>
      </c>
    </row>
    <row r="14" spans="1:23">
      <c r="A14" s="5">
        <v>1240184</v>
      </c>
      <c r="B14" s="9">
        <v>390</v>
      </c>
      <c r="C14" s="9">
        <v>306</v>
      </c>
      <c r="D14" s="9">
        <v>390</v>
      </c>
      <c r="E14" s="18">
        <v>306</v>
      </c>
      <c r="F14" s="9">
        <v>0</v>
      </c>
      <c r="G14" s="9">
        <v>0</v>
      </c>
      <c r="H14" s="9">
        <v>338</v>
      </c>
      <c r="I14" s="9">
        <v>296</v>
      </c>
      <c r="J14" s="9">
        <v>338</v>
      </c>
      <c r="K14" s="9">
        <v>430</v>
      </c>
      <c r="L14" s="9">
        <v>338</v>
      </c>
      <c r="M14" s="9">
        <v>0</v>
      </c>
      <c r="N14" s="9">
        <v>0</v>
      </c>
      <c r="O14" s="9">
        <v>430</v>
      </c>
      <c r="P14" s="9">
        <v>431</v>
      </c>
      <c r="Q14" s="9">
        <v>320</v>
      </c>
      <c r="R14" s="9">
        <v>430</v>
      </c>
      <c r="S14" s="9">
        <v>0</v>
      </c>
      <c r="T14" s="9">
        <v>0</v>
      </c>
      <c r="U14" s="9">
        <v>0</v>
      </c>
      <c r="W14" s="78">
        <f t="shared" si="0"/>
        <v>4743</v>
      </c>
    </row>
    <row r="15" spans="1:23">
      <c r="A15" s="5">
        <v>1240308</v>
      </c>
      <c r="B15" s="9">
        <v>350</v>
      </c>
      <c r="C15" s="9">
        <v>0</v>
      </c>
      <c r="D15" s="9">
        <v>0</v>
      </c>
      <c r="E15" s="18">
        <v>94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300</v>
      </c>
      <c r="L15" s="9">
        <v>200</v>
      </c>
      <c r="M15" s="9">
        <v>0</v>
      </c>
      <c r="N15" s="9">
        <v>0</v>
      </c>
      <c r="O15" s="9">
        <v>200</v>
      </c>
      <c r="P15" s="9">
        <v>200</v>
      </c>
      <c r="Q15" s="9">
        <v>200</v>
      </c>
      <c r="R15" s="9">
        <v>200</v>
      </c>
      <c r="S15" s="9">
        <v>0</v>
      </c>
      <c r="T15" s="9">
        <v>0</v>
      </c>
      <c r="U15" s="9">
        <v>0</v>
      </c>
      <c r="W15" s="78">
        <f t="shared" si="0"/>
        <v>1744</v>
      </c>
    </row>
    <row r="16" spans="1:23">
      <c r="A16" s="5">
        <v>1241601</v>
      </c>
      <c r="B16" s="9">
        <v>1380</v>
      </c>
      <c r="C16" s="9">
        <v>1352</v>
      </c>
      <c r="D16" s="9">
        <v>1704</v>
      </c>
      <c r="E16" s="18">
        <v>1112</v>
      </c>
      <c r="F16" s="9">
        <v>0</v>
      </c>
      <c r="G16" s="9">
        <v>0</v>
      </c>
      <c r="H16" s="9">
        <v>1416</v>
      </c>
      <c r="I16" s="9">
        <v>1564</v>
      </c>
      <c r="J16" s="9">
        <v>1050</v>
      </c>
      <c r="K16" s="9">
        <v>1792</v>
      </c>
      <c r="L16" s="9">
        <v>1238</v>
      </c>
      <c r="M16" s="9">
        <v>0</v>
      </c>
      <c r="N16" s="9">
        <v>0</v>
      </c>
      <c r="O16" s="9">
        <v>1182</v>
      </c>
      <c r="P16" s="9">
        <v>1210</v>
      </c>
      <c r="Q16" s="9">
        <v>1382</v>
      </c>
      <c r="R16" s="9">
        <v>2198</v>
      </c>
      <c r="S16" s="9">
        <v>0</v>
      </c>
      <c r="T16" s="9">
        <v>0</v>
      </c>
      <c r="U16" s="9">
        <v>0</v>
      </c>
      <c r="W16" s="78">
        <f t="shared" si="0"/>
        <v>18580</v>
      </c>
    </row>
    <row r="18" spans="1:21">
      <c r="B18" s="9">
        <f>SUM(B2:B17)</f>
        <v>3352</v>
      </c>
      <c r="C18" s="9">
        <f t="shared" ref="C18:U18" si="1">SUM(C2:C17)</f>
        <v>3090</v>
      </c>
      <c r="D18" s="9">
        <f t="shared" si="1"/>
        <v>3950</v>
      </c>
      <c r="E18" s="9">
        <f t="shared" si="1"/>
        <v>2726</v>
      </c>
      <c r="F18" s="9">
        <f t="shared" si="1"/>
        <v>0</v>
      </c>
      <c r="G18" s="9">
        <f t="shared" si="1"/>
        <v>0</v>
      </c>
      <c r="H18" s="9">
        <f t="shared" si="1"/>
        <v>3728</v>
      </c>
      <c r="I18" s="9">
        <f t="shared" si="1"/>
        <v>4668</v>
      </c>
      <c r="J18" s="9">
        <f t="shared" si="1"/>
        <v>3288</v>
      </c>
      <c r="K18" s="9">
        <f t="shared" si="1"/>
        <v>3946</v>
      </c>
      <c r="L18" s="9">
        <f t="shared" si="1"/>
        <v>2626</v>
      </c>
      <c r="M18" s="9">
        <f t="shared" si="1"/>
        <v>0</v>
      </c>
      <c r="N18" s="9">
        <f t="shared" si="1"/>
        <v>0</v>
      </c>
      <c r="O18" s="9">
        <f t="shared" si="1"/>
        <v>3810</v>
      </c>
      <c r="P18" s="9">
        <f t="shared" si="1"/>
        <v>3560</v>
      </c>
      <c r="Q18" s="9">
        <f t="shared" si="1"/>
        <v>3048</v>
      </c>
      <c r="R18" s="9">
        <f t="shared" si="1"/>
        <v>4270</v>
      </c>
      <c r="S18" s="9">
        <f t="shared" si="1"/>
        <v>0</v>
      </c>
      <c r="T18" s="9">
        <f t="shared" si="1"/>
        <v>0</v>
      </c>
      <c r="U18" s="9">
        <f t="shared" si="1"/>
        <v>0</v>
      </c>
    </row>
    <row r="19" spans="1:21">
      <c r="B19" s="9">
        <v>3352</v>
      </c>
      <c r="C19" s="9">
        <v>3090</v>
      </c>
      <c r="D19" s="9">
        <v>3950</v>
      </c>
      <c r="E19" s="9">
        <v>2726</v>
      </c>
      <c r="F19" s="9">
        <v>0</v>
      </c>
      <c r="G19" s="9">
        <v>0</v>
      </c>
      <c r="H19" s="9">
        <v>3728</v>
      </c>
      <c r="I19" s="9">
        <v>4668</v>
      </c>
      <c r="J19" s="9">
        <v>3288</v>
      </c>
      <c r="K19" s="9">
        <v>3946</v>
      </c>
      <c r="L19" s="9">
        <v>2626</v>
      </c>
      <c r="M19" s="9">
        <v>0</v>
      </c>
      <c r="N19" s="9">
        <v>0</v>
      </c>
      <c r="O19" s="9">
        <v>3810</v>
      </c>
      <c r="P19" s="9">
        <v>3560</v>
      </c>
      <c r="Q19" s="9">
        <v>3048</v>
      </c>
      <c r="R19" s="9">
        <v>4270</v>
      </c>
      <c r="S19" s="9">
        <v>0</v>
      </c>
      <c r="T19" s="9">
        <v>0</v>
      </c>
      <c r="U19" s="9">
        <v>0</v>
      </c>
    </row>
    <row r="20" spans="1:21">
      <c r="B20" s="9">
        <f>+B18-B19</f>
        <v>0</v>
      </c>
      <c r="C20" s="9">
        <f t="shared" ref="C20:U20" si="2">+C18-C19</f>
        <v>0</v>
      </c>
      <c r="D20" s="9">
        <f t="shared" si="2"/>
        <v>0</v>
      </c>
      <c r="E20" s="9">
        <f t="shared" si="2"/>
        <v>0</v>
      </c>
      <c r="F20" s="9">
        <f t="shared" si="2"/>
        <v>0</v>
      </c>
      <c r="G20" s="9">
        <f t="shared" si="2"/>
        <v>0</v>
      </c>
      <c r="H20" s="9">
        <f t="shared" si="2"/>
        <v>0</v>
      </c>
      <c r="I20" s="9">
        <f t="shared" si="2"/>
        <v>0</v>
      </c>
      <c r="J20" s="9">
        <f t="shared" si="2"/>
        <v>0</v>
      </c>
      <c r="K20" s="9">
        <f t="shared" si="2"/>
        <v>0</v>
      </c>
      <c r="L20" s="9">
        <f t="shared" si="2"/>
        <v>0</v>
      </c>
      <c r="M20" s="9">
        <f t="shared" si="2"/>
        <v>0</v>
      </c>
      <c r="N20" s="9">
        <f t="shared" si="2"/>
        <v>0</v>
      </c>
      <c r="O20" s="9">
        <f t="shared" si="2"/>
        <v>0</v>
      </c>
      <c r="P20" s="9">
        <f t="shared" si="2"/>
        <v>0</v>
      </c>
      <c r="Q20" s="9">
        <f t="shared" si="2"/>
        <v>0</v>
      </c>
      <c r="R20" s="9">
        <f t="shared" si="2"/>
        <v>0</v>
      </c>
      <c r="S20" s="9">
        <f t="shared" si="2"/>
        <v>0</v>
      </c>
      <c r="T20" s="9">
        <f t="shared" si="2"/>
        <v>0</v>
      </c>
      <c r="U20" s="9">
        <f t="shared" si="2"/>
        <v>0</v>
      </c>
    </row>
    <row r="24" spans="1:21">
      <c r="A24" s="5" t="s">
        <v>0</v>
      </c>
      <c r="B24" s="9" t="s">
        <v>1146</v>
      </c>
      <c r="C24" s="9" t="s">
        <v>1147</v>
      </c>
      <c r="D24" s="9" t="s">
        <v>1148</v>
      </c>
      <c r="E24" s="9" t="s">
        <v>1149</v>
      </c>
      <c r="F24" s="9" t="s">
        <v>1150</v>
      </c>
      <c r="G24" s="9" t="s">
        <v>1151</v>
      </c>
      <c r="H24" s="9" t="s">
        <v>1198</v>
      </c>
      <c r="I24" s="9" t="s">
        <v>1200</v>
      </c>
      <c r="J24" s="9" t="s">
        <v>1202</v>
      </c>
      <c r="K24" s="9" t="s">
        <v>1204</v>
      </c>
      <c r="L24" s="9" t="s">
        <v>1206</v>
      </c>
      <c r="M24" s="9" t="s">
        <v>1208</v>
      </c>
      <c r="N24" s="9" t="s">
        <v>1210</v>
      </c>
      <c r="O24" s="9" t="s">
        <v>1232</v>
      </c>
      <c r="P24" s="9" t="s">
        <v>1233</v>
      </c>
      <c r="Q24" s="9" t="s">
        <v>1234</v>
      </c>
      <c r="R24" s="9" t="s">
        <v>1235</v>
      </c>
      <c r="S24" s="9" t="s">
        <v>1236</v>
      </c>
      <c r="T24" s="9" t="s">
        <v>1237</v>
      </c>
      <c r="U24" s="9" t="s">
        <v>1238</v>
      </c>
    </row>
    <row r="25" spans="1:21">
      <c r="A25" s="5">
        <v>1232846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44</v>
      </c>
      <c r="K25" s="9">
        <v>0</v>
      </c>
      <c r="L25" s="9">
        <v>352</v>
      </c>
      <c r="M25" s="9">
        <v>0</v>
      </c>
      <c r="N25" s="9">
        <v>0</v>
      </c>
      <c r="O25" s="9">
        <v>352</v>
      </c>
      <c r="P25" s="9">
        <v>352</v>
      </c>
      <c r="Q25" s="9">
        <v>329</v>
      </c>
      <c r="R25" s="9">
        <v>0</v>
      </c>
      <c r="S25" s="9">
        <v>0</v>
      </c>
      <c r="T25" s="9">
        <v>0</v>
      </c>
      <c r="U25" s="9">
        <v>0</v>
      </c>
    </row>
    <row r="26" spans="1:21">
      <c r="A26" s="5">
        <v>1232895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44</v>
      </c>
      <c r="K26" s="9">
        <v>0</v>
      </c>
      <c r="L26" s="9">
        <v>352</v>
      </c>
      <c r="M26" s="9">
        <v>0</v>
      </c>
      <c r="N26" s="9">
        <v>0</v>
      </c>
      <c r="O26" s="9">
        <v>352</v>
      </c>
      <c r="P26" s="9">
        <v>352</v>
      </c>
      <c r="Q26" s="9">
        <v>329</v>
      </c>
      <c r="R26" s="9">
        <v>0</v>
      </c>
      <c r="S26" s="9">
        <v>0</v>
      </c>
      <c r="T26" s="9">
        <v>0</v>
      </c>
      <c r="U26" s="9">
        <v>0</v>
      </c>
    </row>
    <row r="27" spans="1:21">
      <c r="A27" s="5">
        <v>1233384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44</v>
      </c>
      <c r="K27" s="9">
        <v>0</v>
      </c>
      <c r="L27" s="9">
        <v>352</v>
      </c>
      <c r="M27" s="9">
        <v>0</v>
      </c>
      <c r="N27" s="9">
        <v>0</v>
      </c>
      <c r="O27" s="9">
        <v>352</v>
      </c>
      <c r="P27" s="9">
        <v>352</v>
      </c>
      <c r="Q27" s="9">
        <v>329</v>
      </c>
      <c r="R27" s="9">
        <v>0</v>
      </c>
      <c r="S27" s="9">
        <v>0</v>
      </c>
      <c r="T27" s="9">
        <v>0</v>
      </c>
      <c r="U27" s="9">
        <v>0</v>
      </c>
    </row>
    <row r="28" spans="1:21">
      <c r="A28" s="5">
        <v>1236110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100</v>
      </c>
      <c r="J28" s="9">
        <v>200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>
      <c r="A29" s="5">
        <v>1236387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113</v>
      </c>
      <c r="M29" s="9">
        <v>0</v>
      </c>
      <c r="N29" s="9">
        <v>0</v>
      </c>
      <c r="O29" s="9">
        <v>367</v>
      </c>
      <c r="P29" s="9">
        <v>367</v>
      </c>
      <c r="Q29" s="9">
        <v>179</v>
      </c>
      <c r="R29" s="9">
        <v>0</v>
      </c>
      <c r="S29" s="9">
        <v>0</v>
      </c>
      <c r="T29" s="9">
        <v>0</v>
      </c>
      <c r="U29" s="9">
        <v>0</v>
      </c>
    </row>
    <row r="30" spans="1:21">
      <c r="A30" s="5">
        <v>1232775</v>
      </c>
      <c r="B30" s="9">
        <v>0</v>
      </c>
      <c r="C30" s="9">
        <v>0</v>
      </c>
      <c r="D30" s="9">
        <v>159</v>
      </c>
      <c r="E30" s="9">
        <v>484</v>
      </c>
      <c r="F30" s="9">
        <v>0</v>
      </c>
      <c r="G30" s="9">
        <v>0</v>
      </c>
      <c r="H30" s="9">
        <v>487</v>
      </c>
      <c r="I30" s="9">
        <v>487</v>
      </c>
      <c r="J30" s="9">
        <v>275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97</v>
      </c>
      <c r="R30" s="9">
        <v>0</v>
      </c>
      <c r="S30" s="9">
        <v>0</v>
      </c>
      <c r="T30" s="9">
        <v>0</v>
      </c>
      <c r="U30" s="9">
        <v>0</v>
      </c>
    </row>
    <row r="31" spans="1:21">
      <c r="A31" s="5">
        <v>1230685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183</v>
      </c>
      <c r="K31" s="9">
        <v>0</v>
      </c>
      <c r="L31" s="9">
        <v>217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</row>
    <row r="32" spans="1:21">
      <c r="A32" s="5">
        <v>1238605</v>
      </c>
      <c r="B32" s="9">
        <v>190</v>
      </c>
      <c r="C32" s="9">
        <v>187</v>
      </c>
      <c r="D32" s="9">
        <v>58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</row>
    <row r="35" spans="1:21">
      <c r="A35" s="5" t="s">
        <v>0</v>
      </c>
      <c r="B35" s="9" t="s">
        <v>1146</v>
      </c>
      <c r="C35" s="9" t="s">
        <v>1147</v>
      </c>
      <c r="D35" s="9" t="s">
        <v>1148</v>
      </c>
      <c r="E35" s="9" t="s">
        <v>1149</v>
      </c>
      <c r="F35" s="9" t="s">
        <v>1150</v>
      </c>
      <c r="G35" s="9" t="s">
        <v>1151</v>
      </c>
      <c r="H35" s="9" t="s">
        <v>1198</v>
      </c>
      <c r="I35" s="9" t="s">
        <v>1200</v>
      </c>
      <c r="J35" s="9" t="s">
        <v>1202</v>
      </c>
      <c r="K35" s="9" t="s">
        <v>1204</v>
      </c>
      <c r="L35" s="9" t="s">
        <v>1206</v>
      </c>
      <c r="M35" s="9" t="s">
        <v>1208</v>
      </c>
      <c r="N35" s="9" t="s">
        <v>1210</v>
      </c>
      <c r="O35" s="9" t="s">
        <v>1232</v>
      </c>
      <c r="P35" s="9" t="s">
        <v>1233</v>
      </c>
      <c r="Q35" s="9" t="s">
        <v>1234</v>
      </c>
      <c r="R35" s="9" t="s">
        <v>1235</v>
      </c>
      <c r="S35" s="9" t="s">
        <v>1236</v>
      </c>
      <c r="T35" s="9" t="s">
        <v>1237</v>
      </c>
      <c r="U35" s="9" t="s">
        <v>1238</v>
      </c>
    </row>
    <row r="36" spans="1:21">
      <c r="A36" s="5">
        <v>1221967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225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5">
        <v>1234614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285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315</v>
      </c>
      <c r="S37" s="9">
        <v>0</v>
      </c>
      <c r="T37" s="9">
        <v>0</v>
      </c>
      <c r="U37" s="9">
        <v>0</v>
      </c>
    </row>
    <row r="38" spans="1:21">
      <c r="A38" s="5">
        <v>1227306</v>
      </c>
      <c r="B38" s="9">
        <v>0</v>
      </c>
      <c r="C38" s="9">
        <v>230</v>
      </c>
      <c r="D38" s="9">
        <v>487</v>
      </c>
      <c r="E38" s="9">
        <v>118</v>
      </c>
      <c r="F38" s="9">
        <v>0</v>
      </c>
      <c r="G38" s="9">
        <v>0</v>
      </c>
      <c r="H38" s="18">
        <v>41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39" spans="1:21">
      <c r="A39" s="5">
        <v>1231797</v>
      </c>
      <c r="B39" s="9">
        <v>35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</row>
    <row r="40" spans="1:21">
      <c r="A40" s="5">
        <v>1229776</v>
      </c>
      <c r="B40" s="9">
        <v>0</v>
      </c>
      <c r="C40" s="9">
        <v>0</v>
      </c>
      <c r="D40" s="9">
        <v>0</v>
      </c>
      <c r="E40" s="18">
        <v>115</v>
      </c>
      <c r="F40" s="9">
        <v>0</v>
      </c>
      <c r="G40" s="9">
        <v>0</v>
      </c>
      <c r="H40" s="9">
        <v>65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>
      <c r="A41" s="5">
        <v>1231090</v>
      </c>
      <c r="B41" s="9">
        <v>343</v>
      </c>
      <c r="C41" s="9">
        <v>199</v>
      </c>
      <c r="D41" s="9">
        <v>0</v>
      </c>
      <c r="E41" s="18">
        <v>115</v>
      </c>
      <c r="F41" s="9">
        <v>0</v>
      </c>
      <c r="G41" s="9">
        <v>0</v>
      </c>
      <c r="H41" s="9">
        <v>65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510</v>
      </c>
      <c r="R41" s="9">
        <v>367</v>
      </c>
      <c r="S41" s="9">
        <v>0</v>
      </c>
      <c r="T41" s="9">
        <v>0</v>
      </c>
      <c r="U41" s="9">
        <v>0</v>
      </c>
    </row>
    <row r="42" spans="1:21">
      <c r="A42" s="5">
        <v>1232066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108</v>
      </c>
      <c r="S42" s="9">
        <v>0</v>
      </c>
      <c r="T42" s="9">
        <v>0</v>
      </c>
      <c r="U42" s="9">
        <v>0</v>
      </c>
    </row>
    <row r="43" spans="1:21">
      <c r="A43" s="5">
        <v>1232693</v>
      </c>
      <c r="B43" s="9">
        <v>5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777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5">
        <v>1233025</v>
      </c>
      <c r="B44" s="9">
        <v>5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777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5">
        <v>1234222</v>
      </c>
      <c r="B45" s="9">
        <v>440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</row>
    <row r="46" spans="1:21">
      <c r="A46" s="5">
        <v>1232528</v>
      </c>
      <c r="B46" s="9">
        <v>746</v>
      </c>
      <c r="C46" s="9">
        <v>539</v>
      </c>
      <c r="D46" s="9">
        <v>686</v>
      </c>
      <c r="E46" s="18">
        <v>740</v>
      </c>
      <c r="F46" s="9">
        <v>0</v>
      </c>
      <c r="G46" s="9">
        <v>0</v>
      </c>
      <c r="H46" s="9">
        <v>1018</v>
      </c>
      <c r="I46" s="9">
        <v>860</v>
      </c>
      <c r="J46" s="9">
        <v>834</v>
      </c>
      <c r="K46" s="9">
        <v>1906</v>
      </c>
      <c r="L46" s="9">
        <v>1570</v>
      </c>
      <c r="M46" s="9">
        <v>0</v>
      </c>
      <c r="N46" s="9">
        <v>0</v>
      </c>
      <c r="O46" s="9">
        <v>1473</v>
      </c>
      <c r="P46" s="9">
        <v>1646</v>
      </c>
      <c r="Q46" s="9">
        <v>1089</v>
      </c>
      <c r="R46" s="9">
        <v>2524</v>
      </c>
      <c r="S46" s="9">
        <v>0</v>
      </c>
      <c r="T46" s="9">
        <v>0</v>
      </c>
      <c r="U46" s="9">
        <v>0</v>
      </c>
    </row>
    <row r="47" spans="1:21">
      <c r="A47" s="5">
        <v>1232846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608</v>
      </c>
      <c r="J47" s="9">
        <v>853</v>
      </c>
      <c r="K47" s="9">
        <v>128</v>
      </c>
      <c r="L47" s="9">
        <v>0</v>
      </c>
      <c r="M47" s="9">
        <v>0</v>
      </c>
      <c r="N47" s="9">
        <v>0</v>
      </c>
      <c r="O47" s="9">
        <v>0</v>
      </c>
      <c r="P47" s="9">
        <v>512</v>
      </c>
      <c r="Q47" s="9">
        <v>766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5">
        <v>1229050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430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>
      <c r="A49" s="5">
        <v>1220847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100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50</v>
      </c>
      <c r="S49" s="9">
        <v>0</v>
      </c>
      <c r="T49" s="9">
        <v>0</v>
      </c>
      <c r="U49" s="9">
        <v>0</v>
      </c>
    </row>
    <row r="50" spans="1:21">
      <c r="A50" s="5">
        <v>1235845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486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5">
        <v>1235097</v>
      </c>
      <c r="B51" s="9">
        <v>200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300</v>
      </c>
      <c r="M51" s="9">
        <v>0</v>
      </c>
      <c r="N51" s="9">
        <v>0</v>
      </c>
      <c r="O51" s="9">
        <v>100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5">
        <v>1236600</v>
      </c>
      <c r="B52" s="9">
        <v>0</v>
      </c>
      <c r="C52" s="9">
        <v>150</v>
      </c>
      <c r="D52" s="9">
        <v>533</v>
      </c>
      <c r="E52" s="18">
        <v>316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5">
        <v>1236601</v>
      </c>
      <c r="B53" s="9">
        <v>0</v>
      </c>
      <c r="C53" s="9">
        <v>0</v>
      </c>
      <c r="D53" s="9">
        <v>0</v>
      </c>
      <c r="E53" s="18">
        <v>93</v>
      </c>
      <c r="F53" s="9">
        <v>0</v>
      </c>
      <c r="G53" s="9">
        <v>0</v>
      </c>
      <c r="H53" s="9">
        <v>50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5">
        <v>1236619</v>
      </c>
      <c r="B54" s="9">
        <v>90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5">
        <v>1236930</v>
      </c>
      <c r="B55" s="9">
        <v>398</v>
      </c>
      <c r="C55" s="9">
        <v>158</v>
      </c>
      <c r="D55" s="9">
        <v>170</v>
      </c>
      <c r="E55" s="9">
        <v>266</v>
      </c>
      <c r="F55" s="9">
        <v>0</v>
      </c>
      <c r="G55" s="9">
        <v>0</v>
      </c>
      <c r="H55" s="18">
        <v>300</v>
      </c>
      <c r="I55" s="9">
        <v>514</v>
      </c>
      <c r="J55" s="9">
        <v>300</v>
      </c>
      <c r="K55" s="9">
        <v>300</v>
      </c>
      <c r="L55" s="9">
        <v>0</v>
      </c>
      <c r="M55" s="9">
        <v>0</v>
      </c>
      <c r="N55" s="9">
        <v>0</v>
      </c>
      <c r="O55" s="9">
        <v>0</v>
      </c>
      <c r="P55" s="9">
        <v>800</v>
      </c>
      <c r="Q55" s="9">
        <v>990</v>
      </c>
      <c r="R55" s="9">
        <v>2862</v>
      </c>
      <c r="S55" s="9">
        <v>0</v>
      </c>
      <c r="T55" s="9">
        <v>0</v>
      </c>
      <c r="U55" s="9">
        <v>0</v>
      </c>
    </row>
    <row r="56" spans="1:21">
      <c r="A56" s="5">
        <v>1237210</v>
      </c>
      <c r="B56" s="9">
        <v>0</v>
      </c>
      <c r="C56" s="9">
        <v>161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131</v>
      </c>
      <c r="Q56" s="9">
        <v>64</v>
      </c>
      <c r="R56" s="9">
        <v>0</v>
      </c>
      <c r="S56" s="9">
        <v>0</v>
      </c>
      <c r="T56" s="9">
        <v>0</v>
      </c>
      <c r="U56" s="9">
        <v>0</v>
      </c>
    </row>
    <row r="57" spans="1:21">
      <c r="A57" s="5">
        <v>1237457</v>
      </c>
      <c r="B57" s="9">
        <v>0</v>
      </c>
      <c r="C57" s="9">
        <v>0</v>
      </c>
      <c r="D57" s="9">
        <v>18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5">
        <v>1237386</v>
      </c>
      <c r="B58" s="9">
        <v>0</v>
      </c>
      <c r="C58" s="9">
        <v>0</v>
      </c>
      <c r="D58" s="9">
        <v>0</v>
      </c>
      <c r="E58" s="9">
        <v>150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5">
        <v>1234905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18">
        <v>450</v>
      </c>
      <c r="I59" s="9">
        <v>700</v>
      </c>
      <c r="J59" s="9">
        <v>300</v>
      </c>
      <c r="K59" s="9">
        <v>400</v>
      </c>
      <c r="L59" s="9">
        <v>0</v>
      </c>
      <c r="M59" s="9">
        <v>0</v>
      </c>
      <c r="N59" s="9">
        <v>0</v>
      </c>
      <c r="O59" s="9">
        <v>400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>
      <c r="A60" s="5">
        <v>1238480</v>
      </c>
      <c r="B60" s="9">
        <v>1170</v>
      </c>
      <c r="C60" s="9">
        <v>853</v>
      </c>
      <c r="D60" s="9">
        <v>1169</v>
      </c>
      <c r="E60" s="18">
        <v>689</v>
      </c>
      <c r="F60" s="9">
        <v>0</v>
      </c>
      <c r="G60" s="9">
        <v>0</v>
      </c>
      <c r="H60" s="9">
        <v>350</v>
      </c>
      <c r="I60" s="9">
        <v>872</v>
      </c>
      <c r="J60" s="9">
        <v>692</v>
      </c>
      <c r="K60" s="9">
        <v>455</v>
      </c>
      <c r="L60" s="9">
        <v>343</v>
      </c>
      <c r="M60" s="9">
        <v>0</v>
      </c>
      <c r="N60" s="9">
        <v>0</v>
      </c>
      <c r="O60" s="9">
        <v>845</v>
      </c>
      <c r="P60" s="9">
        <v>735</v>
      </c>
      <c r="Q60" s="9">
        <v>297</v>
      </c>
      <c r="R60" s="9">
        <v>78</v>
      </c>
      <c r="S60" s="9">
        <v>0</v>
      </c>
      <c r="T60" s="9">
        <v>0</v>
      </c>
      <c r="U60" s="9">
        <v>0</v>
      </c>
    </row>
    <row r="61" spans="1:21">
      <c r="A61" s="5">
        <v>1232775</v>
      </c>
      <c r="B61" s="9">
        <v>196</v>
      </c>
      <c r="C61" s="9">
        <v>45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5">
        <v>1240180</v>
      </c>
      <c r="B62" s="9">
        <v>0</v>
      </c>
      <c r="C62" s="9">
        <v>93</v>
      </c>
      <c r="D62" s="9">
        <v>157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300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5">
        <v>1240184</v>
      </c>
      <c r="B63" s="9">
        <v>0</v>
      </c>
      <c r="C63" s="9">
        <v>93</v>
      </c>
      <c r="D63" s="9">
        <v>157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300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58">
        <v>1237468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324</v>
      </c>
      <c r="S64" s="9">
        <v>0</v>
      </c>
      <c r="T64" s="9">
        <v>0</v>
      </c>
      <c r="U64" s="9">
        <v>0</v>
      </c>
    </row>
    <row r="65" spans="1:21">
      <c r="A65" s="5">
        <v>1229088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48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5">
        <v>1216452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297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</row>
    <row r="67" spans="1:21">
      <c r="A67" s="5">
        <v>1231011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300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</row>
    <row r="68" spans="1:21">
      <c r="A68" s="5">
        <v>1232894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608</v>
      </c>
      <c r="J68" s="9">
        <v>853</v>
      </c>
      <c r="K68" s="9">
        <v>128</v>
      </c>
      <c r="L68" s="9">
        <v>0</v>
      </c>
      <c r="M68" s="9">
        <v>0</v>
      </c>
      <c r="N68" s="9">
        <v>0</v>
      </c>
      <c r="O68" s="9">
        <v>0</v>
      </c>
      <c r="P68" s="9">
        <v>512</v>
      </c>
      <c r="Q68" s="9">
        <v>396</v>
      </c>
      <c r="R68" s="9">
        <v>0</v>
      </c>
      <c r="S68" s="9">
        <v>0</v>
      </c>
      <c r="T68" s="9">
        <v>0</v>
      </c>
      <c r="U68" s="9">
        <v>0</v>
      </c>
    </row>
    <row r="69" spans="1:21">
      <c r="A69" s="5">
        <v>1233386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608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512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5">
        <v>1233387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600</v>
      </c>
      <c r="K70" s="9">
        <v>128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300</v>
      </c>
      <c r="R70" s="9">
        <v>0</v>
      </c>
      <c r="S70" s="9">
        <v>0</v>
      </c>
      <c r="T70" s="9">
        <v>0</v>
      </c>
      <c r="U70" s="9">
        <v>0</v>
      </c>
    </row>
    <row r="71" spans="1:21">
      <c r="A71" s="5">
        <v>1233385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253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96</v>
      </c>
      <c r="R71" s="9">
        <v>0</v>
      </c>
      <c r="S71" s="9">
        <v>0</v>
      </c>
      <c r="T71" s="9">
        <v>0</v>
      </c>
      <c r="U71" s="9">
        <v>0</v>
      </c>
    </row>
    <row r="72" spans="1:21">
      <c r="A72" s="5">
        <v>1232895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370</v>
      </c>
      <c r="R72" s="9">
        <v>0</v>
      </c>
      <c r="S72" s="9">
        <v>0</v>
      </c>
      <c r="T72" s="9">
        <v>0</v>
      </c>
      <c r="U72" s="9">
        <v>0</v>
      </c>
    </row>
    <row r="73" spans="1:21">
      <c r="A73" s="5">
        <v>1232922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370</v>
      </c>
      <c r="R73" s="9">
        <v>0</v>
      </c>
      <c r="S73" s="9">
        <v>0</v>
      </c>
      <c r="T73" s="9">
        <v>0</v>
      </c>
      <c r="U73" s="9">
        <v>0</v>
      </c>
    </row>
  </sheetData>
  <autoFilter ref="A1:U16" xr:uid="{C189686A-8195-4036-AF64-08BFD0CD0110}"/>
  <phoneticPr fontId="1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C123-55A1-4A04-B939-BFA3197D1D04}">
  <dimension ref="A1:T65"/>
  <sheetViews>
    <sheetView topLeftCell="A16" zoomScale="160" zoomScaleNormal="160" workbookViewId="0">
      <selection activeCell="J24" sqref="J24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5" style="9" bestFit="1" customWidth="1"/>
    <col min="21" max="16384" width="9.33203125" style="5"/>
  </cols>
  <sheetData>
    <row r="1" spans="1:20">
      <c r="A1" s="5" t="s">
        <v>0</v>
      </c>
      <c r="B1" s="9" t="s">
        <v>1147</v>
      </c>
      <c r="C1" s="9" t="s">
        <v>1148</v>
      </c>
      <c r="D1" s="9" t="s">
        <v>1149</v>
      </c>
      <c r="E1" s="9" t="s">
        <v>1150</v>
      </c>
      <c r="F1" s="9" t="s">
        <v>1151</v>
      </c>
      <c r="G1" s="18" t="s">
        <v>1198</v>
      </c>
      <c r="H1" s="9" t="s">
        <v>1200</v>
      </c>
      <c r="I1" s="9" t="s">
        <v>1202</v>
      </c>
      <c r="J1" s="9" t="s">
        <v>1204</v>
      </c>
      <c r="K1" s="9" t="s">
        <v>1206</v>
      </c>
      <c r="L1" s="9" t="s">
        <v>1208</v>
      </c>
      <c r="M1" s="9" t="s">
        <v>1210</v>
      </c>
      <c r="N1" s="9" t="s">
        <v>1232</v>
      </c>
      <c r="O1" s="9" t="s">
        <v>1233</v>
      </c>
      <c r="P1" s="9" t="s">
        <v>1234</v>
      </c>
      <c r="Q1" s="9" t="s">
        <v>1235</v>
      </c>
      <c r="R1" s="9" t="s">
        <v>1236</v>
      </c>
      <c r="S1" s="9" t="s">
        <v>1237</v>
      </c>
      <c r="T1" s="9" t="s">
        <v>1238</v>
      </c>
    </row>
    <row r="2" spans="1:20">
      <c r="A2" s="5">
        <v>1229673</v>
      </c>
      <c r="B2" s="9">
        <v>300</v>
      </c>
      <c r="C2" s="9">
        <v>300</v>
      </c>
      <c r="D2" s="9">
        <v>300</v>
      </c>
      <c r="E2" s="9">
        <v>0</v>
      </c>
      <c r="F2" s="9">
        <v>0</v>
      </c>
      <c r="G2" s="18">
        <v>250</v>
      </c>
      <c r="H2" s="9">
        <v>250</v>
      </c>
      <c r="I2" s="9">
        <v>250</v>
      </c>
      <c r="J2" s="9">
        <v>300</v>
      </c>
      <c r="K2" s="9">
        <v>300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</row>
    <row r="3" spans="1:20">
      <c r="A3" s="5">
        <v>1230854</v>
      </c>
      <c r="B3" s="9">
        <v>0</v>
      </c>
      <c r="C3" s="9">
        <v>0</v>
      </c>
      <c r="D3" s="9">
        <v>100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</row>
    <row r="4" spans="1:20">
      <c r="A4" s="5">
        <v>1235623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18">
        <v>508</v>
      </c>
      <c r="H4" s="9">
        <v>960</v>
      </c>
      <c r="I4" s="9">
        <v>404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</row>
    <row r="5" spans="1:20">
      <c r="A5" s="5">
        <v>1237088</v>
      </c>
      <c r="B5" s="9">
        <v>676</v>
      </c>
      <c r="C5" s="9">
        <v>466</v>
      </c>
      <c r="D5" s="9">
        <v>308</v>
      </c>
      <c r="E5" s="9">
        <v>0</v>
      </c>
      <c r="F5" s="9">
        <v>0</v>
      </c>
      <c r="G5" s="18">
        <v>574</v>
      </c>
      <c r="H5" s="9">
        <v>868</v>
      </c>
      <c r="I5" s="9">
        <v>908</v>
      </c>
      <c r="J5" s="9">
        <v>236</v>
      </c>
      <c r="K5" s="9">
        <v>76</v>
      </c>
      <c r="L5" s="9">
        <v>0</v>
      </c>
      <c r="M5" s="9">
        <v>0</v>
      </c>
      <c r="N5" s="9">
        <v>598</v>
      </c>
      <c r="O5" s="9">
        <v>518</v>
      </c>
      <c r="P5" s="9">
        <v>504</v>
      </c>
      <c r="Q5" s="9">
        <v>812</v>
      </c>
      <c r="R5" s="9">
        <v>0</v>
      </c>
      <c r="S5" s="9">
        <v>0</v>
      </c>
      <c r="T5" s="9">
        <v>0</v>
      </c>
    </row>
    <row r="6" spans="1:20">
      <c r="A6" s="5">
        <v>1236091</v>
      </c>
      <c r="B6" s="9">
        <v>0</v>
      </c>
      <c r="C6" s="9">
        <v>300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5">
        <v>1234905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136</v>
      </c>
      <c r="L7" s="9">
        <v>0</v>
      </c>
      <c r="M7" s="9">
        <v>0</v>
      </c>
      <c r="N7" s="9">
        <v>420</v>
      </c>
      <c r="O7" s="9">
        <v>420</v>
      </c>
      <c r="P7" s="9">
        <v>122</v>
      </c>
      <c r="Q7" s="9">
        <v>0</v>
      </c>
      <c r="R7" s="9">
        <v>0</v>
      </c>
      <c r="S7" s="9">
        <v>0</v>
      </c>
      <c r="T7" s="9">
        <v>0</v>
      </c>
    </row>
    <row r="8" spans="1:20">
      <c r="A8" s="5">
        <v>1237748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18">
        <v>104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</row>
    <row r="9" spans="1:20">
      <c r="A9" s="5">
        <v>1236962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18">
        <v>200</v>
      </c>
      <c r="H9" s="9">
        <v>0</v>
      </c>
      <c r="I9" s="9">
        <v>0</v>
      </c>
      <c r="J9" s="9">
        <v>308</v>
      </c>
      <c r="K9" s="9">
        <v>0</v>
      </c>
      <c r="L9" s="9">
        <v>0</v>
      </c>
      <c r="M9" s="9">
        <v>0</v>
      </c>
      <c r="N9" s="9">
        <v>344</v>
      </c>
      <c r="O9" s="9">
        <v>144</v>
      </c>
      <c r="P9" s="9">
        <v>144</v>
      </c>
      <c r="Q9" s="9">
        <v>144</v>
      </c>
      <c r="R9" s="9">
        <v>0</v>
      </c>
      <c r="S9" s="9">
        <v>0</v>
      </c>
      <c r="T9" s="9">
        <v>0</v>
      </c>
    </row>
    <row r="10" spans="1:20">
      <c r="A10" s="5">
        <v>1233761</v>
      </c>
      <c r="B10" s="9">
        <v>150</v>
      </c>
      <c r="C10" s="9">
        <v>0</v>
      </c>
      <c r="D10" s="9">
        <v>200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</row>
    <row r="11" spans="1:20">
      <c r="A11" s="5">
        <v>1239651</v>
      </c>
      <c r="B11" s="9">
        <v>0</v>
      </c>
      <c r="C11" s="9">
        <v>400</v>
      </c>
      <c r="D11" s="9">
        <v>0</v>
      </c>
      <c r="E11" s="9">
        <v>0</v>
      </c>
      <c r="F11" s="9">
        <v>0</v>
      </c>
      <c r="G11" s="9">
        <v>0</v>
      </c>
      <c r="H11" s="9">
        <v>300</v>
      </c>
      <c r="I11" s="9">
        <v>0</v>
      </c>
      <c r="J11" s="9">
        <v>150</v>
      </c>
      <c r="K11" s="9">
        <v>0</v>
      </c>
      <c r="L11" s="9">
        <v>0</v>
      </c>
      <c r="M11" s="9">
        <v>0</v>
      </c>
      <c r="N11" s="9">
        <v>150</v>
      </c>
      <c r="O11" s="9">
        <v>150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</row>
    <row r="12" spans="1:20">
      <c r="A12" s="5">
        <v>1240180</v>
      </c>
      <c r="B12" s="9">
        <v>306</v>
      </c>
      <c r="C12" s="9">
        <v>390</v>
      </c>
      <c r="D12" s="9">
        <v>306</v>
      </c>
      <c r="E12" s="9">
        <v>0</v>
      </c>
      <c r="F12" s="9">
        <v>0</v>
      </c>
      <c r="G12" s="18">
        <v>338</v>
      </c>
      <c r="H12" s="9">
        <v>430</v>
      </c>
      <c r="I12" s="9">
        <v>338</v>
      </c>
      <c r="J12" s="9">
        <v>430</v>
      </c>
      <c r="K12" s="9">
        <v>338</v>
      </c>
      <c r="L12" s="9">
        <v>0</v>
      </c>
      <c r="M12" s="9">
        <v>0</v>
      </c>
      <c r="N12" s="9">
        <v>430</v>
      </c>
      <c r="O12" s="9">
        <v>431</v>
      </c>
      <c r="P12" s="9">
        <v>320</v>
      </c>
      <c r="Q12" s="9">
        <v>430</v>
      </c>
      <c r="R12" s="9">
        <v>0</v>
      </c>
      <c r="S12" s="9">
        <v>0</v>
      </c>
      <c r="T12" s="9">
        <v>0</v>
      </c>
    </row>
    <row r="13" spans="1:20">
      <c r="A13" s="5">
        <v>1240184</v>
      </c>
      <c r="B13" s="9">
        <v>306</v>
      </c>
      <c r="C13" s="9">
        <v>390</v>
      </c>
      <c r="D13" s="9">
        <v>306</v>
      </c>
      <c r="E13" s="9">
        <v>0</v>
      </c>
      <c r="F13" s="9">
        <v>0</v>
      </c>
      <c r="G13" s="18">
        <v>338</v>
      </c>
      <c r="H13" s="9">
        <v>296</v>
      </c>
      <c r="I13" s="9">
        <v>338</v>
      </c>
      <c r="J13" s="9">
        <v>430</v>
      </c>
      <c r="K13" s="9">
        <v>338</v>
      </c>
      <c r="L13" s="9">
        <v>0</v>
      </c>
      <c r="M13" s="9">
        <v>0</v>
      </c>
      <c r="N13" s="9">
        <v>430</v>
      </c>
      <c r="O13" s="9">
        <v>431</v>
      </c>
      <c r="P13" s="9">
        <v>320</v>
      </c>
      <c r="Q13" s="9">
        <v>430</v>
      </c>
      <c r="R13" s="9">
        <v>0</v>
      </c>
      <c r="S13" s="9">
        <v>0</v>
      </c>
      <c r="T13" s="9">
        <v>0</v>
      </c>
    </row>
    <row r="14" spans="1:20">
      <c r="A14" s="5">
        <v>1240308</v>
      </c>
      <c r="B14" s="9">
        <v>0</v>
      </c>
      <c r="C14" s="9">
        <v>0</v>
      </c>
      <c r="D14" s="9">
        <v>94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300</v>
      </c>
      <c r="K14" s="9">
        <v>200</v>
      </c>
      <c r="L14" s="9">
        <v>0</v>
      </c>
      <c r="M14" s="9">
        <v>0</v>
      </c>
      <c r="N14" s="9">
        <v>200</v>
      </c>
      <c r="O14" s="9">
        <v>200</v>
      </c>
      <c r="P14" s="9">
        <v>200</v>
      </c>
      <c r="Q14" s="9">
        <v>200</v>
      </c>
      <c r="R14" s="9">
        <v>0</v>
      </c>
      <c r="S14" s="9">
        <v>0</v>
      </c>
      <c r="T14" s="9">
        <v>0</v>
      </c>
    </row>
    <row r="15" spans="1:20">
      <c r="A15" s="5">
        <v>1241601</v>
      </c>
      <c r="B15" s="9">
        <v>1352</v>
      </c>
      <c r="C15" s="9">
        <v>1704</v>
      </c>
      <c r="D15" s="9">
        <v>1112</v>
      </c>
      <c r="E15" s="9">
        <v>0</v>
      </c>
      <c r="F15" s="9">
        <v>0</v>
      </c>
      <c r="G15" s="18">
        <v>1416</v>
      </c>
      <c r="H15" s="9">
        <v>1564</v>
      </c>
      <c r="I15" s="9">
        <v>1050</v>
      </c>
      <c r="J15" s="9">
        <v>1792</v>
      </c>
      <c r="K15" s="9">
        <v>1238</v>
      </c>
      <c r="L15" s="9">
        <v>0</v>
      </c>
      <c r="M15" s="9">
        <v>0</v>
      </c>
      <c r="N15" s="9">
        <v>1182</v>
      </c>
      <c r="O15" s="9">
        <v>1210</v>
      </c>
      <c r="P15" s="9">
        <v>1382</v>
      </c>
      <c r="Q15" s="9">
        <v>2198</v>
      </c>
      <c r="R15" s="9">
        <v>0</v>
      </c>
      <c r="S15" s="9">
        <v>0</v>
      </c>
      <c r="T15" s="9">
        <v>0</v>
      </c>
    </row>
    <row r="19" spans="1:20">
      <c r="A19" s="5" t="s">
        <v>0</v>
      </c>
      <c r="B19" s="9" t="s">
        <v>1147</v>
      </c>
      <c r="C19" s="9" t="s">
        <v>1148</v>
      </c>
      <c r="D19" s="9" t="s">
        <v>1149</v>
      </c>
      <c r="E19" s="9" t="s">
        <v>1150</v>
      </c>
      <c r="F19" s="9" t="s">
        <v>1151</v>
      </c>
      <c r="G19" s="9" t="s">
        <v>1198</v>
      </c>
      <c r="H19" s="9" t="s">
        <v>1200</v>
      </c>
      <c r="I19" s="9" t="s">
        <v>1202</v>
      </c>
      <c r="J19" s="9" t="s">
        <v>1204</v>
      </c>
      <c r="K19" s="9" t="s">
        <v>1206</v>
      </c>
      <c r="L19" s="9" t="s">
        <v>1208</v>
      </c>
      <c r="M19" s="9" t="s">
        <v>1210</v>
      </c>
      <c r="N19" s="9" t="s">
        <v>1232</v>
      </c>
      <c r="O19" s="9" t="s">
        <v>1233</v>
      </c>
      <c r="P19" s="9" t="s">
        <v>1234</v>
      </c>
      <c r="Q19" s="9" t="s">
        <v>1235</v>
      </c>
      <c r="R19" s="9" t="s">
        <v>1236</v>
      </c>
      <c r="S19" s="9" t="s">
        <v>1237</v>
      </c>
      <c r="T19" s="9" t="s">
        <v>1238</v>
      </c>
    </row>
    <row r="20" spans="1:20">
      <c r="A20" s="5">
        <v>1232846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44</v>
      </c>
      <c r="J20" s="9">
        <v>0</v>
      </c>
      <c r="K20" s="9">
        <v>352</v>
      </c>
      <c r="L20" s="9">
        <v>0</v>
      </c>
      <c r="M20" s="9">
        <v>0</v>
      </c>
      <c r="N20" s="9">
        <v>352</v>
      </c>
      <c r="O20" s="9">
        <v>352</v>
      </c>
      <c r="P20" s="9">
        <v>329</v>
      </c>
      <c r="Q20" s="9">
        <v>0</v>
      </c>
      <c r="R20" s="9">
        <v>0</v>
      </c>
      <c r="S20" s="9">
        <v>0</v>
      </c>
      <c r="T20" s="9">
        <v>0</v>
      </c>
    </row>
    <row r="21" spans="1:20">
      <c r="A21" s="5">
        <v>1232895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44</v>
      </c>
      <c r="J21" s="9">
        <v>0</v>
      </c>
      <c r="K21" s="9">
        <v>352</v>
      </c>
      <c r="L21" s="9">
        <v>0</v>
      </c>
      <c r="M21" s="9">
        <v>0</v>
      </c>
      <c r="N21" s="9">
        <v>352</v>
      </c>
      <c r="O21" s="9">
        <v>352</v>
      </c>
      <c r="P21" s="9">
        <v>329</v>
      </c>
      <c r="Q21" s="9">
        <v>0</v>
      </c>
      <c r="R21" s="9">
        <v>0</v>
      </c>
      <c r="S21" s="9">
        <v>0</v>
      </c>
      <c r="T21" s="9">
        <v>0</v>
      </c>
    </row>
    <row r="22" spans="1:20">
      <c r="A22" s="5">
        <v>1233384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44</v>
      </c>
      <c r="J22" s="9">
        <v>0</v>
      </c>
      <c r="K22" s="9">
        <v>352</v>
      </c>
      <c r="L22" s="9">
        <v>0</v>
      </c>
      <c r="M22" s="9">
        <v>0</v>
      </c>
      <c r="N22" s="9">
        <v>352</v>
      </c>
      <c r="O22" s="9">
        <v>352</v>
      </c>
      <c r="P22" s="9">
        <v>329</v>
      </c>
      <c r="Q22" s="9">
        <v>0</v>
      </c>
      <c r="R22" s="9">
        <v>0</v>
      </c>
      <c r="S22" s="9">
        <v>0</v>
      </c>
      <c r="T22" s="9">
        <v>0</v>
      </c>
    </row>
    <row r="23" spans="1:20">
      <c r="A23" s="5">
        <v>1236110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18">
        <v>100</v>
      </c>
      <c r="I23" s="18">
        <v>200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</row>
    <row r="24" spans="1:20">
      <c r="A24" s="5">
        <v>1236387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113</v>
      </c>
      <c r="L24" s="9">
        <v>0</v>
      </c>
      <c r="M24" s="9">
        <v>0</v>
      </c>
      <c r="N24" s="9">
        <v>367</v>
      </c>
      <c r="O24" s="9">
        <v>367</v>
      </c>
      <c r="P24" s="9">
        <v>53</v>
      </c>
      <c r="Q24" s="9">
        <v>0</v>
      </c>
      <c r="R24" s="9">
        <v>0</v>
      </c>
      <c r="S24" s="9">
        <v>0</v>
      </c>
      <c r="T24" s="9">
        <v>0</v>
      </c>
    </row>
    <row r="25" spans="1:20">
      <c r="A25" s="5">
        <v>1232775</v>
      </c>
      <c r="B25" s="98">
        <v>0</v>
      </c>
      <c r="C25" s="98">
        <v>159</v>
      </c>
      <c r="D25" s="98">
        <v>484</v>
      </c>
      <c r="E25" s="9">
        <v>0</v>
      </c>
      <c r="F25" s="9">
        <v>0</v>
      </c>
      <c r="G25" s="18">
        <v>487</v>
      </c>
      <c r="H25" s="18">
        <v>421</v>
      </c>
      <c r="I25" s="18">
        <v>275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181</v>
      </c>
      <c r="Q25" s="9">
        <v>0</v>
      </c>
      <c r="R25" s="9">
        <v>0</v>
      </c>
      <c r="S25" s="9">
        <v>0</v>
      </c>
      <c r="T25" s="9">
        <v>0</v>
      </c>
    </row>
    <row r="26" spans="1:20">
      <c r="A26" s="5">
        <v>1230685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183</v>
      </c>
      <c r="J26" s="9">
        <v>0</v>
      </c>
      <c r="K26" s="9">
        <v>217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</row>
    <row r="27" spans="1:20">
      <c r="A27" s="5">
        <v>1238605</v>
      </c>
      <c r="B27" s="98">
        <v>187</v>
      </c>
      <c r="C27" s="98">
        <v>58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</row>
    <row r="32" spans="1:20">
      <c r="A32" s="74" t="s">
        <v>0</v>
      </c>
      <c r="B32" s="69" t="s">
        <v>1147</v>
      </c>
      <c r="C32" s="69" t="s">
        <v>1148</v>
      </c>
      <c r="D32" s="69" t="s">
        <v>1149</v>
      </c>
      <c r="E32" s="69" t="s">
        <v>1150</v>
      </c>
      <c r="F32" s="70" t="s">
        <v>1151</v>
      </c>
      <c r="G32" s="69" t="s">
        <v>1198</v>
      </c>
      <c r="H32" s="69" t="s">
        <v>1200</v>
      </c>
      <c r="I32" s="69" t="s">
        <v>1202</v>
      </c>
      <c r="J32" s="69" t="s">
        <v>1204</v>
      </c>
      <c r="K32" s="69" t="s">
        <v>1206</v>
      </c>
      <c r="L32" s="69" t="s">
        <v>1208</v>
      </c>
      <c r="M32" s="70" t="s">
        <v>1210</v>
      </c>
      <c r="N32" s="69" t="s">
        <v>1232</v>
      </c>
      <c r="O32" s="69" t="s">
        <v>1233</v>
      </c>
      <c r="P32" s="69" t="s">
        <v>1234</v>
      </c>
      <c r="Q32" s="69" t="s">
        <v>1235</v>
      </c>
      <c r="R32" s="69" t="s">
        <v>1236</v>
      </c>
      <c r="S32" s="69" t="s">
        <v>1237</v>
      </c>
      <c r="T32" s="70" t="s">
        <v>1238</v>
      </c>
    </row>
    <row r="33" spans="1:20">
      <c r="A33" s="30">
        <v>1221967</v>
      </c>
      <c r="B33" s="32">
        <v>0</v>
      </c>
      <c r="C33" s="32">
        <v>0</v>
      </c>
      <c r="D33" s="32">
        <v>0</v>
      </c>
      <c r="E33" s="32">
        <v>0</v>
      </c>
      <c r="F33" s="32">
        <v>0</v>
      </c>
      <c r="G33" s="32">
        <v>225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</row>
    <row r="34" spans="1:20">
      <c r="A34" s="30">
        <v>1234614</v>
      </c>
      <c r="B34" s="32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285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315</v>
      </c>
      <c r="R34" s="32">
        <v>0</v>
      </c>
      <c r="S34" s="32">
        <v>0</v>
      </c>
      <c r="T34" s="32">
        <v>0</v>
      </c>
    </row>
    <row r="35" spans="1:20">
      <c r="A35" s="30">
        <v>1227306</v>
      </c>
      <c r="B35" s="32">
        <v>230</v>
      </c>
      <c r="C35" s="32">
        <v>487</v>
      </c>
      <c r="D35" s="32">
        <v>118</v>
      </c>
      <c r="E35" s="32">
        <v>0</v>
      </c>
      <c r="F35" s="32">
        <v>0</v>
      </c>
      <c r="G35" s="32">
        <v>41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</row>
    <row r="36" spans="1:20">
      <c r="A36" s="30">
        <v>1229776</v>
      </c>
      <c r="B36" s="32">
        <v>0</v>
      </c>
      <c r="C36" s="32">
        <v>0</v>
      </c>
      <c r="D36" s="32">
        <v>115</v>
      </c>
      <c r="E36" s="32">
        <v>0</v>
      </c>
      <c r="F36" s="32">
        <v>0</v>
      </c>
      <c r="G36" s="32">
        <v>60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</row>
    <row r="37" spans="1:20">
      <c r="A37" s="30">
        <v>1231090</v>
      </c>
      <c r="B37" s="32">
        <v>199</v>
      </c>
      <c r="C37" s="32">
        <v>0</v>
      </c>
      <c r="D37" s="32">
        <v>115</v>
      </c>
      <c r="E37" s="32">
        <v>0</v>
      </c>
      <c r="F37" s="32">
        <v>0</v>
      </c>
      <c r="G37" s="32">
        <v>60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510</v>
      </c>
      <c r="Q37" s="32">
        <v>367</v>
      </c>
      <c r="R37" s="32">
        <v>0</v>
      </c>
      <c r="S37" s="32">
        <v>0</v>
      </c>
      <c r="T37" s="32">
        <v>0</v>
      </c>
    </row>
    <row r="38" spans="1:20">
      <c r="A38" s="30">
        <v>1232066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108</v>
      </c>
      <c r="R38" s="32">
        <v>0</v>
      </c>
      <c r="S38" s="32">
        <v>0</v>
      </c>
      <c r="T38" s="32">
        <v>0</v>
      </c>
    </row>
    <row r="39" spans="1:20">
      <c r="A39" s="30">
        <v>1232693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152</v>
      </c>
      <c r="L39" s="32">
        <v>0</v>
      </c>
      <c r="M39" s="32">
        <v>0</v>
      </c>
      <c r="N39" s="32">
        <v>625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</row>
    <row r="40" spans="1:20">
      <c r="A40" s="30">
        <v>1233025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152</v>
      </c>
      <c r="L40" s="32">
        <v>0</v>
      </c>
      <c r="M40" s="32">
        <v>0</v>
      </c>
      <c r="N40" s="32">
        <v>625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</row>
    <row r="41" spans="1:20">
      <c r="A41" s="30">
        <v>1232528</v>
      </c>
      <c r="B41" s="32">
        <v>539</v>
      </c>
      <c r="C41" s="32">
        <v>686</v>
      </c>
      <c r="D41" s="32">
        <v>740</v>
      </c>
      <c r="E41" s="32">
        <v>0</v>
      </c>
      <c r="F41" s="32">
        <v>0</v>
      </c>
      <c r="G41" s="32">
        <v>978</v>
      </c>
      <c r="H41" s="32">
        <v>794</v>
      </c>
      <c r="I41" s="32">
        <v>639</v>
      </c>
      <c r="J41" s="32">
        <v>1696</v>
      </c>
      <c r="K41" s="32">
        <v>1518</v>
      </c>
      <c r="L41" s="32">
        <v>0</v>
      </c>
      <c r="M41" s="32">
        <v>0</v>
      </c>
      <c r="N41" s="32">
        <v>1715</v>
      </c>
      <c r="O41" s="32">
        <v>1646</v>
      </c>
      <c r="P41" s="32">
        <v>1251</v>
      </c>
      <c r="Q41" s="32">
        <v>1413</v>
      </c>
      <c r="R41" s="32">
        <v>0</v>
      </c>
      <c r="S41" s="32">
        <v>0</v>
      </c>
      <c r="T41" s="32">
        <v>0</v>
      </c>
    </row>
    <row r="42" spans="1:20">
      <c r="A42" s="30">
        <v>1232846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488</v>
      </c>
      <c r="I42" s="32">
        <v>513</v>
      </c>
      <c r="J42" s="32">
        <v>588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370</v>
      </c>
      <c r="Q42" s="32">
        <v>0</v>
      </c>
      <c r="R42" s="32">
        <v>0</v>
      </c>
      <c r="S42" s="32">
        <v>0</v>
      </c>
      <c r="T42" s="32">
        <v>0</v>
      </c>
    </row>
    <row r="43" spans="1:20">
      <c r="A43" s="30">
        <v>1220847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83</v>
      </c>
      <c r="H43" s="32">
        <v>17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50</v>
      </c>
      <c r="R43" s="32">
        <v>0</v>
      </c>
      <c r="S43" s="32">
        <v>0</v>
      </c>
      <c r="T43" s="32">
        <v>0</v>
      </c>
    </row>
    <row r="44" spans="1:20">
      <c r="A44" s="30">
        <v>1235845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407</v>
      </c>
      <c r="H44" s="32">
        <v>79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</row>
    <row r="45" spans="1:20">
      <c r="A45" s="30">
        <v>1235097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103</v>
      </c>
      <c r="L45" s="32">
        <v>0</v>
      </c>
      <c r="M45" s="32">
        <v>0</v>
      </c>
      <c r="N45" s="32">
        <v>297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</row>
    <row r="46" spans="1:20">
      <c r="A46" s="30">
        <v>1236600</v>
      </c>
      <c r="B46" s="32">
        <v>150</v>
      </c>
      <c r="C46" s="32">
        <v>533</v>
      </c>
      <c r="D46" s="32">
        <v>316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</row>
    <row r="47" spans="1:20">
      <c r="A47" s="30">
        <v>1236601</v>
      </c>
      <c r="B47" s="32">
        <v>0</v>
      </c>
      <c r="C47" s="32">
        <v>0</v>
      </c>
      <c r="D47" s="32">
        <v>93</v>
      </c>
      <c r="E47" s="32">
        <v>0</v>
      </c>
      <c r="F47" s="32">
        <v>0</v>
      </c>
      <c r="G47" s="32">
        <v>50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</row>
    <row r="48" spans="1:20">
      <c r="A48" s="30">
        <v>1236930</v>
      </c>
      <c r="B48" s="32">
        <v>158</v>
      </c>
      <c r="C48" s="32">
        <v>170</v>
      </c>
      <c r="D48" s="32">
        <v>266</v>
      </c>
      <c r="E48" s="32">
        <v>0</v>
      </c>
      <c r="F48" s="32">
        <v>0</v>
      </c>
      <c r="G48" s="32">
        <v>267</v>
      </c>
      <c r="H48" s="32">
        <v>334</v>
      </c>
      <c r="I48" s="32">
        <v>223</v>
      </c>
      <c r="J48" s="32">
        <v>284</v>
      </c>
      <c r="K48" s="32">
        <v>133</v>
      </c>
      <c r="L48" s="32">
        <v>0</v>
      </c>
      <c r="M48" s="32">
        <v>0</v>
      </c>
      <c r="N48" s="32">
        <v>0</v>
      </c>
      <c r="O48" s="32">
        <v>700</v>
      </c>
      <c r="P48" s="32">
        <v>890</v>
      </c>
      <c r="Q48" s="32">
        <v>1206</v>
      </c>
      <c r="R48" s="32">
        <v>0</v>
      </c>
      <c r="S48" s="32">
        <v>0</v>
      </c>
      <c r="T48" s="32">
        <v>0</v>
      </c>
    </row>
    <row r="49" spans="1:20">
      <c r="A49" s="30">
        <v>1237210</v>
      </c>
      <c r="B49" s="32">
        <v>161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131</v>
      </c>
      <c r="P49" s="32">
        <v>64</v>
      </c>
      <c r="Q49" s="32">
        <v>0</v>
      </c>
      <c r="R49" s="32">
        <v>0</v>
      </c>
      <c r="S49" s="32">
        <v>0</v>
      </c>
      <c r="T49" s="32">
        <v>0</v>
      </c>
    </row>
    <row r="50" spans="1:20">
      <c r="A50" s="30">
        <v>1237457</v>
      </c>
      <c r="B50" s="32">
        <v>0</v>
      </c>
      <c r="C50" s="32">
        <v>18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</row>
    <row r="51" spans="1:20">
      <c r="A51" s="30">
        <v>1237386</v>
      </c>
      <c r="B51" s="32">
        <v>0</v>
      </c>
      <c r="C51" s="32">
        <v>0</v>
      </c>
      <c r="D51" s="32">
        <v>150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</row>
    <row r="52" spans="1:20">
      <c r="A52" s="30">
        <v>1234905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324</v>
      </c>
      <c r="H52" s="32">
        <v>483</v>
      </c>
      <c r="I52" s="32">
        <v>297</v>
      </c>
      <c r="J52" s="32">
        <v>395</v>
      </c>
      <c r="K52" s="32">
        <v>311</v>
      </c>
      <c r="L52" s="32">
        <v>0</v>
      </c>
      <c r="M52" s="32">
        <v>0</v>
      </c>
      <c r="N52" s="32">
        <v>357</v>
      </c>
      <c r="O52" s="32">
        <v>200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</row>
    <row r="53" spans="1:20">
      <c r="A53" s="30">
        <v>1238480</v>
      </c>
      <c r="B53" s="32">
        <v>853</v>
      </c>
      <c r="C53" s="32">
        <v>1169</v>
      </c>
      <c r="D53" s="32">
        <v>689</v>
      </c>
      <c r="E53" s="32">
        <v>0</v>
      </c>
      <c r="F53" s="32">
        <v>0</v>
      </c>
      <c r="G53" s="32">
        <v>343</v>
      </c>
      <c r="H53" s="32">
        <v>802</v>
      </c>
      <c r="I53" s="32">
        <v>686</v>
      </c>
      <c r="J53" s="32">
        <v>501</v>
      </c>
      <c r="K53" s="32">
        <v>339</v>
      </c>
      <c r="L53" s="32">
        <v>0</v>
      </c>
      <c r="M53" s="32">
        <v>0</v>
      </c>
      <c r="N53" s="32">
        <v>476</v>
      </c>
      <c r="O53" s="32">
        <v>814</v>
      </c>
      <c r="P53" s="32">
        <v>635</v>
      </c>
      <c r="Q53" s="32">
        <v>476</v>
      </c>
      <c r="R53" s="32">
        <v>0</v>
      </c>
      <c r="S53" s="32">
        <v>0</v>
      </c>
      <c r="T53" s="32">
        <v>0</v>
      </c>
    </row>
    <row r="54" spans="1:20">
      <c r="A54" s="30">
        <v>1232775</v>
      </c>
      <c r="B54" s="32">
        <v>45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</row>
    <row r="55" spans="1:20">
      <c r="A55" s="30">
        <v>1240180</v>
      </c>
      <c r="B55" s="32">
        <v>93</v>
      </c>
      <c r="C55" s="32">
        <v>157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</row>
    <row r="56" spans="1:20">
      <c r="A56" s="30">
        <v>1240184</v>
      </c>
      <c r="B56" s="32">
        <v>93</v>
      </c>
      <c r="C56" s="32">
        <v>157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</row>
    <row r="57" spans="1:20">
      <c r="A57" s="30">
        <v>1237468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324</v>
      </c>
      <c r="R57" s="32">
        <v>0</v>
      </c>
      <c r="S57" s="32">
        <v>0</v>
      </c>
      <c r="T57" s="32">
        <v>0</v>
      </c>
    </row>
    <row r="58" spans="1:20">
      <c r="A58" s="30">
        <v>1229088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48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</row>
    <row r="59" spans="1:20">
      <c r="A59" s="30">
        <v>1231011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210</v>
      </c>
      <c r="J59" s="32">
        <v>90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</row>
    <row r="60" spans="1:20">
      <c r="A60" s="30">
        <v>1232894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488</v>
      </c>
      <c r="I60" s="32">
        <v>513</v>
      </c>
      <c r="J60" s="32">
        <v>588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</row>
    <row r="61" spans="1:20">
      <c r="A61" s="30">
        <v>1233386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488</v>
      </c>
      <c r="I61" s="32">
        <v>120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</row>
    <row r="62" spans="1:20">
      <c r="A62" s="30">
        <v>1233387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140</v>
      </c>
      <c r="J62" s="32">
        <v>588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</row>
    <row r="63" spans="1:20">
      <c r="A63" s="30">
        <v>1233385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253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</row>
    <row r="64" spans="1:20">
      <c r="A64" s="30">
        <v>1232895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370</v>
      </c>
      <c r="Q64" s="32">
        <v>0</v>
      </c>
      <c r="R64" s="32">
        <v>0</v>
      </c>
      <c r="S64" s="32">
        <v>0</v>
      </c>
      <c r="T64" s="32">
        <v>0</v>
      </c>
    </row>
    <row r="65" spans="1:20">
      <c r="A65" s="30">
        <v>1232922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370</v>
      </c>
      <c r="Q65" s="32">
        <v>0</v>
      </c>
      <c r="R65" s="32">
        <v>0</v>
      </c>
      <c r="S65" s="32">
        <v>0</v>
      </c>
      <c r="T65" s="32">
        <v>0</v>
      </c>
    </row>
  </sheetData>
  <autoFilter ref="A1:T15" xr:uid="{D524C123-55A1-4A04-B939-BFA3197D1D04}"/>
  <phoneticPr fontId="1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0E0D-BA56-41AB-9541-D736BD266FF5}">
  <sheetPr>
    <tabColor rgb="FFFFFF00"/>
  </sheetPr>
  <dimension ref="A1:L94"/>
  <sheetViews>
    <sheetView topLeftCell="A21" zoomScale="145" zoomScaleNormal="145" workbookViewId="0">
      <selection activeCell="F39" sqref="F39"/>
    </sheetView>
  </sheetViews>
  <sheetFormatPr defaultColWidth="9.33203125" defaultRowHeight="12"/>
  <cols>
    <col min="1" max="1" width="9.5" style="5" bestFit="1" customWidth="1"/>
    <col min="2" max="2" width="10.1640625" style="5" bestFit="1" customWidth="1"/>
    <col min="3" max="12" width="11.83203125" style="9" customWidth="1"/>
    <col min="13" max="16384" width="9.33203125" style="5"/>
  </cols>
  <sheetData>
    <row r="1" spans="1:12" s="33" customFormat="1">
      <c r="A1" s="300"/>
      <c r="B1" s="300" t="s">
        <v>0</v>
      </c>
      <c r="C1" s="114" t="s">
        <v>876</v>
      </c>
      <c r="D1" s="114" t="s">
        <v>902</v>
      </c>
      <c r="E1" s="114" t="s">
        <v>927</v>
      </c>
      <c r="F1" s="114" t="s">
        <v>939</v>
      </c>
      <c r="G1" s="114" t="s">
        <v>997</v>
      </c>
      <c r="H1" s="114" t="s">
        <v>1045</v>
      </c>
      <c r="I1" s="114" t="s">
        <v>1089</v>
      </c>
      <c r="J1" s="114" t="s">
        <v>1152</v>
      </c>
      <c r="K1" s="114" t="s">
        <v>1212</v>
      </c>
      <c r="L1" s="114" t="s">
        <v>1239</v>
      </c>
    </row>
    <row r="2" spans="1:12" s="33" customFormat="1">
      <c r="A2" s="300"/>
      <c r="B2" s="301"/>
      <c r="C2" s="60" t="s">
        <v>877</v>
      </c>
      <c r="D2" s="60" t="s">
        <v>903</v>
      </c>
      <c r="E2" s="60" t="s">
        <v>928</v>
      </c>
      <c r="F2" s="60" t="s">
        <v>998</v>
      </c>
      <c r="G2" s="60" t="s">
        <v>999</v>
      </c>
      <c r="H2" s="60" t="s">
        <v>1046</v>
      </c>
      <c r="I2" s="60" t="s">
        <v>1090</v>
      </c>
      <c r="J2" s="60" t="s">
        <v>1153</v>
      </c>
      <c r="K2" s="60" t="s">
        <v>1213</v>
      </c>
      <c r="L2" s="60" t="s">
        <v>1240</v>
      </c>
    </row>
    <row r="3" spans="1:12">
      <c r="A3" s="29"/>
      <c r="B3" s="30">
        <v>1226384</v>
      </c>
      <c r="C3" s="32">
        <v>1060</v>
      </c>
      <c r="D3" s="32">
        <v>0</v>
      </c>
      <c r="E3" s="32">
        <v>0</v>
      </c>
      <c r="F3" s="32">
        <v>453</v>
      </c>
      <c r="G3" s="32">
        <v>936</v>
      </c>
      <c r="H3" s="32">
        <v>712</v>
      </c>
      <c r="I3" s="32">
        <v>0</v>
      </c>
      <c r="J3" s="32">
        <v>845</v>
      </c>
      <c r="K3" s="32">
        <v>0</v>
      </c>
      <c r="L3" s="32">
        <v>0</v>
      </c>
    </row>
    <row r="4" spans="1:12">
      <c r="A4" s="29"/>
      <c r="B4" s="30">
        <v>1226388</v>
      </c>
      <c r="C4" s="32">
        <v>1060</v>
      </c>
      <c r="D4" s="32">
        <v>0</v>
      </c>
      <c r="E4" s="32">
        <v>0</v>
      </c>
      <c r="F4" s="32">
        <v>453</v>
      </c>
      <c r="G4" s="32">
        <v>936</v>
      </c>
      <c r="H4" s="32">
        <v>712</v>
      </c>
      <c r="I4" s="32">
        <v>0</v>
      </c>
      <c r="J4" s="32">
        <v>845</v>
      </c>
      <c r="K4" s="32">
        <v>0</v>
      </c>
      <c r="L4" s="32">
        <v>0</v>
      </c>
    </row>
    <row r="5" spans="1:12">
      <c r="A5" s="29"/>
      <c r="B5" s="30">
        <v>1229673</v>
      </c>
      <c r="C5" s="32">
        <v>1000</v>
      </c>
      <c r="D5" s="32">
        <v>1000</v>
      </c>
      <c r="E5" s="32">
        <v>800</v>
      </c>
      <c r="F5" s="32">
        <v>800</v>
      </c>
      <c r="G5" s="32">
        <v>800</v>
      </c>
      <c r="H5" s="32">
        <v>1000</v>
      </c>
      <c r="I5" s="32">
        <v>1000</v>
      </c>
      <c r="J5" s="32">
        <v>0</v>
      </c>
      <c r="K5" s="32">
        <v>700</v>
      </c>
      <c r="L5" s="32">
        <v>700</v>
      </c>
    </row>
    <row r="6" spans="1:12">
      <c r="A6" s="29"/>
      <c r="B6" s="30">
        <v>1230692</v>
      </c>
      <c r="C6" s="32">
        <v>700</v>
      </c>
      <c r="D6" s="32">
        <v>600</v>
      </c>
      <c r="E6" s="32">
        <v>600</v>
      </c>
      <c r="F6" s="32">
        <v>600</v>
      </c>
      <c r="G6" s="32">
        <v>900</v>
      </c>
      <c r="H6" s="32">
        <v>900</v>
      </c>
      <c r="I6" s="32">
        <v>900</v>
      </c>
      <c r="J6" s="32">
        <v>800</v>
      </c>
      <c r="K6" s="32">
        <v>900</v>
      </c>
      <c r="L6" s="32">
        <v>900</v>
      </c>
    </row>
    <row r="7" spans="1:12">
      <c r="A7" s="29"/>
      <c r="B7" s="30">
        <v>1230696</v>
      </c>
      <c r="C7" s="32">
        <v>100</v>
      </c>
      <c r="D7" s="32">
        <v>200</v>
      </c>
      <c r="E7" s="32">
        <v>100</v>
      </c>
      <c r="F7" s="32">
        <v>100</v>
      </c>
      <c r="G7" s="32">
        <v>200</v>
      </c>
      <c r="H7" s="32">
        <v>200</v>
      </c>
      <c r="I7" s="32">
        <v>100</v>
      </c>
      <c r="J7" s="32">
        <v>0</v>
      </c>
      <c r="K7" s="32">
        <v>200</v>
      </c>
      <c r="L7" s="32">
        <v>200</v>
      </c>
    </row>
    <row r="8" spans="1:12">
      <c r="A8" s="29"/>
      <c r="B8" s="30">
        <v>1230854</v>
      </c>
      <c r="C8" s="32">
        <v>200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400</v>
      </c>
      <c r="J8" s="32">
        <v>0</v>
      </c>
      <c r="K8" s="32">
        <v>0</v>
      </c>
      <c r="L8" s="32">
        <v>0</v>
      </c>
    </row>
    <row r="9" spans="1:12">
      <c r="A9" s="29"/>
      <c r="B9" s="30">
        <v>1231898</v>
      </c>
      <c r="C9" s="32">
        <v>1792</v>
      </c>
      <c r="D9" s="32">
        <v>1344</v>
      </c>
      <c r="E9" s="32">
        <v>1344</v>
      </c>
      <c r="F9" s="32">
        <v>1344</v>
      </c>
      <c r="G9" s="32">
        <v>1304</v>
      </c>
      <c r="H9" s="32">
        <v>2240</v>
      </c>
      <c r="I9" s="32">
        <v>896</v>
      </c>
      <c r="J9" s="32">
        <v>896</v>
      </c>
      <c r="K9" s="32">
        <v>1304</v>
      </c>
      <c r="L9" s="32">
        <v>2240</v>
      </c>
    </row>
    <row r="10" spans="1:12">
      <c r="A10" s="29"/>
      <c r="B10" s="30">
        <v>1233492</v>
      </c>
      <c r="C10" s="32">
        <v>500</v>
      </c>
      <c r="D10" s="32">
        <v>500</v>
      </c>
      <c r="E10" s="32">
        <v>0</v>
      </c>
      <c r="F10" s="32">
        <v>0</v>
      </c>
      <c r="G10" s="32">
        <v>500</v>
      </c>
      <c r="H10" s="32">
        <v>500</v>
      </c>
      <c r="I10" s="32">
        <v>500</v>
      </c>
      <c r="J10" s="32">
        <v>500</v>
      </c>
      <c r="K10" s="32">
        <v>500</v>
      </c>
      <c r="L10" s="32">
        <v>500</v>
      </c>
    </row>
    <row r="11" spans="1:12">
      <c r="A11" s="29"/>
      <c r="B11" s="30">
        <v>1233498</v>
      </c>
      <c r="C11" s="32">
        <v>500</v>
      </c>
      <c r="D11" s="32">
        <v>500</v>
      </c>
      <c r="E11" s="32">
        <v>0</v>
      </c>
      <c r="F11" s="32">
        <v>0</v>
      </c>
      <c r="G11" s="32">
        <v>500</v>
      </c>
      <c r="H11" s="32">
        <v>500</v>
      </c>
      <c r="I11" s="32">
        <v>500</v>
      </c>
      <c r="J11" s="32">
        <v>500</v>
      </c>
      <c r="K11" s="32">
        <v>500</v>
      </c>
      <c r="L11" s="32">
        <v>500</v>
      </c>
    </row>
    <row r="12" spans="1:12">
      <c r="A12" s="29"/>
      <c r="B12" s="30">
        <v>1233623</v>
      </c>
      <c r="C12" s="32">
        <v>500</v>
      </c>
      <c r="D12" s="32">
        <v>500</v>
      </c>
      <c r="E12" s="32">
        <v>0</v>
      </c>
      <c r="F12" s="32">
        <v>0</v>
      </c>
      <c r="G12" s="32">
        <v>500</v>
      </c>
      <c r="H12" s="32">
        <v>500</v>
      </c>
      <c r="I12" s="32">
        <v>500</v>
      </c>
      <c r="J12" s="32">
        <v>500</v>
      </c>
      <c r="K12" s="32">
        <v>500</v>
      </c>
      <c r="L12" s="32">
        <v>500</v>
      </c>
    </row>
    <row r="13" spans="1:12">
      <c r="A13" s="29"/>
      <c r="B13" s="30">
        <v>1233761</v>
      </c>
      <c r="C13" s="32">
        <v>0</v>
      </c>
      <c r="D13" s="32">
        <v>150</v>
      </c>
      <c r="E13" s="32">
        <v>200</v>
      </c>
      <c r="F13" s="32">
        <v>100</v>
      </c>
      <c r="G13" s="32">
        <v>0</v>
      </c>
      <c r="H13" s="32">
        <v>100</v>
      </c>
      <c r="I13" s="32">
        <v>150</v>
      </c>
      <c r="J13" s="32">
        <v>100</v>
      </c>
      <c r="K13" s="32">
        <v>0</v>
      </c>
      <c r="L13" s="32">
        <v>100</v>
      </c>
    </row>
    <row r="14" spans="1:12">
      <c r="A14" s="29"/>
      <c r="B14" s="30">
        <v>1233877</v>
      </c>
      <c r="C14" s="32">
        <v>0</v>
      </c>
      <c r="D14" s="32">
        <v>0</v>
      </c>
      <c r="E14" s="32">
        <v>120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</row>
    <row r="15" spans="1:12">
      <c r="A15" s="29"/>
      <c r="B15" s="30">
        <v>1235623</v>
      </c>
      <c r="C15" s="32">
        <v>0</v>
      </c>
      <c r="D15" s="32">
        <v>936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1872</v>
      </c>
      <c r="L15" s="32">
        <v>0</v>
      </c>
    </row>
    <row r="16" spans="1:12">
      <c r="A16" s="29"/>
      <c r="B16" s="30">
        <v>1236091</v>
      </c>
      <c r="C16" s="32">
        <v>250</v>
      </c>
      <c r="D16" s="32">
        <v>250</v>
      </c>
      <c r="E16" s="32">
        <v>0</v>
      </c>
      <c r="F16" s="32">
        <v>0</v>
      </c>
      <c r="G16" s="32">
        <v>0</v>
      </c>
      <c r="H16" s="32">
        <v>200</v>
      </c>
      <c r="I16" s="32">
        <v>200</v>
      </c>
      <c r="J16" s="32">
        <v>0</v>
      </c>
      <c r="K16" s="32">
        <v>0</v>
      </c>
      <c r="L16" s="32">
        <v>200</v>
      </c>
    </row>
    <row r="17" spans="1:12">
      <c r="A17" s="29"/>
      <c r="B17" s="30">
        <v>1236488</v>
      </c>
      <c r="C17" s="32">
        <v>700</v>
      </c>
      <c r="D17" s="32">
        <v>700</v>
      </c>
      <c r="E17" s="32">
        <v>700</v>
      </c>
      <c r="F17" s="32">
        <v>600</v>
      </c>
      <c r="G17" s="32">
        <v>700</v>
      </c>
      <c r="H17" s="32">
        <v>800</v>
      </c>
      <c r="I17" s="32">
        <v>800</v>
      </c>
      <c r="J17" s="32">
        <v>700</v>
      </c>
      <c r="K17" s="32">
        <v>700</v>
      </c>
      <c r="L17" s="32">
        <v>700</v>
      </c>
    </row>
    <row r="18" spans="1:12">
      <c r="A18" s="29"/>
      <c r="B18" s="30">
        <v>1236534</v>
      </c>
      <c r="C18" s="32">
        <v>300</v>
      </c>
      <c r="D18" s="32">
        <v>200</v>
      </c>
      <c r="E18" s="32">
        <v>0</v>
      </c>
      <c r="F18" s="32">
        <v>0</v>
      </c>
      <c r="G18" s="32">
        <v>300</v>
      </c>
      <c r="H18" s="32">
        <v>200</v>
      </c>
      <c r="I18" s="32">
        <v>0</v>
      </c>
      <c r="J18" s="32">
        <v>0</v>
      </c>
      <c r="K18" s="32">
        <v>300</v>
      </c>
      <c r="L18" s="32">
        <v>200</v>
      </c>
    </row>
    <row r="19" spans="1:12">
      <c r="A19" s="29"/>
      <c r="B19" s="30">
        <v>1236962</v>
      </c>
      <c r="C19" s="32">
        <v>692</v>
      </c>
      <c r="D19" s="32">
        <v>700</v>
      </c>
      <c r="E19" s="32">
        <v>800</v>
      </c>
      <c r="F19" s="32">
        <v>0</v>
      </c>
      <c r="G19" s="32">
        <v>600</v>
      </c>
      <c r="H19" s="32">
        <v>700</v>
      </c>
      <c r="I19" s="32">
        <v>700</v>
      </c>
      <c r="J19" s="32">
        <v>550</v>
      </c>
      <c r="K19" s="32">
        <v>700</v>
      </c>
      <c r="L19" s="32">
        <v>700</v>
      </c>
    </row>
    <row r="20" spans="1:12">
      <c r="A20" s="29"/>
      <c r="B20" s="30">
        <v>1237088</v>
      </c>
      <c r="C20" s="32">
        <v>3340</v>
      </c>
      <c r="D20" s="32">
        <v>2892</v>
      </c>
      <c r="E20" s="32">
        <v>2940</v>
      </c>
      <c r="F20" s="32">
        <v>1124</v>
      </c>
      <c r="G20" s="32">
        <v>2644</v>
      </c>
      <c r="H20" s="32">
        <v>3192</v>
      </c>
      <c r="I20" s="32">
        <v>2992</v>
      </c>
      <c r="J20" s="32">
        <v>2504</v>
      </c>
      <c r="K20" s="32">
        <v>3092</v>
      </c>
      <c r="L20" s="32">
        <v>3192</v>
      </c>
    </row>
    <row r="21" spans="1:12">
      <c r="A21" s="29"/>
      <c r="B21" s="30">
        <v>1237586</v>
      </c>
      <c r="C21" s="32">
        <v>1792</v>
      </c>
      <c r="D21" s="32">
        <v>1344</v>
      </c>
      <c r="E21" s="32">
        <v>1344</v>
      </c>
      <c r="F21" s="32">
        <v>1344</v>
      </c>
      <c r="G21" s="32">
        <v>1304</v>
      </c>
      <c r="H21" s="32">
        <v>2240</v>
      </c>
      <c r="I21" s="32">
        <v>896</v>
      </c>
      <c r="J21" s="32">
        <v>896</v>
      </c>
      <c r="K21" s="32">
        <v>1304</v>
      </c>
      <c r="L21" s="32">
        <v>2240</v>
      </c>
    </row>
    <row r="22" spans="1:12">
      <c r="A22" s="29"/>
      <c r="B22" s="30">
        <v>1237748</v>
      </c>
      <c r="C22" s="32">
        <v>624</v>
      </c>
      <c r="D22" s="32">
        <v>468</v>
      </c>
      <c r="E22" s="32">
        <v>0</v>
      </c>
      <c r="F22" s="32">
        <v>780</v>
      </c>
      <c r="G22" s="32">
        <v>0</v>
      </c>
      <c r="H22" s="32">
        <v>0</v>
      </c>
      <c r="I22" s="32">
        <v>0</v>
      </c>
      <c r="J22" s="32">
        <v>1236</v>
      </c>
      <c r="K22" s="32">
        <v>0</v>
      </c>
      <c r="L22" s="32">
        <v>0</v>
      </c>
    </row>
    <row r="23" spans="1:12">
      <c r="A23" s="29"/>
      <c r="B23" s="89">
        <v>1238128</v>
      </c>
      <c r="C23" s="32">
        <v>2310</v>
      </c>
      <c r="D23" s="32">
        <v>5206</v>
      </c>
      <c r="E23" s="32">
        <v>2750</v>
      </c>
      <c r="F23" s="32">
        <v>2720</v>
      </c>
      <c r="G23" s="32">
        <v>4256</v>
      </c>
      <c r="H23" s="32">
        <v>1248</v>
      </c>
      <c r="I23" s="32">
        <v>3840</v>
      </c>
      <c r="J23" s="32">
        <v>2539</v>
      </c>
      <c r="K23" s="32">
        <v>2315</v>
      </c>
      <c r="L23" s="32">
        <v>2442</v>
      </c>
    </row>
    <row r="24" spans="1:12">
      <c r="A24" s="29"/>
      <c r="B24" s="30">
        <v>1239651</v>
      </c>
      <c r="C24" s="32">
        <v>400</v>
      </c>
      <c r="D24" s="32">
        <v>400</v>
      </c>
      <c r="E24" s="32">
        <v>500</v>
      </c>
      <c r="F24" s="32">
        <v>0</v>
      </c>
      <c r="G24" s="32">
        <v>300</v>
      </c>
      <c r="H24" s="32">
        <v>300</v>
      </c>
      <c r="I24" s="32">
        <v>300</v>
      </c>
      <c r="J24" s="32">
        <v>340</v>
      </c>
      <c r="K24" s="32">
        <v>300</v>
      </c>
      <c r="L24" s="32">
        <v>300</v>
      </c>
    </row>
    <row r="25" spans="1:12">
      <c r="A25" s="29"/>
      <c r="B25" s="30">
        <v>1239988</v>
      </c>
      <c r="C25" s="32">
        <v>2179</v>
      </c>
      <c r="D25" s="32">
        <v>2000</v>
      </c>
      <c r="E25" s="32">
        <v>2800</v>
      </c>
      <c r="F25" s="32">
        <v>1300</v>
      </c>
      <c r="G25" s="32">
        <v>900</v>
      </c>
      <c r="H25" s="32">
        <v>2000</v>
      </c>
      <c r="I25" s="32">
        <v>2200</v>
      </c>
      <c r="J25" s="32">
        <v>1100</v>
      </c>
      <c r="K25" s="32">
        <v>1600</v>
      </c>
      <c r="L25" s="32">
        <v>2200</v>
      </c>
    </row>
    <row r="26" spans="1:12">
      <c r="A26" s="29"/>
      <c r="B26" s="30">
        <v>1240180</v>
      </c>
      <c r="C26" s="32">
        <v>1806</v>
      </c>
      <c r="D26" s="32">
        <v>1713</v>
      </c>
      <c r="E26" s="32">
        <v>1650</v>
      </c>
      <c r="F26" s="32">
        <v>900</v>
      </c>
      <c r="G26" s="32">
        <v>1350</v>
      </c>
      <c r="H26" s="32">
        <v>2400</v>
      </c>
      <c r="I26" s="32">
        <v>2200</v>
      </c>
      <c r="J26" s="32">
        <v>1500</v>
      </c>
      <c r="K26" s="32">
        <v>1700</v>
      </c>
      <c r="L26" s="32">
        <v>2750</v>
      </c>
    </row>
    <row r="27" spans="1:12">
      <c r="A27" s="29"/>
      <c r="B27" s="30">
        <v>1240184</v>
      </c>
      <c r="C27" s="32">
        <v>1606</v>
      </c>
      <c r="D27" s="32">
        <v>1213</v>
      </c>
      <c r="E27" s="32">
        <v>1450</v>
      </c>
      <c r="F27" s="32">
        <v>900</v>
      </c>
      <c r="G27" s="32">
        <v>1350</v>
      </c>
      <c r="H27" s="32">
        <v>2200</v>
      </c>
      <c r="I27" s="32">
        <v>2200</v>
      </c>
      <c r="J27" s="32">
        <v>1400</v>
      </c>
      <c r="K27" s="32">
        <v>1700</v>
      </c>
      <c r="L27" s="32">
        <v>2200</v>
      </c>
    </row>
    <row r="28" spans="1:12">
      <c r="A28" s="29"/>
      <c r="B28" s="30">
        <v>1240308</v>
      </c>
      <c r="C28" s="32">
        <v>0</v>
      </c>
      <c r="D28" s="32">
        <v>850</v>
      </c>
      <c r="E28" s="32">
        <v>300</v>
      </c>
      <c r="F28" s="32">
        <v>0</v>
      </c>
      <c r="G28" s="32">
        <v>0</v>
      </c>
      <c r="H28" s="32">
        <v>700</v>
      </c>
      <c r="I28" s="32">
        <v>1000</v>
      </c>
      <c r="J28" s="32">
        <v>400</v>
      </c>
      <c r="K28" s="32">
        <v>0</v>
      </c>
      <c r="L28" s="32">
        <v>750</v>
      </c>
    </row>
    <row r="29" spans="1:12">
      <c r="A29" s="29"/>
      <c r="B29" s="30">
        <v>1241134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2100</v>
      </c>
      <c r="L29" s="32">
        <v>1000</v>
      </c>
    </row>
    <row r="30" spans="1:12">
      <c r="A30" s="29"/>
      <c r="B30" s="30">
        <v>1241601</v>
      </c>
      <c r="C30" s="32">
        <v>5900</v>
      </c>
      <c r="D30" s="32">
        <v>5100</v>
      </c>
      <c r="E30" s="32">
        <v>5100</v>
      </c>
      <c r="F30" s="32">
        <v>4700</v>
      </c>
      <c r="G30" s="32">
        <v>4100</v>
      </c>
      <c r="H30" s="32">
        <v>4400</v>
      </c>
      <c r="I30" s="32">
        <v>4600</v>
      </c>
      <c r="J30" s="32">
        <v>4300</v>
      </c>
      <c r="K30" s="32">
        <v>5400</v>
      </c>
      <c r="L30" s="32">
        <v>4250</v>
      </c>
    </row>
    <row r="31" spans="1:12">
      <c r="A31" s="29"/>
      <c r="B31" s="30">
        <v>1242242</v>
      </c>
      <c r="C31" s="32">
        <v>0</v>
      </c>
      <c r="D31" s="32">
        <v>0</v>
      </c>
      <c r="E31" s="32">
        <v>0</v>
      </c>
      <c r="F31" s="32">
        <v>0</v>
      </c>
      <c r="G31" s="32">
        <v>900</v>
      </c>
      <c r="H31" s="32">
        <v>900</v>
      </c>
      <c r="I31" s="32">
        <v>1000</v>
      </c>
      <c r="J31" s="32">
        <v>600</v>
      </c>
      <c r="K31" s="32">
        <v>400</v>
      </c>
      <c r="L31" s="32">
        <v>700</v>
      </c>
    </row>
    <row r="34" spans="1:12" s="33" customFormat="1">
      <c r="A34" s="300"/>
      <c r="B34" s="300" t="s">
        <v>0</v>
      </c>
      <c r="C34" s="114" t="s">
        <v>876</v>
      </c>
      <c r="D34" s="114" t="s">
        <v>902</v>
      </c>
      <c r="E34" s="114" t="s">
        <v>927</v>
      </c>
      <c r="F34" s="114" t="s">
        <v>939</v>
      </c>
      <c r="G34" s="114" t="s">
        <v>997</v>
      </c>
      <c r="H34" s="114" t="s">
        <v>1045</v>
      </c>
      <c r="I34" s="114" t="s">
        <v>1089</v>
      </c>
      <c r="J34" s="114" t="s">
        <v>1152</v>
      </c>
      <c r="K34" s="114" t="s">
        <v>1212</v>
      </c>
      <c r="L34" s="114" t="s">
        <v>1239</v>
      </c>
    </row>
    <row r="35" spans="1:12" s="33" customFormat="1">
      <c r="A35" s="300"/>
      <c r="B35" s="301"/>
      <c r="C35" s="60" t="s">
        <v>877</v>
      </c>
      <c r="D35" s="60" t="s">
        <v>903</v>
      </c>
      <c r="E35" s="60" t="s">
        <v>928</v>
      </c>
      <c r="F35" s="60" t="s">
        <v>998</v>
      </c>
      <c r="G35" s="60" t="s">
        <v>999</v>
      </c>
      <c r="H35" s="60" t="s">
        <v>1046</v>
      </c>
      <c r="I35" s="60" t="s">
        <v>1090</v>
      </c>
      <c r="J35" s="60" t="s">
        <v>1153</v>
      </c>
      <c r="K35" s="60" t="s">
        <v>1213</v>
      </c>
      <c r="L35" s="60" t="s">
        <v>1240</v>
      </c>
    </row>
    <row r="36" spans="1:12">
      <c r="B36" s="5">
        <v>1216452</v>
      </c>
      <c r="C36" s="9">
        <v>1728</v>
      </c>
      <c r="D36" s="9">
        <v>1728</v>
      </c>
      <c r="E36" s="9">
        <v>2214</v>
      </c>
      <c r="F36" s="9">
        <v>288</v>
      </c>
      <c r="G36" s="9">
        <v>486</v>
      </c>
      <c r="H36" s="9">
        <v>612</v>
      </c>
      <c r="I36" s="9">
        <v>1212</v>
      </c>
      <c r="J36" s="9">
        <v>0</v>
      </c>
      <c r="K36" s="9">
        <v>0</v>
      </c>
      <c r="L36" s="9">
        <v>0</v>
      </c>
    </row>
    <row r="37" spans="1:12">
      <c r="B37" s="5">
        <v>1220847</v>
      </c>
      <c r="C37" s="9">
        <v>5300</v>
      </c>
      <c r="D37" s="9">
        <v>1260</v>
      </c>
      <c r="E37" s="9">
        <v>1050</v>
      </c>
      <c r="F37" s="9">
        <v>0</v>
      </c>
      <c r="G37" s="9">
        <v>0</v>
      </c>
      <c r="H37" s="9">
        <v>784</v>
      </c>
      <c r="I37" s="9">
        <v>0</v>
      </c>
      <c r="J37" s="9">
        <v>0</v>
      </c>
      <c r="K37" s="9">
        <v>0</v>
      </c>
      <c r="L37" s="9">
        <v>995</v>
      </c>
    </row>
    <row r="38" spans="1:12">
      <c r="B38" s="5">
        <v>1221967</v>
      </c>
      <c r="C38" s="9">
        <v>0</v>
      </c>
      <c r="D38" s="9">
        <v>276</v>
      </c>
      <c r="E38" s="9">
        <v>0</v>
      </c>
      <c r="F38" s="9">
        <v>351</v>
      </c>
      <c r="G38" s="9">
        <v>0</v>
      </c>
      <c r="H38" s="9">
        <v>68</v>
      </c>
      <c r="I38" s="9">
        <v>0</v>
      </c>
      <c r="J38" s="9">
        <v>238</v>
      </c>
      <c r="K38" s="9">
        <v>0</v>
      </c>
      <c r="L38" s="9">
        <v>59</v>
      </c>
    </row>
    <row r="39" spans="1:12">
      <c r="B39" s="5">
        <v>1225464</v>
      </c>
      <c r="C39" s="9">
        <v>0</v>
      </c>
      <c r="D39" s="9">
        <v>756</v>
      </c>
      <c r="E39" s="9">
        <v>0</v>
      </c>
      <c r="F39" s="9">
        <v>0</v>
      </c>
      <c r="G39" s="9">
        <v>0</v>
      </c>
      <c r="H39" s="9">
        <v>1578</v>
      </c>
      <c r="I39" s="9">
        <v>0</v>
      </c>
      <c r="J39" s="9">
        <v>0</v>
      </c>
      <c r="K39" s="9">
        <v>0</v>
      </c>
      <c r="L39" s="9">
        <v>1582</v>
      </c>
    </row>
    <row r="40" spans="1:12">
      <c r="B40" s="5">
        <v>1227306</v>
      </c>
      <c r="C40" s="9">
        <v>594</v>
      </c>
      <c r="D40" s="9">
        <v>505</v>
      </c>
      <c r="E40" s="9">
        <v>0</v>
      </c>
      <c r="F40" s="9">
        <v>0</v>
      </c>
      <c r="G40" s="9">
        <v>400</v>
      </c>
      <c r="H40" s="9">
        <v>550</v>
      </c>
      <c r="I40" s="9">
        <v>400</v>
      </c>
      <c r="J40" s="9">
        <v>400</v>
      </c>
      <c r="K40" s="9">
        <v>400</v>
      </c>
      <c r="L40" s="9">
        <v>300</v>
      </c>
    </row>
    <row r="41" spans="1:12">
      <c r="B41" s="4">
        <v>1229050</v>
      </c>
      <c r="C41" s="9">
        <v>605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305</v>
      </c>
      <c r="J41" s="9">
        <v>0</v>
      </c>
      <c r="K41" s="9">
        <v>0</v>
      </c>
      <c r="L41" s="9">
        <v>0</v>
      </c>
    </row>
    <row r="42" spans="1:12">
      <c r="B42" s="5">
        <v>1229088</v>
      </c>
      <c r="C42" s="9">
        <v>50</v>
      </c>
      <c r="D42" s="9">
        <v>0</v>
      </c>
      <c r="E42" s="9">
        <v>0</v>
      </c>
      <c r="F42" s="9">
        <v>200</v>
      </c>
      <c r="G42" s="9">
        <v>0</v>
      </c>
      <c r="H42" s="9">
        <v>0</v>
      </c>
      <c r="I42" s="9">
        <v>200</v>
      </c>
      <c r="J42" s="9">
        <v>50</v>
      </c>
      <c r="K42" s="9">
        <v>0</v>
      </c>
      <c r="L42" s="9">
        <v>0</v>
      </c>
    </row>
    <row r="43" spans="1:12">
      <c r="B43" s="5">
        <v>1229776</v>
      </c>
      <c r="C43" s="9">
        <v>0</v>
      </c>
      <c r="D43" s="9">
        <v>340</v>
      </c>
      <c r="E43" s="9">
        <v>0</v>
      </c>
      <c r="F43" s="9">
        <v>0</v>
      </c>
      <c r="G43" s="9">
        <v>0</v>
      </c>
      <c r="H43" s="9">
        <v>90</v>
      </c>
      <c r="I43" s="9">
        <v>0</v>
      </c>
      <c r="J43" s="9">
        <v>0</v>
      </c>
      <c r="K43" s="9">
        <v>0</v>
      </c>
      <c r="L43" s="9">
        <v>90</v>
      </c>
    </row>
    <row r="44" spans="1:12">
      <c r="B44" s="5">
        <v>1230685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400</v>
      </c>
      <c r="I44" s="9">
        <v>0</v>
      </c>
      <c r="J44" s="9">
        <v>0</v>
      </c>
      <c r="K44" s="9">
        <v>0</v>
      </c>
      <c r="L44" s="9">
        <v>400</v>
      </c>
    </row>
    <row r="45" spans="1:12">
      <c r="B45" s="5">
        <v>1230791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140</v>
      </c>
      <c r="I45" s="9">
        <v>0</v>
      </c>
      <c r="J45" s="9">
        <v>0</v>
      </c>
      <c r="K45" s="9">
        <v>0</v>
      </c>
      <c r="L45" s="9">
        <v>140</v>
      </c>
    </row>
    <row r="46" spans="1:12">
      <c r="B46" s="5">
        <v>1231090</v>
      </c>
      <c r="C46" s="9">
        <v>1331</v>
      </c>
      <c r="D46" s="9">
        <v>880</v>
      </c>
      <c r="E46" s="9">
        <v>0</v>
      </c>
      <c r="F46" s="9">
        <v>0</v>
      </c>
      <c r="G46" s="9">
        <v>0</v>
      </c>
      <c r="H46" s="9">
        <v>390</v>
      </c>
      <c r="I46" s="9">
        <v>983</v>
      </c>
      <c r="J46" s="9">
        <v>0</v>
      </c>
      <c r="K46" s="9">
        <v>0</v>
      </c>
      <c r="L46" s="9">
        <v>390</v>
      </c>
    </row>
    <row r="47" spans="1:12">
      <c r="B47" s="5">
        <v>1231578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200</v>
      </c>
      <c r="I47" s="9">
        <v>300</v>
      </c>
      <c r="J47" s="9">
        <v>100</v>
      </c>
      <c r="K47" s="9">
        <v>0</v>
      </c>
      <c r="L47" s="9">
        <v>200</v>
      </c>
    </row>
    <row r="48" spans="1:12">
      <c r="B48" s="5">
        <v>1231797</v>
      </c>
      <c r="C48" s="9">
        <v>0</v>
      </c>
      <c r="D48" s="9">
        <v>0</v>
      </c>
      <c r="E48" s="9">
        <v>154</v>
      </c>
      <c r="F48" s="9">
        <v>0</v>
      </c>
      <c r="G48" s="9">
        <v>0</v>
      </c>
      <c r="H48" s="9">
        <v>0</v>
      </c>
      <c r="I48" s="9">
        <v>137</v>
      </c>
      <c r="J48" s="9">
        <v>0</v>
      </c>
      <c r="K48" s="9">
        <v>0</v>
      </c>
      <c r="L48" s="9">
        <v>0</v>
      </c>
    </row>
    <row r="49" spans="2:12">
      <c r="B49" s="5">
        <v>1231860</v>
      </c>
      <c r="C49" s="9">
        <v>0</v>
      </c>
      <c r="D49" s="9">
        <v>0</v>
      </c>
      <c r="E49" s="9">
        <v>0</v>
      </c>
      <c r="F49" s="9">
        <v>0</v>
      </c>
      <c r="G49" s="9">
        <v>100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</row>
    <row r="50" spans="2:12">
      <c r="B50" s="5">
        <v>1232066</v>
      </c>
      <c r="C50" s="9">
        <v>18</v>
      </c>
      <c r="D50" s="9">
        <v>0</v>
      </c>
      <c r="E50" s="9">
        <v>0</v>
      </c>
      <c r="F50" s="9">
        <v>180</v>
      </c>
      <c r="G50" s="9">
        <v>0</v>
      </c>
      <c r="H50" s="9">
        <v>0</v>
      </c>
      <c r="I50" s="9">
        <v>0</v>
      </c>
      <c r="J50" s="9">
        <v>216</v>
      </c>
      <c r="K50" s="9">
        <v>0</v>
      </c>
      <c r="L50" s="9">
        <v>0</v>
      </c>
    </row>
    <row r="51" spans="2:12">
      <c r="B51" s="5">
        <v>1232528</v>
      </c>
      <c r="C51" s="9">
        <v>7910</v>
      </c>
      <c r="D51" s="9">
        <v>3080</v>
      </c>
      <c r="E51" s="9">
        <v>3600</v>
      </c>
      <c r="F51" s="9">
        <v>5000</v>
      </c>
      <c r="G51" s="9">
        <v>4834</v>
      </c>
      <c r="H51" s="9">
        <v>4428</v>
      </c>
      <c r="I51" s="9">
        <v>2000</v>
      </c>
      <c r="J51" s="9">
        <v>2000</v>
      </c>
      <c r="K51" s="9">
        <v>1400</v>
      </c>
      <c r="L51" s="9">
        <v>5881</v>
      </c>
    </row>
    <row r="52" spans="2:12">
      <c r="B52" s="5">
        <v>1232553</v>
      </c>
      <c r="C52" s="9">
        <v>252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108</v>
      </c>
    </row>
    <row r="53" spans="2:12">
      <c r="B53" s="5">
        <v>1232693</v>
      </c>
      <c r="C53" s="9">
        <v>0</v>
      </c>
      <c r="D53" s="9">
        <v>672</v>
      </c>
      <c r="E53" s="9">
        <v>0</v>
      </c>
      <c r="F53" s="9">
        <v>0</v>
      </c>
      <c r="G53" s="9">
        <v>1000</v>
      </c>
      <c r="H53" s="9">
        <v>909</v>
      </c>
      <c r="I53" s="9">
        <v>0</v>
      </c>
      <c r="J53" s="9">
        <v>0</v>
      </c>
      <c r="K53" s="9">
        <v>1000</v>
      </c>
      <c r="L53" s="9">
        <v>995</v>
      </c>
    </row>
    <row r="54" spans="2:12">
      <c r="B54" s="5">
        <v>1232775</v>
      </c>
      <c r="C54" s="9">
        <v>36</v>
      </c>
      <c r="D54" s="9">
        <v>1830</v>
      </c>
      <c r="E54" s="9">
        <v>810</v>
      </c>
      <c r="F54" s="9">
        <v>0</v>
      </c>
      <c r="G54" s="9">
        <v>1350</v>
      </c>
      <c r="H54" s="9">
        <v>1586</v>
      </c>
      <c r="I54" s="9">
        <v>1260</v>
      </c>
      <c r="J54" s="9">
        <v>734</v>
      </c>
      <c r="K54" s="9">
        <v>500</v>
      </c>
      <c r="L54" s="9">
        <v>0</v>
      </c>
    </row>
    <row r="55" spans="2:12">
      <c r="B55" s="5">
        <v>1232846</v>
      </c>
      <c r="C55" s="9">
        <v>2112</v>
      </c>
      <c r="D55" s="9">
        <v>1076</v>
      </c>
      <c r="E55" s="9">
        <v>272</v>
      </c>
      <c r="F55" s="9">
        <v>300</v>
      </c>
      <c r="G55" s="9">
        <v>588</v>
      </c>
      <c r="H55" s="9">
        <v>737</v>
      </c>
      <c r="I55" s="9">
        <v>583</v>
      </c>
      <c r="J55" s="9">
        <v>1000</v>
      </c>
      <c r="K55" s="9">
        <v>0</v>
      </c>
      <c r="L55" s="9">
        <v>420</v>
      </c>
    </row>
    <row r="56" spans="2:12">
      <c r="B56" s="5">
        <v>1232894</v>
      </c>
      <c r="C56" s="9">
        <v>1612</v>
      </c>
      <c r="D56" s="9">
        <v>576</v>
      </c>
      <c r="E56" s="9">
        <v>0</v>
      </c>
      <c r="F56" s="9">
        <v>0</v>
      </c>
      <c r="G56" s="9">
        <v>288</v>
      </c>
      <c r="H56" s="9">
        <v>437</v>
      </c>
      <c r="I56" s="9">
        <v>0</v>
      </c>
      <c r="J56" s="9">
        <v>600</v>
      </c>
      <c r="K56" s="9">
        <v>0</v>
      </c>
      <c r="L56" s="9">
        <v>420</v>
      </c>
    </row>
    <row r="57" spans="2:12">
      <c r="B57" s="5">
        <v>1232895</v>
      </c>
      <c r="C57" s="9">
        <v>500</v>
      </c>
      <c r="D57" s="9">
        <v>500</v>
      </c>
      <c r="E57" s="9">
        <v>272</v>
      </c>
      <c r="F57" s="9">
        <v>300</v>
      </c>
      <c r="G57" s="9">
        <v>300</v>
      </c>
      <c r="H57" s="9">
        <v>300</v>
      </c>
      <c r="I57" s="9">
        <v>583</v>
      </c>
      <c r="J57" s="9">
        <v>400</v>
      </c>
      <c r="K57" s="9">
        <v>0</v>
      </c>
      <c r="L57" s="9">
        <v>0</v>
      </c>
    </row>
    <row r="58" spans="2:12">
      <c r="B58" s="5">
        <v>1232922</v>
      </c>
      <c r="C58" s="9">
        <v>0</v>
      </c>
      <c r="D58" s="9">
        <v>0</v>
      </c>
      <c r="E58" s="9">
        <v>272</v>
      </c>
      <c r="F58" s="9">
        <v>0</v>
      </c>
      <c r="G58" s="9">
        <v>0</v>
      </c>
      <c r="H58" s="9">
        <v>0</v>
      </c>
      <c r="I58" s="9">
        <v>283</v>
      </c>
      <c r="J58" s="9">
        <v>100</v>
      </c>
      <c r="K58" s="9">
        <v>0</v>
      </c>
      <c r="L58" s="9">
        <v>0</v>
      </c>
    </row>
    <row r="59" spans="2:12">
      <c r="B59" s="5">
        <v>1232982</v>
      </c>
      <c r="C59" s="9">
        <v>0</v>
      </c>
      <c r="D59" s="9">
        <v>450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50</v>
      </c>
      <c r="K59" s="9">
        <v>0</v>
      </c>
      <c r="L59" s="9">
        <v>0</v>
      </c>
    </row>
    <row r="60" spans="2:12">
      <c r="B60" s="5">
        <v>1233025</v>
      </c>
      <c r="C60" s="9">
        <v>0</v>
      </c>
      <c r="D60" s="9">
        <v>672</v>
      </c>
      <c r="E60" s="9">
        <v>0</v>
      </c>
      <c r="F60" s="9">
        <v>0</v>
      </c>
      <c r="G60" s="9">
        <v>1000</v>
      </c>
      <c r="H60" s="9">
        <v>909</v>
      </c>
      <c r="I60" s="9">
        <v>0</v>
      </c>
      <c r="J60" s="9">
        <v>0</v>
      </c>
      <c r="K60" s="9">
        <v>1000</v>
      </c>
      <c r="L60" s="9">
        <v>995</v>
      </c>
    </row>
    <row r="61" spans="2:12">
      <c r="B61" s="5">
        <v>1233165</v>
      </c>
      <c r="C61" s="9">
        <v>0</v>
      </c>
      <c r="D61" s="9">
        <v>370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</row>
    <row r="62" spans="2:12">
      <c r="B62" s="5">
        <v>1233383</v>
      </c>
      <c r="C62" s="9">
        <v>0</v>
      </c>
      <c r="D62" s="9">
        <v>0</v>
      </c>
      <c r="E62" s="9">
        <v>150</v>
      </c>
      <c r="F62" s="9">
        <v>0</v>
      </c>
      <c r="G62" s="9">
        <v>0</v>
      </c>
      <c r="H62" s="9">
        <v>0</v>
      </c>
      <c r="I62" s="9">
        <v>150</v>
      </c>
      <c r="J62" s="9">
        <v>0</v>
      </c>
      <c r="K62" s="9">
        <v>0</v>
      </c>
      <c r="L62" s="9">
        <v>0</v>
      </c>
    </row>
    <row r="63" spans="2:12">
      <c r="B63" s="5">
        <v>1233384</v>
      </c>
      <c r="C63" s="9">
        <v>500</v>
      </c>
      <c r="D63" s="9">
        <v>500</v>
      </c>
      <c r="E63" s="9">
        <v>0</v>
      </c>
      <c r="F63" s="9">
        <v>300</v>
      </c>
      <c r="G63" s="9">
        <v>300</v>
      </c>
      <c r="H63" s="9">
        <v>300</v>
      </c>
      <c r="I63" s="9">
        <v>300</v>
      </c>
      <c r="J63" s="9">
        <v>300</v>
      </c>
      <c r="K63" s="9">
        <v>0</v>
      </c>
      <c r="L63" s="9">
        <v>0</v>
      </c>
    </row>
    <row r="64" spans="2:12">
      <c r="B64" s="5">
        <v>1233385</v>
      </c>
      <c r="C64" s="9">
        <v>0</v>
      </c>
      <c r="D64" s="9">
        <v>0</v>
      </c>
      <c r="E64" s="9">
        <v>0</v>
      </c>
      <c r="F64" s="9">
        <v>0</v>
      </c>
      <c r="G64" s="9">
        <v>288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</row>
    <row r="65" spans="2:12">
      <c r="B65" s="5">
        <v>1233386</v>
      </c>
      <c r="C65" s="9">
        <v>1312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600</v>
      </c>
      <c r="K65" s="9">
        <v>0</v>
      </c>
      <c r="L65" s="9">
        <v>0</v>
      </c>
    </row>
    <row r="66" spans="2:12">
      <c r="B66" s="5">
        <v>1233387</v>
      </c>
      <c r="C66" s="9">
        <v>300</v>
      </c>
      <c r="D66" s="9">
        <v>576</v>
      </c>
      <c r="E66" s="9">
        <v>0</v>
      </c>
      <c r="F66" s="9">
        <v>0</v>
      </c>
      <c r="G66" s="9">
        <v>0</v>
      </c>
      <c r="H66" s="9">
        <v>437</v>
      </c>
      <c r="I66" s="9">
        <v>0</v>
      </c>
      <c r="J66" s="9">
        <v>0</v>
      </c>
      <c r="K66" s="9">
        <v>0</v>
      </c>
      <c r="L66" s="9">
        <v>420</v>
      </c>
    </row>
    <row r="67" spans="2:12">
      <c r="B67" s="5">
        <v>1233580</v>
      </c>
      <c r="C67" s="9">
        <v>0</v>
      </c>
      <c r="D67" s="9">
        <v>50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2:12">
      <c r="B68" s="5">
        <v>1233587</v>
      </c>
      <c r="C68" s="9">
        <v>0</v>
      </c>
      <c r="D68" s="9">
        <v>18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5</v>
      </c>
      <c r="K68" s="9">
        <v>0</v>
      </c>
      <c r="L68" s="9">
        <v>0</v>
      </c>
    </row>
    <row r="69" spans="2:12">
      <c r="B69" s="5">
        <v>1234110</v>
      </c>
      <c r="C69" s="9">
        <v>0</v>
      </c>
      <c r="D69" s="9">
        <v>170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</row>
    <row r="70" spans="2:12">
      <c r="B70" s="5">
        <v>1234111</v>
      </c>
      <c r="C70" s="9">
        <v>0</v>
      </c>
      <c r="D70" s="9">
        <v>170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</row>
    <row r="71" spans="2:12">
      <c r="B71" s="5">
        <v>1234217</v>
      </c>
      <c r="C71" s="9">
        <v>0</v>
      </c>
      <c r="D71" s="9">
        <v>170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</row>
    <row r="72" spans="2:12">
      <c r="B72" s="5">
        <v>1234222</v>
      </c>
      <c r="C72" s="9">
        <v>0</v>
      </c>
      <c r="D72" s="9">
        <v>0</v>
      </c>
      <c r="E72" s="9">
        <v>0</v>
      </c>
      <c r="F72" s="9">
        <v>868</v>
      </c>
      <c r="G72" s="9">
        <v>0</v>
      </c>
      <c r="H72" s="9">
        <v>0</v>
      </c>
      <c r="I72" s="9">
        <v>0</v>
      </c>
      <c r="J72" s="9">
        <v>777</v>
      </c>
      <c r="K72" s="9">
        <v>0</v>
      </c>
      <c r="L72" s="9">
        <v>0</v>
      </c>
    </row>
    <row r="73" spans="2:12">
      <c r="B73" s="5">
        <v>1234614</v>
      </c>
      <c r="C73" s="9">
        <v>768</v>
      </c>
      <c r="D73" s="9">
        <v>948</v>
      </c>
      <c r="E73" s="9">
        <v>300</v>
      </c>
      <c r="F73" s="9">
        <v>0</v>
      </c>
      <c r="G73" s="9">
        <v>300</v>
      </c>
      <c r="H73" s="9">
        <v>624</v>
      </c>
      <c r="I73" s="9">
        <v>848</v>
      </c>
      <c r="J73" s="9">
        <v>0</v>
      </c>
      <c r="K73" s="9">
        <v>300</v>
      </c>
      <c r="L73" s="9">
        <v>300</v>
      </c>
    </row>
    <row r="74" spans="2:12">
      <c r="B74" s="5">
        <v>1234905</v>
      </c>
      <c r="C74" s="9">
        <v>850</v>
      </c>
      <c r="D74" s="9">
        <v>900</v>
      </c>
      <c r="E74" s="9">
        <v>200</v>
      </c>
      <c r="F74" s="9">
        <v>300</v>
      </c>
      <c r="G74" s="9">
        <v>1000</v>
      </c>
      <c r="H74" s="9">
        <v>1050</v>
      </c>
      <c r="I74" s="9">
        <v>1400</v>
      </c>
      <c r="J74" s="9">
        <v>950</v>
      </c>
      <c r="K74" s="9">
        <v>1600</v>
      </c>
      <c r="L74" s="9">
        <v>1200</v>
      </c>
    </row>
    <row r="75" spans="2:12">
      <c r="B75" s="5">
        <v>1235097</v>
      </c>
      <c r="C75" s="9">
        <v>321</v>
      </c>
      <c r="D75" s="9">
        <v>200</v>
      </c>
      <c r="E75" s="9">
        <v>0</v>
      </c>
      <c r="F75" s="9">
        <v>374</v>
      </c>
      <c r="G75" s="9">
        <v>300</v>
      </c>
      <c r="H75" s="9">
        <v>300</v>
      </c>
      <c r="I75" s="9">
        <v>500</v>
      </c>
      <c r="J75" s="9">
        <v>300</v>
      </c>
      <c r="K75" s="9">
        <v>500</v>
      </c>
      <c r="L75" s="9">
        <v>300</v>
      </c>
    </row>
    <row r="76" spans="2:12">
      <c r="B76" s="5">
        <v>1235845</v>
      </c>
      <c r="C76" s="9">
        <v>0</v>
      </c>
      <c r="D76" s="9">
        <v>1200</v>
      </c>
      <c r="E76" s="9">
        <v>0</v>
      </c>
      <c r="F76" s="9">
        <v>359</v>
      </c>
      <c r="G76" s="9">
        <v>0</v>
      </c>
      <c r="H76" s="9">
        <v>0</v>
      </c>
      <c r="I76" s="9">
        <v>0</v>
      </c>
      <c r="J76" s="9">
        <v>547</v>
      </c>
      <c r="K76" s="9">
        <v>0</v>
      </c>
      <c r="L76" s="9">
        <v>0</v>
      </c>
    </row>
    <row r="77" spans="2:12">
      <c r="B77" s="5">
        <v>1235958</v>
      </c>
      <c r="C77" s="9">
        <v>0</v>
      </c>
      <c r="D77" s="9">
        <v>25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5</v>
      </c>
      <c r="K77" s="9">
        <v>0</v>
      </c>
      <c r="L77" s="9">
        <v>0</v>
      </c>
    </row>
    <row r="78" spans="2:12">
      <c r="B78" s="5">
        <v>1236387</v>
      </c>
      <c r="C78" s="9">
        <v>300</v>
      </c>
      <c r="D78" s="9">
        <v>0</v>
      </c>
      <c r="E78" s="9">
        <v>400</v>
      </c>
      <c r="F78" s="9">
        <v>0</v>
      </c>
      <c r="G78" s="9">
        <v>0</v>
      </c>
      <c r="H78" s="9">
        <v>510</v>
      </c>
      <c r="I78" s="9">
        <v>300</v>
      </c>
      <c r="J78" s="9">
        <v>0</v>
      </c>
      <c r="K78" s="9">
        <v>0</v>
      </c>
      <c r="L78" s="9">
        <v>700</v>
      </c>
    </row>
    <row r="79" spans="2:12">
      <c r="B79" s="5">
        <v>1236600</v>
      </c>
      <c r="C79" s="9">
        <v>0</v>
      </c>
      <c r="D79" s="9">
        <v>0</v>
      </c>
      <c r="E79" s="9">
        <v>913</v>
      </c>
      <c r="F79" s="9">
        <v>0</v>
      </c>
      <c r="G79" s="9">
        <v>0</v>
      </c>
      <c r="H79" s="9">
        <v>0</v>
      </c>
      <c r="I79" s="9">
        <v>873</v>
      </c>
      <c r="J79" s="9">
        <v>100</v>
      </c>
      <c r="K79" s="9">
        <v>0</v>
      </c>
      <c r="L79" s="9">
        <v>0</v>
      </c>
    </row>
    <row r="80" spans="2:12">
      <c r="B80" s="5">
        <v>1236601</v>
      </c>
      <c r="C80" s="9">
        <v>0</v>
      </c>
      <c r="D80" s="9">
        <v>0</v>
      </c>
      <c r="E80" s="9">
        <v>105</v>
      </c>
      <c r="F80" s="9">
        <v>0</v>
      </c>
      <c r="G80" s="9">
        <v>0</v>
      </c>
      <c r="H80" s="9">
        <v>0</v>
      </c>
      <c r="I80" s="9">
        <v>100</v>
      </c>
      <c r="J80" s="9">
        <v>0</v>
      </c>
      <c r="K80" s="9">
        <v>0</v>
      </c>
      <c r="L80" s="9">
        <v>0</v>
      </c>
    </row>
    <row r="81" spans="2:12">
      <c r="B81" s="5">
        <v>1236930</v>
      </c>
      <c r="C81" s="9">
        <v>5354</v>
      </c>
      <c r="D81" s="9">
        <v>2904</v>
      </c>
      <c r="E81" s="9">
        <v>1348</v>
      </c>
      <c r="F81" s="9">
        <v>2976</v>
      </c>
      <c r="G81" s="9">
        <v>1250</v>
      </c>
      <c r="H81" s="9">
        <v>2898</v>
      </c>
      <c r="I81" s="9">
        <v>1450</v>
      </c>
      <c r="J81" s="9">
        <v>2250</v>
      </c>
      <c r="K81" s="9">
        <v>1150</v>
      </c>
      <c r="L81" s="9">
        <v>3000</v>
      </c>
    </row>
    <row r="82" spans="2:12">
      <c r="B82" s="5">
        <v>1237210</v>
      </c>
      <c r="C82" s="9">
        <v>160</v>
      </c>
      <c r="D82" s="9">
        <v>0</v>
      </c>
      <c r="E82" s="9">
        <v>0</v>
      </c>
      <c r="F82" s="9">
        <v>375</v>
      </c>
      <c r="G82" s="9">
        <v>160</v>
      </c>
      <c r="H82" s="9">
        <v>160</v>
      </c>
      <c r="I82" s="9">
        <v>0</v>
      </c>
      <c r="J82" s="9">
        <v>0</v>
      </c>
      <c r="K82" s="9">
        <v>0</v>
      </c>
      <c r="L82" s="9">
        <v>160</v>
      </c>
    </row>
    <row r="83" spans="2:12">
      <c r="B83" s="5">
        <v>1237468</v>
      </c>
      <c r="C83" s="9">
        <v>0</v>
      </c>
      <c r="D83" s="9">
        <v>0</v>
      </c>
      <c r="E83" s="9">
        <v>82</v>
      </c>
      <c r="F83" s="9">
        <v>0</v>
      </c>
      <c r="G83" s="9">
        <v>432</v>
      </c>
      <c r="H83" s="9">
        <v>0</v>
      </c>
      <c r="I83" s="9">
        <v>79</v>
      </c>
      <c r="J83" s="9">
        <v>0</v>
      </c>
      <c r="K83" s="9">
        <v>324</v>
      </c>
      <c r="L83" s="9">
        <v>0</v>
      </c>
    </row>
    <row r="84" spans="2:12">
      <c r="B84" s="5">
        <v>1238092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144</v>
      </c>
      <c r="K84" s="9">
        <v>0</v>
      </c>
      <c r="L84" s="9">
        <v>0</v>
      </c>
    </row>
    <row r="85" spans="2:12">
      <c r="B85" s="5">
        <v>1238453</v>
      </c>
      <c r="C85" s="9">
        <v>191</v>
      </c>
      <c r="D85" s="9">
        <v>0</v>
      </c>
      <c r="E85" s="9">
        <v>190</v>
      </c>
      <c r="F85" s="9">
        <v>0</v>
      </c>
      <c r="G85" s="9">
        <v>0</v>
      </c>
      <c r="H85" s="9">
        <v>0</v>
      </c>
      <c r="I85" s="9">
        <v>175</v>
      </c>
      <c r="J85" s="9">
        <v>0</v>
      </c>
      <c r="K85" s="9">
        <v>0</v>
      </c>
      <c r="L85" s="9">
        <v>0</v>
      </c>
    </row>
    <row r="86" spans="2:12">
      <c r="B86" s="5">
        <v>1238480</v>
      </c>
      <c r="C86" s="9">
        <v>6650</v>
      </c>
      <c r="D86" s="9">
        <v>1760</v>
      </c>
      <c r="E86" s="9">
        <v>4100</v>
      </c>
      <c r="F86" s="9">
        <v>5512</v>
      </c>
      <c r="G86" s="9">
        <v>4677</v>
      </c>
      <c r="H86" s="9">
        <v>4780</v>
      </c>
      <c r="I86" s="9">
        <v>2200</v>
      </c>
      <c r="J86" s="9">
        <v>5440</v>
      </c>
      <c r="K86" s="9">
        <v>4400</v>
      </c>
      <c r="L86" s="9">
        <v>4825</v>
      </c>
    </row>
    <row r="87" spans="2:12">
      <c r="B87" s="5">
        <v>1238605</v>
      </c>
      <c r="C87" s="9">
        <v>0</v>
      </c>
      <c r="D87" s="9">
        <v>650</v>
      </c>
      <c r="E87" s="9">
        <v>0</v>
      </c>
      <c r="F87" s="9">
        <v>0</v>
      </c>
      <c r="G87" s="9">
        <v>0</v>
      </c>
      <c r="H87" s="9">
        <v>0</v>
      </c>
      <c r="I87" s="9">
        <v>700</v>
      </c>
      <c r="J87" s="9">
        <v>0</v>
      </c>
      <c r="K87" s="9">
        <v>0</v>
      </c>
      <c r="L87" s="9">
        <v>0</v>
      </c>
    </row>
    <row r="88" spans="2:12">
      <c r="B88" s="5">
        <v>1240180</v>
      </c>
      <c r="C88" s="9">
        <v>300</v>
      </c>
      <c r="D88" s="9">
        <v>750</v>
      </c>
      <c r="E88" s="9">
        <v>300</v>
      </c>
      <c r="F88" s="9">
        <v>0</v>
      </c>
      <c r="G88" s="9">
        <v>0</v>
      </c>
      <c r="H88" s="9">
        <v>848</v>
      </c>
      <c r="I88" s="9">
        <v>200</v>
      </c>
      <c r="J88" s="9">
        <v>0</v>
      </c>
      <c r="K88" s="9">
        <v>0</v>
      </c>
      <c r="L88" s="9">
        <v>400</v>
      </c>
    </row>
    <row r="89" spans="2:12">
      <c r="B89" s="5">
        <v>1240184</v>
      </c>
      <c r="C89" s="9">
        <v>300</v>
      </c>
      <c r="D89" s="9">
        <v>750</v>
      </c>
      <c r="E89" s="9">
        <v>300</v>
      </c>
      <c r="F89" s="9">
        <v>0</v>
      </c>
      <c r="G89" s="9">
        <v>0</v>
      </c>
      <c r="H89" s="9">
        <v>848</v>
      </c>
      <c r="I89" s="9">
        <v>200</v>
      </c>
      <c r="J89" s="9">
        <v>0</v>
      </c>
      <c r="K89" s="9">
        <v>0</v>
      </c>
      <c r="L89" s="9">
        <v>400</v>
      </c>
    </row>
    <row r="90" spans="2:12">
      <c r="B90" s="5">
        <v>1241343</v>
      </c>
      <c r="C90" s="9">
        <v>0</v>
      </c>
      <c r="D90" s="9">
        <v>0</v>
      </c>
      <c r="E90" s="9">
        <v>0</v>
      </c>
      <c r="F90" s="9">
        <v>0</v>
      </c>
      <c r="G90" s="9">
        <v>20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spans="2:12">
      <c r="B91" s="5">
        <v>1241347</v>
      </c>
      <c r="C91" s="9">
        <v>0</v>
      </c>
      <c r="D91" s="9">
        <v>0</v>
      </c>
      <c r="E91" s="9">
        <v>0</v>
      </c>
      <c r="F91" s="9">
        <v>0</v>
      </c>
      <c r="G91" s="9">
        <v>20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</row>
    <row r="92" spans="2:12">
      <c r="B92" s="5">
        <v>1241387</v>
      </c>
      <c r="C92" s="9">
        <v>0</v>
      </c>
      <c r="D92" s="9">
        <v>0</v>
      </c>
      <c r="E92" s="9">
        <v>0</v>
      </c>
      <c r="F92" s="9">
        <v>0</v>
      </c>
      <c r="G92" s="9">
        <v>151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</row>
    <row r="93" spans="2:12">
      <c r="B93" s="5">
        <v>1241474</v>
      </c>
      <c r="C93" s="9">
        <v>37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</row>
    <row r="94" spans="2:12">
      <c r="B94" s="5">
        <v>1241480</v>
      </c>
      <c r="C94" s="9">
        <v>0</v>
      </c>
      <c r="D94" s="9">
        <v>0</v>
      </c>
      <c r="E94" s="9">
        <v>0</v>
      </c>
      <c r="F94" s="9">
        <v>0</v>
      </c>
      <c r="G94" s="9">
        <v>26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</row>
  </sheetData>
  <mergeCells count="4">
    <mergeCell ref="A1:A2"/>
    <mergeCell ref="B1:B2"/>
    <mergeCell ref="A34:A35"/>
    <mergeCell ref="B34:B35"/>
  </mergeCells>
  <phoneticPr fontId="1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ACAE-16D4-43D0-A328-E5501F11C55C}">
  <dimension ref="A1:S65"/>
  <sheetViews>
    <sheetView topLeftCell="A21" zoomScale="115" zoomScaleNormal="115" workbookViewId="0">
      <selection activeCell="K56" sqref="K56"/>
    </sheetView>
  </sheetViews>
  <sheetFormatPr defaultColWidth="9.33203125" defaultRowHeight="12"/>
  <cols>
    <col min="1" max="1" width="10.1640625" style="5" bestFit="1" customWidth="1"/>
    <col min="2" max="2" width="9.33203125" style="9" bestFit="1"/>
    <col min="3" max="18" width="9.1640625" style="9" customWidth="1"/>
    <col min="19" max="19" width="9.33203125" style="9" bestFit="1"/>
    <col min="20" max="16384" width="9.33203125" style="5"/>
  </cols>
  <sheetData>
    <row r="1" spans="1:19">
      <c r="A1" s="5" t="s">
        <v>0</v>
      </c>
      <c r="B1" s="9" t="s">
        <v>1148</v>
      </c>
      <c r="C1" s="9" t="s">
        <v>1149</v>
      </c>
      <c r="D1" s="9" t="s">
        <v>1150</v>
      </c>
      <c r="E1" s="9" t="s">
        <v>1151</v>
      </c>
      <c r="F1" s="9" t="s">
        <v>1198</v>
      </c>
      <c r="G1" s="18" t="s">
        <v>1200</v>
      </c>
      <c r="H1" s="9" t="s">
        <v>1202</v>
      </c>
      <c r="I1" s="9" t="s">
        <v>1204</v>
      </c>
      <c r="J1" s="9" t="s">
        <v>1206</v>
      </c>
      <c r="K1" s="9" t="s">
        <v>1208</v>
      </c>
      <c r="L1" s="9" t="s">
        <v>1210</v>
      </c>
      <c r="M1" s="9" t="s">
        <v>1232</v>
      </c>
      <c r="N1" s="9" t="s">
        <v>1233</v>
      </c>
      <c r="O1" s="9" t="s">
        <v>1234</v>
      </c>
      <c r="P1" s="9" t="s">
        <v>1235</v>
      </c>
      <c r="Q1" s="9" t="s">
        <v>1236</v>
      </c>
      <c r="R1" s="9" t="s">
        <v>1237</v>
      </c>
      <c r="S1" s="9" t="s">
        <v>1238</v>
      </c>
    </row>
    <row r="2" spans="1:19">
      <c r="A2" s="5">
        <v>1229673</v>
      </c>
      <c r="B2" s="9">
        <v>300</v>
      </c>
      <c r="C2" s="9">
        <v>300</v>
      </c>
      <c r="D2" s="9">
        <v>0</v>
      </c>
      <c r="E2" s="9">
        <v>0</v>
      </c>
      <c r="F2" s="9">
        <v>250</v>
      </c>
      <c r="G2" s="18">
        <v>250</v>
      </c>
      <c r="H2" s="9">
        <v>250</v>
      </c>
      <c r="I2" s="9">
        <v>300</v>
      </c>
      <c r="J2" s="9">
        <v>300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</row>
    <row r="3" spans="1:19">
      <c r="A3" s="5">
        <v>1230854</v>
      </c>
      <c r="B3" s="9">
        <v>0</v>
      </c>
      <c r="C3" s="9">
        <v>100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19">
      <c r="A4" s="5">
        <v>1235623</v>
      </c>
      <c r="B4" s="9">
        <v>0</v>
      </c>
      <c r="C4" s="9">
        <v>0</v>
      </c>
      <c r="D4" s="9">
        <v>0</v>
      </c>
      <c r="E4" s="9">
        <v>0</v>
      </c>
      <c r="F4" s="9">
        <v>508</v>
      </c>
      <c r="G4" s="18">
        <v>960</v>
      </c>
      <c r="H4" s="9">
        <v>404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</row>
    <row r="5" spans="1:19">
      <c r="A5" s="5">
        <v>1237088</v>
      </c>
      <c r="B5" s="9">
        <v>466</v>
      </c>
      <c r="C5" s="9">
        <v>308</v>
      </c>
      <c r="D5" s="9">
        <v>0</v>
      </c>
      <c r="E5" s="9">
        <v>0</v>
      </c>
      <c r="F5" s="9">
        <v>574</v>
      </c>
      <c r="G5" s="18">
        <v>868</v>
      </c>
      <c r="H5" s="9">
        <v>908</v>
      </c>
      <c r="I5" s="9">
        <v>236</v>
      </c>
      <c r="J5" s="9">
        <v>76</v>
      </c>
      <c r="K5" s="9">
        <v>0</v>
      </c>
      <c r="L5" s="9">
        <v>0</v>
      </c>
      <c r="M5" s="9">
        <v>598</v>
      </c>
      <c r="N5" s="9">
        <v>518</v>
      </c>
      <c r="O5" s="9">
        <v>504</v>
      </c>
      <c r="P5" s="9">
        <v>812</v>
      </c>
      <c r="Q5" s="9">
        <v>0</v>
      </c>
      <c r="R5" s="9">
        <v>0</v>
      </c>
      <c r="S5" s="9">
        <v>0</v>
      </c>
    </row>
    <row r="6" spans="1:19">
      <c r="A6" s="5">
        <v>1236091</v>
      </c>
      <c r="B6" s="9">
        <v>300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</row>
    <row r="7" spans="1:19">
      <c r="A7" s="5">
        <v>1234905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136</v>
      </c>
      <c r="K7" s="9">
        <v>0</v>
      </c>
      <c r="L7" s="9">
        <v>0</v>
      </c>
      <c r="M7" s="9">
        <v>420</v>
      </c>
      <c r="N7" s="9">
        <v>420</v>
      </c>
      <c r="O7" s="9">
        <v>122</v>
      </c>
      <c r="P7" s="9">
        <v>0</v>
      </c>
      <c r="Q7" s="9">
        <v>0</v>
      </c>
      <c r="R7" s="9">
        <v>0</v>
      </c>
      <c r="S7" s="9">
        <v>0</v>
      </c>
    </row>
    <row r="8" spans="1:19">
      <c r="A8" s="5">
        <v>1237748</v>
      </c>
      <c r="B8" s="9">
        <v>0</v>
      </c>
      <c r="C8" s="9">
        <v>0</v>
      </c>
      <c r="D8" s="9">
        <v>0</v>
      </c>
      <c r="E8" s="9">
        <v>0</v>
      </c>
      <c r="F8" s="9">
        <v>104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</row>
    <row r="9" spans="1:19">
      <c r="A9" s="5">
        <v>1236962</v>
      </c>
      <c r="B9" s="9">
        <v>0</v>
      </c>
      <c r="C9" s="9">
        <v>0</v>
      </c>
      <c r="D9" s="9">
        <v>0</v>
      </c>
      <c r="E9" s="9">
        <v>0</v>
      </c>
      <c r="F9" s="9">
        <v>200</v>
      </c>
      <c r="G9" s="9">
        <v>0</v>
      </c>
      <c r="H9" s="9">
        <v>0</v>
      </c>
      <c r="I9" s="9">
        <v>308</v>
      </c>
      <c r="J9" s="9">
        <v>0</v>
      </c>
      <c r="K9" s="9">
        <v>0</v>
      </c>
      <c r="L9" s="9">
        <v>0</v>
      </c>
      <c r="M9" s="9">
        <v>344</v>
      </c>
      <c r="N9" s="9">
        <v>144</v>
      </c>
      <c r="O9" s="9">
        <v>144</v>
      </c>
      <c r="P9" s="9">
        <v>144</v>
      </c>
      <c r="Q9" s="9">
        <v>0</v>
      </c>
      <c r="R9" s="9">
        <v>0</v>
      </c>
      <c r="S9" s="9">
        <v>0</v>
      </c>
    </row>
    <row r="10" spans="1:19">
      <c r="A10" s="5">
        <v>1233761</v>
      </c>
      <c r="B10" s="9">
        <v>0</v>
      </c>
      <c r="C10" s="9">
        <v>200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</row>
    <row r="11" spans="1:19">
      <c r="A11" s="5">
        <v>1239651</v>
      </c>
      <c r="B11" s="9">
        <v>400</v>
      </c>
      <c r="C11" s="9">
        <v>0</v>
      </c>
      <c r="D11" s="9">
        <v>0</v>
      </c>
      <c r="E11" s="9">
        <v>0</v>
      </c>
      <c r="F11" s="9">
        <v>0</v>
      </c>
      <c r="G11" s="18">
        <v>300</v>
      </c>
      <c r="H11" s="9">
        <v>0</v>
      </c>
      <c r="I11" s="9">
        <v>150</v>
      </c>
      <c r="J11" s="9">
        <v>0</v>
      </c>
      <c r="K11" s="9">
        <v>0</v>
      </c>
      <c r="L11" s="9">
        <v>0</v>
      </c>
      <c r="M11" s="9">
        <v>150</v>
      </c>
      <c r="N11" s="9">
        <v>150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spans="1:19">
      <c r="A12" s="5">
        <v>1240180</v>
      </c>
      <c r="B12" s="9">
        <v>390</v>
      </c>
      <c r="C12" s="9">
        <v>306</v>
      </c>
      <c r="D12" s="9">
        <v>0</v>
      </c>
      <c r="E12" s="9">
        <v>0</v>
      </c>
      <c r="F12" s="9">
        <v>338</v>
      </c>
      <c r="G12" s="18">
        <v>430</v>
      </c>
      <c r="H12" s="9">
        <v>338</v>
      </c>
      <c r="I12" s="9">
        <v>430</v>
      </c>
      <c r="J12" s="9">
        <v>338</v>
      </c>
      <c r="K12" s="9">
        <v>0</v>
      </c>
      <c r="L12" s="9">
        <v>0</v>
      </c>
      <c r="M12" s="9">
        <v>430</v>
      </c>
      <c r="N12" s="9">
        <v>431</v>
      </c>
      <c r="O12" s="9">
        <v>320</v>
      </c>
      <c r="P12" s="9">
        <v>430</v>
      </c>
      <c r="Q12" s="9">
        <v>0</v>
      </c>
      <c r="R12" s="9">
        <v>0</v>
      </c>
      <c r="S12" s="9">
        <v>0</v>
      </c>
    </row>
    <row r="13" spans="1:19">
      <c r="A13" s="5">
        <v>1240184</v>
      </c>
      <c r="B13" s="9">
        <v>390</v>
      </c>
      <c r="C13" s="9">
        <v>306</v>
      </c>
      <c r="D13" s="9">
        <v>0</v>
      </c>
      <c r="E13" s="9">
        <v>0</v>
      </c>
      <c r="F13" s="9">
        <v>338</v>
      </c>
      <c r="G13" s="18">
        <v>296</v>
      </c>
      <c r="H13" s="9">
        <v>338</v>
      </c>
      <c r="I13" s="9">
        <v>430</v>
      </c>
      <c r="J13" s="9">
        <v>338</v>
      </c>
      <c r="K13" s="9">
        <v>0</v>
      </c>
      <c r="L13" s="9">
        <v>0</v>
      </c>
      <c r="M13" s="9">
        <v>430</v>
      </c>
      <c r="N13" s="9">
        <v>431</v>
      </c>
      <c r="O13" s="9">
        <v>320</v>
      </c>
      <c r="P13" s="9">
        <v>430</v>
      </c>
      <c r="Q13" s="9">
        <v>0</v>
      </c>
      <c r="R13" s="9">
        <v>0</v>
      </c>
      <c r="S13" s="9">
        <v>0</v>
      </c>
    </row>
    <row r="14" spans="1:19">
      <c r="A14" s="5">
        <v>1240308</v>
      </c>
      <c r="B14" s="9">
        <v>0</v>
      </c>
      <c r="C14" s="9">
        <v>94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300</v>
      </c>
      <c r="J14" s="9">
        <v>200</v>
      </c>
      <c r="K14" s="9">
        <v>0</v>
      </c>
      <c r="L14" s="9">
        <v>0</v>
      </c>
      <c r="M14" s="9">
        <v>200</v>
      </c>
      <c r="N14" s="9">
        <v>200</v>
      </c>
      <c r="O14" s="9">
        <v>200</v>
      </c>
      <c r="P14" s="9">
        <v>200</v>
      </c>
      <c r="Q14" s="9">
        <v>0</v>
      </c>
      <c r="R14" s="9">
        <v>0</v>
      </c>
      <c r="S14" s="9">
        <v>0</v>
      </c>
    </row>
    <row r="15" spans="1:19">
      <c r="A15" s="5">
        <v>1241601</v>
      </c>
      <c r="B15" s="9">
        <v>1704</v>
      </c>
      <c r="C15" s="9">
        <v>1112</v>
      </c>
      <c r="D15" s="9">
        <v>0</v>
      </c>
      <c r="E15" s="9">
        <v>0</v>
      </c>
      <c r="F15" s="9">
        <v>1416</v>
      </c>
      <c r="G15" s="18">
        <v>1564</v>
      </c>
      <c r="H15" s="9">
        <v>1050</v>
      </c>
      <c r="I15" s="9">
        <v>1792</v>
      </c>
      <c r="J15" s="9">
        <v>1238</v>
      </c>
      <c r="K15" s="9">
        <v>0</v>
      </c>
      <c r="L15" s="9">
        <v>0</v>
      </c>
      <c r="M15" s="9">
        <v>1182</v>
      </c>
      <c r="N15" s="9">
        <v>1210</v>
      </c>
      <c r="O15" s="9">
        <v>1382</v>
      </c>
      <c r="P15" s="9">
        <v>2198</v>
      </c>
      <c r="Q15" s="9">
        <v>0</v>
      </c>
      <c r="R15" s="9">
        <v>0</v>
      </c>
      <c r="S15" s="9">
        <v>0</v>
      </c>
    </row>
    <row r="20" spans="1:19">
      <c r="A20" s="5" t="s">
        <v>0</v>
      </c>
      <c r="B20" s="9" t="s">
        <v>1148</v>
      </c>
      <c r="C20" s="9" t="s">
        <v>1149</v>
      </c>
      <c r="D20" s="9" t="s">
        <v>1150</v>
      </c>
      <c r="E20" s="9" t="s">
        <v>1151</v>
      </c>
      <c r="F20" s="9" t="s">
        <v>1198</v>
      </c>
      <c r="G20" s="9" t="s">
        <v>1200</v>
      </c>
      <c r="H20" s="9" t="s">
        <v>1202</v>
      </c>
      <c r="I20" s="9" t="s">
        <v>1204</v>
      </c>
      <c r="J20" s="9" t="s">
        <v>1206</v>
      </c>
      <c r="K20" s="9" t="s">
        <v>1208</v>
      </c>
      <c r="L20" s="9" t="s">
        <v>1210</v>
      </c>
      <c r="M20" s="9" t="s">
        <v>1232</v>
      </c>
      <c r="N20" s="9" t="s">
        <v>1233</v>
      </c>
      <c r="O20" s="9" t="s">
        <v>1234</v>
      </c>
      <c r="P20" s="9" t="s">
        <v>1235</v>
      </c>
      <c r="Q20" s="9" t="s">
        <v>1236</v>
      </c>
      <c r="R20" s="9" t="s">
        <v>1237</v>
      </c>
      <c r="S20" s="9" t="s">
        <v>1238</v>
      </c>
    </row>
    <row r="21" spans="1:19">
      <c r="A21" s="5">
        <v>1232846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44</v>
      </c>
      <c r="I21" s="9">
        <v>0</v>
      </c>
      <c r="J21" s="9">
        <v>352</v>
      </c>
      <c r="K21" s="9">
        <v>0</v>
      </c>
      <c r="L21" s="9">
        <v>0</v>
      </c>
      <c r="M21" s="9">
        <v>352</v>
      </c>
      <c r="N21" s="9">
        <v>352</v>
      </c>
      <c r="O21" s="9">
        <v>329</v>
      </c>
      <c r="P21" s="9">
        <v>0</v>
      </c>
      <c r="Q21" s="9">
        <v>0</v>
      </c>
      <c r="R21" s="9">
        <v>0</v>
      </c>
      <c r="S21" s="9">
        <v>0</v>
      </c>
    </row>
    <row r="22" spans="1:19">
      <c r="A22" s="5">
        <v>1232895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44</v>
      </c>
      <c r="I22" s="9">
        <v>0</v>
      </c>
      <c r="J22" s="9">
        <v>352</v>
      </c>
      <c r="K22" s="9">
        <v>0</v>
      </c>
      <c r="L22" s="9">
        <v>0</v>
      </c>
      <c r="M22" s="9">
        <v>352</v>
      </c>
      <c r="N22" s="9">
        <v>352</v>
      </c>
      <c r="O22" s="9">
        <v>329</v>
      </c>
      <c r="P22" s="9">
        <v>0</v>
      </c>
      <c r="Q22" s="9">
        <v>0</v>
      </c>
      <c r="R22" s="9">
        <v>0</v>
      </c>
      <c r="S22" s="9">
        <v>0</v>
      </c>
    </row>
    <row r="23" spans="1:19">
      <c r="A23" s="5">
        <v>1233384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44</v>
      </c>
      <c r="I23" s="9">
        <v>0</v>
      </c>
      <c r="J23" s="9">
        <v>352</v>
      </c>
      <c r="K23" s="9">
        <v>0</v>
      </c>
      <c r="L23" s="9">
        <v>0</v>
      </c>
      <c r="M23" s="9">
        <v>352</v>
      </c>
      <c r="N23" s="9">
        <v>352</v>
      </c>
      <c r="O23" s="9">
        <v>329</v>
      </c>
      <c r="P23" s="9">
        <v>0</v>
      </c>
      <c r="Q23" s="9">
        <v>0</v>
      </c>
      <c r="R23" s="9">
        <v>0</v>
      </c>
      <c r="S23" s="9">
        <v>0</v>
      </c>
    </row>
    <row r="24" spans="1:19">
      <c r="A24" s="5">
        <v>1236110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8">
        <v>100</v>
      </c>
      <c r="H24" s="98">
        <v>200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</row>
    <row r="25" spans="1:19">
      <c r="A25" s="5">
        <v>1236387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113</v>
      </c>
      <c r="K25" s="9">
        <v>0</v>
      </c>
      <c r="L25" s="9">
        <v>0</v>
      </c>
      <c r="M25" s="9">
        <v>367</v>
      </c>
      <c r="N25" s="9">
        <v>367</v>
      </c>
      <c r="O25" s="9">
        <v>53</v>
      </c>
      <c r="P25" s="9">
        <v>0</v>
      </c>
      <c r="Q25" s="9">
        <v>0</v>
      </c>
      <c r="R25" s="9">
        <v>0</v>
      </c>
      <c r="S25" s="9">
        <v>0</v>
      </c>
    </row>
    <row r="26" spans="1:19">
      <c r="A26" s="5">
        <v>1232775</v>
      </c>
      <c r="B26" s="9">
        <v>159</v>
      </c>
      <c r="C26" s="9">
        <v>484</v>
      </c>
      <c r="D26" s="9">
        <v>0</v>
      </c>
      <c r="E26" s="9">
        <v>0</v>
      </c>
      <c r="F26" s="98">
        <v>487</v>
      </c>
      <c r="G26" s="98">
        <v>421</v>
      </c>
      <c r="H26" s="98">
        <v>275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181</v>
      </c>
      <c r="P26" s="9">
        <v>0</v>
      </c>
      <c r="Q26" s="9">
        <v>0</v>
      </c>
      <c r="R26" s="9">
        <v>0</v>
      </c>
      <c r="S26" s="9">
        <v>0</v>
      </c>
    </row>
    <row r="27" spans="1:19">
      <c r="A27" s="5">
        <v>1230685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183</v>
      </c>
      <c r="I27" s="9">
        <v>0</v>
      </c>
      <c r="J27" s="9">
        <v>217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</row>
    <row r="28" spans="1:19">
      <c r="A28" s="5">
        <v>1238605</v>
      </c>
      <c r="B28" s="9">
        <v>58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33" spans="1:19">
      <c r="A33" s="5" t="s">
        <v>0</v>
      </c>
      <c r="B33" s="9" t="s">
        <v>1148</v>
      </c>
      <c r="C33" s="9" t="s">
        <v>1149</v>
      </c>
      <c r="D33" s="9" t="s">
        <v>1150</v>
      </c>
      <c r="E33" s="9" t="s">
        <v>1151</v>
      </c>
      <c r="F33" s="9" t="s">
        <v>1198</v>
      </c>
      <c r="G33" s="9" t="s">
        <v>1200</v>
      </c>
      <c r="H33" s="9" t="s">
        <v>1202</v>
      </c>
      <c r="I33" s="9" t="s">
        <v>1204</v>
      </c>
      <c r="J33" s="9" t="s">
        <v>1206</v>
      </c>
      <c r="K33" s="9" t="s">
        <v>1208</v>
      </c>
      <c r="L33" s="9" t="s">
        <v>1210</v>
      </c>
      <c r="M33" s="9" t="s">
        <v>1232</v>
      </c>
      <c r="N33" s="9" t="s">
        <v>1233</v>
      </c>
      <c r="O33" s="9" t="s">
        <v>1234</v>
      </c>
      <c r="P33" s="9" t="s">
        <v>1235</v>
      </c>
      <c r="Q33" s="9" t="s">
        <v>1236</v>
      </c>
      <c r="R33" s="9" t="s">
        <v>1237</v>
      </c>
      <c r="S33" s="9" t="s">
        <v>1238</v>
      </c>
    </row>
    <row r="34" spans="1:19">
      <c r="A34" s="5">
        <v>1221967</v>
      </c>
      <c r="B34" s="9">
        <v>0</v>
      </c>
      <c r="C34" s="9">
        <v>0</v>
      </c>
      <c r="D34" s="9">
        <v>0</v>
      </c>
      <c r="E34" s="9">
        <v>0</v>
      </c>
      <c r="F34" s="98">
        <v>225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</row>
    <row r="35" spans="1:19">
      <c r="A35" s="5">
        <v>1234614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18">
        <v>285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315</v>
      </c>
      <c r="Q35" s="9">
        <v>0</v>
      </c>
      <c r="R35" s="9">
        <v>0</v>
      </c>
      <c r="S35" s="9">
        <v>0</v>
      </c>
    </row>
    <row r="36" spans="1:19">
      <c r="A36" s="5">
        <v>1227306</v>
      </c>
      <c r="B36" s="9">
        <v>487</v>
      </c>
      <c r="C36" s="9">
        <v>118</v>
      </c>
      <c r="D36" s="9">
        <v>0</v>
      </c>
      <c r="E36" s="9">
        <v>0</v>
      </c>
      <c r="F36" s="98">
        <v>41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1:19">
      <c r="A37" s="5">
        <v>1229776</v>
      </c>
      <c r="B37" s="9">
        <v>0</v>
      </c>
      <c r="C37" s="9">
        <v>115</v>
      </c>
      <c r="D37" s="9">
        <v>0</v>
      </c>
      <c r="E37" s="9">
        <v>0</v>
      </c>
      <c r="F37" s="98">
        <v>60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1:19">
      <c r="A38" s="5">
        <v>1231090</v>
      </c>
      <c r="B38" s="9">
        <v>0</v>
      </c>
      <c r="C38" s="9">
        <v>115</v>
      </c>
      <c r="D38" s="9">
        <v>0</v>
      </c>
      <c r="E38" s="9">
        <v>0</v>
      </c>
      <c r="F38" s="98">
        <v>60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510</v>
      </c>
      <c r="P38" s="9">
        <v>367</v>
      </c>
      <c r="Q38" s="9">
        <v>0</v>
      </c>
      <c r="R38" s="9">
        <v>0</v>
      </c>
      <c r="S38" s="9">
        <v>0</v>
      </c>
    </row>
    <row r="39" spans="1:19">
      <c r="A39" s="5">
        <v>1232066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108</v>
      </c>
      <c r="Q39" s="9">
        <v>0</v>
      </c>
      <c r="R39" s="9">
        <v>0</v>
      </c>
      <c r="S39" s="9">
        <v>0</v>
      </c>
    </row>
    <row r="40" spans="1:19">
      <c r="A40" s="5">
        <v>1232693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152</v>
      </c>
      <c r="K40" s="9">
        <v>0</v>
      </c>
      <c r="L40" s="9">
        <v>0</v>
      </c>
      <c r="M40" s="9">
        <v>625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5">
        <v>1233025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152</v>
      </c>
      <c r="K41" s="9">
        <v>0</v>
      </c>
      <c r="L41" s="9">
        <v>0</v>
      </c>
      <c r="M41" s="9">
        <v>625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5">
        <v>1232528</v>
      </c>
      <c r="B42" s="9">
        <v>686</v>
      </c>
      <c r="C42" s="9">
        <v>740</v>
      </c>
      <c r="D42" s="9">
        <v>0</v>
      </c>
      <c r="E42" s="9">
        <v>0</v>
      </c>
      <c r="F42" s="9">
        <v>978</v>
      </c>
      <c r="G42" s="18">
        <v>794</v>
      </c>
      <c r="H42" s="9">
        <v>639</v>
      </c>
      <c r="I42" s="9">
        <v>1696</v>
      </c>
      <c r="J42" s="9">
        <v>1518</v>
      </c>
      <c r="K42" s="9">
        <v>0</v>
      </c>
      <c r="L42" s="9">
        <v>0</v>
      </c>
      <c r="M42" s="9">
        <v>1715</v>
      </c>
      <c r="N42" s="9">
        <v>1646</v>
      </c>
      <c r="O42" s="9">
        <v>1251</v>
      </c>
      <c r="P42" s="9">
        <v>1413</v>
      </c>
      <c r="Q42" s="9">
        <v>0</v>
      </c>
      <c r="R42" s="9">
        <v>0</v>
      </c>
      <c r="S42" s="9">
        <v>0</v>
      </c>
    </row>
    <row r="43" spans="1:19">
      <c r="A43" s="5">
        <v>1232846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488</v>
      </c>
      <c r="H43" s="18">
        <v>513</v>
      </c>
      <c r="I43" s="9">
        <v>588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370</v>
      </c>
      <c r="P43" s="9">
        <v>0</v>
      </c>
      <c r="Q43" s="9">
        <v>0</v>
      </c>
      <c r="R43" s="9">
        <v>0</v>
      </c>
      <c r="S43" s="9">
        <v>0</v>
      </c>
    </row>
    <row r="44" spans="1:19">
      <c r="A44" s="5">
        <v>1220847</v>
      </c>
      <c r="B44" s="9">
        <v>0</v>
      </c>
      <c r="C44" s="9">
        <v>0</v>
      </c>
      <c r="D44" s="9">
        <v>0</v>
      </c>
      <c r="E44" s="9">
        <v>0</v>
      </c>
      <c r="F44" s="98">
        <v>83</v>
      </c>
      <c r="G44" s="98">
        <v>17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50</v>
      </c>
      <c r="Q44" s="9">
        <v>0</v>
      </c>
      <c r="R44" s="9">
        <v>0</v>
      </c>
      <c r="S44" s="9">
        <v>0</v>
      </c>
    </row>
    <row r="45" spans="1:19">
      <c r="A45" s="5">
        <v>1235845</v>
      </c>
      <c r="B45" s="9">
        <v>0</v>
      </c>
      <c r="C45" s="9">
        <v>0</v>
      </c>
      <c r="D45" s="9">
        <v>0</v>
      </c>
      <c r="E45" s="9">
        <v>0</v>
      </c>
      <c r="F45" s="9">
        <v>407</v>
      </c>
      <c r="G45" s="18">
        <v>79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5">
        <v>1235097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103</v>
      </c>
      <c r="K46" s="9">
        <v>0</v>
      </c>
      <c r="L46" s="9">
        <v>0</v>
      </c>
      <c r="M46" s="9">
        <v>297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5">
        <v>1236600</v>
      </c>
      <c r="B47" s="9">
        <v>533</v>
      </c>
      <c r="C47" s="9">
        <v>316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spans="1:19">
      <c r="A48" s="5">
        <v>1236601</v>
      </c>
      <c r="B48" s="9">
        <v>0</v>
      </c>
      <c r="C48" s="9">
        <v>93</v>
      </c>
      <c r="D48" s="9">
        <v>0</v>
      </c>
      <c r="E48" s="9">
        <v>0</v>
      </c>
      <c r="F48" s="9">
        <v>50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</row>
    <row r="49" spans="1:19">
      <c r="A49" s="5">
        <v>1236930</v>
      </c>
      <c r="B49" s="9">
        <v>170</v>
      </c>
      <c r="C49" s="9">
        <v>266</v>
      </c>
      <c r="D49" s="9">
        <v>0</v>
      </c>
      <c r="E49" s="9">
        <v>0</v>
      </c>
      <c r="F49" s="9">
        <v>267</v>
      </c>
      <c r="G49" s="18">
        <v>339</v>
      </c>
      <c r="H49" s="9">
        <v>223</v>
      </c>
      <c r="I49" s="9">
        <v>284</v>
      </c>
      <c r="J49" s="9">
        <v>133</v>
      </c>
      <c r="K49" s="9">
        <v>0</v>
      </c>
      <c r="L49" s="9">
        <v>0</v>
      </c>
      <c r="M49" s="9">
        <v>0</v>
      </c>
      <c r="N49" s="9">
        <v>700</v>
      </c>
      <c r="O49" s="9">
        <v>890</v>
      </c>
      <c r="P49" s="9">
        <v>1206</v>
      </c>
      <c r="Q49" s="9">
        <v>0</v>
      </c>
      <c r="R49" s="9">
        <v>0</v>
      </c>
      <c r="S49" s="9">
        <v>0</v>
      </c>
    </row>
    <row r="50" spans="1:19">
      <c r="A50" s="5">
        <v>1237210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131</v>
      </c>
      <c r="O50" s="9">
        <v>64</v>
      </c>
      <c r="P50" s="9">
        <v>0</v>
      </c>
      <c r="Q50" s="9">
        <v>0</v>
      </c>
      <c r="R50" s="9">
        <v>0</v>
      </c>
      <c r="S50" s="9">
        <v>0</v>
      </c>
    </row>
    <row r="51" spans="1:19">
      <c r="A51" s="5">
        <v>1237457</v>
      </c>
      <c r="B51" s="9">
        <v>18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5">
        <v>1237386</v>
      </c>
      <c r="B52" s="9">
        <v>0</v>
      </c>
      <c r="C52" s="9">
        <v>150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19">
      <c r="A53" s="5">
        <v>1234905</v>
      </c>
      <c r="B53" s="9">
        <v>0</v>
      </c>
      <c r="C53" s="9">
        <v>0</v>
      </c>
      <c r="D53" s="9">
        <v>0</v>
      </c>
      <c r="E53" s="9">
        <v>0</v>
      </c>
      <c r="F53" s="9">
        <v>324</v>
      </c>
      <c r="G53" s="9">
        <v>483</v>
      </c>
      <c r="H53" s="18">
        <v>297</v>
      </c>
      <c r="I53" s="9">
        <v>395</v>
      </c>
      <c r="J53" s="9">
        <v>311</v>
      </c>
      <c r="K53" s="9">
        <v>0</v>
      </c>
      <c r="L53" s="9">
        <v>0</v>
      </c>
      <c r="M53" s="9">
        <v>357</v>
      </c>
      <c r="N53" s="9">
        <v>200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5">
        <v>1238480</v>
      </c>
      <c r="B54" s="9">
        <v>1169</v>
      </c>
      <c r="C54" s="9">
        <v>689</v>
      </c>
      <c r="D54" s="9">
        <v>0</v>
      </c>
      <c r="E54" s="9">
        <v>0</v>
      </c>
      <c r="F54" s="9">
        <v>343</v>
      </c>
      <c r="G54" s="18">
        <v>802</v>
      </c>
      <c r="H54" s="9">
        <v>686</v>
      </c>
      <c r="I54" s="9">
        <v>501</v>
      </c>
      <c r="J54" s="9">
        <v>339</v>
      </c>
      <c r="K54" s="9">
        <v>0</v>
      </c>
      <c r="L54" s="9">
        <v>0</v>
      </c>
      <c r="M54" s="9">
        <v>476</v>
      </c>
      <c r="N54" s="9">
        <v>814</v>
      </c>
      <c r="O54" s="9">
        <v>635</v>
      </c>
      <c r="P54" s="9">
        <v>476</v>
      </c>
      <c r="Q54" s="9">
        <v>0</v>
      </c>
      <c r="R54" s="9">
        <v>0</v>
      </c>
      <c r="S54" s="9">
        <v>0</v>
      </c>
    </row>
    <row r="55" spans="1:19">
      <c r="A55" s="5">
        <v>1240180</v>
      </c>
      <c r="B55" s="9">
        <v>157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</row>
    <row r="56" spans="1:19">
      <c r="A56" s="5">
        <v>1240184</v>
      </c>
      <c r="B56" s="9">
        <v>157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19">
      <c r="A57" s="5">
        <v>1237468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324</v>
      </c>
      <c r="Q57" s="9">
        <v>0</v>
      </c>
      <c r="R57" s="9">
        <v>0</v>
      </c>
      <c r="S57" s="9">
        <v>0</v>
      </c>
    </row>
    <row r="58" spans="1:19">
      <c r="A58" s="5">
        <v>1229088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48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</row>
    <row r="59" spans="1:19">
      <c r="A59" s="5">
        <v>1231011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210</v>
      </c>
      <c r="I59" s="9">
        <v>90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</row>
    <row r="60" spans="1:19">
      <c r="A60" s="5">
        <v>1232894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488</v>
      </c>
      <c r="H60" s="9">
        <v>513</v>
      </c>
      <c r="I60" s="9">
        <v>588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</row>
    <row r="61" spans="1:19">
      <c r="A61" s="5">
        <v>1233386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488</v>
      </c>
      <c r="H61" s="9">
        <v>120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5">
        <v>1233387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140</v>
      </c>
      <c r="I62" s="9">
        <v>588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 spans="1:19">
      <c r="A63" s="5">
        <v>1233385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253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>
      <c r="A64" s="5">
        <v>1232895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370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5">
        <v>1232922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370</v>
      </c>
      <c r="P65" s="9">
        <v>0</v>
      </c>
      <c r="Q65" s="9">
        <v>0</v>
      </c>
      <c r="R65" s="9">
        <v>0</v>
      </c>
      <c r="S65" s="9">
        <v>0</v>
      </c>
    </row>
  </sheetData>
  <autoFilter ref="A1:S15" xr:uid="{CF99ACAE-16D4-43D0-A328-E5501F11C55C}"/>
  <phoneticPr fontId="1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4266-B736-4CD8-8D10-4DB7EAD0A542}">
  <dimension ref="A1:O54"/>
  <sheetViews>
    <sheetView topLeftCell="A23" zoomScale="130" zoomScaleNormal="130" workbookViewId="0">
      <selection activeCell="L54" sqref="A54:XFD54"/>
    </sheetView>
  </sheetViews>
  <sheetFormatPr defaultColWidth="9.1640625" defaultRowHeight="12"/>
  <cols>
    <col min="1" max="1" width="9.1640625" style="5"/>
    <col min="2" max="2" width="9.1640625" style="9"/>
    <col min="3" max="14" width="9.1640625" style="9" customWidth="1"/>
    <col min="15" max="15" width="9.1640625" style="9"/>
    <col min="16" max="16384" width="9.1640625" style="5"/>
  </cols>
  <sheetData>
    <row r="1" spans="1:15">
      <c r="A1" s="5" t="s">
        <v>0</v>
      </c>
      <c r="B1" s="9" t="s">
        <v>1198</v>
      </c>
      <c r="C1" s="9" t="s">
        <v>1200</v>
      </c>
      <c r="D1" s="9" t="s">
        <v>1202</v>
      </c>
      <c r="E1" s="18" t="s">
        <v>1204</v>
      </c>
      <c r="F1" s="9" t="s">
        <v>1206</v>
      </c>
      <c r="G1" s="9" t="s">
        <v>1208</v>
      </c>
      <c r="H1" s="9" t="s">
        <v>1210</v>
      </c>
      <c r="I1" s="9" t="s">
        <v>1232</v>
      </c>
      <c r="J1" s="9" t="s">
        <v>1233</v>
      </c>
      <c r="K1" s="9" t="s">
        <v>1234</v>
      </c>
      <c r="L1" s="9" t="s">
        <v>1235</v>
      </c>
      <c r="M1" s="9" t="s">
        <v>1236</v>
      </c>
      <c r="N1" s="9" t="s">
        <v>1237</v>
      </c>
      <c r="O1" s="9" t="s">
        <v>1238</v>
      </c>
    </row>
    <row r="2" spans="1:15">
      <c r="A2" s="5">
        <v>1229673</v>
      </c>
      <c r="B2" s="9">
        <v>250</v>
      </c>
      <c r="C2" s="9">
        <v>250</v>
      </c>
      <c r="D2" s="9">
        <v>250</v>
      </c>
      <c r="E2" s="18">
        <v>300</v>
      </c>
      <c r="F2" s="9">
        <v>300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5">
      <c r="A3" s="5">
        <v>1235623</v>
      </c>
      <c r="B3" s="9">
        <v>508</v>
      </c>
      <c r="C3" s="9">
        <v>960</v>
      </c>
      <c r="D3" s="9">
        <v>404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>
      <c r="A4" s="5">
        <v>1237088</v>
      </c>
      <c r="B4" s="9">
        <v>574</v>
      </c>
      <c r="C4" s="9">
        <v>868</v>
      </c>
      <c r="D4" s="9">
        <v>908</v>
      </c>
      <c r="E4" s="18">
        <v>236</v>
      </c>
      <c r="F4" s="9">
        <v>76</v>
      </c>
      <c r="G4" s="9">
        <v>0</v>
      </c>
      <c r="H4" s="9">
        <v>0</v>
      </c>
      <c r="I4" s="9">
        <v>598</v>
      </c>
      <c r="J4" s="9">
        <v>518</v>
      </c>
      <c r="K4" s="9">
        <v>504</v>
      </c>
      <c r="L4" s="9">
        <v>812</v>
      </c>
      <c r="M4" s="9">
        <v>0</v>
      </c>
      <c r="N4" s="9">
        <v>0</v>
      </c>
      <c r="O4" s="9">
        <v>0</v>
      </c>
    </row>
    <row r="5" spans="1:15">
      <c r="A5" s="5">
        <v>1234905</v>
      </c>
      <c r="B5" s="9">
        <v>0</v>
      </c>
      <c r="C5" s="9">
        <v>0</v>
      </c>
      <c r="D5" s="9">
        <v>0</v>
      </c>
      <c r="E5" s="9">
        <v>0</v>
      </c>
      <c r="F5" s="9">
        <v>136</v>
      </c>
      <c r="G5" s="9">
        <v>0</v>
      </c>
      <c r="H5" s="9">
        <v>0</v>
      </c>
      <c r="I5" s="9">
        <v>420</v>
      </c>
      <c r="J5" s="9">
        <v>420</v>
      </c>
      <c r="K5" s="9">
        <v>122</v>
      </c>
      <c r="L5" s="9">
        <v>0</v>
      </c>
      <c r="M5" s="9">
        <v>0</v>
      </c>
      <c r="N5" s="9">
        <v>0</v>
      </c>
      <c r="O5" s="9">
        <v>0</v>
      </c>
    </row>
    <row r="6" spans="1:15">
      <c r="A6" s="5">
        <v>1237748</v>
      </c>
      <c r="B6" s="9">
        <v>104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</row>
    <row r="7" spans="1:15">
      <c r="A7" s="5">
        <v>1236962</v>
      </c>
      <c r="B7" s="9">
        <v>200</v>
      </c>
      <c r="C7" s="9">
        <v>0</v>
      </c>
      <c r="D7" s="9">
        <v>0</v>
      </c>
      <c r="E7" s="18">
        <v>308</v>
      </c>
      <c r="F7" s="9">
        <v>0</v>
      </c>
      <c r="G7" s="9">
        <v>0</v>
      </c>
      <c r="H7" s="9">
        <v>0</v>
      </c>
      <c r="I7" s="9">
        <v>344</v>
      </c>
      <c r="J7" s="9">
        <v>144</v>
      </c>
      <c r="K7" s="9">
        <v>144</v>
      </c>
      <c r="L7" s="9">
        <v>144</v>
      </c>
      <c r="M7" s="9">
        <v>0</v>
      </c>
      <c r="N7" s="9">
        <v>0</v>
      </c>
      <c r="O7" s="9">
        <v>0</v>
      </c>
    </row>
    <row r="8" spans="1:15">
      <c r="A8" s="5">
        <v>1239651</v>
      </c>
      <c r="B8" s="9">
        <v>0</v>
      </c>
      <c r="C8" s="9">
        <v>300</v>
      </c>
      <c r="D8" s="9">
        <v>0</v>
      </c>
      <c r="E8" s="18">
        <v>150</v>
      </c>
      <c r="F8" s="9">
        <v>0</v>
      </c>
      <c r="G8" s="9">
        <v>0</v>
      </c>
      <c r="H8" s="9">
        <v>0</v>
      </c>
      <c r="I8" s="9">
        <v>150</v>
      </c>
      <c r="J8" s="9">
        <v>150</v>
      </c>
      <c r="K8" s="9">
        <v>0</v>
      </c>
      <c r="L8" s="9">
        <v>0</v>
      </c>
      <c r="M8" s="9">
        <v>0</v>
      </c>
      <c r="N8" s="9">
        <v>0</v>
      </c>
      <c r="O8" s="9">
        <v>0</v>
      </c>
    </row>
    <row r="9" spans="1:15">
      <c r="A9" s="5">
        <v>1240180</v>
      </c>
      <c r="B9" s="9">
        <v>338</v>
      </c>
      <c r="C9" s="9">
        <v>430</v>
      </c>
      <c r="D9" s="9">
        <v>338</v>
      </c>
      <c r="E9" s="18">
        <v>430</v>
      </c>
      <c r="F9" s="9">
        <v>338</v>
      </c>
      <c r="G9" s="9">
        <v>0</v>
      </c>
      <c r="H9" s="9">
        <v>0</v>
      </c>
      <c r="I9" s="9">
        <v>430</v>
      </c>
      <c r="J9" s="9">
        <v>431</v>
      </c>
      <c r="K9" s="9">
        <v>320</v>
      </c>
      <c r="L9" s="9">
        <v>430</v>
      </c>
      <c r="M9" s="9">
        <v>0</v>
      </c>
      <c r="N9" s="9">
        <v>0</v>
      </c>
      <c r="O9" s="9">
        <v>0</v>
      </c>
    </row>
    <row r="10" spans="1:15">
      <c r="A10" s="5">
        <v>1240184</v>
      </c>
      <c r="B10" s="9">
        <v>338</v>
      </c>
      <c r="C10" s="9">
        <v>296</v>
      </c>
      <c r="D10" s="9">
        <v>338</v>
      </c>
      <c r="E10" s="18">
        <v>430</v>
      </c>
      <c r="F10" s="9">
        <v>338</v>
      </c>
      <c r="G10" s="9">
        <v>0</v>
      </c>
      <c r="H10" s="9">
        <v>0</v>
      </c>
      <c r="I10" s="9">
        <v>430</v>
      </c>
      <c r="J10" s="9">
        <v>431</v>
      </c>
      <c r="K10" s="9">
        <v>320</v>
      </c>
      <c r="L10" s="9">
        <v>430</v>
      </c>
      <c r="M10" s="9">
        <v>0</v>
      </c>
      <c r="N10" s="9">
        <v>0</v>
      </c>
      <c r="O10" s="9">
        <v>0</v>
      </c>
    </row>
    <row r="11" spans="1:15">
      <c r="A11" s="5">
        <v>1241601</v>
      </c>
      <c r="B11" s="9">
        <v>1416</v>
      </c>
      <c r="C11" s="9">
        <v>1564</v>
      </c>
      <c r="D11" s="9">
        <v>1050</v>
      </c>
      <c r="E11" s="18">
        <v>1792</v>
      </c>
      <c r="F11" s="9">
        <v>1238</v>
      </c>
      <c r="G11" s="9">
        <v>0</v>
      </c>
      <c r="H11" s="9">
        <v>0</v>
      </c>
      <c r="I11" s="9">
        <v>1182</v>
      </c>
      <c r="J11" s="9">
        <v>1210</v>
      </c>
      <c r="K11" s="9">
        <v>1382</v>
      </c>
      <c r="L11" s="9">
        <v>2198</v>
      </c>
      <c r="M11" s="9">
        <v>0</v>
      </c>
      <c r="N11" s="9">
        <v>0</v>
      </c>
      <c r="O11" s="9">
        <v>0</v>
      </c>
    </row>
    <row r="12" spans="1:15">
      <c r="A12" s="5">
        <v>1240308</v>
      </c>
      <c r="B12" s="9">
        <v>0</v>
      </c>
      <c r="C12" s="9">
        <v>0</v>
      </c>
      <c r="D12" s="9">
        <v>0</v>
      </c>
      <c r="E12" s="18">
        <v>300</v>
      </c>
      <c r="F12" s="9">
        <v>200</v>
      </c>
      <c r="G12" s="9">
        <v>0</v>
      </c>
      <c r="H12" s="9">
        <v>0</v>
      </c>
      <c r="I12" s="9">
        <v>200</v>
      </c>
      <c r="J12" s="9">
        <v>200</v>
      </c>
      <c r="K12" s="9">
        <v>200</v>
      </c>
      <c r="L12" s="9">
        <v>200</v>
      </c>
      <c r="M12" s="9">
        <v>0</v>
      </c>
      <c r="N12" s="9">
        <v>0</v>
      </c>
      <c r="O12" s="9">
        <v>0</v>
      </c>
    </row>
    <row r="15" spans="1:15">
      <c r="A15" s="5" t="s">
        <v>0</v>
      </c>
      <c r="B15" s="9" t="s">
        <v>1198</v>
      </c>
      <c r="C15" s="9" t="s">
        <v>1200</v>
      </c>
      <c r="D15" s="9" t="s">
        <v>1202</v>
      </c>
      <c r="E15" s="9" t="s">
        <v>1204</v>
      </c>
      <c r="F15" s="9" t="s">
        <v>1206</v>
      </c>
      <c r="G15" s="9" t="s">
        <v>1208</v>
      </c>
      <c r="H15" s="9" t="s">
        <v>1210</v>
      </c>
      <c r="I15" s="9" t="s">
        <v>1232</v>
      </c>
      <c r="J15" s="9" t="s">
        <v>1233</v>
      </c>
      <c r="K15" s="9" t="s">
        <v>1234</v>
      </c>
      <c r="L15" s="9" t="s">
        <v>1235</v>
      </c>
      <c r="M15" s="9" t="s">
        <v>1236</v>
      </c>
      <c r="N15" s="9" t="s">
        <v>1237</v>
      </c>
      <c r="O15" s="9" t="s">
        <v>1238</v>
      </c>
    </row>
    <row r="16" spans="1:15">
      <c r="A16" s="5">
        <v>1232846</v>
      </c>
      <c r="B16" s="98">
        <v>0</v>
      </c>
      <c r="C16" s="98">
        <v>0</v>
      </c>
      <c r="D16" s="98">
        <v>44</v>
      </c>
      <c r="E16" s="98">
        <v>0</v>
      </c>
      <c r="F16" s="98">
        <v>352</v>
      </c>
      <c r="G16" s="9">
        <v>0</v>
      </c>
      <c r="H16" s="9">
        <v>0</v>
      </c>
      <c r="I16" s="18">
        <v>352</v>
      </c>
      <c r="J16" s="9">
        <v>352</v>
      </c>
      <c r="K16" s="9">
        <v>329</v>
      </c>
      <c r="L16" s="9">
        <v>0</v>
      </c>
      <c r="M16" s="9">
        <v>0</v>
      </c>
      <c r="N16" s="9">
        <v>0</v>
      </c>
      <c r="O16" s="9">
        <v>0</v>
      </c>
    </row>
    <row r="17" spans="1:15">
      <c r="A17" s="58">
        <v>1232895</v>
      </c>
      <c r="B17" s="98">
        <v>0</v>
      </c>
      <c r="C17" s="98">
        <v>0</v>
      </c>
      <c r="D17" s="98">
        <v>44</v>
      </c>
      <c r="E17" s="98">
        <v>0</v>
      </c>
      <c r="F17" s="98">
        <v>352</v>
      </c>
      <c r="G17" s="9">
        <v>0</v>
      </c>
      <c r="H17" s="9">
        <v>0</v>
      </c>
      <c r="I17" s="18">
        <v>352</v>
      </c>
      <c r="J17" s="9">
        <v>352</v>
      </c>
      <c r="K17" s="9">
        <v>329</v>
      </c>
      <c r="L17" s="9">
        <v>0</v>
      </c>
      <c r="M17" s="9">
        <v>0</v>
      </c>
      <c r="N17" s="9">
        <v>0</v>
      </c>
      <c r="O17" s="9">
        <v>0</v>
      </c>
    </row>
    <row r="18" spans="1:15">
      <c r="A18" s="5">
        <v>1233384</v>
      </c>
      <c r="B18" s="98">
        <v>0</v>
      </c>
      <c r="C18" s="98">
        <v>0</v>
      </c>
      <c r="D18" s="98">
        <v>44</v>
      </c>
      <c r="E18" s="98">
        <v>0</v>
      </c>
      <c r="F18" s="98">
        <v>352</v>
      </c>
      <c r="G18" s="9">
        <v>0</v>
      </c>
      <c r="H18" s="9">
        <v>0</v>
      </c>
      <c r="I18" s="18">
        <v>352</v>
      </c>
      <c r="J18" s="9">
        <v>352</v>
      </c>
      <c r="K18" s="9">
        <v>329</v>
      </c>
      <c r="L18" s="9">
        <v>0</v>
      </c>
      <c r="M18" s="9">
        <v>0</v>
      </c>
      <c r="N18" s="9">
        <v>0</v>
      </c>
      <c r="O18" s="9">
        <v>0</v>
      </c>
    </row>
    <row r="19" spans="1:15">
      <c r="A19" s="5">
        <v>1236110</v>
      </c>
      <c r="B19" s="98">
        <v>0</v>
      </c>
      <c r="C19" s="98">
        <v>100</v>
      </c>
      <c r="D19" s="98">
        <v>200</v>
      </c>
      <c r="E19" s="98">
        <v>0</v>
      </c>
      <c r="F19" s="98">
        <v>0</v>
      </c>
      <c r="G19" s="9">
        <v>0</v>
      </c>
      <c r="H19" s="9">
        <v>0</v>
      </c>
      <c r="I19" s="18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</row>
    <row r="20" spans="1:15">
      <c r="A20" s="5">
        <v>1236387</v>
      </c>
      <c r="B20" s="98">
        <v>0</v>
      </c>
      <c r="C20" s="98">
        <v>0</v>
      </c>
      <c r="D20" s="98">
        <v>0</v>
      </c>
      <c r="E20" s="98">
        <v>0</v>
      </c>
      <c r="F20" s="98">
        <v>113</v>
      </c>
      <c r="G20" s="9">
        <v>0</v>
      </c>
      <c r="H20" s="9">
        <v>0</v>
      </c>
      <c r="I20" s="18">
        <v>367</v>
      </c>
      <c r="J20" s="9">
        <v>367</v>
      </c>
      <c r="K20" s="9">
        <v>53</v>
      </c>
      <c r="L20" s="9">
        <v>0</v>
      </c>
      <c r="M20" s="9">
        <v>0</v>
      </c>
      <c r="N20" s="9">
        <v>0</v>
      </c>
      <c r="O20" s="9">
        <v>0</v>
      </c>
    </row>
    <row r="21" spans="1:15">
      <c r="A21" s="5">
        <v>1232775</v>
      </c>
      <c r="B21" s="98">
        <v>487</v>
      </c>
      <c r="C21" s="98">
        <v>421</v>
      </c>
      <c r="D21" s="98">
        <v>275</v>
      </c>
      <c r="E21" s="98">
        <v>0</v>
      </c>
      <c r="F21" s="98">
        <v>0</v>
      </c>
      <c r="G21" s="9">
        <v>0</v>
      </c>
      <c r="H21" s="9">
        <v>0</v>
      </c>
      <c r="I21" s="18">
        <v>0</v>
      </c>
      <c r="J21" s="9">
        <v>0</v>
      </c>
      <c r="K21" s="9">
        <v>181</v>
      </c>
      <c r="L21" s="9">
        <v>0</v>
      </c>
      <c r="M21" s="9">
        <v>0</v>
      </c>
      <c r="N21" s="9">
        <v>0</v>
      </c>
      <c r="O21" s="9">
        <v>0</v>
      </c>
    </row>
    <row r="22" spans="1:15">
      <c r="A22" s="5">
        <v>1230685</v>
      </c>
      <c r="B22" s="98">
        <v>0</v>
      </c>
      <c r="C22" s="98">
        <v>0</v>
      </c>
      <c r="D22" s="98">
        <v>183</v>
      </c>
      <c r="E22" s="98">
        <v>0</v>
      </c>
      <c r="F22" s="98">
        <v>217</v>
      </c>
      <c r="G22" s="9">
        <v>0</v>
      </c>
      <c r="H22" s="9">
        <v>0</v>
      </c>
      <c r="I22" s="1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</row>
    <row r="23" spans="1:15">
      <c r="B23" s="98"/>
      <c r="C23" s="98"/>
      <c r="D23" s="98"/>
      <c r="E23" s="98"/>
      <c r="F23" s="98"/>
    </row>
    <row r="26" spans="1:15">
      <c r="A26" s="5" t="s">
        <v>0</v>
      </c>
      <c r="B26" s="9" t="s">
        <v>1198</v>
      </c>
      <c r="C26" s="9" t="s">
        <v>1200</v>
      </c>
      <c r="D26" s="9" t="s">
        <v>1202</v>
      </c>
      <c r="E26" s="9" t="s">
        <v>1204</v>
      </c>
      <c r="F26" s="9" t="s">
        <v>1206</v>
      </c>
      <c r="G26" s="9" t="s">
        <v>1208</v>
      </c>
      <c r="H26" s="9" t="s">
        <v>1210</v>
      </c>
      <c r="I26" s="9" t="s">
        <v>1232</v>
      </c>
      <c r="J26" s="9" t="s">
        <v>1233</v>
      </c>
      <c r="K26" s="9" t="s">
        <v>1234</v>
      </c>
      <c r="L26" s="9" t="s">
        <v>1235</v>
      </c>
      <c r="M26" s="9" t="s">
        <v>1236</v>
      </c>
      <c r="N26" s="9" t="s">
        <v>1237</v>
      </c>
      <c r="O26" s="9" t="s">
        <v>1238</v>
      </c>
    </row>
    <row r="27" spans="1:15">
      <c r="A27" s="58">
        <v>1234614</v>
      </c>
      <c r="B27" s="9">
        <v>0</v>
      </c>
      <c r="C27" s="9">
        <v>285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468</v>
      </c>
      <c r="K27" s="9">
        <v>0</v>
      </c>
      <c r="L27" s="9">
        <v>315</v>
      </c>
      <c r="M27" s="9">
        <v>0</v>
      </c>
      <c r="N27" s="9">
        <v>0</v>
      </c>
      <c r="O27" s="9">
        <v>0</v>
      </c>
    </row>
    <row r="28" spans="1:15">
      <c r="A28" s="5">
        <v>1221967</v>
      </c>
      <c r="B28" s="9">
        <v>225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5">
      <c r="A29" s="5">
        <v>1229776</v>
      </c>
      <c r="B29" s="9">
        <v>60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>
      <c r="A30" s="5">
        <v>1231090</v>
      </c>
      <c r="B30" s="9">
        <v>60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510</v>
      </c>
      <c r="L30" s="9">
        <v>367</v>
      </c>
      <c r="M30" s="9">
        <v>0</v>
      </c>
      <c r="N30" s="9">
        <v>0</v>
      </c>
      <c r="O30" s="9">
        <v>0</v>
      </c>
    </row>
    <row r="31" spans="1:15">
      <c r="A31" s="5">
        <v>1232066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108</v>
      </c>
      <c r="M31" s="9">
        <v>0</v>
      </c>
      <c r="N31" s="9">
        <v>0</v>
      </c>
      <c r="O31" s="9">
        <v>0</v>
      </c>
    </row>
    <row r="32" spans="1:15">
      <c r="A32" s="5">
        <v>1232693</v>
      </c>
      <c r="B32" s="9">
        <v>0</v>
      </c>
      <c r="C32" s="9">
        <v>0</v>
      </c>
      <c r="D32" s="9">
        <v>0</v>
      </c>
      <c r="E32" s="9">
        <v>0</v>
      </c>
      <c r="F32" s="9">
        <v>37</v>
      </c>
      <c r="G32" s="9">
        <v>0</v>
      </c>
      <c r="H32" s="9">
        <v>0</v>
      </c>
      <c r="I32" s="9">
        <v>743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</row>
    <row r="33" spans="1:15">
      <c r="A33" s="5">
        <v>1233025</v>
      </c>
      <c r="B33" s="9">
        <v>0</v>
      </c>
      <c r="C33" s="9">
        <v>0</v>
      </c>
      <c r="D33" s="9">
        <v>0</v>
      </c>
      <c r="E33" s="9">
        <v>0</v>
      </c>
      <c r="F33" s="9">
        <v>37</v>
      </c>
      <c r="G33" s="9">
        <v>0</v>
      </c>
      <c r="H33" s="9">
        <v>0</v>
      </c>
      <c r="I33" s="9">
        <v>743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>
      <c r="A34" s="5">
        <v>1232528</v>
      </c>
      <c r="B34" s="9">
        <v>727</v>
      </c>
      <c r="C34" s="9">
        <v>717</v>
      </c>
      <c r="D34" s="9">
        <v>639</v>
      </c>
      <c r="E34" s="9">
        <v>1687</v>
      </c>
      <c r="F34" s="9">
        <v>1518</v>
      </c>
      <c r="G34" s="9">
        <v>0</v>
      </c>
      <c r="H34" s="9">
        <v>0</v>
      </c>
      <c r="I34" s="9">
        <v>1727</v>
      </c>
      <c r="J34" s="9">
        <v>1320</v>
      </c>
      <c r="K34" s="9">
        <v>1429</v>
      </c>
      <c r="L34" s="9">
        <v>1486</v>
      </c>
      <c r="M34" s="9">
        <v>0</v>
      </c>
      <c r="N34" s="9">
        <v>0</v>
      </c>
      <c r="O34" s="9">
        <v>0</v>
      </c>
    </row>
    <row r="35" spans="1:15">
      <c r="A35" s="5">
        <v>1232846</v>
      </c>
      <c r="B35" s="9">
        <v>0</v>
      </c>
      <c r="C35" s="9">
        <v>409</v>
      </c>
      <c r="D35" s="9">
        <v>512</v>
      </c>
      <c r="E35" s="9">
        <v>668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370</v>
      </c>
      <c r="L35" s="9">
        <v>0</v>
      </c>
      <c r="M35" s="9">
        <v>0</v>
      </c>
      <c r="N35" s="9">
        <v>0</v>
      </c>
      <c r="O35" s="9">
        <v>0</v>
      </c>
    </row>
    <row r="36" spans="1:15">
      <c r="A36" s="5">
        <v>1227306</v>
      </c>
      <c r="B36" s="9">
        <v>41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>
      <c r="A37" s="5">
        <v>1220847</v>
      </c>
      <c r="B37" s="9">
        <v>25</v>
      </c>
      <c r="C37" s="9">
        <v>75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50</v>
      </c>
      <c r="M37" s="9">
        <v>0</v>
      </c>
      <c r="N37" s="9">
        <v>0</v>
      </c>
      <c r="O37" s="9">
        <v>0</v>
      </c>
    </row>
    <row r="38" spans="1:15">
      <c r="A38" s="5">
        <v>1235845</v>
      </c>
      <c r="B38" s="9">
        <v>340</v>
      </c>
      <c r="C38" s="9">
        <v>146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>
      <c r="A39" s="5">
        <v>1235097</v>
      </c>
      <c r="B39" s="9">
        <v>0</v>
      </c>
      <c r="C39" s="9">
        <v>0</v>
      </c>
      <c r="D39" s="9">
        <v>0</v>
      </c>
      <c r="E39" s="9">
        <v>280</v>
      </c>
      <c r="F39" s="9">
        <v>120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>
      <c r="A40" s="5">
        <v>1236601</v>
      </c>
      <c r="B40" s="9">
        <v>50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>
      <c r="A41" s="5">
        <v>1236930</v>
      </c>
      <c r="B41" s="9">
        <v>230</v>
      </c>
      <c r="C41" s="9">
        <v>339</v>
      </c>
      <c r="D41" s="9">
        <v>232</v>
      </c>
      <c r="E41" s="9">
        <v>40</v>
      </c>
      <c r="F41" s="9">
        <v>176</v>
      </c>
      <c r="G41" s="9">
        <v>0</v>
      </c>
      <c r="H41" s="9">
        <v>0</v>
      </c>
      <c r="I41" s="9">
        <v>892</v>
      </c>
      <c r="J41" s="9">
        <v>766</v>
      </c>
      <c r="K41" s="9">
        <v>800</v>
      </c>
      <c r="L41" s="9">
        <v>594</v>
      </c>
      <c r="M41" s="9">
        <v>0</v>
      </c>
      <c r="N41" s="9">
        <v>0</v>
      </c>
      <c r="O41" s="9">
        <v>0</v>
      </c>
    </row>
    <row r="42" spans="1:15">
      <c r="A42" s="5">
        <v>1237210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131</v>
      </c>
      <c r="K42" s="9">
        <v>64</v>
      </c>
      <c r="L42" s="9">
        <v>0</v>
      </c>
      <c r="M42" s="9">
        <v>0</v>
      </c>
      <c r="N42" s="9">
        <v>0</v>
      </c>
      <c r="O42" s="9">
        <v>0</v>
      </c>
    </row>
    <row r="43" spans="1:15">
      <c r="A43" s="5">
        <v>1234905</v>
      </c>
      <c r="B43" s="9">
        <v>271</v>
      </c>
      <c r="C43" s="9">
        <v>483</v>
      </c>
      <c r="D43" s="9">
        <v>297</v>
      </c>
      <c r="E43" s="9">
        <v>395</v>
      </c>
      <c r="F43" s="9">
        <v>311</v>
      </c>
      <c r="G43" s="9">
        <v>0</v>
      </c>
      <c r="H43" s="9">
        <v>0</v>
      </c>
      <c r="I43" s="9">
        <v>357</v>
      </c>
      <c r="J43" s="9">
        <v>200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>
      <c r="A44" s="5">
        <v>1238480</v>
      </c>
      <c r="B44" s="9">
        <v>275</v>
      </c>
      <c r="C44" s="9">
        <v>797</v>
      </c>
      <c r="D44" s="9">
        <v>686</v>
      </c>
      <c r="E44" s="9">
        <v>506</v>
      </c>
      <c r="F44" s="9">
        <v>339</v>
      </c>
      <c r="G44" s="9">
        <v>0</v>
      </c>
      <c r="H44" s="9">
        <v>0</v>
      </c>
      <c r="I44" s="9">
        <v>476</v>
      </c>
      <c r="J44" s="9">
        <v>814</v>
      </c>
      <c r="K44" s="9">
        <v>635</v>
      </c>
      <c r="L44" s="9">
        <v>476</v>
      </c>
      <c r="M44" s="9">
        <v>0</v>
      </c>
      <c r="N44" s="9">
        <v>0</v>
      </c>
      <c r="O44" s="9">
        <v>0</v>
      </c>
    </row>
    <row r="45" spans="1:15">
      <c r="A45" s="5">
        <v>1237468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324</v>
      </c>
      <c r="M45" s="9">
        <v>0</v>
      </c>
      <c r="N45" s="9">
        <v>0</v>
      </c>
      <c r="O45" s="9">
        <v>0</v>
      </c>
    </row>
    <row r="46" spans="1:15">
      <c r="A46" s="5">
        <v>1229088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48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5">
        <v>1231011</v>
      </c>
      <c r="B47" s="9">
        <v>0</v>
      </c>
      <c r="C47" s="9">
        <v>0</v>
      </c>
      <c r="D47" s="9">
        <v>210</v>
      </c>
      <c r="E47" s="9">
        <v>90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>
      <c r="A48" s="5">
        <v>1232894</v>
      </c>
      <c r="B48" s="9">
        <v>0</v>
      </c>
      <c r="C48" s="9">
        <v>409</v>
      </c>
      <c r="D48" s="9">
        <v>512</v>
      </c>
      <c r="E48" s="9">
        <v>668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>
      <c r="A49" s="5">
        <v>1233386</v>
      </c>
      <c r="B49" s="9">
        <v>0</v>
      </c>
      <c r="C49" s="9">
        <v>409</v>
      </c>
      <c r="D49" s="9">
        <v>199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>
      <c r="A50" s="5">
        <v>1233387</v>
      </c>
      <c r="B50" s="9">
        <v>0</v>
      </c>
      <c r="C50" s="9">
        <v>0</v>
      </c>
      <c r="D50" s="9">
        <v>60</v>
      </c>
      <c r="E50" s="9">
        <v>668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>
      <c r="A51" s="5">
        <v>1233385</v>
      </c>
      <c r="B51" s="9">
        <v>0</v>
      </c>
      <c r="C51" s="9">
        <v>0</v>
      </c>
      <c r="D51" s="9">
        <v>253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>
      <c r="A52" s="5">
        <v>1232895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370</v>
      </c>
      <c r="L52" s="9">
        <v>0</v>
      </c>
      <c r="M52" s="9">
        <v>0</v>
      </c>
      <c r="N52" s="9">
        <v>0</v>
      </c>
      <c r="O52" s="9">
        <v>0</v>
      </c>
    </row>
    <row r="53" spans="1:15">
      <c r="A53" s="5">
        <v>1232922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370</v>
      </c>
      <c r="L53" s="9">
        <v>0</v>
      </c>
      <c r="M53" s="9">
        <v>0</v>
      </c>
      <c r="N53" s="9">
        <v>0</v>
      </c>
      <c r="O53" s="9">
        <v>0</v>
      </c>
    </row>
    <row r="54" spans="1:15">
      <c r="A54" s="5">
        <v>1216452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72</v>
      </c>
      <c r="L54" s="9">
        <v>0</v>
      </c>
      <c r="M54" s="9">
        <v>0</v>
      </c>
      <c r="N54" s="9">
        <v>0</v>
      </c>
      <c r="O54" s="9">
        <v>0</v>
      </c>
    </row>
  </sheetData>
  <autoFilter ref="A1:O12" xr:uid="{8C854266-B736-4CD8-8D10-4DB7EAD0A542}"/>
  <phoneticPr fontId="1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5170-3CC7-4ABF-B7FC-2587D969683F}">
  <dimension ref="A1:O53"/>
  <sheetViews>
    <sheetView topLeftCell="A30" zoomScale="130" zoomScaleNormal="130" workbookViewId="0">
      <selection activeCell="K49" sqref="K49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4" width="9.5" style="9" customWidth="1"/>
    <col min="15" max="15" width="9.5" style="9" bestFit="1" customWidth="1"/>
    <col min="16" max="16384" width="9.33203125" style="5"/>
  </cols>
  <sheetData>
    <row r="1" spans="1:15">
      <c r="A1" s="19" t="s">
        <v>0</v>
      </c>
      <c r="B1" s="9" t="s">
        <v>1232</v>
      </c>
      <c r="C1" s="9" t="s">
        <v>1233</v>
      </c>
      <c r="D1" s="9" t="s">
        <v>1234</v>
      </c>
      <c r="E1" s="9" t="s">
        <v>1235</v>
      </c>
      <c r="F1" s="9" t="s">
        <v>1236</v>
      </c>
      <c r="G1" s="9" t="s">
        <v>1237</v>
      </c>
      <c r="H1" s="9" t="s">
        <v>1238</v>
      </c>
      <c r="I1" s="9" t="s">
        <v>1241</v>
      </c>
      <c r="J1" s="9" t="s">
        <v>1242</v>
      </c>
      <c r="K1" s="9" t="s">
        <v>1243</v>
      </c>
      <c r="L1" s="9" t="s">
        <v>1244</v>
      </c>
      <c r="M1" s="9" t="s">
        <v>1245</v>
      </c>
      <c r="N1" s="9" t="s">
        <v>1246</v>
      </c>
      <c r="O1" s="9" t="s">
        <v>1247</v>
      </c>
    </row>
    <row r="2" spans="1:15">
      <c r="A2" s="19">
        <v>1229673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262</v>
      </c>
      <c r="M2" s="9">
        <v>300</v>
      </c>
      <c r="N2" s="9">
        <v>0</v>
      </c>
      <c r="O2" s="9">
        <v>0</v>
      </c>
    </row>
    <row r="3" spans="1:15">
      <c r="A3" s="19">
        <v>1230854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200</v>
      </c>
      <c r="M3" s="9">
        <v>0</v>
      </c>
      <c r="N3" s="9">
        <v>0</v>
      </c>
      <c r="O3" s="9">
        <v>0</v>
      </c>
    </row>
    <row r="4" spans="1:15">
      <c r="A4" s="19">
        <v>1233492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484</v>
      </c>
      <c r="M4" s="9">
        <v>50</v>
      </c>
      <c r="N4" s="9">
        <v>0</v>
      </c>
      <c r="O4" s="9">
        <v>0</v>
      </c>
    </row>
    <row r="5" spans="1:15">
      <c r="A5" s="19">
        <v>1233498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484</v>
      </c>
      <c r="M5" s="9">
        <v>50</v>
      </c>
      <c r="N5" s="9">
        <v>0</v>
      </c>
      <c r="O5" s="9">
        <v>0</v>
      </c>
    </row>
    <row r="6" spans="1:15">
      <c r="A6" s="19">
        <v>1233623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484</v>
      </c>
      <c r="M6" s="9">
        <v>50</v>
      </c>
      <c r="N6" s="9">
        <v>0</v>
      </c>
      <c r="O6" s="9">
        <v>0</v>
      </c>
    </row>
    <row r="7" spans="1:15">
      <c r="A7" s="19">
        <v>1237088</v>
      </c>
      <c r="B7" s="9">
        <v>598</v>
      </c>
      <c r="C7" s="9">
        <v>842</v>
      </c>
      <c r="D7" s="9">
        <v>298</v>
      </c>
      <c r="E7" s="9">
        <v>1022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538</v>
      </c>
      <c r="L7" s="9">
        <v>500</v>
      </c>
      <c r="M7" s="9">
        <v>508</v>
      </c>
      <c r="N7" s="9">
        <v>0</v>
      </c>
      <c r="O7" s="9">
        <v>0</v>
      </c>
    </row>
    <row r="8" spans="1:15">
      <c r="A8" s="19">
        <v>1236091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250</v>
      </c>
      <c r="M8" s="9">
        <v>0</v>
      </c>
      <c r="N8" s="9">
        <v>0</v>
      </c>
      <c r="O8" s="9">
        <v>0</v>
      </c>
    </row>
    <row r="9" spans="1:15">
      <c r="A9" s="19">
        <v>1234905</v>
      </c>
      <c r="B9" s="9">
        <v>420</v>
      </c>
      <c r="C9" s="9">
        <v>420</v>
      </c>
      <c r="D9" s="9">
        <v>122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</row>
    <row r="10" spans="1:15">
      <c r="A10" s="19">
        <v>1236962</v>
      </c>
      <c r="B10" s="9">
        <v>344</v>
      </c>
      <c r="C10" s="9">
        <v>144</v>
      </c>
      <c r="D10" s="9">
        <v>144</v>
      </c>
      <c r="E10" s="9">
        <v>144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200</v>
      </c>
      <c r="L10" s="9">
        <v>192</v>
      </c>
      <c r="M10" s="9">
        <v>300</v>
      </c>
      <c r="N10" s="9">
        <v>0</v>
      </c>
      <c r="O10" s="9">
        <v>0</v>
      </c>
    </row>
    <row r="11" spans="1:15">
      <c r="A11" s="19">
        <v>1239651</v>
      </c>
      <c r="B11" s="9">
        <v>150</v>
      </c>
      <c r="C11" s="9">
        <v>150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306</v>
      </c>
      <c r="L11" s="9">
        <v>0</v>
      </c>
      <c r="M11" s="9">
        <v>0</v>
      </c>
      <c r="N11" s="9">
        <v>0</v>
      </c>
      <c r="O11" s="9">
        <v>0</v>
      </c>
    </row>
    <row r="12" spans="1:15">
      <c r="A12" s="19">
        <v>1240180</v>
      </c>
      <c r="B12" s="9">
        <v>430</v>
      </c>
      <c r="C12" s="9">
        <v>431</v>
      </c>
      <c r="D12" s="9">
        <v>320</v>
      </c>
      <c r="E12" s="9">
        <v>430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338</v>
      </c>
      <c r="L12" s="9">
        <v>568</v>
      </c>
      <c r="M12" s="9">
        <v>840</v>
      </c>
      <c r="N12" s="9">
        <v>0</v>
      </c>
      <c r="O12" s="9">
        <v>0</v>
      </c>
    </row>
    <row r="13" spans="1:15">
      <c r="A13" s="19">
        <v>1240184</v>
      </c>
      <c r="B13" s="9">
        <v>430</v>
      </c>
      <c r="C13" s="9">
        <v>431</v>
      </c>
      <c r="D13" s="9">
        <v>320</v>
      </c>
      <c r="E13" s="9">
        <v>430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338</v>
      </c>
      <c r="L13" s="9">
        <v>568</v>
      </c>
      <c r="M13" s="9">
        <v>700</v>
      </c>
      <c r="N13" s="9">
        <v>0</v>
      </c>
      <c r="O13" s="9">
        <v>0</v>
      </c>
    </row>
    <row r="14" spans="1:15">
      <c r="A14" s="19">
        <v>1241601</v>
      </c>
      <c r="B14" s="9">
        <v>1182</v>
      </c>
      <c r="C14" s="9">
        <v>1210</v>
      </c>
      <c r="D14" s="9">
        <v>1382</v>
      </c>
      <c r="E14" s="9">
        <v>2198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964</v>
      </c>
      <c r="L14" s="9">
        <v>1102</v>
      </c>
      <c r="M14" s="9">
        <v>1334</v>
      </c>
      <c r="N14" s="9">
        <v>0</v>
      </c>
      <c r="O14" s="9">
        <v>0</v>
      </c>
    </row>
    <row r="15" spans="1:15">
      <c r="A15" s="19">
        <v>1240308</v>
      </c>
      <c r="B15" s="9">
        <v>200</v>
      </c>
      <c r="C15" s="9">
        <v>200</v>
      </c>
      <c r="D15" s="9">
        <v>200</v>
      </c>
      <c r="E15" s="9">
        <v>200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</row>
    <row r="18" spans="1:15">
      <c r="A18" s="19" t="s">
        <v>0</v>
      </c>
      <c r="B18" s="9" t="s">
        <v>1232</v>
      </c>
      <c r="C18" s="9" t="s">
        <v>1233</v>
      </c>
      <c r="D18" s="9" t="s">
        <v>1234</v>
      </c>
      <c r="E18" s="9" t="s">
        <v>1235</v>
      </c>
      <c r="F18" s="9" t="s">
        <v>1236</v>
      </c>
      <c r="G18" s="9" t="s">
        <v>1237</v>
      </c>
      <c r="H18" s="9" t="s">
        <v>1238</v>
      </c>
      <c r="I18" s="9" t="s">
        <v>1241</v>
      </c>
      <c r="J18" s="9" t="s">
        <v>1242</v>
      </c>
      <c r="K18" s="9" t="s">
        <v>1243</v>
      </c>
      <c r="L18" s="9" t="s">
        <v>1244</v>
      </c>
      <c r="M18" s="9" t="s">
        <v>1245</v>
      </c>
      <c r="N18" s="9" t="s">
        <v>1246</v>
      </c>
      <c r="O18" s="9" t="s">
        <v>1247</v>
      </c>
    </row>
    <row r="19" spans="1:15">
      <c r="A19" s="19">
        <v>1232846</v>
      </c>
      <c r="B19" s="9">
        <v>352</v>
      </c>
      <c r="C19" s="9">
        <v>352</v>
      </c>
      <c r="D19" s="9">
        <v>329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352</v>
      </c>
      <c r="L19" s="9">
        <v>148</v>
      </c>
      <c r="M19" s="9">
        <v>0</v>
      </c>
      <c r="N19" s="9">
        <v>0</v>
      </c>
      <c r="O19" s="9">
        <v>0</v>
      </c>
    </row>
    <row r="20" spans="1:15">
      <c r="A20" s="19">
        <v>1232895</v>
      </c>
      <c r="B20" s="9">
        <v>352</v>
      </c>
      <c r="C20" s="9">
        <v>352</v>
      </c>
      <c r="D20" s="9">
        <v>329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352</v>
      </c>
      <c r="L20" s="9">
        <v>148</v>
      </c>
      <c r="M20" s="9">
        <v>0</v>
      </c>
      <c r="N20" s="9">
        <v>0</v>
      </c>
      <c r="O20" s="9">
        <v>0</v>
      </c>
    </row>
    <row r="21" spans="1:15">
      <c r="A21" s="19">
        <v>1233384</v>
      </c>
      <c r="B21" s="9">
        <v>352</v>
      </c>
      <c r="C21" s="9">
        <v>352</v>
      </c>
      <c r="D21" s="9">
        <v>329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352</v>
      </c>
      <c r="L21" s="9">
        <v>148</v>
      </c>
      <c r="M21" s="9">
        <v>0</v>
      </c>
      <c r="N21" s="9">
        <v>0</v>
      </c>
      <c r="O21" s="9">
        <v>0</v>
      </c>
    </row>
    <row r="22" spans="1:15">
      <c r="A22" s="19">
        <v>1236387</v>
      </c>
      <c r="B22" s="9">
        <v>367</v>
      </c>
      <c r="C22" s="9">
        <v>367</v>
      </c>
      <c r="D22" s="9">
        <v>53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</row>
    <row r="23" spans="1:15">
      <c r="A23" s="19">
        <v>1232775</v>
      </c>
      <c r="B23" s="9">
        <v>0</v>
      </c>
      <c r="C23" s="9">
        <v>0</v>
      </c>
      <c r="D23" s="9">
        <v>181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242</v>
      </c>
      <c r="L23" s="9">
        <v>242</v>
      </c>
      <c r="M23" s="9">
        <v>225</v>
      </c>
      <c r="N23" s="9">
        <v>0</v>
      </c>
      <c r="O23" s="9">
        <v>0</v>
      </c>
    </row>
    <row r="27" spans="1:15">
      <c r="A27" s="19" t="s">
        <v>0</v>
      </c>
      <c r="B27" s="9" t="s">
        <v>1232</v>
      </c>
      <c r="C27" s="9" t="s">
        <v>1233</v>
      </c>
      <c r="D27" s="9" t="s">
        <v>1234</v>
      </c>
      <c r="E27" s="9" t="s">
        <v>1235</v>
      </c>
      <c r="F27" s="9" t="s">
        <v>1236</v>
      </c>
      <c r="G27" s="9" t="s">
        <v>1237</v>
      </c>
      <c r="H27" s="9" t="s">
        <v>1238</v>
      </c>
      <c r="I27" s="9" t="s">
        <v>1241</v>
      </c>
      <c r="J27" s="9" t="s">
        <v>1242</v>
      </c>
      <c r="K27" s="9" t="s">
        <v>1243</v>
      </c>
      <c r="L27" s="9" t="s">
        <v>1244</v>
      </c>
      <c r="M27" s="9" t="s">
        <v>1245</v>
      </c>
      <c r="N27" s="9" t="s">
        <v>1246</v>
      </c>
      <c r="O27" s="9" t="s">
        <v>1247</v>
      </c>
    </row>
    <row r="28" spans="1:15">
      <c r="A28" s="19">
        <v>1234614</v>
      </c>
      <c r="B28" s="9">
        <v>43</v>
      </c>
      <c r="C28" s="9">
        <v>425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18</v>
      </c>
      <c r="M28" s="9">
        <v>632</v>
      </c>
      <c r="N28" s="9">
        <v>0</v>
      </c>
      <c r="O28" s="9">
        <v>0</v>
      </c>
    </row>
    <row r="29" spans="1:15">
      <c r="A29" s="19">
        <v>1229776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5</v>
      </c>
      <c r="N29" s="9">
        <v>0</v>
      </c>
      <c r="O29" s="9">
        <v>0</v>
      </c>
    </row>
    <row r="30" spans="1:15">
      <c r="A30" s="19">
        <v>1231090</v>
      </c>
      <c r="B30" s="9">
        <v>0</v>
      </c>
      <c r="C30" s="9">
        <v>0</v>
      </c>
      <c r="D30" s="9">
        <v>40</v>
      </c>
      <c r="E30" s="64">
        <v>448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332</v>
      </c>
      <c r="L30" s="9">
        <v>310</v>
      </c>
      <c r="M30" s="9">
        <v>5</v>
      </c>
      <c r="N30" s="9">
        <v>0</v>
      </c>
      <c r="O30" s="9">
        <v>0</v>
      </c>
    </row>
    <row r="31" spans="1:15">
      <c r="A31" s="19">
        <v>1232066</v>
      </c>
      <c r="B31" s="9">
        <v>0</v>
      </c>
      <c r="C31" s="9">
        <v>0</v>
      </c>
      <c r="D31" s="9">
        <v>0</v>
      </c>
      <c r="E31" s="64">
        <v>108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</row>
    <row r="32" spans="1:15">
      <c r="A32" s="19">
        <v>1232693</v>
      </c>
      <c r="B32" s="9">
        <v>743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291</v>
      </c>
      <c r="L32" s="9">
        <v>321</v>
      </c>
      <c r="M32" s="9">
        <v>0</v>
      </c>
      <c r="N32" s="9">
        <v>0</v>
      </c>
      <c r="O32" s="9">
        <v>0</v>
      </c>
    </row>
    <row r="33" spans="1:15">
      <c r="A33" s="19">
        <v>1233025</v>
      </c>
      <c r="B33" s="9">
        <v>743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291</v>
      </c>
      <c r="L33" s="9">
        <v>321</v>
      </c>
      <c r="M33" s="9">
        <v>0</v>
      </c>
      <c r="N33" s="9">
        <v>0</v>
      </c>
      <c r="O33" s="9">
        <v>0</v>
      </c>
    </row>
    <row r="34" spans="1:15">
      <c r="A34" s="19">
        <v>1232528</v>
      </c>
      <c r="B34" s="9">
        <v>1876</v>
      </c>
      <c r="C34" s="9">
        <v>1246</v>
      </c>
      <c r="D34" s="9">
        <v>836</v>
      </c>
      <c r="E34" s="64">
        <v>1173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1016</v>
      </c>
      <c r="L34" s="9">
        <v>1341</v>
      </c>
      <c r="M34" s="9">
        <v>686</v>
      </c>
      <c r="N34" s="9">
        <v>0</v>
      </c>
      <c r="O34" s="9">
        <v>0</v>
      </c>
    </row>
    <row r="35" spans="1:15">
      <c r="A35" s="19">
        <v>1233587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18</v>
      </c>
      <c r="L35" s="9">
        <v>0</v>
      </c>
      <c r="M35" s="9">
        <v>0</v>
      </c>
      <c r="N35" s="9">
        <v>0</v>
      </c>
      <c r="O35" s="9">
        <v>0</v>
      </c>
    </row>
    <row r="36" spans="1:15">
      <c r="A36" s="19">
        <v>1232846</v>
      </c>
      <c r="B36" s="9">
        <v>0</v>
      </c>
      <c r="C36" s="9">
        <v>0</v>
      </c>
      <c r="D36" s="98">
        <v>100</v>
      </c>
      <c r="E36" s="98">
        <v>270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37</v>
      </c>
      <c r="M36" s="9">
        <v>662</v>
      </c>
      <c r="N36" s="9">
        <v>0</v>
      </c>
      <c r="O36" s="9">
        <v>0</v>
      </c>
    </row>
    <row r="37" spans="1:15">
      <c r="A37" s="19">
        <v>1220847</v>
      </c>
      <c r="B37" s="9">
        <v>0</v>
      </c>
      <c r="C37" s="9">
        <v>0</v>
      </c>
      <c r="D37" s="9">
        <v>0</v>
      </c>
      <c r="E37" s="98">
        <v>50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>
      <c r="A38" s="19">
        <v>1236619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270</v>
      </c>
      <c r="N38" s="9">
        <v>0</v>
      </c>
      <c r="O38" s="9">
        <v>0</v>
      </c>
    </row>
    <row r="39" spans="1:15">
      <c r="A39" s="19">
        <v>1236930</v>
      </c>
      <c r="B39" s="98">
        <v>460</v>
      </c>
      <c r="C39" s="98">
        <v>551</v>
      </c>
      <c r="D39" s="98">
        <v>619</v>
      </c>
      <c r="E39" s="98">
        <v>582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18">
        <v>377</v>
      </c>
      <c r="L39" s="9">
        <v>728</v>
      </c>
      <c r="M39" s="9">
        <v>780</v>
      </c>
      <c r="N39" s="9">
        <v>0</v>
      </c>
      <c r="O39" s="9">
        <v>0</v>
      </c>
    </row>
    <row r="40" spans="1:15">
      <c r="A40" s="19">
        <v>1237210</v>
      </c>
      <c r="B40" s="9">
        <v>0</v>
      </c>
      <c r="C40" s="9">
        <v>0</v>
      </c>
      <c r="D40" s="9">
        <v>152</v>
      </c>
      <c r="E40" s="64">
        <v>43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26</v>
      </c>
      <c r="N40" s="9">
        <v>0</v>
      </c>
      <c r="O40" s="9">
        <v>0</v>
      </c>
    </row>
    <row r="41" spans="1:15">
      <c r="A41" s="19">
        <v>1237457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18</v>
      </c>
      <c r="N41" s="9">
        <v>0</v>
      </c>
      <c r="O41" s="9">
        <v>0</v>
      </c>
    </row>
    <row r="42" spans="1:15">
      <c r="A42" s="19">
        <v>1237386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180</v>
      </c>
      <c r="N42" s="9">
        <v>0</v>
      </c>
      <c r="O42" s="9">
        <v>0</v>
      </c>
    </row>
    <row r="43" spans="1:15">
      <c r="A43" s="19">
        <v>1234905</v>
      </c>
      <c r="B43" s="9">
        <v>157</v>
      </c>
      <c r="C43" s="9">
        <v>300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>
      <c r="A44" s="19">
        <v>1238480</v>
      </c>
      <c r="B44" s="9">
        <v>419</v>
      </c>
      <c r="C44" s="9">
        <v>670</v>
      </c>
      <c r="D44" s="9">
        <v>498</v>
      </c>
      <c r="E44" s="64">
        <v>542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259</v>
      </c>
      <c r="L44" s="9">
        <v>426</v>
      </c>
      <c r="M44" s="9">
        <v>683</v>
      </c>
      <c r="N44" s="9">
        <v>0</v>
      </c>
      <c r="O44" s="9">
        <v>0</v>
      </c>
    </row>
    <row r="45" spans="1:15">
      <c r="A45" s="19">
        <v>1237468</v>
      </c>
      <c r="B45" s="9">
        <v>0</v>
      </c>
      <c r="C45" s="9">
        <v>0</v>
      </c>
      <c r="D45" s="9">
        <v>0</v>
      </c>
      <c r="E45" s="64">
        <v>114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210</v>
      </c>
      <c r="L45" s="9">
        <v>0</v>
      </c>
      <c r="M45" s="9">
        <v>0</v>
      </c>
      <c r="N45" s="9">
        <v>0</v>
      </c>
      <c r="O45" s="9">
        <v>0</v>
      </c>
    </row>
    <row r="46" spans="1:15">
      <c r="A46" s="19">
        <v>1229088</v>
      </c>
      <c r="B46" s="9">
        <v>0</v>
      </c>
      <c r="C46" s="9">
        <v>0</v>
      </c>
      <c r="D46" s="9">
        <v>0</v>
      </c>
      <c r="E46" s="64">
        <v>48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19">
        <v>1216452</v>
      </c>
      <c r="B47" s="9">
        <v>0</v>
      </c>
      <c r="C47" s="9">
        <v>0</v>
      </c>
      <c r="D47" s="9">
        <v>0</v>
      </c>
      <c r="E47" s="9">
        <v>72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576</v>
      </c>
      <c r="M47" s="9">
        <v>0</v>
      </c>
      <c r="N47" s="9">
        <v>0</v>
      </c>
      <c r="O47" s="9">
        <v>0</v>
      </c>
    </row>
    <row r="48" spans="1:15">
      <c r="A48" s="19">
        <v>1232894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37</v>
      </c>
      <c r="M48" s="9">
        <v>662</v>
      </c>
      <c r="N48" s="9">
        <v>0</v>
      </c>
      <c r="O48" s="9">
        <v>0</v>
      </c>
    </row>
    <row r="49" spans="1:15">
      <c r="A49" s="19">
        <v>1233386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303</v>
      </c>
      <c r="N49" s="9">
        <v>0</v>
      </c>
      <c r="O49" s="9">
        <v>0</v>
      </c>
    </row>
    <row r="50" spans="1:15">
      <c r="A50" s="19">
        <v>1233387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37</v>
      </c>
      <c r="M50" s="9">
        <v>263</v>
      </c>
      <c r="N50" s="9">
        <v>0</v>
      </c>
      <c r="O50" s="9">
        <v>0</v>
      </c>
    </row>
    <row r="51" spans="1:15">
      <c r="A51" s="19">
        <v>1233385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96</v>
      </c>
      <c r="N51" s="9">
        <v>0</v>
      </c>
      <c r="O51" s="9">
        <v>0</v>
      </c>
    </row>
    <row r="52" spans="1:15">
      <c r="A52" s="19">
        <v>1232895</v>
      </c>
      <c r="B52" s="9">
        <v>0</v>
      </c>
      <c r="C52" s="9">
        <v>0</v>
      </c>
      <c r="D52" s="64">
        <v>100</v>
      </c>
      <c r="E52" s="9">
        <v>270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</row>
    <row r="53" spans="1:15">
      <c r="A53" s="19">
        <v>1232922</v>
      </c>
      <c r="B53" s="9">
        <v>0</v>
      </c>
      <c r="C53" s="9">
        <v>0</v>
      </c>
      <c r="D53" s="64">
        <v>100</v>
      </c>
      <c r="E53" s="9">
        <v>270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</sheetData>
  <phoneticPr fontId="1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1C5A-2A72-4452-B4D6-A3483016F4BC}">
  <dimension ref="A1:X72"/>
  <sheetViews>
    <sheetView zoomScaleNormal="100" workbookViewId="0">
      <selection activeCell="M30" sqref="M30"/>
    </sheetView>
  </sheetViews>
  <sheetFormatPr defaultColWidth="9.1640625" defaultRowHeight="12"/>
  <cols>
    <col min="1" max="1" width="11.5" style="19" customWidth="1"/>
    <col min="2" max="2" width="9.1640625" style="9"/>
    <col min="3" max="20" width="9.1640625" style="9" customWidth="1"/>
    <col min="21" max="21" width="9.1640625" style="9"/>
    <col min="22" max="16384" width="9.1640625" style="5"/>
  </cols>
  <sheetData>
    <row r="1" spans="1:24">
      <c r="A1" s="273" t="s">
        <v>0</v>
      </c>
      <c r="B1" s="69" t="s">
        <v>1233</v>
      </c>
      <c r="C1" s="69" t="s">
        <v>1234</v>
      </c>
      <c r="D1" s="69" t="s">
        <v>1235</v>
      </c>
      <c r="E1" s="69" t="s">
        <v>1236</v>
      </c>
      <c r="F1" s="69" t="s">
        <v>1237</v>
      </c>
      <c r="G1" s="70" t="s">
        <v>1238</v>
      </c>
      <c r="H1" s="69" t="s">
        <v>1241</v>
      </c>
      <c r="I1" s="69" t="s">
        <v>1242</v>
      </c>
      <c r="J1" s="190" t="s">
        <v>1243</v>
      </c>
      <c r="K1" s="69" t="s">
        <v>1244</v>
      </c>
      <c r="L1" s="69" t="s">
        <v>1245</v>
      </c>
      <c r="M1" s="69" t="s">
        <v>1246</v>
      </c>
      <c r="N1" s="70" t="s">
        <v>1247</v>
      </c>
      <c r="O1" s="69" t="s">
        <v>1248</v>
      </c>
      <c r="P1" s="69" t="s">
        <v>1249</v>
      </c>
      <c r="Q1" s="69" t="s">
        <v>1250</v>
      </c>
      <c r="R1" s="69" t="s">
        <v>1251</v>
      </c>
      <c r="S1" s="69" t="s">
        <v>1252</v>
      </c>
      <c r="T1" s="69" t="s">
        <v>1253</v>
      </c>
      <c r="U1" s="70" t="s">
        <v>1254</v>
      </c>
    </row>
    <row r="2" spans="1:24">
      <c r="A2" s="274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400</v>
      </c>
      <c r="R2" s="32">
        <v>400</v>
      </c>
      <c r="S2" s="32">
        <v>260</v>
      </c>
      <c r="T2" s="32">
        <v>0</v>
      </c>
      <c r="U2" s="32">
        <v>0</v>
      </c>
      <c r="V2" s="78">
        <f>SUM(B2:U2)</f>
        <v>1060</v>
      </c>
      <c r="W2" s="5">
        <f>VLOOKUP(A2,[13]sheet1!$A$2:$W$21,23,0)</f>
        <v>1060</v>
      </c>
      <c r="X2" s="78">
        <f>+V2-W2</f>
        <v>0</v>
      </c>
    </row>
    <row r="3" spans="1:24">
      <c r="A3" s="274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400</v>
      </c>
      <c r="R3" s="32">
        <v>400</v>
      </c>
      <c r="S3" s="32">
        <v>260</v>
      </c>
      <c r="T3" s="32">
        <v>0</v>
      </c>
      <c r="U3" s="32">
        <v>0</v>
      </c>
      <c r="V3" s="78">
        <f t="shared" ref="V3:V21" si="0">SUM(B3:U3)</f>
        <v>1060</v>
      </c>
      <c r="W3" s="5">
        <f>VLOOKUP(A3,[13]sheet1!$A$2:$W$21,23,0)</f>
        <v>1060</v>
      </c>
      <c r="X3" s="78">
        <f t="shared" ref="X3:X21" si="1">+V3-W3</f>
        <v>0</v>
      </c>
    </row>
    <row r="4" spans="1:24">
      <c r="A4" s="274">
        <v>1229673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344</v>
      </c>
      <c r="L4" s="32">
        <v>218</v>
      </c>
      <c r="M4" s="32">
        <v>0</v>
      </c>
      <c r="N4" s="32">
        <v>0</v>
      </c>
      <c r="O4" s="32">
        <v>200</v>
      </c>
      <c r="P4" s="32">
        <v>200</v>
      </c>
      <c r="Q4" s="32">
        <v>200</v>
      </c>
      <c r="R4" s="32">
        <v>0</v>
      </c>
      <c r="S4" s="32">
        <v>0</v>
      </c>
      <c r="T4" s="32">
        <v>0</v>
      </c>
      <c r="U4" s="32">
        <v>0</v>
      </c>
      <c r="V4" s="78">
        <f t="shared" si="0"/>
        <v>1162</v>
      </c>
      <c r="W4" s="5">
        <f>VLOOKUP(A4,[13]sheet1!$A$2:$W$21,23,0)</f>
        <v>1162</v>
      </c>
      <c r="X4" s="78">
        <f t="shared" si="1"/>
        <v>0</v>
      </c>
    </row>
    <row r="5" spans="1:24">
      <c r="A5" s="274">
        <v>1230854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200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78">
        <f t="shared" si="0"/>
        <v>200</v>
      </c>
      <c r="W5" s="5">
        <f>VLOOKUP(A5,[13]sheet1!$A$2:$W$21,23,0)</f>
        <v>200</v>
      </c>
      <c r="X5" s="78">
        <f t="shared" si="1"/>
        <v>0</v>
      </c>
    </row>
    <row r="6" spans="1:24">
      <c r="A6" s="274">
        <v>1233492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300</v>
      </c>
      <c r="T6" s="32">
        <v>0</v>
      </c>
      <c r="U6" s="32">
        <v>0</v>
      </c>
      <c r="V6" s="78">
        <f t="shared" si="0"/>
        <v>300</v>
      </c>
      <c r="W6" s="5">
        <f>VLOOKUP(A6,[13]sheet1!$A$2:$W$21,23,0)</f>
        <v>300</v>
      </c>
      <c r="X6" s="78">
        <f t="shared" si="1"/>
        <v>0</v>
      </c>
    </row>
    <row r="7" spans="1:24">
      <c r="A7" s="274">
        <v>1233498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300</v>
      </c>
      <c r="T7" s="32">
        <v>0</v>
      </c>
      <c r="U7" s="32">
        <v>0</v>
      </c>
      <c r="V7" s="78">
        <f t="shared" si="0"/>
        <v>300</v>
      </c>
      <c r="W7" s="5">
        <f>VLOOKUP(A7,[13]sheet1!$A$2:$W$21,23,0)</f>
        <v>300</v>
      </c>
      <c r="X7" s="78">
        <f t="shared" si="1"/>
        <v>0</v>
      </c>
    </row>
    <row r="8" spans="1:24">
      <c r="A8" s="274">
        <v>1233623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300</v>
      </c>
      <c r="T8" s="32">
        <v>0</v>
      </c>
      <c r="U8" s="32">
        <v>0</v>
      </c>
      <c r="V8" s="78">
        <f t="shared" si="0"/>
        <v>300</v>
      </c>
      <c r="W8" s="5">
        <f>VLOOKUP(A8,[13]sheet1!$A$2:$W$21,23,0)</f>
        <v>300</v>
      </c>
      <c r="X8" s="78">
        <f t="shared" si="1"/>
        <v>0</v>
      </c>
    </row>
    <row r="9" spans="1:24">
      <c r="A9" s="274">
        <v>1237088</v>
      </c>
      <c r="B9" s="75">
        <v>842</v>
      </c>
      <c r="C9" s="75">
        <v>298</v>
      </c>
      <c r="D9" s="75">
        <v>1022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17">
        <v>538</v>
      </c>
      <c r="K9" s="32">
        <v>500</v>
      </c>
      <c r="L9" s="32">
        <v>586</v>
      </c>
      <c r="M9" s="32">
        <v>0</v>
      </c>
      <c r="N9" s="32">
        <v>0</v>
      </c>
      <c r="O9" s="32">
        <v>0</v>
      </c>
      <c r="P9" s="32">
        <v>552</v>
      </c>
      <c r="Q9" s="32">
        <v>404</v>
      </c>
      <c r="R9" s="32">
        <v>0</v>
      </c>
      <c r="S9" s="32">
        <v>0</v>
      </c>
      <c r="T9" s="32">
        <v>0</v>
      </c>
      <c r="U9" s="32">
        <v>0</v>
      </c>
      <c r="V9" s="78">
        <f t="shared" si="0"/>
        <v>4742</v>
      </c>
      <c r="W9" s="5">
        <f>VLOOKUP(A9,[13]sheet1!$A$2:$W$21,23,0)</f>
        <v>4742</v>
      </c>
      <c r="X9" s="78">
        <f t="shared" si="1"/>
        <v>0</v>
      </c>
    </row>
    <row r="10" spans="1:24">
      <c r="A10" s="274">
        <v>1231898</v>
      </c>
      <c r="B10" s="75">
        <v>0</v>
      </c>
      <c r="C10" s="75">
        <v>0</v>
      </c>
      <c r="D10" s="75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230</v>
      </c>
      <c r="P10" s="32">
        <v>250</v>
      </c>
      <c r="Q10" s="32">
        <v>240</v>
      </c>
      <c r="R10" s="32">
        <v>0</v>
      </c>
      <c r="S10" s="32">
        <v>384</v>
      </c>
      <c r="T10" s="32">
        <v>0</v>
      </c>
      <c r="U10" s="32">
        <v>0</v>
      </c>
      <c r="V10" s="78">
        <f t="shared" si="0"/>
        <v>1104</v>
      </c>
      <c r="W10" s="5">
        <f>VLOOKUP(A10,[13]sheet1!$A$2:$W$21,23,0)</f>
        <v>1104</v>
      </c>
      <c r="X10" s="78">
        <f t="shared" si="1"/>
        <v>0</v>
      </c>
    </row>
    <row r="11" spans="1:24">
      <c r="A11" s="274">
        <v>1237586</v>
      </c>
      <c r="B11" s="75">
        <v>0</v>
      </c>
      <c r="C11" s="75">
        <v>0</v>
      </c>
      <c r="D11" s="75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230</v>
      </c>
      <c r="P11" s="32">
        <v>250</v>
      </c>
      <c r="Q11" s="32">
        <v>240</v>
      </c>
      <c r="R11" s="32">
        <v>0</v>
      </c>
      <c r="S11" s="32">
        <v>384</v>
      </c>
      <c r="T11" s="32">
        <v>0</v>
      </c>
      <c r="U11" s="32">
        <v>0</v>
      </c>
      <c r="V11" s="78">
        <f t="shared" si="0"/>
        <v>1104</v>
      </c>
      <c r="W11" s="5">
        <f>VLOOKUP(A11,[13]sheet1!$A$2:$W$21,23,0)</f>
        <v>1104</v>
      </c>
      <c r="X11" s="78">
        <f t="shared" si="1"/>
        <v>0</v>
      </c>
    </row>
    <row r="12" spans="1:24">
      <c r="A12" s="274">
        <v>1236091</v>
      </c>
      <c r="B12" s="75">
        <v>0</v>
      </c>
      <c r="C12" s="75">
        <v>0</v>
      </c>
      <c r="D12" s="75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250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250</v>
      </c>
      <c r="S12" s="32">
        <v>0</v>
      </c>
      <c r="T12" s="32">
        <v>0</v>
      </c>
      <c r="U12" s="32">
        <v>0</v>
      </c>
      <c r="V12" s="78">
        <f t="shared" si="0"/>
        <v>500</v>
      </c>
      <c r="W12" s="5">
        <f>VLOOKUP(A12,[13]sheet1!$A$2:$W$21,23,0)</f>
        <v>500</v>
      </c>
      <c r="X12" s="78">
        <f t="shared" si="1"/>
        <v>0</v>
      </c>
    </row>
    <row r="13" spans="1:24">
      <c r="A13" s="274">
        <v>1234905</v>
      </c>
      <c r="B13" s="75">
        <v>420</v>
      </c>
      <c r="C13" s="75">
        <v>122</v>
      </c>
      <c r="D13" s="75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78">
        <f t="shared" si="0"/>
        <v>542</v>
      </c>
      <c r="W13" s="5">
        <f>VLOOKUP(A13,[13]sheet1!$A$2:$W$21,23,0)</f>
        <v>542</v>
      </c>
      <c r="X13" s="78">
        <f t="shared" si="1"/>
        <v>0</v>
      </c>
    </row>
    <row r="14" spans="1:24">
      <c r="A14" s="274">
        <v>1238128</v>
      </c>
      <c r="B14" s="75">
        <v>0</v>
      </c>
      <c r="C14" s="75">
        <v>0</v>
      </c>
      <c r="D14" s="75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350</v>
      </c>
      <c r="M14" s="32">
        <v>0</v>
      </c>
      <c r="N14" s="32">
        <v>0</v>
      </c>
      <c r="O14" s="32">
        <v>352</v>
      </c>
      <c r="P14" s="32">
        <v>590</v>
      </c>
      <c r="Q14" s="32">
        <v>464</v>
      </c>
      <c r="R14" s="32">
        <v>258</v>
      </c>
      <c r="S14" s="32">
        <v>0</v>
      </c>
      <c r="T14" s="32">
        <v>0</v>
      </c>
      <c r="U14" s="32">
        <v>0</v>
      </c>
      <c r="V14" s="78">
        <f t="shared" si="0"/>
        <v>2014</v>
      </c>
      <c r="W14" s="5">
        <f>VLOOKUP(A14,[13]sheet1!$A$2:$W$21,23,0)</f>
        <v>2014</v>
      </c>
      <c r="X14" s="78">
        <f t="shared" si="1"/>
        <v>0</v>
      </c>
    </row>
    <row r="15" spans="1:24">
      <c r="A15" s="274">
        <v>1236962</v>
      </c>
      <c r="B15" s="75">
        <v>144</v>
      </c>
      <c r="C15" s="75">
        <v>144</v>
      </c>
      <c r="D15" s="75">
        <v>144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17">
        <v>200</v>
      </c>
      <c r="K15" s="32">
        <v>192</v>
      </c>
      <c r="L15" s="32">
        <v>224</v>
      </c>
      <c r="M15" s="32">
        <v>0</v>
      </c>
      <c r="N15" s="32">
        <v>0</v>
      </c>
      <c r="O15" s="32">
        <v>200</v>
      </c>
      <c r="P15" s="32">
        <v>0</v>
      </c>
      <c r="Q15" s="32">
        <v>0</v>
      </c>
      <c r="R15" s="32">
        <v>124</v>
      </c>
      <c r="S15" s="32">
        <v>150</v>
      </c>
      <c r="T15" s="32">
        <v>0</v>
      </c>
      <c r="U15" s="32">
        <v>0</v>
      </c>
      <c r="V15" s="78">
        <f t="shared" si="0"/>
        <v>1522</v>
      </c>
      <c r="W15" s="5">
        <f>VLOOKUP(A15,[13]sheet1!$A$2:$W$21,23,0)</f>
        <v>1522</v>
      </c>
      <c r="X15" s="78">
        <f t="shared" si="1"/>
        <v>0</v>
      </c>
    </row>
    <row r="16" spans="1:24">
      <c r="A16" s="274">
        <v>1233761</v>
      </c>
      <c r="B16" s="75">
        <v>0</v>
      </c>
      <c r="C16" s="75">
        <v>0</v>
      </c>
      <c r="D16" s="75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150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78">
        <f t="shared" si="0"/>
        <v>150</v>
      </c>
      <c r="W16" s="5">
        <f>VLOOKUP(A16,[13]sheet1!$A$2:$W$21,23,0)</f>
        <v>150</v>
      </c>
      <c r="X16" s="78">
        <f t="shared" si="1"/>
        <v>0</v>
      </c>
    </row>
    <row r="17" spans="1:24">
      <c r="A17" s="274">
        <v>1239651</v>
      </c>
      <c r="B17" s="75">
        <v>150</v>
      </c>
      <c r="C17" s="75">
        <v>0</v>
      </c>
      <c r="D17" s="75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17">
        <v>306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400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78">
        <f t="shared" si="0"/>
        <v>856</v>
      </c>
      <c r="W17" s="5">
        <f>VLOOKUP(A17,[13]sheet1!$A$2:$W$21,23,0)</f>
        <v>856</v>
      </c>
      <c r="X17" s="78">
        <f t="shared" si="1"/>
        <v>0</v>
      </c>
    </row>
    <row r="18" spans="1:24">
      <c r="A18" s="274">
        <v>1240180</v>
      </c>
      <c r="B18" s="75">
        <v>431</v>
      </c>
      <c r="C18" s="75">
        <v>320</v>
      </c>
      <c r="D18" s="75">
        <v>430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17">
        <v>338</v>
      </c>
      <c r="K18" s="32">
        <v>532</v>
      </c>
      <c r="L18" s="32">
        <v>796</v>
      </c>
      <c r="M18" s="32">
        <v>0</v>
      </c>
      <c r="N18" s="32">
        <v>0</v>
      </c>
      <c r="O18" s="32">
        <v>384</v>
      </c>
      <c r="P18" s="32">
        <v>430</v>
      </c>
      <c r="Q18" s="32">
        <v>339</v>
      </c>
      <c r="R18" s="32">
        <v>430</v>
      </c>
      <c r="S18" s="32">
        <v>430</v>
      </c>
      <c r="T18" s="32">
        <v>0</v>
      </c>
      <c r="U18" s="32">
        <v>0</v>
      </c>
      <c r="V18" s="78">
        <f t="shared" si="0"/>
        <v>4860</v>
      </c>
      <c r="W18" s="5">
        <f>VLOOKUP(A18,[13]sheet1!$A$2:$W$21,23,0)</f>
        <v>4860</v>
      </c>
      <c r="X18" s="78">
        <f t="shared" si="1"/>
        <v>0</v>
      </c>
    </row>
    <row r="19" spans="1:24">
      <c r="A19" s="274">
        <v>1240184</v>
      </c>
      <c r="B19" s="75">
        <v>431</v>
      </c>
      <c r="C19" s="75">
        <v>320</v>
      </c>
      <c r="D19" s="75">
        <v>430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17">
        <v>338</v>
      </c>
      <c r="K19" s="32">
        <v>532</v>
      </c>
      <c r="L19" s="32">
        <v>760</v>
      </c>
      <c r="M19" s="32">
        <v>0</v>
      </c>
      <c r="N19" s="32">
        <v>0</v>
      </c>
      <c r="O19" s="32">
        <v>258</v>
      </c>
      <c r="P19" s="32">
        <v>430</v>
      </c>
      <c r="Q19" s="32">
        <v>139</v>
      </c>
      <c r="R19" s="32">
        <v>386</v>
      </c>
      <c r="S19" s="32">
        <v>0</v>
      </c>
      <c r="T19" s="32">
        <v>0</v>
      </c>
      <c r="U19" s="32">
        <v>0</v>
      </c>
      <c r="V19" s="78">
        <f t="shared" si="0"/>
        <v>4024</v>
      </c>
      <c r="W19" s="5">
        <f>VLOOKUP(A19,[13]sheet1!$A$2:$W$21,23,0)</f>
        <v>4024</v>
      </c>
      <c r="X19" s="78">
        <f t="shared" si="1"/>
        <v>0</v>
      </c>
    </row>
    <row r="20" spans="1:24">
      <c r="A20" s="274">
        <v>1240308</v>
      </c>
      <c r="B20" s="75">
        <v>200</v>
      </c>
      <c r="C20" s="75">
        <v>200</v>
      </c>
      <c r="D20" s="75">
        <v>200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200</v>
      </c>
      <c r="P20" s="32">
        <v>250</v>
      </c>
      <c r="Q20" s="32">
        <v>0</v>
      </c>
      <c r="R20" s="32">
        <v>400</v>
      </c>
      <c r="S20" s="32">
        <v>0</v>
      </c>
      <c r="T20" s="32">
        <v>0</v>
      </c>
      <c r="U20" s="32">
        <v>0</v>
      </c>
      <c r="V20" s="78">
        <f t="shared" si="0"/>
        <v>1450</v>
      </c>
      <c r="W20" s="5">
        <f>VLOOKUP(A20,[13]sheet1!$A$2:$W$21,23,0)</f>
        <v>1450</v>
      </c>
      <c r="X20" s="78">
        <f t="shared" si="1"/>
        <v>0</v>
      </c>
    </row>
    <row r="21" spans="1:24">
      <c r="A21" s="274">
        <v>1241601</v>
      </c>
      <c r="B21" s="75">
        <v>1210</v>
      </c>
      <c r="C21" s="75">
        <v>1382</v>
      </c>
      <c r="D21" s="75">
        <v>2198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17">
        <v>964</v>
      </c>
      <c r="K21" s="32">
        <v>1644</v>
      </c>
      <c r="L21" s="32">
        <v>838</v>
      </c>
      <c r="M21" s="32">
        <v>0</v>
      </c>
      <c r="N21" s="32">
        <v>0</v>
      </c>
      <c r="O21" s="32">
        <v>690</v>
      </c>
      <c r="P21" s="32">
        <v>1600</v>
      </c>
      <c r="Q21" s="32">
        <v>678</v>
      </c>
      <c r="R21" s="32">
        <v>1808</v>
      </c>
      <c r="S21" s="32">
        <v>2062</v>
      </c>
      <c r="T21" s="32">
        <v>0</v>
      </c>
      <c r="U21" s="32">
        <v>0</v>
      </c>
      <c r="V21" s="78">
        <f t="shared" si="0"/>
        <v>15074</v>
      </c>
      <c r="W21" s="5">
        <f>VLOOKUP(A21,[13]sheet1!$A$2:$W$21,23,0)</f>
        <v>15074</v>
      </c>
      <c r="X21" s="78">
        <f t="shared" si="1"/>
        <v>0</v>
      </c>
    </row>
    <row r="23" spans="1:24">
      <c r="B23" s="9">
        <f>SUM(B2:B22)</f>
        <v>3828</v>
      </c>
      <c r="C23" s="9">
        <f t="shared" ref="C23:U23" si="2">SUM(C2:C22)</f>
        <v>2786</v>
      </c>
      <c r="D23" s="9">
        <f t="shared" si="2"/>
        <v>4424</v>
      </c>
      <c r="E23" s="9">
        <f t="shared" si="2"/>
        <v>0</v>
      </c>
      <c r="F23" s="9">
        <f t="shared" si="2"/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2684</v>
      </c>
      <c r="K23" s="9">
        <f t="shared" si="2"/>
        <v>4194</v>
      </c>
      <c r="L23" s="9">
        <f t="shared" si="2"/>
        <v>3772</v>
      </c>
      <c r="M23" s="9">
        <f t="shared" si="2"/>
        <v>0</v>
      </c>
      <c r="N23" s="9">
        <f t="shared" si="2"/>
        <v>0</v>
      </c>
      <c r="O23" s="9">
        <f t="shared" si="2"/>
        <v>2894</v>
      </c>
      <c r="P23" s="9">
        <f t="shared" si="2"/>
        <v>4952</v>
      </c>
      <c r="Q23" s="9">
        <f t="shared" si="2"/>
        <v>3504</v>
      </c>
      <c r="R23" s="9">
        <f t="shared" si="2"/>
        <v>4456</v>
      </c>
      <c r="S23" s="9">
        <f t="shared" si="2"/>
        <v>4830</v>
      </c>
      <c r="T23" s="9">
        <f t="shared" si="2"/>
        <v>0</v>
      </c>
      <c r="U23" s="9">
        <f t="shared" si="2"/>
        <v>0</v>
      </c>
    </row>
    <row r="24" spans="1:24">
      <c r="B24" s="9">
        <v>3828</v>
      </c>
      <c r="C24" s="9">
        <v>2786</v>
      </c>
      <c r="D24" s="9">
        <v>4424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2684</v>
      </c>
      <c r="K24" s="9">
        <v>4194</v>
      </c>
      <c r="L24" s="9">
        <v>3772</v>
      </c>
      <c r="M24" s="9">
        <v>0</v>
      </c>
      <c r="N24" s="9">
        <v>0</v>
      </c>
      <c r="O24" s="9">
        <v>2894</v>
      </c>
      <c r="P24" s="9">
        <v>4952</v>
      </c>
      <c r="Q24" s="9">
        <v>3504</v>
      </c>
      <c r="R24" s="9">
        <v>4456</v>
      </c>
      <c r="S24" s="9">
        <v>4830</v>
      </c>
    </row>
    <row r="25" spans="1:24">
      <c r="B25" s="9">
        <f>+B23-B24</f>
        <v>0</v>
      </c>
      <c r="C25" s="9">
        <f t="shared" ref="C25:U25" si="3">+C23-C24</f>
        <v>0</v>
      </c>
      <c r="D25" s="9">
        <f t="shared" si="3"/>
        <v>0</v>
      </c>
      <c r="E25" s="9">
        <f t="shared" si="3"/>
        <v>0</v>
      </c>
      <c r="F25" s="9">
        <f t="shared" si="3"/>
        <v>0</v>
      </c>
      <c r="G25" s="9">
        <f t="shared" si="3"/>
        <v>0</v>
      </c>
      <c r="H25" s="9">
        <f t="shared" si="3"/>
        <v>0</v>
      </c>
      <c r="I25" s="9">
        <f t="shared" si="3"/>
        <v>0</v>
      </c>
      <c r="J25" s="9">
        <f t="shared" si="3"/>
        <v>0</v>
      </c>
      <c r="K25" s="9">
        <f t="shared" si="3"/>
        <v>0</v>
      </c>
      <c r="L25" s="9">
        <f t="shared" si="3"/>
        <v>0</v>
      </c>
      <c r="M25" s="9">
        <f t="shared" si="3"/>
        <v>0</v>
      </c>
      <c r="N25" s="9">
        <f t="shared" si="3"/>
        <v>0</v>
      </c>
      <c r="O25" s="9">
        <f t="shared" si="3"/>
        <v>0</v>
      </c>
      <c r="P25" s="9">
        <f t="shared" si="3"/>
        <v>0</v>
      </c>
      <c r="Q25" s="9">
        <f t="shared" si="3"/>
        <v>0</v>
      </c>
      <c r="R25" s="9">
        <f t="shared" si="3"/>
        <v>0</v>
      </c>
      <c r="S25" s="9">
        <f t="shared" si="3"/>
        <v>0</v>
      </c>
      <c r="T25" s="9">
        <f t="shared" si="3"/>
        <v>0</v>
      </c>
      <c r="U25" s="9">
        <f t="shared" si="3"/>
        <v>0</v>
      </c>
    </row>
    <row r="30" spans="1:24">
      <c r="A30" s="19" t="s">
        <v>0</v>
      </c>
      <c r="B30" s="9" t="s">
        <v>1233</v>
      </c>
      <c r="C30" s="9" t="s">
        <v>1234</v>
      </c>
      <c r="D30" s="9" t="s">
        <v>1235</v>
      </c>
      <c r="E30" s="9" t="s">
        <v>1236</v>
      </c>
      <c r="F30" s="9" t="s">
        <v>1237</v>
      </c>
      <c r="G30" s="9" t="s">
        <v>1238</v>
      </c>
      <c r="H30" s="9" t="s">
        <v>1241</v>
      </c>
      <c r="I30" s="9" t="s">
        <v>1242</v>
      </c>
      <c r="J30" s="9" t="s">
        <v>1243</v>
      </c>
      <c r="K30" s="9" t="s">
        <v>1244</v>
      </c>
      <c r="L30" s="9" t="s">
        <v>1245</v>
      </c>
      <c r="M30" s="9" t="s">
        <v>1246</v>
      </c>
      <c r="N30" s="9" t="s">
        <v>1247</v>
      </c>
      <c r="O30" s="9" t="s">
        <v>1248</v>
      </c>
      <c r="P30" s="9" t="s">
        <v>1249</v>
      </c>
      <c r="Q30" s="9" t="s">
        <v>1250</v>
      </c>
      <c r="R30" s="9" t="s">
        <v>1251</v>
      </c>
      <c r="S30" s="9" t="s">
        <v>1252</v>
      </c>
      <c r="T30" s="9" t="s">
        <v>1253</v>
      </c>
      <c r="U30" s="9" t="s">
        <v>1254</v>
      </c>
    </row>
    <row r="31" spans="1:24">
      <c r="A31" s="19">
        <v>1232846</v>
      </c>
      <c r="B31" s="9">
        <v>352</v>
      </c>
      <c r="C31" s="9">
        <v>329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18">
        <v>352</v>
      </c>
      <c r="K31" s="18">
        <v>148</v>
      </c>
      <c r="L31" s="18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</row>
    <row r="32" spans="1:24">
      <c r="A32" s="19">
        <v>1232895</v>
      </c>
      <c r="B32" s="9">
        <v>352</v>
      </c>
      <c r="C32" s="9">
        <v>329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18">
        <v>352</v>
      </c>
      <c r="K32" s="18">
        <v>148</v>
      </c>
      <c r="L32" s="18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</row>
    <row r="33" spans="1:21">
      <c r="A33" s="19">
        <v>1233384</v>
      </c>
      <c r="B33" s="9">
        <v>352</v>
      </c>
      <c r="C33" s="9">
        <v>329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18">
        <v>352</v>
      </c>
      <c r="K33" s="18">
        <v>148</v>
      </c>
      <c r="L33" s="18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</row>
    <row r="34" spans="1:21">
      <c r="A34" s="19">
        <v>1236110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18">
        <v>0</v>
      </c>
      <c r="K34" s="18">
        <v>0</v>
      </c>
      <c r="L34" s="18">
        <v>0</v>
      </c>
      <c r="M34" s="9">
        <v>0</v>
      </c>
      <c r="N34" s="9">
        <v>0</v>
      </c>
      <c r="O34" s="9">
        <v>0</v>
      </c>
      <c r="P34" s="9">
        <v>150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</row>
    <row r="35" spans="1:21">
      <c r="A35" s="19">
        <v>1236387</v>
      </c>
      <c r="B35" s="9">
        <v>367</v>
      </c>
      <c r="C35" s="9">
        <v>53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18">
        <v>0</v>
      </c>
      <c r="K35" s="18">
        <v>0</v>
      </c>
      <c r="L35" s="18">
        <v>0</v>
      </c>
      <c r="M35" s="9">
        <v>0</v>
      </c>
      <c r="N35" s="9">
        <v>0</v>
      </c>
      <c r="O35" s="9">
        <v>271</v>
      </c>
      <c r="P35" s="9">
        <v>367</v>
      </c>
      <c r="Q35" s="9">
        <v>62</v>
      </c>
      <c r="R35" s="9">
        <v>0</v>
      </c>
      <c r="S35" s="9">
        <v>0</v>
      </c>
      <c r="T35" s="9">
        <v>0</v>
      </c>
      <c r="U35" s="9">
        <v>0</v>
      </c>
    </row>
    <row r="36" spans="1:21">
      <c r="A36" s="19">
        <v>1232775</v>
      </c>
      <c r="B36" s="9">
        <v>0</v>
      </c>
      <c r="C36" s="9">
        <v>181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18">
        <v>242</v>
      </c>
      <c r="K36" s="18">
        <v>242</v>
      </c>
      <c r="L36" s="18">
        <v>225</v>
      </c>
      <c r="M36" s="9">
        <v>0</v>
      </c>
      <c r="N36" s="9">
        <v>0</v>
      </c>
      <c r="O36" s="9">
        <v>210</v>
      </c>
      <c r="P36" s="9">
        <v>0</v>
      </c>
      <c r="Q36" s="9">
        <v>437</v>
      </c>
      <c r="R36" s="9">
        <v>242</v>
      </c>
      <c r="S36" s="9">
        <v>288</v>
      </c>
      <c r="T36" s="9">
        <v>0</v>
      </c>
      <c r="U36" s="9">
        <v>0</v>
      </c>
    </row>
    <row r="40" spans="1:21">
      <c r="A40" s="19" t="s">
        <v>0</v>
      </c>
      <c r="B40" s="9" t="s">
        <v>1233</v>
      </c>
      <c r="C40" s="9" t="s">
        <v>1234</v>
      </c>
      <c r="D40" s="9" t="s">
        <v>1235</v>
      </c>
      <c r="E40" s="9" t="s">
        <v>1236</v>
      </c>
      <c r="F40" s="9" t="s">
        <v>1237</v>
      </c>
      <c r="G40" s="9" t="s">
        <v>1238</v>
      </c>
      <c r="H40" s="9" t="s">
        <v>1241</v>
      </c>
      <c r="I40" s="9" t="s">
        <v>1242</v>
      </c>
      <c r="J40" s="9" t="s">
        <v>1243</v>
      </c>
      <c r="K40" s="9" t="s">
        <v>1244</v>
      </c>
      <c r="L40" s="9" t="s">
        <v>1245</v>
      </c>
      <c r="M40" s="9" t="s">
        <v>1246</v>
      </c>
      <c r="N40" s="9" t="s">
        <v>1247</v>
      </c>
      <c r="O40" s="9" t="s">
        <v>1248</v>
      </c>
      <c r="P40" s="9" t="s">
        <v>1249</v>
      </c>
      <c r="Q40" s="9" t="s">
        <v>1250</v>
      </c>
      <c r="R40" s="9" t="s">
        <v>1251</v>
      </c>
      <c r="S40" s="9" t="s">
        <v>1252</v>
      </c>
      <c r="T40" s="9" t="s">
        <v>1253</v>
      </c>
      <c r="U40" s="9" t="s">
        <v>1254</v>
      </c>
    </row>
    <row r="41" spans="1:21">
      <c r="A41" s="19">
        <v>1234614</v>
      </c>
      <c r="B41" s="9">
        <v>425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18</v>
      </c>
      <c r="L41" s="9">
        <v>632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648</v>
      </c>
      <c r="S41" s="9">
        <v>600</v>
      </c>
      <c r="T41" s="9">
        <v>0</v>
      </c>
      <c r="U41" s="9">
        <v>0</v>
      </c>
    </row>
    <row r="42" spans="1:21" s="20" customFormat="1">
      <c r="A42" s="101">
        <v>1221967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276</v>
      </c>
      <c r="T42" s="10">
        <v>0</v>
      </c>
      <c r="U42" s="10">
        <v>0</v>
      </c>
    </row>
    <row r="43" spans="1:21">
      <c r="A43" s="100">
        <v>1227306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500</v>
      </c>
      <c r="P43" s="9">
        <v>100</v>
      </c>
      <c r="Q43" s="9">
        <v>280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19">
        <v>1229776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5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90</v>
      </c>
      <c r="T44" s="9">
        <v>0</v>
      </c>
      <c r="U44" s="9">
        <v>0</v>
      </c>
    </row>
    <row r="45" spans="1:21">
      <c r="A45" s="19">
        <v>1231090</v>
      </c>
      <c r="B45" s="9">
        <v>0</v>
      </c>
      <c r="C45" s="9">
        <v>40</v>
      </c>
      <c r="D45" s="9">
        <v>448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332</v>
      </c>
      <c r="K45" s="9">
        <v>310</v>
      </c>
      <c r="L45" s="9">
        <v>5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105</v>
      </c>
      <c r="T45" s="9">
        <v>0</v>
      </c>
      <c r="U45" s="9">
        <v>0</v>
      </c>
    </row>
    <row r="46" spans="1:21">
      <c r="A46" s="19">
        <v>1232066</v>
      </c>
      <c r="B46" s="9">
        <v>0</v>
      </c>
      <c r="C46" s="9">
        <v>0</v>
      </c>
      <c r="D46" s="9">
        <v>108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18</v>
      </c>
      <c r="S46" s="9">
        <v>0</v>
      </c>
      <c r="T46" s="9">
        <v>0</v>
      </c>
      <c r="U46" s="9">
        <v>0</v>
      </c>
    </row>
    <row r="47" spans="1:21">
      <c r="A47" s="19">
        <v>1229088</v>
      </c>
      <c r="B47" s="9">
        <v>0</v>
      </c>
      <c r="C47" s="9">
        <v>0</v>
      </c>
      <c r="D47" s="9">
        <v>48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50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19">
        <v>1232693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291</v>
      </c>
      <c r="K48" s="9">
        <v>321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18</v>
      </c>
      <c r="S48" s="9">
        <v>0</v>
      </c>
      <c r="T48" s="9">
        <v>0</v>
      </c>
      <c r="U48" s="9">
        <v>0</v>
      </c>
    </row>
    <row r="49" spans="1:21">
      <c r="A49" s="19">
        <v>1233025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291</v>
      </c>
      <c r="K49" s="9">
        <v>321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18</v>
      </c>
      <c r="S49" s="9">
        <v>0</v>
      </c>
      <c r="T49" s="9">
        <v>0</v>
      </c>
      <c r="U49" s="9">
        <v>0</v>
      </c>
    </row>
    <row r="50" spans="1:21">
      <c r="A50" s="19">
        <v>1225464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50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19">
        <v>1232528</v>
      </c>
      <c r="B51" s="9">
        <v>1246</v>
      </c>
      <c r="C51" s="9">
        <v>836</v>
      </c>
      <c r="D51" s="9">
        <v>1173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1016</v>
      </c>
      <c r="K51" s="9">
        <v>1341</v>
      </c>
      <c r="L51" s="9">
        <v>686</v>
      </c>
      <c r="M51" s="9">
        <v>0</v>
      </c>
      <c r="N51" s="9">
        <v>0</v>
      </c>
      <c r="O51" s="9">
        <v>686</v>
      </c>
      <c r="P51" s="9">
        <v>686</v>
      </c>
      <c r="Q51" s="9">
        <v>539</v>
      </c>
      <c r="R51" s="9">
        <v>686</v>
      </c>
      <c r="S51" s="9">
        <v>2031</v>
      </c>
      <c r="T51" s="9">
        <v>0</v>
      </c>
      <c r="U51" s="9">
        <v>0</v>
      </c>
    </row>
    <row r="52" spans="1:21">
      <c r="A52" s="19">
        <v>1232553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252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19">
        <v>1233587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18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100">
        <v>1232846</v>
      </c>
      <c r="B54" s="9">
        <v>0</v>
      </c>
      <c r="C54" s="9">
        <v>100</v>
      </c>
      <c r="D54" s="9">
        <v>270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37</v>
      </c>
      <c r="L54" s="9">
        <v>662</v>
      </c>
      <c r="M54" s="9">
        <v>0</v>
      </c>
      <c r="N54" s="9">
        <v>0</v>
      </c>
      <c r="O54" s="9">
        <v>700</v>
      </c>
      <c r="P54" s="9">
        <v>1028</v>
      </c>
      <c r="Q54" s="9">
        <v>1201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19">
        <v>1229050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520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</row>
    <row r="56" spans="1:21">
      <c r="A56" s="19">
        <v>1233383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156</v>
      </c>
      <c r="T56" s="9">
        <v>0</v>
      </c>
      <c r="U56" s="9">
        <v>0</v>
      </c>
    </row>
    <row r="57" spans="1:21">
      <c r="A57" s="19">
        <v>1220847</v>
      </c>
      <c r="B57" s="9">
        <v>0</v>
      </c>
      <c r="C57" s="9">
        <v>0</v>
      </c>
      <c r="D57" s="9">
        <v>50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19">
        <v>1235958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25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19">
        <v>1236619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270</v>
      </c>
      <c r="S59" s="9">
        <v>0</v>
      </c>
      <c r="T59" s="9">
        <v>0</v>
      </c>
      <c r="U59" s="9">
        <v>0</v>
      </c>
    </row>
    <row r="60" spans="1:21">
      <c r="A60" s="19">
        <v>1236930</v>
      </c>
      <c r="B60" s="9">
        <v>551</v>
      </c>
      <c r="C60" s="9">
        <v>619</v>
      </c>
      <c r="D60" s="9">
        <v>582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377</v>
      </c>
      <c r="K60" s="9">
        <v>742</v>
      </c>
      <c r="L60" s="9">
        <v>726</v>
      </c>
      <c r="M60" s="9">
        <v>0</v>
      </c>
      <c r="N60" s="9">
        <v>0</v>
      </c>
      <c r="O60" s="9">
        <v>522</v>
      </c>
      <c r="P60" s="9">
        <v>904</v>
      </c>
      <c r="Q60" s="9">
        <v>306</v>
      </c>
      <c r="R60" s="9">
        <v>1607</v>
      </c>
      <c r="S60" s="9">
        <v>1507</v>
      </c>
      <c r="T60" s="9">
        <v>0</v>
      </c>
      <c r="U60" s="9">
        <v>0</v>
      </c>
    </row>
    <row r="61" spans="1:21">
      <c r="A61" s="19">
        <v>1237210</v>
      </c>
      <c r="B61" s="9">
        <v>0</v>
      </c>
      <c r="C61" s="9">
        <v>152</v>
      </c>
      <c r="D61" s="9">
        <v>43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26</v>
      </c>
      <c r="M61" s="9">
        <v>0</v>
      </c>
      <c r="N61" s="9">
        <v>0</v>
      </c>
      <c r="O61" s="9">
        <v>144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19">
        <v>1237457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18</v>
      </c>
      <c r="S62" s="9">
        <v>0</v>
      </c>
      <c r="T62" s="9">
        <v>0</v>
      </c>
      <c r="U62" s="9">
        <v>0</v>
      </c>
    </row>
    <row r="63" spans="1:21">
      <c r="A63" s="19">
        <v>1234905</v>
      </c>
      <c r="B63" s="9">
        <v>300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19">
        <v>1238480</v>
      </c>
      <c r="B64" s="9">
        <v>670</v>
      </c>
      <c r="C64" s="9">
        <v>498</v>
      </c>
      <c r="D64" s="9">
        <v>542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259</v>
      </c>
      <c r="K64" s="9">
        <v>431</v>
      </c>
      <c r="L64" s="9">
        <v>683</v>
      </c>
      <c r="M64" s="9">
        <v>0</v>
      </c>
      <c r="N64" s="9">
        <v>0</v>
      </c>
      <c r="O64" s="9">
        <v>1014</v>
      </c>
      <c r="P64" s="9">
        <v>1169</v>
      </c>
      <c r="Q64" s="9">
        <v>581</v>
      </c>
      <c r="R64" s="9">
        <v>1117</v>
      </c>
      <c r="S64" s="9">
        <v>1815</v>
      </c>
      <c r="T64" s="9">
        <v>0</v>
      </c>
      <c r="U64" s="9">
        <v>0</v>
      </c>
    </row>
    <row r="65" spans="1:21">
      <c r="A65" s="19">
        <v>1237468</v>
      </c>
      <c r="B65" s="9">
        <v>0</v>
      </c>
      <c r="C65" s="9">
        <v>0</v>
      </c>
      <c r="D65" s="9">
        <v>114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210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19">
        <v>1216452</v>
      </c>
      <c r="B66" s="9">
        <v>0</v>
      </c>
      <c r="C66" s="9">
        <v>0</v>
      </c>
      <c r="D66" s="9">
        <v>72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576</v>
      </c>
      <c r="L66" s="9">
        <v>0</v>
      </c>
      <c r="M66" s="9">
        <v>0</v>
      </c>
      <c r="N66" s="9">
        <v>0</v>
      </c>
      <c r="O66" s="9">
        <v>0</v>
      </c>
      <c r="P66" s="9">
        <v>1737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</row>
    <row r="67" spans="1:21">
      <c r="A67" s="100">
        <v>1232894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37</v>
      </c>
      <c r="L67" s="9">
        <v>662</v>
      </c>
      <c r="M67" s="9">
        <v>0</v>
      </c>
      <c r="N67" s="9">
        <v>0</v>
      </c>
      <c r="O67" s="9">
        <v>700</v>
      </c>
      <c r="P67" s="9">
        <v>1028</v>
      </c>
      <c r="Q67" s="9">
        <v>1201</v>
      </c>
      <c r="R67" s="9">
        <v>0</v>
      </c>
      <c r="S67" s="9">
        <v>0</v>
      </c>
      <c r="T67" s="9">
        <v>0</v>
      </c>
      <c r="U67" s="9">
        <v>0</v>
      </c>
    </row>
    <row r="68" spans="1:21">
      <c r="A68" s="19">
        <v>1233386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303</v>
      </c>
      <c r="M68" s="9">
        <v>0</v>
      </c>
      <c r="N68" s="9">
        <v>0</v>
      </c>
      <c r="O68" s="9">
        <v>0</v>
      </c>
      <c r="P68" s="9">
        <v>0</v>
      </c>
      <c r="Q68" s="9">
        <v>1009</v>
      </c>
      <c r="R68" s="9">
        <v>0</v>
      </c>
      <c r="S68" s="9">
        <v>0</v>
      </c>
      <c r="T68" s="9">
        <v>0</v>
      </c>
      <c r="U68" s="9">
        <v>0</v>
      </c>
    </row>
    <row r="69" spans="1:21">
      <c r="A69" s="100">
        <v>1233387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37</v>
      </c>
      <c r="L69" s="9">
        <v>263</v>
      </c>
      <c r="M69" s="9">
        <v>0</v>
      </c>
      <c r="N69" s="9">
        <v>0</v>
      </c>
      <c r="O69" s="9">
        <v>700</v>
      </c>
      <c r="P69" s="9">
        <v>1028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19">
        <v>1233385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96</v>
      </c>
      <c r="M70" s="9">
        <v>0</v>
      </c>
      <c r="N70" s="9">
        <v>0</v>
      </c>
      <c r="O70" s="9">
        <v>0</v>
      </c>
      <c r="P70" s="9">
        <v>0</v>
      </c>
      <c r="Q70" s="9">
        <v>192</v>
      </c>
      <c r="R70" s="9">
        <v>0</v>
      </c>
      <c r="S70" s="9">
        <v>0</v>
      </c>
      <c r="T70" s="9">
        <v>0</v>
      </c>
      <c r="U70" s="9">
        <v>0</v>
      </c>
    </row>
    <row r="71" spans="1:21">
      <c r="A71" s="19">
        <v>1232895</v>
      </c>
      <c r="B71" s="9">
        <v>0</v>
      </c>
      <c r="C71" s="9">
        <v>100</v>
      </c>
      <c r="D71" s="9">
        <v>270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</row>
    <row r="72" spans="1:21">
      <c r="A72" s="19">
        <v>1232922</v>
      </c>
      <c r="B72" s="9">
        <v>0</v>
      </c>
      <c r="C72" s="9">
        <v>100</v>
      </c>
      <c r="D72" s="9">
        <v>270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</row>
  </sheetData>
  <autoFilter ref="A1:U21" xr:uid="{00D91C5A-2A72-4452-B4D6-A3483016F4BC}"/>
  <phoneticPr fontId="1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B9FC-4DB3-4FE0-AA0B-AEF380850364}">
  <dimension ref="A1:V68"/>
  <sheetViews>
    <sheetView topLeftCell="A37" zoomScale="145" zoomScaleNormal="145" workbookViewId="0">
      <selection activeCell="L38" sqref="L38:L39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5" style="9" bestFit="1" customWidth="1"/>
    <col min="21" max="22" width="9.33203125" style="9"/>
    <col min="23" max="16384" width="9.33203125" style="5"/>
  </cols>
  <sheetData>
    <row r="1" spans="1:20">
      <c r="A1" s="74" t="s">
        <v>0</v>
      </c>
      <c r="B1" s="69" t="s">
        <v>1234</v>
      </c>
      <c r="C1" s="69" t="s">
        <v>1235</v>
      </c>
      <c r="D1" s="69" t="s">
        <v>1236</v>
      </c>
      <c r="E1" s="69" t="s">
        <v>1237</v>
      </c>
      <c r="F1" s="70" t="s">
        <v>1238</v>
      </c>
      <c r="G1" s="69" t="s">
        <v>1241</v>
      </c>
      <c r="H1" s="69" t="s">
        <v>1242</v>
      </c>
      <c r="I1" s="69" t="s">
        <v>1243</v>
      </c>
      <c r="J1" s="190" t="s">
        <v>1244</v>
      </c>
      <c r="K1" s="69" t="s">
        <v>1245</v>
      </c>
      <c r="L1" s="69" t="s">
        <v>1246</v>
      </c>
      <c r="M1" s="70" t="s">
        <v>1247</v>
      </c>
      <c r="N1" s="69" t="s">
        <v>1248</v>
      </c>
      <c r="O1" s="69" t="s">
        <v>1249</v>
      </c>
      <c r="P1" s="69" t="s">
        <v>1250</v>
      </c>
      <c r="Q1" s="69" t="s">
        <v>1251</v>
      </c>
      <c r="R1" s="69" t="s">
        <v>1252</v>
      </c>
      <c r="S1" s="69" t="s">
        <v>1253</v>
      </c>
      <c r="T1" s="70" t="s">
        <v>1254</v>
      </c>
    </row>
    <row r="2" spans="1:20">
      <c r="A2" s="30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400</v>
      </c>
      <c r="Q2" s="32">
        <v>400</v>
      </c>
      <c r="R2" s="32">
        <v>260</v>
      </c>
      <c r="S2" s="32">
        <v>0</v>
      </c>
      <c r="T2" s="32">
        <v>0</v>
      </c>
    </row>
    <row r="3" spans="1:20">
      <c r="A3" s="30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400</v>
      </c>
      <c r="Q3" s="32">
        <v>400</v>
      </c>
      <c r="R3" s="32">
        <v>260</v>
      </c>
      <c r="S3" s="32">
        <v>0</v>
      </c>
      <c r="T3" s="32">
        <v>0</v>
      </c>
    </row>
    <row r="4" spans="1:20">
      <c r="A4" s="30">
        <v>1229673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17">
        <v>344</v>
      </c>
      <c r="K4" s="32">
        <v>218</v>
      </c>
      <c r="L4" s="32">
        <v>0</v>
      </c>
      <c r="M4" s="32">
        <v>0</v>
      </c>
      <c r="N4" s="32">
        <v>200</v>
      </c>
      <c r="O4" s="32">
        <v>200</v>
      </c>
      <c r="P4" s="32">
        <v>200</v>
      </c>
      <c r="Q4" s="32">
        <v>0</v>
      </c>
      <c r="R4" s="32">
        <v>0</v>
      </c>
      <c r="S4" s="32">
        <v>0</v>
      </c>
      <c r="T4" s="32">
        <v>0</v>
      </c>
    </row>
    <row r="5" spans="1:20">
      <c r="A5" s="30">
        <v>1230854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17">
        <v>200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</row>
    <row r="6" spans="1:20">
      <c r="A6" s="30">
        <v>1233492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300</v>
      </c>
      <c r="S6" s="32">
        <v>0</v>
      </c>
      <c r="T6" s="32">
        <v>0</v>
      </c>
    </row>
    <row r="7" spans="1:20">
      <c r="A7" s="30">
        <v>1233498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300</v>
      </c>
      <c r="S7" s="32">
        <v>0</v>
      </c>
      <c r="T7" s="32">
        <v>0</v>
      </c>
    </row>
    <row r="8" spans="1:20">
      <c r="A8" s="30">
        <v>1233623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300</v>
      </c>
      <c r="S8" s="32">
        <v>0</v>
      </c>
      <c r="T8" s="32">
        <v>0</v>
      </c>
    </row>
    <row r="9" spans="1:20">
      <c r="A9" s="30">
        <v>1237088</v>
      </c>
      <c r="B9" s="32">
        <v>298</v>
      </c>
      <c r="C9" s="32">
        <v>1022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538</v>
      </c>
      <c r="J9" s="17">
        <v>500</v>
      </c>
      <c r="K9" s="32">
        <v>586</v>
      </c>
      <c r="L9" s="32">
        <v>0</v>
      </c>
      <c r="M9" s="32">
        <v>0</v>
      </c>
      <c r="N9" s="32">
        <v>0</v>
      </c>
      <c r="O9" s="32">
        <v>552</v>
      </c>
      <c r="P9" s="32">
        <v>404</v>
      </c>
      <c r="Q9" s="32">
        <v>0</v>
      </c>
      <c r="R9" s="32">
        <v>0</v>
      </c>
      <c r="S9" s="32">
        <v>0</v>
      </c>
      <c r="T9" s="32">
        <v>0</v>
      </c>
    </row>
    <row r="10" spans="1:20">
      <c r="A10" s="30">
        <v>1231898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230</v>
      </c>
      <c r="O10" s="32">
        <v>250</v>
      </c>
      <c r="P10" s="32">
        <v>240</v>
      </c>
      <c r="Q10" s="32">
        <v>0</v>
      </c>
      <c r="R10" s="32">
        <v>384</v>
      </c>
      <c r="S10" s="32">
        <v>0</v>
      </c>
      <c r="T10" s="32">
        <v>0</v>
      </c>
    </row>
    <row r="11" spans="1:20">
      <c r="A11" s="30">
        <v>1237586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230</v>
      </c>
      <c r="O11" s="32">
        <v>250</v>
      </c>
      <c r="P11" s="32">
        <v>240</v>
      </c>
      <c r="Q11" s="32">
        <v>0</v>
      </c>
      <c r="R11" s="32">
        <v>384</v>
      </c>
      <c r="S11" s="32">
        <v>0</v>
      </c>
      <c r="T11" s="32">
        <v>0</v>
      </c>
    </row>
    <row r="12" spans="1:20">
      <c r="A12" s="30">
        <v>1236091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17">
        <v>250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250</v>
      </c>
      <c r="R12" s="32">
        <v>0</v>
      </c>
      <c r="S12" s="32">
        <v>0</v>
      </c>
      <c r="T12" s="32">
        <v>0</v>
      </c>
    </row>
    <row r="13" spans="1:20">
      <c r="A13" s="30">
        <v>1234905</v>
      </c>
      <c r="B13" s="32">
        <v>122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</row>
    <row r="14" spans="1:20">
      <c r="A14" s="30">
        <v>1238128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350</v>
      </c>
      <c r="L14" s="32">
        <v>0</v>
      </c>
      <c r="M14" s="32">
        <v>0</v>
      </c>
      <c r="N14" s="32">
        <v>352</v>
      </c>
      <c r="O14" s="32">
        <v>590</v>
      </c>
      <c r="P14" s="32">
        <v>464</v>
      </c>
      <c r="Q14" s="32">
        <v>258</v>
      </c>
      <c r="R14" s="32">
        <v>0</v>
      </c>
      <c r="S14" s="32">
        <v>0</v>
      </c>
      <c r="T14" s="32">
        <v>0</v>
      </c>
    </row>
    <row r="15" spans="1:20">
      <c r="A15" s="30">
        <v>1236962</v>
      </c>
      <c r="B15" s="32">
        <v>144</v>
      </c>
      <c r="C15" s="32">
        <v>144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200</v>
      </c>
      <c r="J15" s="17">
        <v>192</v>
      </c>
      <c r="K15" s="32">
        <v>224</v>
      </c>
      <c r="L15" s="32">
        <v>0</v>
      </c>
      <c r="M15" s="32">
        <v>0</v>
      </c>
      <c r="N15" s="32">
        <v>200</v>
      </c>
      <c r="O15" s="32">
        <v>0</v>
      </c>
      <c r="P15" s="32">
        <v>0</v>
      </c>
      <c r="Q15" s="32">
        <v>124</v>
      </c>
      <c r="R15" s="32">
        <v>150</v>
      </c>
      <c r="S15" s="32">
        <v>0</v>
      </c>
      <c r="T15" s="32">
        <v>0</v>
      </c>
    </row>
    <row r="16" spans="1:20">
      <c r="A16" s="30">
        <v>1233761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150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</row>
    <row r="17" spans="1:20">
      <c r="A17" s="30">
        <v>1239651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306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400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</row>
    <row r="18" spans="1:20">
      <c r="A18" s="30">
        <v>1240180</v>
      </c>
      <c r="B18" s="32">
        <v>320</v>
      </c>
      <c r="C18" s="32">
        <v>430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338</v>
      </c>
      <c r="J18" s="17">
        <v>532</v>
      </c>
      <c r="K18" s="32">
        <v>796</v>
      </c>
      <c r="L18" s="32">
        <v>0</v>
      </c>
      <c r="M18" s="32">
        <v>0</v>
      </c>
      <c r="N18" s="32">
        <v>384</v>
      </c>
      <c r="O18" s="32">
        <v>430</v>
      </c>
      <c r="P18" s="32">
        <v>339</v>
      </c>
      <c r="Q18" s="32">
        <v>430</v>
      </c>
      <c r="R18" s="32">
        <v>430</v>
      </c>
      <c r="S18" s="32">
        <v>0</v>
      </c>
      <c r="T18" s="32">
        <v>0</v>
      </c>
    </row>
    <row r="19" spans="1:20">
      <c r="A19" s="30">
        <v>1240184</v>
      </c>
      <c r="B19" s="32">
        <v>320</v>
      </c>
      <c r="C19" s="32">
        <v>430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338</v>
      </c>
      <c r="J19" s="17">
        <v>532</v>
      </c>
      <c r="K19" s="32">
        <v>760</v>
      </c>
      <c r="L19" s="32">
        <v>0</v>
      </c>
      <c r="M19" s="32">
        <v>0</v>
      </c>
      <c r="N19" s="32">
        <v>258</v>
      </c>
      <c r="O19" s="32">
        <v>430</v>
      </c>
      <c r="P19" s="32">
        <v>139</v>
      </c>
      <c r="Q19" s="32">
        <v>386</v>
      </c>
      <c r="R19" s="32">
        <v>0</v>
      </c>
      <c r="S19" s="32">
        <v>0</v>
      </c>
      <c r="T19" s="32">
        <v>0</v>
      </c>
    </row>
    <row r="20" spans="1:20">
      <c r="A20" s="30">
        <v>1240308</v>
      </c>
      <c r="B20" s="32">
        <v>200</v>
      </c>
      <c r="C20" s="32">
        <v>200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200</v>
      </c>
      <c r="O20" s="32">
        <v>250</v>
      </c>
      <c r="P20" s="32">
        <v>0</v>
      </c>
      <c r="Q20" s="32">
        <v>400</v>
      </c>
      <c r="R20" s="32">
        <v>0</v>
      </c>
      <c r="S20" s="32">
        <v>0</v>
      </c>
      <c r="T20" s="32">
        <v>0</v>
      </c>
    </row>
    <row r="21" spans="1:20">
      <c r="A21" s="30">
        <v>1241601</v>
      </c>
      <c r="B21" s="32">
        <v>1382</v>
      </c>
      <c r="C21" s="32">
        <v>2198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964</v>
      </c>
      <c r="J21" s="17">
        <v>1644</v>
      </c>
      <c r="K21" s="32">
        <v>838</v>
      </c>
      <c r="L21" s="32">
        <v>0</v>
      </c>
      <c r="M21" s="32">
        <v>0</v>
      </c>
      <c r="N21" s="32">
        <v>690</v>
      </c>
      <c r="O21" s="32">
        <v>1600</v>
      </c>
      <c r="P21" s="32">
        <v>678</v>
      </c>
      <c r="Q21" s="32">
        <v>1808</v>
      </c>
      <c r="R21" s="32">
        <v>2062</v>
      </c>
      <c r="S21" s="32">
        <v>0</v>
      </c>
      <c r="T21" s="32">
        <v>0</v>
      </c>
    </row>
    <row r="25" spans="1:20">
      <c r="A25" s="5" t="s">
        <v>0</v>
      </c>
      <c r="B25" s="9" t="s">
        <v>1234</v>
      </c>
      <c r="C25" s="9" t="s">
        <v>1235</v>
      </c>
      <c r="D25" s="9" t="s">
        <v>1236</v>
      </c>
      <c r="E25" s="9" t="s">
        <v>1237</v>
      </c>
      <c r="F25" s="9" t="s">
        <v>1238</v>
      </c>
      <c r="G25" s="9" t="s">
        <v>1241</v>
      </c>
      <c r="H25" s="9" t="s">
        <v>1242</v>
      </c>
      <c r="I25" s="9" t="s">
        <v>1243</v>
      </c>
      <c r="J25" s="9" t="s">
        <v>1244</v>
      </c>
      <c r="K25" s="9" t="s">
        <v>1245</v>
      </c>
      <c r="L25" s="9" t="s">
        <v>1246</v>
      </c>
      <c r="M25" s="9" t="s">
        <v>1247</v>
      </c>
      <c r="N25" s="9" t="s">
        <v>1248</v>
      </c>
      <c r="O25" s="9" t="s">
        <v>1249</v>
      </c>
      <c r="P25" s="9" t="s">
        <v>1250</v>
      </c>
      <c r="Q25" s="9" t="s">
        <v>1251</v>
      </c>
      <c r="R25" s="9" t="s">
        <v>1252</v>
      </c>
      <c r="S25" s="9" t="s">
        <v>1253</v>
      </c>
      <c r="T25" s="9" t="s">
        <v>1254</v>
      </c>
    </row>
    <row r="26" spans="1:20">
      <c r="A26" s="5">
        <v>1232846</v>
      </c>
      <c r="B26" s="9">
        <v>329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352</v>
      </c>
      <c r="J26" s="9">
        <v>148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</row>
    <row r="27" spans="1:20">
      <c r="A27" s="5">
        <v>1232895</v>
      </c>
      <c r="B27" s="9">
        <v>329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352</v>
      </c>
      <c r="J27" s="9">
        <v>148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</row>
    <row r="28" spans="1:20">
      <c r="A28" s="5">
        <v>1233384</v>
      </c>
      <c r="B28" s="9">
        <v>329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352</v>
      </c>
      <c r="J28" s="9">
        <v>148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</row>
    <row r="29" spans="1:20">
      <c r="A29" s="5">
        <v>1236110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150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</row>
    <row r="30" spans="1:20">
      <c r="A30" s="5">
        <v>1236387</v>
      </c>
      <c r="B30" s="9">
        <v>53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271</v>
      </c>
      <c r="O30" s="9">
        <v>367</v>
      </c>
      <c r="P30" s="9">
        <v>62</v>
      </c>
      <c r="Q30" s="9">
        <v>0</v>
      </c>
      <c r="R30" s="9">
        <v>0</v>
      </c>
      <c r="S30" s="9">
        <v>0</v>
      </c>
      <c r="T30" s="9">
        <v>0</v>
      </c>
    </row>
    <row r="31" spans="1:20">
      <c r="A31" s="5">
        <v>1232775</v>
      </c>
      <c r="B31" s="9">
        <v>181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242</v>
      </c>
      <c r="J31" s="9">
        <v>242</v>
      </c>
      <c r="K31" s="9">
        <v>225</v>
      </c>
      <c r="L31" s="9">
        <v>0</v>
      </c>
      <c r="M31" s="9">
        <v>0</v>
      </c>
      <c r="N31" s="9">
        <v>210</v>
      </c>
      <c r="O31" s="9">
        <v>0</v>
      </c>
      <c r="P31" s="9">
        <v>434</v>
      </c>
      <c r="Q31" s="9">
        <v>242</v>
      </c>
      <c r="R31" s="9">
        <v>291</v>
      </c>
      <c r="S31" s="9">
        <v>0</v>
      </c>
      <c r="T31" s="9">
        <v>0</v>
      </c>
    </row>
    <row r="36" spans="1:22">
      <c r="A36" s="74" t="s">
        <v>0</v>
      </c>
      <c r="B36" s="69" t="s">
        <v>1234</v>
      </c>
      <c r="C36" s="69" t="s">
        <v>1235</v>
      </c>
      <c r="D36" s="69" t="s">
        <v>1236</v>
      </c>
      <c r="E36" s="69" t="s">
        <v>1237</v>
      </c>
      <c r="F36" s="70" t="s">
        <v>1238</v>
      </c>
      <c r="G36" s="69" t="s">
        <v>1241</v>
      </c>
      <c r="H36" s="69" t="s">
        <v>1242</v>
      </c>
      <c r="I36" s="69" t="s">
        <v>1243</v>
      </c>
      <c r="J36" s="69" t="s">
        <v>1244</v>
      </c>
      <c r="K36" s="69" t="s">
        <v>1245</v>
      </c>
      <c r="L36" s="69" t="s">
        <v>1246</v>
      </c>
      <c r="M36" s="70" t="s">
        <v>1247</v>
      </c>
      <c r="N36" s="69" t="s">
        <v>1248</v>
      </c>
      <c r="O36" s="69" t="s">
        <v>1249</v>
      </c>
      <c r="P36" s="69" t="s">
        <v>1250</v>
      </c>
      <c r="Q36" s="69" t="s">
        <v>1251</v>
      </c>
      <c r="R36" s="69" t="s">
        <v>1252</v>
      </c>
      <c r="S36" s="69" t="s">
        <v>1253</v>
      </c>
      <c r="T36" s="70" t="s">
        <v>1254</v>
      </c>
    </row>
    <row r="37" spans="1:22">
      <c r="A37" s="30">
        <v>1234614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18</v>
      </c>
      <c r="K37" s="32">
        <v>632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431</v>
      </c>
      <c r="R37" s="32">
        <v>544</v>
      </c>
      <c r="S37" s="32">
        <v>0</v>
      </c>
      <c r="T37" s="32">
        <v>0</v>
      </c>
    </row>
    <row r="38" spans="1:22">
      <c r="A38" s="30">
        <v>1221967</v>
      </c>
      <c r="B38" s="32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276</v>
      </c>
      <c r="S38" s="32">
        <v>0</v>
      </c>
      <c r="T38" s="32">
        <v>0</v>
      </c>
    </row>
    <row r="39" spans="1:22">
      <c r="A39" s="30">
        <v>1227306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357</v>
      </c>
      <c r="O39" s="32">
        <v>243</v>
      </c>
      <c r="P39" s="32">
        <v>26</v>
      </c>
      <c r="Q39" s="32">
        <v>254</v>
      </c>
      <c r="R39" s="32">
        <v>0</v>
      </c>
      <c r="S39" s="32">
        <v>0</v>
      </c>
      <c r="T39" s="32">
        <v>0</v>
      </c>
    </row>
    <row r="40" spans="1:22" s="20" customFormat="1">
      <c r="A40" s="66">
        <v>1229776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1">
        <v>0</v>
      </c>
      <c r="K40" s="61">
        <v>5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</v>
      </c>
      <c r="U40" s="10"/>
      <c r="V40" s="10"/>
    </row>
    <row r="41" spans="1:22">
      <c r="A41" s="30">
        <v>1231090</v>
      </c>
      <c r="B41" s="32">
        <v>40</v>
      </c>
      <c r="C41" s="32">
        <v>448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325</v>
      </c>
      <c r="J41" s="32">
        <v>317</v>
      </c>
      <c r="K41" s="32">
        <v>5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475</v>
      </c>
      <c r="S41" s="32">
        <v>0</v>
      </c>
      <c r="T41" s="32">
        <v>0</v>
      </c>
    </row>
    <row r="42" spans="1:22">
      <c r="A42" s="30">
        <v>1232066</v>
      </c>
      <c r="B42" s="32">
        <v>0</v>
      </c>
      <c r="C42" s="32">
        <v>108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18</v>
      </c>
      <c r="R42" s="32">
        <v>0</v>
      </c>
      <c r="S42" s="32">
        <v>0</v>
      </c>
      <c r="T42" s="32">
        <v>0</v>
      </c>
    </row>
    <row r="43" spans="1:22">
      <c r="A43" s="30">
        <v>1229088</v>
      </c>
      <c r="B43" s="32">
        <v>0</v>
      </c>
      <c r="C43" s="32">
        <v>48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50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</row>
    <row r="44" spans="1:22">
      <c r="A44" s="30">
        <v>1232693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270</v>
      </c>
      <c r="J44" s="32">
        <v>360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</row>
    <row r="45" spans="1:22">
      <c r="A45" s="30">
        <v>1233025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270</v>
      </c>
      <c r="J45" s="32">
        <v>360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</row>
    <row r="46" spans="1:22">
      <c r="A46" s="30">
        <v>1225464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50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</row>
    <row r="47" spans="1:22">
      <c r="A47" s="30">
        <v>1232528</v>
      </c>
      <c r="B47" s="32">
        <v>836</v>
      </c>
      <c r="C47" s="32">
        <v>1173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1016</v>
      </c>
      <c r="J47" s="32">
        <v>1341</v>
      </c>
      <c r="K47" s="32">
        <v>686</v>
      </c>
      <c r="L47" s="32">
        <v>0</v>
      </c>
      <c r="M47" s="32">
        <v>0</v>
      </c>
      <c r="N47" s="32">
        <v>686</v>
      </c>
      <c r="O47" s="32">
        <v>686</v>
      </c>
      <c r="P47" s="32">
        <v>539</v>
      </c>
      <c r="Q47" s="32">
        <v>686</v>
      </c>
      <c r="R47" s="32">
        <v>2253</v>
      </c>
      <c r="S47" s="32">
        <v>0</v>
      </c>
      <c r="T47" s="32">
        <v>0</v>
      </c>
    </row>
    <row r="48" spans="1:22">
      <c r="A48" s="30">
        <v>1232553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61</v>
      </c>
      <c r="Q48" s="32">
        <v>191</v>
      </c>
      <c r="R48" s="32">
        <v>0</v>
      </c>
      <c r="S48" s="32">
        <v>0</v>
      </c>
      <c r="T48" s="32">
        <v>0</v>
      </c>
    </row>
    <row r="49" spans="1:20">
      <c r="A49" s="30">
        <v>1233587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18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</row>
    <row r="50" spans="1:20">
      <c r="A50" s="30">
        <v>1232846</v>
      </c>
      <c r="B50" s="32">
        <v>100</v>
      </c>
      <c r="C50" s="32">
        <v>270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4</v>
      </c>
      <c r="K50" s="32">
        <v>687</v>
      </c>
      <c r="L50" s="32">
        <v>0</v>
      </c>
      <c r="M50" s="32">
        <v>0</v>
      </c>
      <c r="N50" s="32">
        <v>8</v>
      </c>
      <c r="O50" s="32">
        <v>0</v>
      </c>
      <c r="P50" s="32">
        <v>0</v>
      </c>
      <c r="Q50" s="32">
        <v>269</v>
      </c>
      <c r="R50" s="32">
        <v>714</v>
      </c>
      <c r="S50" s="32">
        <v>0</v>
      </c>
      <c r="T50" s="32">
        <v>0</v>
      </c>
    </row>
    <row r="51" spans="1:20">
      <c r="A51" s="30">
        <v>1229050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185</v>
      </c>
      <c r="P51" s="32">
        <v>335</v>
      </c>
      <c r="Q51" s="32">
        <v>0</v>
      </c>
      <c r="R51" s="32">
        <v>0</v>
      </c>
      <c r="S51" s="32">
        <v>0</v>
      </c>
      <c r="T51" s="32">
        <v>0</v>
      </c>
    </row>
    <row r="52" spans="1:20">
      <c r="A52" s="30">
        <v>1220847</v>
      </c>
      <c r="B52" s="32">
        <v>0</v>
      </c>
      <c r="C52" s="32">
        <v>50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1750</v>
      </c>
      <c r="S52" s="32">
        <v>0</v>
      </c>
      <c r="T52" s="32">
        <v>0</v>
      </c>
    </row>
    <row r="53" spans="1:20">
      <c r="A53" s="30">
        <v>1235958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25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</row>
    <row r="54" spans="1:20">
      <c r="A54" s="30">
        <v>1236619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236</v>
      </c>
      <c r="Q54" s="32">
        <v>34</v>
      </c>
      <c r="R54" s="32">
        <v>0</v>
      </c>
      <c r="S54" s="32">
        <v>0</v>
      </c>
      <c r="T54" s="32">
        <v>0</v>
      </c>
    </row>
    <row r="55" spans="1:20">
      <c r="A55" s="30">
        <v>1236930</v>
      </c>
      <c r="B55" s="32">
        <v>619</v>
      </c>
      <c r="C55" s="32">
        <v>582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377</v>
      </c>
      <c r="J55" s="32">
        <v>717</v>
      </c>
      <c r="K55" s="32">
        <v>724</v>
      </c>
      <c r="L55" s="32">
        <v>0</v>
      </c>
      <c r="M55" s="32">
        <v>0</v>
      </c>
      <c r="N55" s="32">
        <v>482</v>
      </c>
      <c r="O55" s="32">
        <v>158</v>
      </c>
      <c r="P55" s="32">
        <v>191</v>
      </c>
      <c r="Q55" s="32">
        <v>540</v>
      </c>
      <c r="R55" s="32">
        <v>1138</v>
      </c>
      <c r="S55" s="32">
        <v>0</v>
      </c>
      <c r="T55" s="32">
        <v>0</v>
      </c>
    </row>
    <row r="56" spans="1:20">
      <c r="A56" s="30">
        <v>1237210</v>
      </c>
      <c r="B56" s="32">
        <v>152</v>
      </c>
      <c r="C56" s="32">
        <v>43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26</v>
      </c>
      <c r="L56" s="32">
        <v>0</v>
      </c>
      <c r="M56" s="32">
        <v>0</v>
      </c>
      <c r="N56" s="32">
        <v>144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</row>
    <row r="57" spans="1:20">
      <c r="A57" s="30">
        <v>1237457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0</v>
      </c>
      <c r="R57" s="32">
        <v>18</v>
      </c>
      <c r="S57" s="32">
        <v>0</v>
      </c>
      <c r="T57" s="32">
        <v>0</v>
      </c>
    </row>
    <row r="58" spans="1:20">
      <c r="A58" s="30">
        <v>1238480</v>
      </c>
      <c r="B58" s="32">
        <v>498</v>
      </c>
      <c r="C58" s="32">
        <v>542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244</v>
      </c>
      <c r="J58" s="32">
        <v>431</v>
      </c>
      <c r="K58" s="32">
        <v>721</v>
      </c>
      <c r="L58" s="32">
        <v>0</v>
      </c>
      <c r="M58" s="32">
        <v>0</v>
      </c>
      <c r="N58" s="32">
        <v>1040</v>
      </c>
      <c r="O58" s="32">
        <v>1166</v>
      </c>
      <c r="P58" s="32">
        <v>409</v>
      </c>
      <c r="Q58" s="32">
        <v>721</v>
      </c>
      <c r="R58" s="32">
        <v>984</v>
      </c>
      <c r="S58" s="32">
        <v>0</v>
      </c>
      <c r="T58" s="32">
        <v>0</v>
      </c>
    </row>
    <row r="59" spans="1:20">
      <c r="A59" s="30">
        <v>1240180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233</v>
      </c>
      <c r="P59" s="32">
        <v>67</v>
      </c>
      <c r="Q59" s="32">
        <v>0</v>
      </c>
      <c r="R59" s="32">
        <v>0</v>
      </c>
      <c r="S59" s="32">
        <v>0</v>
      </c>
      <c r="T59" s="32">
        <v>0</v>
      </c>
    </row>
    <row r="60" spans="1:20">
      <c r="A60" s="30">
        <v>1240184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233</v>
      </c>
      <c r="P60" s="32">
        <v>67</v>
      </c>
      <c r="Q60" s="32">
        <v>0</v>
      </c>
      <c r="R60" s="32">
        <v>0</v>
      </c>
      <c r="S60" s="32">
        <v>0</v>
      </c>
      <c r="T60" s="32">
        <v>0</v>
      </c>
    </row>
    <row r="61" spans="1:20">
      <c r="A61" s="30">
        <v>1237468</v>
      </c>
      <c r="B61" s="32">
        <v>0</v>
      </c>
      <c r="C61" s="32">
        <v>114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210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</row>
    <row r="62" spans="1:20">
      <c r="A62" s="111">
        <v>1216452</v>
      </c>
      <c r="B62" s="32">
        <v>0</v>
      </c>
      <c r="C62" s="32">
        <v>72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576</v>
      </c>
      <c r="K62" s="32">
        <v>0</v>
      </c>
      <c r="L62" s="32">
        <v>0</v>
      </c>
      <c r="M62" s="32">
        <v>0</v>
      </c>
      <c r="N62" s="32">
        <v>0</v>
      </c>
      <c r="O62" s="32">
        <v>282</v>
      </c>
      <c r="P62" s="32">
        <v>825</v>
      </c>
      <c r="Q62" s="32">
        <v>1475</v>
      </c>
      <c r="R62" s="32">
        <v>0</v>
      </c>
      <c r="S62" s="32">
        <v>0</v>
      </c>
      <c r="T62" s="32">
        <v>0</v>
      </c>
    </row>
    <row r="63" spans="1:20">
      <c r="A63" s="30">
        <v>1232894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4</v>
      </c>
      <c r="K63" s="32">
        <v>687</v>
      </c>
      <c r="L63" s="32">
        <v>0</v>
      </c>
      <c r="M63" s="32">
        <v>0</v>
      </c>
      <c r="N63" s="32">
        <v>8</v>
      </c>
      <c r="O63" s="32">
        <v>0</v>
      </c>
      <c r="P63" s="32">
        <v>0</v>
      </c>
      <c r="Q63" s="32">
        <v>269</v>
      </c>
      <c r="R63" s="32">
        <v>714</v>
      </c>
      <c r="S63" s="32">
        <v>0</v>
      </c>
      <c r="T63" s="32">
        <v>0</v>
      </c>
    </row>
    <row r="64" spans="1:20">
      <c r="A64" s="30">
        <v>1233386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295</v>
      </c>
      <c r="L64" s="32">
        <v>0</v>
      </c>
      <c r="M64" s="32">
        <v>0</v>
      </c>
      <c r="N64" s="32">
        <v>8</v>
      </c>
      <c r="O64" s="32">
        <v>0</v>
      </c>
      <c r="P64" s="32">
        <v>0</v>
      </c>
      <c r="Q64" s="32">
        <v>269</v>
      </c>
      <c r="R64" s="32">
        <v>714</v>
      </c>
      <c r="S64" s="32">
        <v>0</v>
      </c>
      <c r="T64" s="32">
        <v>0</v>
      </c>
    </row>
    <row r="65" spans="1:20">
      <c r="A65" s="30">
        <v>1233387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4</v>
      </c>
      <c r="K65" s="32">
        <v>296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</row>
    <row r="66" spans="1:20">
      <c r="A66" s="30">
        <v>1233385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96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</row>
    <row r="67" spans="1:20">
      <c r="A67" s="30">
        <v>1232895</v>
      </c>
      <c r="B67" s="32">
        <v>100</v>
      </c>
      <c r="C67" s="32">
        <v>270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</row>
    <row r="68" spans="1:20">
      <c r="A68" s="30">
        <v>1232922</v>
      </c>
      <c r="B68" s="32">
        <v>100</v>
      </c>
      <c r="C68" s="32">
        <v>270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</row>
  </sheetData>
  <autoFilter ref="A1:T21" xr:uid="{3178B9FC-4DB3-4FE0-AA0B-AEF380850364}"/>
  <phoneticPr fontId="1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6B64-36ED-40A1-9CF5-B5AA4A1FC166}">
  <sheetPr>
    <tabColor rgb="FFFFFF00"/>
  </sheetPr>
  <dimension ref="A1:BN101"/>
  <sheetViews>
    <sheetView topLeftCell="A28" zoomScale="130" zoomScaleNormal="130" workbookViewId="0">
      <selection activeCell="Q46" sqref="Q46"/>
    </sheetView>
  </sheetViews>
  <sheetFormatPr defaultColWidth="9.33203125" defaultRowHeight="12"/>
  <cols>
    <col min="1" max="1" width="9.5" style="5" bestFit="1" customWidth="1"/>
    <col min="2" max="2" width="10.1640625" style="5" bestFit="1" customWidth="1"/>
    <col min="3" max="3" width="12.5" style="9" customWidth="1"/>
    <col min="4" max="9" width="3.6640625" style="9" hidden="1" customWidth="1"/>
    <col min="10" max="10" width="12.5" style="9" customWidth="1"/>
    <col min="11" max="16" width="3.6640625" style="9" hidden="1" customWidth="1"/>
    <col min="17" max="17" width="12.5" style="9" customWidth="1"/>
    <col min="18" max="23" width="3.6640625" style="9" hidden="1" customWidth="1"/>
    <col min="24" max="24" width="12.5" style="9" customWidth="1"/>
    <col min="25" max="30" width="3.6640625" style="9" hidden="1" customWidth="1"/>
    <col min="31" max="31" width="12.5" style="9" customWidth="1"/>
    <col min="32" max="37" width="3.6640625" style="9" hidden="1" customWidth="1"/>
    <col min="38" max="38" width="12.5" style="9" customWidth="1"/>
    <col min="39" max="44" width="3.6640625" style="9" hidden="1" customWidth="1"/>
    <col min="45" max="45" width="12.5" style="9" customWidth="1"/>
    <col min="46" max="51" width="3.6640625" style="9" hidden="1" customWidth="1"/>
    <col min="52" max="52" width="12.5" style="9" customWidth="1"/>
    <col min="53" max="58" width="3.6640625" style="9" hidden="1" customWidth="1"/>
    <col min="59" max="59" width="12.5" style="9" customWidth="1"/>
    <col min="60" max="65" width="3.6640625" style="9" hidden="1" customWidth="1"/>
    <col min="66" max="66" width="12.5" style="9" customWidth="1"/>
    <col min="67" max="16384" width="9.33203125" style="5"/>
  </cols>
  <sheetData>
    <row r="1" spans="1:66" s="33" customFormat="1">
      <c r="A1" s="300"/>
      <c r="B1" s="300" t="s">
        <v>0</v>
      </c>
      <c r="C1" s="114" t="s">
        <v>927</v>
      </c>
      <c r="D1" s="114"/>
      <c r="E1" s="114"/>
      <c r="F1" s="114"/>
      <c r="G1" s="114"/>
      <c r="H1" s="114"/>
      <c r="I1" s="114"/>
      <c r="J1" s="114" t="s">
        <v>939</v>
      </c>
      <c r="K1" s="114"/>
      <c r="L1" s="114"/>
      <c r="M1" s="114"/>
      <c r="N1" s="114"/>
      <c r="O1" s="114"/>
      <c r="P1" s="114"/>
      <c r="Q1" s="114" t="s">
        <v>997</v>
      </c>
      <c r="R1" s="114"/>
      <c r="S1" s="114"/>
      <c r="T1" s="114"/>
      <c r="U1" s="114"/>
      <c r="V1" s="114"/>
      <c r="W1" s="114"/>
      <c r="X1" s="114" t="s">
        <v>1045</v>
      </c>
      <c r="Y1" s="114"/>
      <c r="Z1" s="114"/>
      <c r="AA1" s="114"/>
      <c r="AB1" s="114"/>
      <c r="AC1" s="114"/>
      <c r="AD1" s="114"/>
      <c r="AE1" s="114" t="s">
        <v>1089</v>
      </c>
      <c r="AF1" s="114"/>
      <c r="AG1" s="114"/>
      <c r="AH1" s="114"/>
      <c r="AI1" s="114"/>
      <c r="AJ1" s="114"/>
      <c r="AK1" s="114"/>
      <c r="AL1" s="114" t="s">
        <v>1152</v>
      </c>
      <c r="AM1" s="114"/>
      <c r="AN1" s="114"/>
      <c r="AO1" s="114"/>
      <c r="AP1" s="114"/>
      <c r="AQ1" s="114"/>
      <c r="AR1" s="114"/>
      <c r="AS1" s="114" t="s">
        <v>1212</v>
      </c>
      <c r="AT1" s="114"/>
      <c r="AU1" s="114"/>
      <c r="AV1" s="114"/>
      <c r="AW1" s="114"/>
      <c r="AX1" s="114"/>
      <c r="AY1" s="114"/>
      <c r="AZ1" s="114" t="s">
        <v>1239</v>
      </c>
      <c r="BA1" s="114"/>
      <c r="BB1" s="114"/>
      <c r="BC1" s="114"/>
      <c r="BD1" s="114"/>
      <c r="BE1" s="114"/>
      <c r="BF1" s="114"/>
      <c r="BG1" s="114" t="s">
        <v>1255</v>
      </c>
      <c r="BH1" s="114"/>
      <c r="BI1" s="114"/>
      <c r="BJ1" s="114"/>
      <c r="BK1" s="114"/>
      <c r="BL1" s="114"/>
      <c r="BM1" s="114"/>
      <c r="BN1" s="114" t="s">
        <v>12</v>
      </c>
    </row>
    <row r="2" spans="1:66" s="33" customFormat="1">
      <c r="A2" s="300"/>
      <c r="B2" s="301"/>
      <c r="C2" s="60" t="s">
        <v>928</v>
      </c>
      <c r="D2" s="60"/>
      <c r="E2" s="60"/>
      <c r="F2" s="60"/>
      <c r="G2" s="60"/>
      <c r="H2" s="60"/>
      <c r="I2" s="60"/>
      <c r="J2" s="60" t="s">
        <v>998</v>
      </c>
      <c r="K2" s="60"/>
      <c r="L2" s="60"/>
      <c r="M2" s="60"/>
      <c r="N2" s="60"/>
      <c r="O2" s="60"/>
      <c r="P2" s="60"/>
      <c r="Q2" s="60" t="s">
        <v>999</v>
      </c>
      <c r="R2" s="60"/>
      <c r="S2" s="60"/>
      <c r="T2" s="60"/>
      <c r="U2" s="60"/>
      <c r="V2" s="60"/>
      <c r="W2" s="60"/>
      <c r="X2" s="60" t="s">
        <v>1046</v>
      </c>
      <c r="Y2" s="60"/>
      <c r="Z2" s="60"/>
      <c r="AA2" s="60"/>
      <c r="AB2" s="60"/>
      <c r="AC2" s="60"/>
      <c r="AD2" s="60"/>
      <c r="AE2" s="60" t="s">
        <v>1090</v>
      </c>
      <c r="AF2" s="60"/>
      <c r="AG2" s="60"/>
      <c r="AH2" s="60"/>
      <c r="AI2" s="60"/>
      <c r="AJ2" s="60"/>
      <c r="AK2" s="60"/>
      <c r="AL2" s="60" t="s">
        <v>1153</v>
      </c>
      <c r="AM2" s="60"/>
      <c r="AN2" s="60"/>
      <c r="AO2" s="60"/>
      <c r="AP2" s="60"/>
      <c r="AQ2" s="60"/>
      <c r="AR2" s="60"/>
      <c r="AS2" s="60" t="s">
        <v>1213</v>
      </c>
      <c r="AT2" s="60"/>
      <c r="AU2" s="60"/>
      <c r="AV2" s="60"/>
      <c r="AW2" s="60"/>
      <c r="AX2" s="60"/>
      <c r="AY2" s="60"/>
      <c r="AZ2" s="60" t="s">
        <v>1240</v>
      </c>
      <c r="BA2" s="60"/>
      <c r="BB2" s="60"/>
      <c r="BC2" s="60"/>
      <c r="BD2" s="60"/>
      <c r="BE2" s="60"/>
      <c r="BF2" s="60"/>
      <c r="BG2" s="60" t="s">
        <v>1256</v>
      </c>
      <c r="BH2" s="60"/>
      <c r="BI2" s="60"/>
      <c r="BJ2" s="60"/>
      <c r="BK2" s="60"/>
      <c r="BL2" s="60"/>
      <c r="BM2" s="60"/>
      <c r="BN2" s="60" t="s">
        <v>1257</v>
      </c>
    </row>
    <row r="3" spans="1:66">
      <c r="A3" s="29"/>
      <c r="B3" s="30">
        <v>1221154</v>
      </c>
      <c r="C3" s="32">
        <v>0</v>
      </c>
      <c r="D3" s="32"/>
      <c r="E3" s="32"/>
      <c r="F3" s="32"/>
      <c r="G3" s="32"/>
      <c r="H3" s="32"/>
      <c r="I3" s="32"/>
      <c r="J3" s="32">
        <v>0</v>
      </c>
      <c r="K3" s="32"/>
      <c r="L3" s="32"/>
      <c r="M3" s="32"/>
      <c r="N3" s="32"/>
      <c r="O3" s="32"/>
      <c r="P3" s="32"/>
      <c r="Q3" s="32">
        <v>0</v>
      </c>
      <c r="R3" s="32"/>
      <c r="S3" s="32"/>
      <c r="T3" s="32"/>
      <c r="U3" s="32"/>
      <c r="V3" s="32"/>
      <c r="W3" s="32"/>
      <c r="X3" s="32">
        <v>0</v>
      </c>
      <c r="Y3" s="32"/>
      <c r="Z3" s="32"/>
      <c r="AA3" s="32"/>
      <c r="AB3" s="32"/>
      <c r="AC3" s="32"/>
      <c r="AD3" s="32"/>
      <c r="AE3" s="32">
        <v>0</v>
      </c>
      <c r="AF3" s="32"/>
      <c r="AG3" s="32"/>
      <c r="AH3" s="32"/>
      <c r="AI3" s="32"/>
      <c r="AJ3" s="32"/>
      <c r="AK3" s="32"/>
      <c r="AL3" s="32">
        <v>0</v>
      </c>
      <c r="AM3" s="32"/>
      <c r="AN3" s="32"/>
      <c r="AO3" s="32"/>
      <c r="AP3" s="32"/>
      <c r="AQ3" s="32"/>
      <c r="AR3" s="32"/>
      <c r="AS3" s="32">
        <v>0</v>
      </c>
      <c r="AT3" s="32"/>
      <c r="AU3" s="32"/>
      <c r="AV3" s="32"/>
      <c r="AW3" s="32"/>
      <c r="AX3" s="32"/>
      <c r="AY3" s="32"/>
      <c r="AZ3" s="32">
        <v>0</v>
      </c>
      <c r="BA3" s="32"/>
      <c r="BB3" s="32"/>
      <c r="BC3" s="32"/>
      <c r="BD3" s="32"/>
      <c r="BE3" s="32"/>
      <c r="BF3" s="32"/>
      <c r="BG3" s="32">
        <v>50</v>
      </c>
      <c r="BH3" s="32"/>
      <c r="BI3" s="32"/>
      <c r="BJ3" s="32"/>
      <c r="BK3" s="32"/>
      <c r="BL3" s="32"/>
      <c r="BM3" s="32"/>
      <c r="BN3" s="32">
        <v>0</v>
      </c>
    </row>
    <row r="4" spans="1:66">
      <c r="A4" s="29"/>
      <c r="B4" s="30">
        <v>1226384</v>
      </c>
      <c r="C4" s="32">
        <v>0</v>
      </c>
      <c r="D4" s="32"/>
      <c r="E4" s="32"/>
      <c r="F4" s="32"/>
      <c r="G4" s="32"/>
      <c r="H4" s="32"/>
      <c r="I4" s="32"/>
      <c r="J4" s="32">
        <v>453</v>
      </c>
      <c r="K4" s="32"/>
      <c r="L4" s="32"/>
      <c r="M4" s="32"/>
      <c r="N4" s="32"/>
      <c r="O4" s="32"/>
      <c r="P4" s="32"/>
      <c r="Q4" s="32">
        <v>936</v>
      </c>
      <c r="R4" s="32"/>
      <c r="S4" s="32"/>
      <c r="T4" s="32"/>
      <c r="U4" s="32"/>
      <c r="V4" s="32"/>
      <c r="W4" s="32"/>
      <c r="X4" s="32">
        <v>712</v>
      </c>
      <c r="Y4" s="32"/>
      <c r="Z4" s="32"/>
      <c r="AA4" s="32"/>
      <c r="AB4" s="32"/>
      <c r="AC4" s="32"/>
      <c r="AD4" s="32"/>
      <c r="AE4" s="32">
        <v>0</v>
      </c>
      <c r="AF4" s="32"/>
      <c r="AG4" s="32"/>
      <c r="AH4" s="32"/>
      <c r="AI4" s="32"/>
      <c r="AJ4" s="32"/>
      <c r="AK4" s="32"/>
      <c r="AL4" s="32">
        <v>845</v>
      </c>
      <c r="AM4" s="32"/>
      <c r="AN4" s="32"/>
      <c r="AO4" s="32"/>
      <c r="AP4" s="32"/>
      <c r="AQ4" s="32"/>
      <c r="AR4" s="32"/>
      <c r="AS4" s="32">
        <v>0</v>
      </c>
      <c r="AT4" s="32"/>
      <c r="AU4" s="32"/>
      <c r="AV4" s="32"/>
      <c r="AW4" s="32"/>
      <c r="AX4" s="32"/>
      <c r="AY4" s="32"/>
      <c r="AZ4" s="32">
        <v>0</v>
      </c>
      <c r="BA4" s="32"/>
      <c r="BB4" s="32"/>
      <c r="BC4" s="32"/>
      <c r="BD4" s="32"/>
      <c r="BE4" s="32"/>
      <c r="BF4" s="32"/>
      <c r="BG4" s="32">
        <v>200</v>
      </c>
      <c r="BH4" s="32"/>
      <c r="BI4" s="32"/>
      <c r="BJ4" s="32"/>
      <c r="BK4" s="32"/>
      <c r="BL4" s="32"/>
      <c r="BM4" s="32"/>
      <c r="BN4" s="32">
        <v>0</v>
      </c>
    </row>
    <row r="5" spans="1:66">
      <c r="A5" s="29"/>
      <c r="B5" s="30">
        <v>1226388</v>
      </c>
      <c r="C5" s="32">
        <v>0</v>
      </c>
      <c r="D5" s="32"/>
      <c r="E5" s="32"/>
      <c r="F5" s="32"/>
      <c r="G5" s="32"/>
      <c r="H5" s="32"/>
      <c r="I5" s="32"/>
      <c r="J5" s="32">
        <v>453</v>
      </c>
      <c r="K5" s="32"/>
      <c r="L5" s="32"/>
      <c r="M5" s="32"/>
      <c r="N5" s="32"/>
      <c r="O5" s="32"/>
      <c r="P5" s="32"/>
      <c r="Q5" s="32">
        <v>936</v>
      </c>
      <c r="R5" s="32"/>
      <c r="S5" s="32"/>
      <c r="T5" s="32"/>
      <c r="U5" s="32"/>
      <c r="V5" s="32"/>
      <c r="W5" s="32"/>
      <c r="X5" s="32">
        <v>712</v>
      </c>
      <c r="Y5" s="32"/>
      <c r="Z5" s="32"/>
      <c r="AA5" s="32"/>
      <c r="AB5" s="32"/>
      <c r="AC5" s="32"/>
      <c r="AD5" s="32"/>
      <c r="AE5" s="32">
        <v>0</v>
      </c>
      <c r="AF5" s="32"/>
      <c r="AG5" s="32"/>
      <c r="AH5" s="32"/>
      <c r="AI5" s="32"/>
      <c r="AJ5" s="32"/>
      <c r="AK5" s="32"/>
      <c r="AL5" s="32">
        <v>845</v>
      </c>
      <c r="AM5" s="32"/>
      <c r="AN5" s="32"/>
      <c r="AO5" s="32"/>
      <c r="AP5" s="32"/>
      <c r="AQ5" s="32"/>
      <c r="AR5" s="32"/>
      <c r="AS5" s="32">
        <v>0</v>
      </c>
      <c r="AT5" s="32"/>
      <c r="AU5" s="32"/>
      <c r="AV5" s="32"/>
      <c r="AW5" s="32"/>
      <c r="AX5" s="32"/>
      <c r="AY5" s="32"/>
      <c r="AZ5" s="32">
        <v>0</v>
      </c>
      <c r="BA5" s="32"/>
      <c r="BB5" s="32"/>
      <c r="BC5" s="32"/>
      <c r="BD5" s="32"/>
      <c r="BE5" s="32"/>
      <c r="BF5" s="32"/>
      <c r="BG5" s="32">
        <v>200</v>
      </c>
      <c r="BH5" s="32"/>
      <c r="BI5" s="32"/>
      <c r="BJ5" s="32"/>
      <c r="BK5" s="32"/>
      <c r="BL5" s="32"/>
      <c r="BM5" s="32"/>
      <c r="BN5" s="32">
        <v>0</v>
      </c>
    </row>
    <row r="6" spans="1:66">
      <c r="A6" s="29"/>
      <c r="B6" s="30">
        <v>1229673</v>
      </c>
      <c r="C6" s="32">
        <v>1130</v>
      </c>
      <c r="D6" s="32"/>
      <c r="E6" s="32"/>
      <c r="F6" s="32"/>
      <c r="G6" s="32"/>
      <c r="H6" s="32"/>
      <c r="I6" s="32"/>
      <c r="J6" s="32">
        <v>1048</v>
      </c>
      <c r="K6" s="32"/>
      <c r="L6" s="32"/>
      <c r="M6" s="32"/>
      <c r="N6" s="32"/>
      <c r="O6" s="32"/>
      <c r="P6" s="32"/>
      <c r="Q6" s="32">
        <v>700</v>
      </c>
      <c r="R6" s="32"/>
      <c r="S6" s="32"/>
      <c r="T6" s="32"/>
      <c r="U6" s="32"/>
      <c r="V6" s="32"/>
      <c r="W6" s="32"/>
      <c r="X6" s="32">
        <v>700</v>
      </c>
      <c r="Y6" s="32"/>
      <c r="Z6" s="32"/>
      <c r="AA6" s="32"/>
      <c r="AB6" s="32"/>
      <c r="AC6" s="32"/>
      <c r="AD6" s="32"/>
      <c r="AE6" s="32">
        <v>700</v>
      </c>
      <c r="AF6" s="32"/>
      <c r="AG6" s="32"/>
      <c r="AH6" s="32"/>
      <c r="AI6" s="32"/>
      <c r="AJ6" s="32"/>
      <c r="AK6" s="32"/>
      <c r="AL6" s="32">
        <v>0</v>
      </c>
      <c r="AM6" s="32"/>
      <c r="AN6" s="32"/>
      <c r="AO6" s="32"/>
      <c r="AP6" s="32"/>
      <c r="AQ6" s="32"/>
      <c r="AR6" s="32"/>
      <c r="AS6" s="32">
        <v>500</v>
      </c>
      <c r="AT6" s="32"/>
      <c r="AU6" s="32"/>
      <c r="AV6" s="32"/>
      <c r="AW6" s="32"/>
      <c r="AX6" s="32"/>
      <c r="AY6" s="32"/>
      <c r="AZ6" s="32">
        <v>650</v>
      </c>
      <c r="BA6" s="32"/>
      <c r="BB6" s="32"/>
      <c r="BC6" s="32"/>
      <c r="BD6" s="32"/>
      <c r="BE6" s="32"/>
      <c r="BF6" s="32"/>
      <c r="BG6" s="32">
        <v>500</v>
      </c>
      <c r="BH6" s="32"/>
      <c r="BI6" s="32"/>
      <c r="BJ6" s="32"/>
      <c r="BK6" s="32"/>
      <c r="BL6" s="32"/>
      <c r="BM6" s="32"/>
      <c r="BN6" s="32">
        <v>500</v>
      </c>
    </row>
    <row r="7" spans="1:66">
      <c r="A7" s="29"/>
      <c r="B7" s="30">
        <v>1230692</v>
      </c>
      <c r="C7" s="32">
        <v>600</v>
      </c>
      <c r="D7" s="32"/>
      <c r="E7" s="32"/>
      <c r="F7" s="32"/>
      <c r="G7" s="32"/>
      <c r="H7" s="32"/>
      <c r="I7" s="32"/>
      <c r="J7" s="32">
        <v>600</v>
      </c>
      <c r="K7" s="32"/>
      <c r="L7" s="32"/>
      <c r="M7" s="32"/>
      <c r="N7" s="32"/>
      <c r="O7" s="32"/>
      <c r="P7" s="32"/>
      <c r="Q7" s="32">
        <v>900</v>
      </c>
      <c r="R7" s="32"/>
      <c r="S7" s="32"/>
      <c r="T7" s="32"/>
      <c r="U7" s="32"/>
      <c r="V7" s="32"/>
      <c r="W7" s="32"/>
      <c r="X7" s="32">
        <v>900</v>
      </c>
      <c r="Y7" s="32"/>
      <c r="Z7" s="32"/>
      <c r="AA7" s="32"/>
      <c r="AB7" s="32"/>
      <c r="AC7" s="32"/>
      <c r="AD7" s="32"/>
      <c r="AE7" s="32">
        <v>900</v>
      </c>
      <c r="AF7" s="32"/>
      <c r="AG7" s="32"/>
      <c r="AH7" s="32"/>
      <c r="AI7" s="32"/>
      <c r="AJ7" s="32"/>
      <c r="AK7" s="32"/>
      <c r="AL7" s="32">
        <v>800</v>
      </c>
      <c r="AM7" s="32"/>
      <c r="AN7" s="32"/>
      <c r="AO7" s="32"/>
      <c r="AP7" s="32"/>
      <c r="AQ7" s="32"/>
      <c r="AR7" s="32"/>
      <c r="AS7" s="32">
        <v>900</v>
      </c>
      <c r="AT7" s="32"/>
      <c r="AU7" s="32"/>
      <c r="AV7" s="32"/>
      <c r="AW7" s="32"/>
      <c r="AX7" s="32"/>
      <c r="AY7" s="32"/>
      <c r="AZ7" s="32">
        <v>900</v>
      </c>
      <c r="BA7" s="32"/>
      <c r="BB7" s="32"/>
      <c r="BC7" s="32"/>
      <c r="BD7" s="32"/>
      <c r="BE7" s="32"/>
      <c r="BF7" s="32"/>
      <c r="BG7" s="32">
        <v>900</v>
      </c>
      <c r="BH7" s="32"/>
      <c r="BI7" s="32"/>
      <c r="BJ7" s="32"/>
      <c r="BK7" s="32"/>
      <c r="BL7" s="32"/>
      <c r="BM7" s="32"/>
      <c r="BN7" s="32">
        <v>800</v>
      </c>
    </row>
    <row r="8" spans="1:66">
      <c r="A8" s="29"/>
      <c r="B8" s="30">
        <v>1230696</v>
      </c>
      <c r="C8" s="32">
        <v>100</v>
      </c>
      <c r="D8" s="32"/>
      <c r="E8" s="32"/>
      <c r="F8" s="32"/>
      <c r="G8" s="32"/>
      <c r="H8" s="32"/>
      <c r="I8" s="32"/>
      <c r="J8" s="32">
        <v>100</v>
      </c>
      <c r="K8" s="32"/>
      <c r="L8" s="32"/>
      <c r="M8" s="32"/>
      <c r="N8" s="32"/>
      <c r="O8" s="32"/>
      <c r="P8" s="32"/>
      <c r="Q8" s="32">
        <v>200</v>
      </c>
      <c r="R8" s="32"/>
      <c r="S8" s="32"/>
      <c r="T8" s="32"/>
      <c r="U8" s="32"/>
      <c r="V8" s="32"/>
      <c r="W8" s="32"/>
      <c r="X8" s="32">
        <v>200</v>
      </c>
      <c r="Y8" s="32"/>
      <c r="Z8" s="32"/>
      <c r="AA8" s="32"/>
      <c r="AB8" s="32"/>
      <c r="AC8" s="32"/>
      <c r="AD8" s="32"/>
      <c r="AE8" s="32">
        <v>100</v>
      </c>
      <c r="AF8" s="32"/>
      <c r="AG8" s="32"/>
      <c r="AH8" s="32"/>
      <c r="AI8" s="32"/>
      <c r="AJ8" s="32"/>
      <c r="AK8" s="32"/>
      <c r="AL8" s="32">
        <v>0</v>
      </c>
      <c r="AM8" s="32"/>
      <c r="AN8" s="32"/>
      <c r="AO8" s="32"/>
      <c r="AP8" s="32"/>
      <c r="AQ8" s="32"/>
      <c r="AR8" s="32"/>
      <c r="AS8" s="32">
        <v>200</v>
      </c>
      <c r="AT8" s="32"/>
      <c r="AU8" s="32"/>
      <c r="AV8" s="32"/>
      <c r="AW8" s="32"/>
      <c r="AX8" s="32"/>
      <c r="AY8" s="32"/>
      <c r="AZ8" s="32">
        <v>200</v>
      </c>
      <c r="BA8" s="32"/>
      <c r="BB8" s="32"/>
      <c r="BC8" s="32"/>
      <c r="BD8" s="32"/>
      <c r="BE8" s="32"/>
      <c r="BF8" s="32"/>
      <c r="BG8" s="32">
        <v>0</v>
      </c>
      <c r="BH8" s="32"/>
      <c r="BI8" s="32"/>
      <c r="BJ8" s="32"/>
      <c r="BK8" s="32"/>
      <c r="BL8" s="32"/>
      <c r="BM8" s="32"/>
      <c r="BN8" s="32">
        <v>0</v>
      </c>
    </row>
    <row r="9" spans="1:66">
      <c r="A9" s="29"/>
      <c r="B9" s="30">
        <v>1230854</v>
      </c>
      <c r="C9" s="32">
        <v>0</v>
      </c>
      <c r="D9" s="32"/>
      <c r="E9" s="32"/>
      <c r="F9" s="32"/>
      <c r="G9" s="32"/>
      <c r="H9" s="32"/>
      <c r="I9" s="32"/>
      <c r="J9" s="32">
        <v>0</v>
      </c>
      <c r="K9" s="32"/>
      <c r="L9" s="32"/>
      <c r="M9" s="32"/>
      <c r="N9" s="32"/>
      <c r="O9" s="32"/>
      <c r="P9" s="32"/>
      <c r="Q9" s="32">
        <v>0</v>
      </c>
      <c r="R9" s="32"/>
      <c r="S9" s="32"/>
      <c r="T9" s="32"/>
      <c r="U9" s="32"/>
      <c r="V9" s="32"/>
      <c r="W9" s="32"/>
      <c r="X9" s="32">
        <v>0</v>
      </c>
      <c r="Y9" s="32"/>
      <c r="Z9" s="32"/>
      <c r="AA9" s="32"/>
      <c r="AB9" s="32"/>
      <c r="AC9" s="32"/>
      <c r="AD9" s="32"/>
      <c r="AE9" s="32">
        <v>400</v>
      </c>
      <c r="AF9" s="32"/>
      <c r="AG9" s="32"/>
      <c r="AH9" s="32"/>
      <c r="AI9" s="32"/>
      <c r="AJ9" s="32"/>
      <c r="AK9" s="32"/>
      <c r="AL9" s="32">
        <v>0</v>
      </c>
      <c r="AM9" s="32"/>
      <c r="AN9" s="32"/>
      <c r="AO9" s="32"/>
      <c r="AP9" s="32"/>
      <c r="AQ9" s="32"/>
      <c r="AR9" s="32"/>
      <c r="AS9" s="32">
        <v>0</v>
      </c>
      <c r="AT9" s="32"/>
      <c r="AU9" s="32"/>
      <c r="AV9" s="32"/>
      <c r="AW9" s="32"/>
      <c r="AX9" s="32"/>
      <c r="AY9" s="32"/>
      <c r="AZ9" s="32">
        <v>0</v>
      </c>
      <c r="BA9" s="32"/>
      <c r="BB9" s="32"/>
      <c r="BC9" s="32"/>
      <c r="BD9" s="32"/>
      <c r="BE9" s="32"/>
      <c r="BF9" s="32"/>
      <c r="BG9" s="32">
        <v>0</v>
      </c>
      <c r="BH9" s="32"/>
      <c r="BI9" s="32"/>
      <c r="BJ9" s="32"/>
      <c r="BK9" s="32"/>
      <c r="BL9" s="32"/>
      <c r="BM9" s="32"/>
      <c r="BN9" s="32">
        <v>0</v>
      </c>
    </row>
    <row r="10" spans="1:66">
      <c r="A10" s="29"/>
      <c r="B10" s="30">
        <v>1231202</v>
      </c>
      <c r="C10" s="32">
        <v>100</v>
      </c>
      <c r="D10" s="32"/>
      <c r="E10" s="32"/>
      <c r="F10" s="32"/>
      <c r="G10" s="32"/>
      <c r="H10" s="32"/>
      <c r="I10" s="32"/>
      <c r="J10" s="32">
        <v>0</v>
      </c>
      <c r="K10" s="32"/>
      <c r="L10" s="32"/>
      <c r="M10" s="32"/>
      <c r="N10" s="32"/>
      <c r="O10" s="32"/>
      <c r="P10" s="32"/>
      <c r="Q10" s="32">
        <v>0</v>
      </c>
      <c r="R10" s="32"/>
      <c r="S10" s="32"/>
      <c r="T10" s="32"/>
      <c r="U10" s="32"/>
      <c r="V10" s="32"/>
      <c r="W10" s="32"/>
      <c r="X10" s="32">
        <v>0</v>
      </c>
      <c r="Y10" s="32"/>
      <c r="Z10" s="32"/>
      <c r="AA10" s="32"/>
      <c r="AB10" s="32"/>
      <c r="AC10" s="32"/>
      <c r="AD10" s="32"/>
      <c r="AE10" s="32">
        <v>0</v>
      </c>
      <c r="AF10" s="32"/>
      <c r="AG10" s="32"/>
      <c r="AH10" s="32"/>
      <c r="AI10" s="32"/>
      <c r="AJ10" s="32"/>
      <c r="AK10" s="32"/>
      <c r="AL10" s="32">
        <v>0</v>
      </c>
      <c r="AM10" s="32"/>
      <c r="AN10" s="32"/>
      <c r="AO10" s="32"/>
      <c r="AP10" s="32"/>
      <c r="AQ10" s="32"/>
      <c r="AR10" s="32"/>
      <c r="AS10" s="32">
        <v>0</v>
      </c>
      <c r="AT10" s="32"/>
      <c r="AU10" s="32"/>
      <c r="AV10" s="32"/>
      <c r="AW10" s="32"/>
      <c r="AX10" s="32"/>
      <c r="AY10" s="32"/>
      <c r="AZ10" s="32">
        <v>0</v>
      </c>
      <c r="BA10" s="32"/>
      <c r="BB10" s="32"/>
      <c r="BC10" s="32"/>
      <c r="BD10" s="32"/>
      <c r="BE10" s="32"/>
      <c r="BF10" s="32"/>
      <c r="BG10" s="32">
        <v>0</v>
      </c>
      <c r="BH10" s="32"/>
      <c r="BI10" s="32"/>
      <c r="BJ10" s="32"/>
      <c r="BK10" s="32"/>
      <c r="BL10" s="32"/>
      <c r="BM10" s="32"/>
      <c r="BN10" s="32">
        <v>0</v>
      </c>
    </row>
    <row r="11" spans="1:66">
      <c r="A11" s="29"/>
      <c r="B11" s="30">
        <v>1231898</v>
      </c>
      <c r="C11" s="32">
        <v>3532</v>
      </c>
      <c r="D11" s="32"/>
      <c r="E11" s="32"/>
      <c r="F11" s="32"/>
      <c r="G11" s="32"/>
      <c r="H11" s="32"/>
      <c r="I11" s="32"/>
      <c r="J11" s="32">
        <v>2688</v>
      </c>
      <c r="K11" s="32"/>
      <c r="L11" s="32"/>
      <c r="M11" s="32"/>
      <c r="N11" s="32"/>
      <c r="O11" s="32"/>
      <c r="P11" s="32"/>
      <c r="Q11" s="32">
        <v>1344</v>
      </c>
      <c r="R11" s="32"/>
      <c r="S11" s="32"/>
      <c r="T11" s="32"/>
      <c r="U11" s="32"/>
      <c r="V11" s="32"/>
      <c r="W11" s="32"/>
      <c r="X11" s="32">
        <v>1792</v>
      </c>
      <c r="Y11" s="32"/>
      <c r="Z11" s="32"/>
      <c r="AA11" s="32"/>
      <c r="AB11" s="32"/>
      <c r="AC11" s="32"/>
      <c r="AD11" s="32"/>
      <c r="AE11" s="32">
        <v>1344</v>
      </c>
      <c r="AF11" s="32"/>
      <c r="AG11" s="32"/>
      <c r="AH11" s="32"/>
      <c r="AI11" s="32"/>
      <c r="AJ11" s="32"/>
      <c r="AK11" s="32"/>
      <c r="AL11" s="32">
        <v>1344</v>
      </c>
      <c r="AM11" s="32"/>
      <c r="AN11" s="32"/>
      <c r="AO11" s="32"/>
      <c r="AP11" s="32"/>
      <c r="AQ11" s="32"/>
      <c r="AR11" s="32"/>
      <c r="AS11" s="32">
        <v>1344</v>
      </c>
      <c r="AT11" s="32"/>
      <c r="AU11" s="32"/>
      <c r="AV11" s="32"/>
      <c r="AW11" s="32"/>
      <c r="AX11" s="32"/>
      <c r="AY11" s="32"/>
      <c r="AZ11" s="32">
        <v>1792</v>
      </c>
      <c r="BA11" s="32"/>
      <c r="BB11" s="32"/>
      <c r="BC11" s="32"/>
      <c r="BD11" s="32"/>
      <c r="BE11" s="32"/>
      <c r="BF11" s="32"/>
      <c r="BG11" s="32">
        <v>1344</v>
      </c>
      <c r="BH11" s="32"/>
      <c r="BI11" s="32"/>
      <c r="BJ11" s="32"/>
      <c r="BK11" s="32"/>
      <c r="BL11" s="32"/>
      <c r="BM11" s="32"/>
      <c r="BN11" s="32">
        <v>1344</v>
      </c>
    </row>
    <row r="12" spans="1:66">
      <c r="A12" s="29"/>
      <c r="B12" s="30">
        <v>1233492</v>
      </c>
      <c r="C12" s="32">
        <v>534</v>
      </c>
      <c r="D12" s="32"/>
      <c r="E12" s="32"/>
      <c r="F12" s="32"/>
      <c r="G12" s="32"/>
      <c r="H12" s="32"/>
      <c r="I12" s="32"/>
      <c r="J12" s="32">
        <v>200</v>
      </c>
      <c r="K12" s="32"/>
      <c r="L12" s="32"/>
      <c r="M12" s="32"/>
      <c r="N12" s="32"/>
      <c r="O12" s="32"/>
      <c r="P12" s="32"/>
      <c r="Q12" s="32">
        <v>500</v>
      </c>
      <c r="R12" s="32"/>
      <c r="S12" s="32"/>
      <c r="T12" s="32"/>
      <c r="U12" s="32"/>
      <c r="V12" s="32"/>
      <c r="W12" s="32"/>
      <c r="X12" s="32">
        <v>500</v>
      </c>
      <c r="Y12" s="32"/>
      <c r="Z12" s="32"/>
      <c r="AA12" s="32"/>
      <c r="AB12" s="32"/>
      <c r="AC12" s="32"/>
      <c r="AD12" s="32"/>
      <c r="AE12" s="32">
        <v>500</v>
      </c>
      <c r="AF12" s="32"/>
      <c r="AG12" s="32"/>
      <c r="AH12" s="32"/>
      <c r="AI12" s="32"/>
      <c r="AJ12" s="32"/>
      <c r="AK12" s="32"/>
      <c r="AL12" s="32">
        <v>500</v>
      </c>
      <c r="AM12" s="32"/>
      <c r="AN12" s="32"/>
      <c r="AO12" s="32"/>
      <c r="AP12" s="32"/>
      <c r="AQ12" s="32"/>
      <c r="AR12" s="32"/>
      <c r="AS12" s="32">
        <v>500</v>
      </c>
      <c r="AT12" s="32"/>
      <c r="AU12" s="32"/>
      <c r="AV12" s="32"/>
      <c r="AW12" s="32"/>
      <c r="AX12" s="32"/>
      <c r="AY12" s="32"/>
      <c r="AZ12" s="32">
        <v>500</v>
      </c>
      <c r="BA12" s="32"/>
      <c r="BB12" s="32"/>
      <c r="BC12" s="32"/>
      <c r="BD12" s="32"/>
      <c r="BE12" s="32"/>
      <c r="BF12" s="32"/>
      <c r="BG12" s="32">
        <v>500</v>
      </c>
      <c r="BH12" s="32"/>
      <c r="BI12" s="32"/>
      <c r="BJ12" s="32"/>
      <c r="BK12" s="32"/>
      <c r="BL12" s="32"/>
      <c r="BM12" s="32"/>
      <c r="BN12" s="32">
        <v>0</v>
      </c>
    </row>
    <row r="13" spans="1:66">
      <c r="A13" s="29"/>
      <c r="B13" s="30">
        <v>1233498</v>
      </c>
      <c r="C13" s="32">
        <v>534</v>
      </c>
      <c r="D13" s="32"/>
      <c r="E13" s="32"/>
      <c r="F13" s="32"/>
      <c r="G13" s="32"/>
      <c r="H13" s="32"/>
      <c r="I13" s="32"/>
      <c r="J13" s="32">
        <v>200</v>
      </c>
      <c r="K13" s="32"/>
      <c r="L13" s="32"/>
      <c r="M13" s="32"/>
      <c r="N13" s="32"/>
      <c r="O13" s="32"/>
      <c r="P13" s="32"/>
      <c r="Q13" s="32">
        <v>500</v>
      </c>
      <c r="R13" s="32"/>
      <c r="S13" s="32"/>
      <c r="T13" s="32"/>
      <c r="U13" s="32"/>
      <c r="V13" s="32"/>
      <c r="W13" s="32"/>
      <c r="X13" s="32">
        <v>500</v>
      </c>
      <c r="Y13" s="32"/>
      <c r="Z13" s="32"/>
      <c r="AA13" s="32"/>
      <c r="AB13" s="32"/>
      <c r="AC13" s="32"/>
      <c r="AD13" s="32"/>
      <c r="AE13" s="32">
        <v>500</v>
      </c>
      <c r="AF13" s="32"/>
      <c r="AG13" s="32"/>
      <c r="AH13" s="32"/>
      <c r="AI13" s="32"/>
      <c r="AJ13" s="32"/>
      <c r="AK13" s="32"/>
      <c r="AL13" s="32">
        <v>500</v>
      </c>
      <c r="AM13" s="32"/>
      <c r="AN13" s="32"/>
      <c r="AO13" s="32"/>
      <c r="AP13" s="32"/>
      <c r="AQ13" s="32"/>
      <c r="AR13" s="32"/>
      <c r="AS13" s="32">
        <v>500</v>
      </c>
      <c r="AT13" s="32"/>
      <c r="AU13" s="32"/>
      <c r="AV13" s="32"/>
      <c r="AW13" s="32"/>
      <c r="AX13" s="32"/>
      <c r="AY13" s="32"/>
      <c r="AZ13" s="32">
        <v>500</v>
      </c>
      <c r="BA13" s="32"/>
      <c r="BB13" s="32"/>
      <c r="BC13" s="32"/>
      <c r="BD13" s="32"/>
      <c r="BE13" s="32"/>
      <c r="BF13" s="32"/>
      <c r="BG13" s="32">
        <v>500</v>
      </c>
      <c r="BH13" s="32"/>
      <c r="BI13" s="32"/>
      <c r="BJ13" s="32"/>
      <c r="BK13" s="32"/>
      <c r="BL13" s="32"/>
      <c r="BM13" s="32"/>
      <c r="BN13" s="32">
        <v>0</v>
      </c>
    </row>
    <row r="14" spans="1:66">
      <c r="A14" s="29"/>
      <c r="B14" s="30">
        <v>1233623</v>
      </c>
      <c r="C14" s="32">
        <v>534</v>
      </c>
      <c r="D14" s="32"/>
      <c r="E14" s="32"/>
      <c r="F14" s="32"/>
      <c r="G14" s="32"/>
      <c r="H14" s="32"/>
      <c r="I14" s="32"/>
      <c r="J14" s="32">
        <v>200</v>
      </c>
      <c r="K14" s="32"/>
      <c r="L14" s="32"/>
      <c r="M14" s="32"/>
      <c r="N14" s="32"/>
      <c r="O14" s="32"/>
      <c r="P14" s="32"/>
      <c r="Q14" s="32">
        <v>500</v>
      </c>
      <c r="R14" s="32"/>
      <c r="S14" s="32"/>
      <c r="T14" s="32"/>
      <c r="U14" s="32"/>
      <c r="V14" s="32"/>
      <c r="W14" s="32"/>
      <c r="X14" s="32">
        <v>500</v>
      </c>
      <c r="Y14" s="32"/>
      <c r="Z14" s="32"/>
      <c r="AA14" s="32"/>
      <c r="AB14" s="32"/>
      <c r="AC14" s="32"/>
      <c r="AD14" s="32"/>
      <c r="AE14" s="32">
        <v>500</v>
      </c>
      <c r="AF14" s="32"/>
      <c r="AG14" s="32"/>
      <c r="AH14" s="32"/>
      <c r="AI14" s="32"/>
      <c r="AJ14" s="32"/>
      <c r="AK14" s="32"/>
      <c r="AL14" s="32">
        <v>500</v>
      </c>
      <c r="AM14" s="32"/>
      <c r="AN14" s="32"/>
      <c r="AO14" s="32"/>
      <c r="AP14" s="32"/>
      <c r="AQ14" s="32"/>
      <c r="AR14" s="32"/>
      <c r="AS14" s="32">
        <v>500</v>
      </c>
      <c r="AT14" s="32"/>
      <c r="AU14" s="32"/>
      <c r="AV14" s="32"/>
      <c r="AW14" s="32"/>
      <c r="AX14" s="32"/>
      <c r="AY14" s="32"/>
      <c r="AZ14" s="32">
        <v>500</v>
      </c>
      <c r="BA14" s="32"/>
      <c r="BB14" s="32"/>
      <c r="BC14" s="32"/>
      <c r="BD14" s="32"/>
      <c r="BE14" s="32"/>
      <c r="BF14" s="32"/>
      <c r="BG14" s="32">
        <v>500</v>
      </c>
      <c r="BH14" s="32"/>
      <c r="BI14" s="32"/>
      <c r="BJ14" s="32"/>
      <c r="BK14" s="32"/>
      <c r="BL14" s="32"/>
      <c r="BM14" s="32"/>
      <c r="BN14" s="32">
        <v>0</v>
      </c>
    </row>
    <row r="15" spans="1:66">
      <c r="A15" s="29"/>
      <c r="B15" s="30">
        <v>1233761</v>
      </c>
      <c r="C15" s="32">
        <v>200</v>
      </c>
      <c r="D15" s="32"/>
      <c r="E15" s="32"/>
      <c r="F15" s="32"/>
      <c r="G15" s="32"/>
      <c r="H15" s="32"/>
      <c r="I15" s="32"/>
      <c r="J15" s="32">
        <v>100</v>
      </c>
      <c r="K15" s="32"/>
      <c r="L15" s="32"/>
      <c r="M15" s="32"/>
      <c r="N15" s="32"/>
      <c r="O15" s="32"/>
      <c r="P15" s="32"/>
      <c r="Q15" s="32">
        <v>0</v>
      </c>
      <c r="R15" s="32"/>
      <c r="S15" s="32"/>
      <c r="T15" s="32"/>
      <c r="U15" s="32"/>
      <c r="V15" s="32"/>
      <c r="W15" s="32"/>
      <c r="X15" s="32">
        <v>100</v>
      </c>
      <c r="Y15" s="32"/>
      <c r="Z15" s="32"/>
      <c r="AA15" s="32"/>
      <c r="AB15" s="32"/>
      <c r="AC15" s="32"/>
      <c r="AD15" s="32"/>
      <c r="AE15" s="32">
        <v>150</v>
      </c>
      <c r="AF15" s="32"/>
      <c r="AG15" s="32"/>
      <c r="AH15" s="32"/>
      <c r="AI15" s="32"/>
      <c r="AJ15" s="32"/>
      <c r="AK15" s="32"/>
      <c r="AL15" s="32">
        <v>100</v>
      </c>
      <c r="AM15" s="32"/>
      <c r="AN15" s="32"/>
      <c r="AO15" s="32"/>
      <c r="AP15" s="32"/>
      <c r="AQ15" s="32"/>
      <c r="AR15" s="32"/>
      <c r="AS15" s="32">
        <v>0</v>
      </c>
      <c r="AT15" s="32"/>
      <c r="AU15" s="32"/>
      <c r="AV15" s="32"/>
      <c r="AW15" s="32"/>
      <c r="AX15" s="32"/>
      <c r="AY15" s="32"/>
      <c r="AZ15" s="32">
        <v>100</v>
      </c>
      <c r="BA15" s="32"/>
      <c r="BB15" s="32"/>
      <c r="BC15" s="32"/>
      <c r="BD15" s="32"/>
      <c r="BE15" s="32"/>
      <c r="BF15" s="32"/>
      <c r="BG15" s="32">
        <v>150</v>
      </c>
      <c r="BH15" s="32"/>
      <c r="BI15" s="32"/>
      <c r="BJ15" s="32"/>
      <c r="BK15" s="32"/>
      <c r="BL15" s="32"/>
      <c r="BM15" s="32"/>
      <c r="BN15" s="32">
        <v>100</v>
      </c>
    </row>
    <row r="16" spans="1:66">
      <c r="A16" s="29"/>
      <c r="B16" s="30">
        <v>1233877</v>
      </c>
      <c r="C16" s="32">
        <v>120</v>
      </c>
      <c r="D16" s="32"/>
      <c r="E16" s="32"/>
      <c r="F16" s="32"/>
      <c r="G16" s="32"/>
      <c r="H16" s="32"/>
      <c r="I16" s="32"/>
      <c r="J16" s="32">
        <v>0</v>
      </c>
      <c r="K16" s="32"/>
      <c r="L16" s="32"/>
      <c r="M16" s="32"/>
      <c r="N16" s="32"/>
      <c r="O16" s="32"/>
      <c r="P16" s="32"/>
      <c r="Q16" s="32">
        <v>0</v>
      </c>
      <c r="R16" s="32"/>
      <c r="S16" s="32"/>
      <c r="T16" s="32"/>
      <c r="U16" s="32"/>
      <c r="V16" s="32"/>
      <c r="W16" s="32"/>
      <c r="X16" s="32">
        <v>0</v>
      </c>
      <c r="Y16" s="32"/>
      <c r="Z16" s="32"/>
      <c r="AA16" s="32"/>
      <c r="AB16" s="32"/>
      <c r="AC16" s="32"/>
      <c r="AD16" s="32"/>
      <c r="AE16" s="32">
        <v>0</v>
      </c>
      <c r="AF16" s="32"/>
      <c r="AG16" s="32"/>
      <c r="AH16" s="32"/>
      <c r="AI16" s="32"/>
      <c r="AJ16" s="32"/>
      <c r="AK16" s="32"/>
      <c r="AL16" s="32">
        <v>0</v>
      </c>
      <c r="AM16" s="32"/>
      <c r="AN16" s="32"/>
      <c r="AO16" s="32"/>
      <c r="AP16" s="32"/>
      <c r="AQ16" s="32"/>
      <c r="AR16" s="32"/>
      <c r="AS16" s="32">
        <v>0</v>
      </c>
      <c r="AT16" s="32"/>
      <c r="AU16" s="32"/>
      <c r="AV16" s="32"/>
      <c r="AW16" s="32"/>
      <c r="AX16" s="32"/>
      <c r="AY16" s="32"/>
      <c r="AZ16" s="32">
        <v>0</v>
      </c>
      <c r="BA16" s="32"/>
      <c r="BB16" s="32"/>
      <c r="BC16" s="32"/>
      <c r="BD16" s="32"/>
      <c r="BE16" s="32"/>
      <c r="BF16" s="32"/>
      <c r="BG16" s="32">
        <v>0</v>
      </c>
      <c r="BH16" s="32"/>
      <c r="BI16" s="32"/>
      <c r="BJ16" s="32"/>
      <c r="BK16" s="32"/>
      <c r="BL16" s="32"/>
      <c r="BM16" s="32"/>
      <c r="BN16" s="32">
        <v>0</v>
      </c>
    </row>
    <row r="17" spans="1:66">
      <c r="A17" s="29"/>
      <c r="B17" s="30">
        <v>1234905</v>
      </c>
      <c r="C17" s="32">
        <v>1448</v>
      </c>
      <c r="D17" s="32"/>
      <c r="E17" s="32"/>
      <c r="F17" s="32"/>
      <c r="G17" s="32"/>
      <c r="H17" s="32"/>
      <c r="I17" s="32"/>
      <c r="J17" s="32">
        <v>900</v>
      </c>
      <c r="K17" s="32"/>
      <c r="L17" s="32"/>
      <c r="M17" s="32"/>
      <c r="N17" s="32"/>
      <c r="O17" s="32"/>
      <c r="P17" s="32"/>
      <c r="Q17" s="32">
        <v>950</v>
      </c>
      <c r="R17" s="32"/>
      <c r="S17" s="32"/>
      <c r="T17" s="32"/>
      <c r="U17" s="32"/>
      <c r="V17" s="32"/>
      <c r="W17" s="32"/>
      <c r="X17" s="32">
        <v>1000</v>
      </c>
      <c r="Y17" s="32"/>
      <c r="Z17" s="32"/>
      <c r="AA17" s="32"/>
      <c r="AB17" s="32"/>
      <c r="AC17" s="32"/>
      <c r="AD17" s="32"/>
      <c r="AE17" s="32">
        <v>1453</v>
      </c>
      <c r="AF17" s="32"/>
      <c r="AG17" s="32"/>
      <c r="AH17" s="32"/>
      <c r="AI17" s="32"/>
      <c r="AJ17" s="32"/>
      <c r="AK17" s="32"/>
      <c r="AL17" s="32">
        <v>950</v>
      </c>
      <c r="AM17" s="32"/>
      <c r="AN17" s="32"/>
      <c r="AO17" s="32"/>
      <c r="AP17" s="32"/>
      <c r="AQ17" s="32"/>
      <c r="AR17" s="32"/>
      <c r="AS17" s="32">
        <v>1600</v>
      </c>
      <c r="AT17" s="32"/>
      <c r="AU17" s="32"/>
      <c r="AV17" s="32"/>
      <c r="AW17" s="32"/>
      <c r="AX17" s="32"/>
      <c r="AY17" s="32"/>
      <c r="AZ17" s="32">
        <v>1200</v>
      </c>
      <c r="BA17" s="32"/>
      <c r="BB17" s="32"/>
      <c r="BC17" s="32"/>
      <c r="BD17" s="32"/>
      <c r="BE17" s="32"/>
      <c r="BF17" s="32"/>
      <c r="BG17" s="32">
        <v>1500</v>
      </c>
      <c r="BH17" s="32"/>
      <c r="BI17" s="32"/>
      <c r="BJ17" s="32"/>
      <c r="BK17" s="32"/>
      <c r="BL17" s="32"/>
      <c r="BM17" s="32"/>
      <c r="BN17" s="32">
        <v>600</v>
      </c>
    </row>
    <row r="18" spans="1:66">
      <c r="A18" s="29"/>
      <c r="B18" s="30">
        <v>1235623</v>
      </c>
      <c r="C18" s="32">
        <v>936</v>
      </c>
      <c r="D18" s="32"/>
      <c r="E18" s="32"/>
      <c r="F18" s="32"/>
      <c r="G18" s="32"/>
      <c r="H18" s="32"/>
      <c r="I18" s="32"/>
      <c r="J18" s="32">
        <v>0</v>
      </c>
      <c r="K18" s="32"/>
      <c r="L18" s="32"/>
      <c r="M18" s="32"/>
      <c r="N18" s="32"/>
      <c r="O18" s="32"/>
      <c r="P18" s="32"/>
      <c r="Q18" s="32">
        <v>0</v>
      </c>
      <c r="R18" s="32"/>
      <c r="S18" s="32"/>
      <c r="T18" s="32"/>
      <c r="U18" s="32"/>
      <c r="V18" s="32"/>
      <c r="W18" s="32"/>
      <c r="X18" s="32">
        <v>1872</v>
      </c>
      <c r="Y18" s="32"/>
      <c r="Z18" s="32"/>
      <c r="AA18" s="32"/>
      <c r="AB18" s="32"/>
      <c r="AC18" s="32"/>
      <c r="AD18" s="32"/>
      <c r="AE18" s="32">
        <v>0</v>
      </c>
      <c r="AF18" s="32"/>
      <c r="AG18" s="32"/>
      <c r="AH18" s="32"/>
      <c r="AI18" s="32"/>
      <c r="AJ18" s="32"/>
      <c r="AK18" s="32"/>
      <c r="AL18" s="32">
        <v>0</v>
      </c>
      <c r="AM18" s="32"/>
      <c r="AN18" s="32"/>
      <c r="AO18" s="32"/>
      <c r="AP18" s="32"/>
      <c r="AQ18" s="32"/>
      <c r="AR18" s="32"/>
      <c r="AS18" s="32">
        <v>1872</v>
      </c>
      <c r="AT18" s="32"/>
      <c r="AU18" s="32"/>
      <c r="AV18" s="32"/>
      <c r="AW18" s="32"/>
      <c r="AX18" s="32"/>
      <c r="AY18" s="32"/>
      <c r="AZ18" s="32">
        <v>0</v>
      </c>
      <c r="BA18" s="32"/>
      <c r="BB18" s="32"/>
      <c r="BC18" s="32"/>
      <c r="BD18" s="32"/>
      <c r="BE18" s="32"/>
      <c r="BF18" s="32"/>
      <c r="BG18" s="32">
        <v>416</v>
      </c>
      <c r="BH18" s="32"/>
      <c r="BI18" s="32"/>
      <c r="BJ18" s="32"/>
      <c r="BK18" s="32"/>
      <c r="BL18" s="32"/>
      <c r="BM18" s="32"/>
      <c r="BN18" s="32">
        <v>0</v>
      </c>
    </row>
    <row r="19" spans="1:66">
      <c r="A19" s="29"/>
      <c r="B19" s="30">
        <v>1236091</v>
      </c>
      <c r="C19" s="32">
        <v>0</v>
      </c>
      <c r="D19" s="32"/>
      <c r="E19" s="32"/>
      <c r="F19" s="32"/>
      <c r="G19" s="32"/>
      <c r="H19" s="32"/>
      <c r="I19" s="32"/>
      <c r="J19" s="32">
        <v>0</v>
      </c>
      <c r="K19" s="32"/>
      <c r="L19" s="32"/>
      <c r="M19" s="32"/>
      <c r="N19" s="32"/>
      <c r="O19" s="32"/>
      <c r="P19" s="32"/>
      <c r="Q19" s="32">
        <v>0</v>
      </c>
      <c r="R19" s="32"/>
      <c r="S19" s="32"/>
      <c r="T19" s="32"/>
      <c r="U19" s="32"/>
      <c r="V19" s="32"/>
      <c r="W19" s="32"/>
      <c r="X19" s="32">
        <v>200</v>
      </c>
      <c r="Y19" s="32"/>
      <c r="Z19" s="32"/>
      <c r="AA19" s="32"/>
      <c r="AB19" s="32"/>
      <c r="AC19" s="32"/>
      <c r="AD19" s="32"/>
      <c r="AE19" s="32">
        <v>200</v>
      </c>
      <c r="AF19" s="32"/>
      <c r="AG19" s="32"/>
      <c r="AH19" s="32"/>
      <c r="AI19" s="32"/>
      <c r="AJ19" s="32"/>
      <c r="AK19" s="32"/>
      <c r="AL19" s="32">
        <v>0</v>
      </c>
      <c r="AM19" s="32"/>
      <c r="AN19" s="32"/>
      <c r="AO19" s="32"/>
      <c r="AP19" s="32"/>
      <c r="AQ19" s="32"/>
      <c r="AR19" s="32"/>
      <c r="AS19" s="32">
        <v>0</v>
      </c>
      <c r="AT19" s="32"/>
      <c r="AU19" s="32"/>
      <c r="AV19" s="32"/>
      <c r="AW19" s="32"/>
      <c r="AX19" s="32"/>
      <c r="AY19" s="32"/>
      <c r="AZ19" s="32">
        <v>200</v>
      </c>
      <c r="BA19" s="32"/>
      <c r="BB19" s="32"/>
      <c r="BC19" s="32"/>
      <c r="BD19" s="32"/>
      <c r="BE19" s="32"/>
      <c r="BF19" s="32"/>
      <c r="BG19" s="32">
        <v>200</v>
      </c>
      <c r="BH19" s="32"/>
      <c r="BI19" s="32"/>
      <c r="BJ19" s="32"/>
      <c r="BK19" s="32"/>
      <c r="BL19" s="32"/>
      <c r="BM19" s="32"/>
      <c r="BN19" s="32">
        <v>0</v>
      </c>
    </row>
    <row r="20" spans="1:66">
      <c r="A20" s="29"/>
      <c r="B20" s="30">
        <v>1236488</v>
      </c>
      <c r="C20" s="32">
        <v>500</v>
      </c>
      <c r="D20" s="32"/>
      <c r="E20" s="32"/>
      <c r="F20" s="32"/>
      <c r="G20" s="32"/>
      <c r="H20" s="32"/>
      <c r="I20" s="32"/>
      <c r="J20" s="32">
        <v>500</v>
      </c>
      <c r="K20" s="32"/>
      <c r="L20" s="32"/>
      <c r="M20" s="32"/>
      <c r="N20" s="32"/>
      <c r="O20" s="32"/>
      <c r="P20" s="32"/>
      <c r="Q20" s="32">
        <v>700</v>
      </c>
      <c r="R20" s="32"/>
      <c r="S20" s="32"/>
      <c r="T20" s="32"/>
      <c r="U20" s="32"/>
      <c r="V20" s="32"/>
      <c r="W20" s="32"/>
      <c r="X20" s="32">
        <v>700</v>
      </c>
      <c r="Y20" s="32"/>
      <c r="Z20" s="32"/>
      <c r="AA20" s="32"/>
      <c r="AB20" s="32"/>
      <c r="AC20" s="32"/>
      <c r="AD20" s="32"/>
      <c r="AE20" s="32">
        <v>700</v>
      </c>
      <c r="AF20" s="32"/>
      <c r="AG20" s="32"/>
      <c r="AH20" s="32"/>
      <c r="AI20" s="32"/>
      <c r="AJ20" s="32"/>
      <c r="AK20" s="32"/>
      <c r="AL20" s="32">
        <v>600</v>
      </c>
      <c r="AM20" s="32"/>
      <c r="AN20" s="32"/>
      <c r="AO20" s="32"/>
      <c r="AP20" s="32"/>
      <c r="AQ20" s="32"/>
      <c r="AR20" s="32"/>
      <c r="AS20" s="32">
        <v>700</v>
      </c>
      <c r="AT20" s="32"/>
      <c r="AU20" s="32"/>
      <c r="AV20" s="32"/>
      <c r="AW20" s="32"/>
      <c r="AX20" s="32"/>
      <c r="AY20" s="32"/>
      <c r="AZ20" s="32">
        <v>700</v>
      </c>
      <c r="BA20" s="32"/>
      <c r="BB20" s="32"/>
      <c r="BC20" s="32"/>
      <c r="BD20" s="32"/>
      <c r="BE20" s="32"/>
      <c r="BF20" s="32"/>
      <c r="BG20" s="32">
        <v>800</v>
      </c>
      <c r="BH20" s="32"/>
      <c r="BI20" s="32"/>
      <c r="BJ20" s="32"/>
      <c r="BK20" s="32"/>
      <c r="BL20" s="32"/>
      <c r="BM20" s="32"/>
      <c r="BN20" s="32">
        <v>700</v>
      </c>
    </row>
    <row r="21" spans="1:66">
      <c r="A21" s="29"/>
      <c r="B21" s="30">
        <v>1236534</v>
      </c>
      <c r="C21" s="32">
        <v>0</v>
      </c>
      <c r="D21" s="32"/>
      <c r="E21" s="32"/>
      <c r="F21" s="32"/>
      <c r="G21" s="32"/>
      <c r="H21" s="32"/>
      <c r="I21" s="32"/>
      <c r="J21" s="32">
        <v>0</v>
      </c>
      <c r="K21" s="32"/>
      <c r="L21" s="32"/>
      <c r="M21" s="32"/>
      <c r="N21" s="32"/>
      <c r="O21" s="32"/>
      <c r="P21" s="32"/>
      <c r="Q21" s="32">
        <v>300</v>
      </c>
      <c r="R21" s="32"/>
      <c r="S21" s="32"/>
      <c r="T21" s="32"/>
      <c r="U21" s="32"/>
      <c r="V21" s="32"/>
      <c r="W21" s="32"/>
      <c r="X21" s="32">
        <v>200</v>
      </c>
      <c r="Y21" s="32"/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>
        <v>300</v>
      </c>
      <c r="AT21" s="32"/>
      <c r="AU21" s="32"/>
      <c r="AV21" s="32"/>
      <c r="AW21" s="32"/>
      <c r="AX21" s="32"/>
      <c r="AY21" s="32"/>
      <c r="AZ21" s="32">
        <v>200</v>
      </c>
      <c r="BA21" s="32"/>
      <c r="BB21" s="32"/>
      <c r="BC21" s="32"/>
      <c r="BD21" s="32"/>
      <c r="BE21" s="32"/>
      <c r="BF21" s="32"/>
      <c r="BG21" s="32">
        <v>0</v>
      </c>
      <c r="BH21" s="32"/>
      <c r="BI21" s="32"/>
      <c r="BJ21" s="32"/>
      <c r="BK21" s="32"/>
      <c r="BL21" s="32"/>
      <c r="BM21" s="32"/>
      <c r="BN21" s="32">
        <v>0</v>
      </c>
    </row>
    <row r="22" spans="1:66">
      <c r="A22" s="29"/>
      <c r="B22" s="30">
        <v>1236962</v>
      </c>
      <c r="C22" s="32">
        <v>800</v>
      </c>
      <c r="D22" s="32"/>
      <c r="E22" s="32"/>
      <c r="F22" s="32"/>
      <c r="G22" s="32"/>
      <c r="H22" s="32"/>
      <c r="I22" s="32"/>
      <c r="J22" s="32">
        <v>0</v>
      </c>
      <c r="K22" s="32"/>
      <c r="L22" s="32"/>
      <c r="M22" s="32"/>
      <c r="N22" s="32"/>
      <c r="O22" s="32"/>
      <c r="P22" s="32"/>
      <c r="Q22" s="32">
        <v>800</v>
      </c>
      <c r="R22" s="32"/>
      <c r="S22" s="32"/>
      <c r="T22" s="32"/>
      <c r="U22" s="32"/>
      <c r="V22" s="32"/>
      <c r="W22" s="32"/>
      <c r="X22" s="32">
        <v>700</v>
      </c>
      <c r="Y22" s="32"/>
      <c r="Z22" s="32"/>
      <c r="AA22" s="32"/>
      <c r="AB22" s="32"/>
      <c r="AC22" s="32"/>
      <c r="AD22" s="32"/>
      <c r="AE22" s="32">
        <v>700</v>
      </c>
      <c r="AF22" s="32"/>
      <c r="AG22" s="32"/>
      <c r="AH22" s="32"/>
      <c r="AI22" s="32"/>
      <c r="AJ22" s="32"/>
      <c r="AK22" s="32"/>
      <c r="AL22" s="32">
        <v>650</v>
      </c>
      <c r="AM22" s="32"/>
      <c r="AN22" s="32"/>
      <c r="AO22" s="32"/>
      <c r="AP22" s="32"/>
      <c r="AQ22" s="32"/>
      <c r="AR22" s="32"/>
      <c r="AS22" s="32">
        <v>700</v>
      </c>
      <c r="AT22" s="32"/>
      <c r="AU22" s="32"/>
      <c r="AV22" s="32"/>
      <c r="AW22" s="32"/>
      <c r="AX22" s="32"/>
      <c r="AY22" s="32"/>
      <c r="AZ22" s="32">
        <v>700</v>
      </c>
      <c r="BA22" s="32"/>
      <c r="BB22" s="32"/>
      <c r="BC22" s="32"/>
      <c r="BD22" s="32"/>
      <c r="BE22" s="32"/>
      <c r="BF22" s="32"/>
      <c r="BG22" s="32">
        <v>700</v>
      </c>
      <c r="BH22" s="32"/>
      <c r="BI22" s="32"/>
      <c r="BJ22" s="32"/>
      <c r="BK22" s="32"/>
      <c r="BL22" s="32"/>
      <c r="BM22" s="32"/>
      <c r="BN22" s="32">
        <v>700</v>
      </c>
    </row>
    <row r="23" spans="1:66">
      <c r="A23" s="29"/>
      <c r="B23" s="30">
        <v>1237088</v>
      </c>
      <c r="C23" s="32">
        <v>3908</v>
      </c>
      <c r="D23" s="32"/>
      <c r="E23" s="32"/>
      <c r="F23" s="32"/>
      <c r="G23" s="32"/>
      <c r="H23" s="32"/>
      <c r="I23" s="32"/>
      <c r="J23" s="32">
        <v>3808</v>
      </c>
      <c r="K23" s="32"/>
      <c r="L23" s="32"/>
      <c r="M23" s="32"/>
      <c r="N23" s="32"/>
      <c r="O23" s="32"/>
      <c r="P23" s="32"/>
      <c r="Q23" s="32">
        <v>2644</v>
      </c>
      <c r="R23" s="32"/>
      <c r="S23" s="32"/>
      <c r="T23" s="32"/>
      <c r="U23" s="32"/>
      <c r="V23" s="32"/>
      <c r="W23" s="32"/>
      <c r="X23" s="32">
        <v>3192</v>
      </c>
      <c r="Y23" s="32"/>
      <c r="Z23" s="32"/>
      <c r="AA23" s="32"/>
      <c r="AB23" s="32"/>
      <c r="AC23" s="32"/>
      <c r="AD23" s="32"/>
      <c r="AE23" s="32">
        <v>3092</v>
      </c>
      <c r="AF23" s="32"/>
      <c r="AG23" s="32"/>
      <c r="AH23" s="32"/>
      <c r="AI23" s="32"/>
      <c r="AJ23" s="32"/>
      <c r="AK23" s="32"/>
      <c r="AL23" s="32">
        <v>2096</v>
      </c>
      <c r="AM23" s="32"/>
      <c r="AN23" s="32"/>
      <c r="AO23" s="32"/>
      <c r="AP23" s="32"/>
      <c r="AQ23" s="32"/>
      <c r="AR23" s="32"/>
      <c r="AS23" s="32">
        <v>3092</v>
      </c>
      <c r="AT23" s="32"/>
      <c r="AU23" s="32"/>
      <c r="AV23" s="32"/>
      <c r="AW23" s="32"/>
      <c r="AX23" s="32"/>
      <c r="AY23" s="32"/>
      <c r="AZ23" s="32">
        <v>3092</v>
      </c>
      <c r="BA23" s="32"/>
      <c r="BB23" s="32"/>
      <c r="BC23" s="32"/>
      <c r="BD23" s="32"/>
      <c r="BE23" s="32"/>
      <c r="BF23" s="32"/>
      <c r="BG23" s="32">
        <v>3192</v>
      </c>
      <c r="BH23" s="32"/>
      <c r="BI23" s="32"/>
      <c r="BJ23" s="32"/>
      <c r="BK23" s="32"/>
      <c r="BL23" s="32"/>
      <c r="BM23" s="32"/>
      <c r="BN23" s="32">
        <v>2644</v>
      </c>
    </row>
    <row r="24" spans="1:66">
      <c r="A24" s="29"/>
      <c r="B24" s="30">
        <v>1237586</v>
      </c>
      <c r="C24" s="32">
        <v>3532</v>
      </c>
      <c r="D24" s="32"/>
      <c r="E24" s="32"/>
      <c r="F24" s="32"/>
      <c r="G24" s="32"/>
      <c r="H24" s="32"/>
      <c r="I24" s="32"/>
      <c r="J24" s="32">
        <v>2688</v>
      </c>
      <c r="K24" s="32"/>
      <c r="L24" s="32"/>
      <c r="M24" s="32"/>
      <c r="N24" s="32"/>
      <c r="O24" s="32"/>
      <c r="P24" s="32"/>
      <c r="Q24" s="32">
        <v>1344</v>
      </c>
      <c r="R24" s="32"/>
      <c r="S24" s="32"/>
      <c r="T24" s="32"/>
      <c r="U24" s="32"/>
      <c r="V24" s="32"/>
      <c r="W24" s="32"/>
      <c r="X24" s="32">
        <v>1792</v>
      </c>
      <c r="Y24" s="32"/>
      <c r="Z24" s="32"/>
      <c r="AA24" s="32"/>
      <c r="AB24" s="32"/>
      <c r="AC24" s="32"/>
      <c r="AD24" s="32"/>
      <c r="AE24" s="32">
        <v>1344</v>
      </c>
      <c r="AF24" s="32"/>
      <c r="AG24" s="32"/>
      <c r="AH24" s="32"/>
      <c r="AI24" s="32"/>
      <c r="AJ24" s="32"/>
      <c r="AK24" s="32"/>
      <c r="AL24" s="32">
        <v>1344</v>
      </c>
      <c r="AM24" s="32"/>
      <c r="AN24" s="32"/>
      <c r="AO24" s="32"/>
      <c r="AP24" s="32"/>
      <c r="AQ24" s="32"/>
      <c r="AR24" s="32"/>
      <c r="AS24" s="32">
        <v>1344</v>
      </c>
      <c r="AT24" s="32"/>
      <c r="AU24" s="32"/>
      <c r="AV24" s="32"/>
      <c r="AW24" s="32"/>
      <c r="AX24" s="32"/>
      <c r="AY24" s="32"/>
      <c r="AZ24" s="32">
        <v>1792</v>
      </c>
      <c r="BA24" s="32"/>
      <c r="BB24" s="32"/>
      <c r="BC24" s="32"/>
      <c r="BD24" s="32"/>
      <c r="BE24" s="32"/>
      <c r="BF24" s="32"/>
      <c r="BG24" s="32">
        <v>1344</v>
      </c>
      <c r="BH24" s="32"/>
      <c r="BI24" s="32"/>
      <c r="BJ24" s="32"/>
      <c r="BK24" s="32"/>
      <c r="BL24" s="32"/>
      <c r="BM24" s="32"/>
      <c r="BN24" s="32">
        <v>1344</v>
      </c>
    </row>
    <row r="25" spans="1:66">
      <c r="A25" s="29"/>
      <c r="B25" s="30">
        <v>1237748</v>
      </c>
      <c r="C25" s="32">
        <v>1092</v>
      </c>
      <c r="D25" s="32"/>
      <c r="E25" s="32"/>
      <c r="F25" s="32"/>
      <c r="G25" s="32"/>
      <c r="H25" s="32"/>
      <c r="I25" s="32"/>
      <c r="J25" s="32">
        <v>728</v>
      </c>
      <c r="K25" s="32"/>
      <c r="L25" s="32"/>
      <c r="M25" s="32"/>
      <c r="N25" s="32"/>
      <c r="O25" s="32"/>
      <c r="P25" s="32"/>
      <c r="Q25" s="32">
        <v>156</v>
      </c>
      <c r="R25" s="32"/>
      <c r="S25" s="32"/>
      <c r="T25" s="32"/>
      <c r="U25" s="32"/>
      <c r="V25" s="32"/>
      <c r="W25" s="32"/>
      <c r="X25" s="32">
        <v>0</v>
      </c>
      <c r="Y25" s="32"/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/>
      <c r="AK25" s="32"/>
      <c r="AL25" s="32">
        <v>1236</v>
      </c>
      <c r="AM25" s="32"/>
      <c r="AN25" s="32"/>
      <c r="AO25" s="32"/>
      <c r="AP25" s="32"/>
      <c r="AQ25" s="32"/>
      <c r="AR25" s="32"/>
      <c r="AS25" s="32">
        <v>0</v>
      </c>
      <c r="AT25" s="32"/>
      <c r="AU25" s="32"/>
      <c r="AV25" s="32"/>
      <c r="AW25" s="32"/>
      <c r="AX25" s="32"/>
      <c r="AY25" s="32"/>
      <c r="AZ25" s="32">
        <v>0</v>
      </c>
      <c r="BA25" s="32"/>
      <c r="BB25" s="32"/>
      <c r="BC25" s="32"/>
      <c r="BD25" s="32"/>
      <c r="BE25" s="32"/>
      <c r="BF25" s="32"/>
      <c r="BG25" s="32">
        <v>0</v>
      </c>
      <c r="BH25" s="32"/>
      <c r="BI25" s="32"/>
      <c r="BJ25" s="32"/>
      <c r="BK25" s="32"/>
      <c r="BL25" s="32"/>
      <c r="BM25" s="32"/>
      <c r="BN25" s="32">
        <v>936</v>
      </c>
    </row>
    <row r="26" spans="1:66">
      <c r="A26" s="29"/>
      <c r="B26" s="30">
        <v>1238128</v>
      </c>
      <c r="C26" s="32">
        <v>5834</v>
      </c>
      <c r="D26" s="32"/>
      <c r="E26" s="32"/>
      <c r="F26" s="32"/>
      <c r="G26" s="32"/>
      <c r="H26" s="32"/>
      <c r="I26" s="32"/>
      <c r="J26" s="32">
        <v>3434</v>
      </c>
      <c r="K26" s="32"/>
      <c r="L26" s="32"/>
      <c r="M26" s="32"/>
      <c r="N26" s="32"/>
      <c r="O26" s="32"/>
      <c r="P26" s="32"/>
      <c r="Q26" s="32">
        <v>2792</v>
      </c>
      <c r="R26" s="32"/>
      <c r="S26" s="32"/>
      <c r="T26" s="32"/>
      <c r="U26" s="32"/>
      <c r="V26" s="32"/>
      <c r="W26" s="32"/>
      <c r="X26" s="32">
        <v>2016</v>
      </c>
      <c r="Y26" s="32"/>
      <c r="Z26" s="32"/>
      <c r="AA26" s="32"/>
      <c r="AB26" s="32"/>
      <c r="AC26" s="32"/>
      <c r="AD26" s="32"/>
      <c r="AE26" s="32">
        <v>4448</v>
      </c>
      <c r="AF26" s="32"/>
      <c r="AG26" s="32"/>
      <c r="AH26" s="32"/>
      <c r="AI26" s="32"/>
      <c r="AJ26" s="32"/>
      <c r="AK26" s="32"/>
      <c r="AL26" s="32">
        <v>2464</v>
      </c>
      <c r="AM26" s="32"/>
      <c r="AN26" s="32"/>
      <c r="AO26" s="32"/>
      <c r="AP26" s="32"/>
      <c r="AQ26" s="32"/>
      <c r="AR26" s="32"/>
      <c r="AS26" s="32">
        <v>2315</v>
      </c>
      <c r="AT26" s="32"/>
      <c r="AU26" s="32"/>
      <c r="AV26" s="32"/>
      <c r="AW26" s="32"/>
      <c r="AX26" s="32"/>
      <c r="AY26" s="32"/>
      <c r="AZ26" s="32">
        <v>2443</v>
      </c>
      <c r="BA26" s="32"/>
      <c r="BB26" s="32"/>
      <c r="BC26" s="32"/>
      <c r="BD26" s="32"/>
      <c r="BE26" s="32"/>
      <c r="BF26" s="32"/>
      <c r="BG26" s="32">
        <v>2858</v>
      </c>
      <c r="BH26" s="32"/>
      <c r="BI26" s="32"/>
      <c r="BJ26" s="32"/>
      <c r="BK26" s="32"/>
      <c r="BL26" s="32"/>
      <c r="BM26" s="32"/>
      <c r="BN26" s="32">
        <v>2507</v>
      </c>
    </row>
    <row r="27" spans="1:66">
      <c r="A27" s="29"/>
      <c r="B27" s="30">
        <v>1239651</v>
      </c>
      <c r="C27" s="32">
        <v>600</v>
      </c>
      <c r="D27" s="32"/>
      <c r="E27" s="32"/>
      <c r="F27" s="32"/>
      <c r="G27" s="32"/>
      <c r="H27" s="32"/>
      <c r="I27" s="32"/>
      <c r="J27" s="32">
        <v>0</v>
      </c>
      <c r="K27" s="32"/>
      <c r="L27" s="32"/>
      <c r="M27" s="32"/>
      <c r="N27" s="32"/>
      <c r="O27" s="32"/>
      <c r="P27" s="32"/>
      <c r="Q27" s="32">
        <v>300</v>
      </c>
      <c r="R27" s="32"/>
      <c r="S27" s="32"/>
      <c r="T27" s="32"/>
      <c r="U27" s="32"/>
      <c r="V27" s="32"/>
      <c r="W27" s="32"/>
      <c r="X27" s="32">
        <v>300</v>
      </c>
      <c r="Y27" s="32"/>
      <c r="Z27" s="32"/>
      <c r="AA27" s="32"/>
      <c r="AB27" s="32"/>
      <c r="AC27" s="32"/>
      <c r="AD27" s="32"/>
      <c r="AE27" s="32">
        <v>300</v>
      </c>
      <c r="AF27" s="32"/>
      <c r="AG27" s="32"/>
      <c r="AH27" s="32"/>
      <c r="AI27" s="32"/>
      <c r="AJ27" s="32"/>
      <c r="AK27" s="32"/>
      <c r="AL27" s="32">
        <v>340</v>
      </c>
      <c r="AM27" s="32"/>
      <c r="AN27" s="32"/>
      <c r="AO27" s="32"/>
      <c r="AP27" s="32"/>
      <c r="AQ27" s="32"/>
      <c r="AR27" s="32"/>
      <c r="AS27" s="32">
        <v>300</v>
      </c>
      <c r="AT27" s="32"/>
      <c r="AU27" s="32"/>
      <c r="AV27" s="32"/>
      <c r="AW27" s="32"/>
      <c r="AX27" s="32"/>
      <c r="AY27" s="32"/>
      <c r="AZ27" s="32">
        <v>300</v>
      </c>
      <c r="BA27" s="32"/>
      <c r="BB27" s="32"/>
      <c r="BC27" s="32"/>
      <c r="BD27" s="32"/>
      <c r="BE27" s="32"/>
      <c r="BF27" s="32"/>
      <c r="BG27" s="32">
        <v>550</v>
      </c>
      <c r="BH27" s="32"/>
      <c r="BI27" s="32"/>
      <c r="BJ27" s="32"/>
      <c r="BK27" s="32"/>
      <c r="BL27" s="32"/>
      <c r="BM27" s="32"/>
      <c r="BN27" s="32">
        <v>300</v>
      </c>
    </row>
    <row r="28" spans="1:66">
      <c r="A28" s="29"/>
      <c r="B28" s="30">
        <v>1239988</v>
      </c>
      <c r="C28" s="32">
        <v>2084</v>
      </c>
      <c r="D28" s="32"/>
      <c r="E28" s="32"/>
      <c r="F28" s="32"/>
      <c r="G28" s="32"/>
      <c r="H28" s="32"/>
      <c r="I28" s="32"/>
      <c r="J28" s="32">
        <v>1920</v>
      </c>
      <c r="K28" s="32"/>
      <c r="L28" s="32"/>
      <c r="M28" s="32"/>
      <c r="N28" s="32"/>
      <c r="O28" s="32"/>
      <c r="P28" s="32"/>
      <c r="Q28" s="32">
        <v>1652</v>
      </c>
      <c r="R28" s="32"/>
      <c r="S28" s="32"/>
      <c r="T28" s="32"/>
      <c r="U28" s="32"/>
      <c r="V28" s="32"/>
      <c r="W28" s="32"/>
      <c r="X28" s="32">
        <v>2100</v>
      </c>
      <c r="Y28" s="32"/>
      <c r="Z28" s="32"/>
      <c r="AA28" s="32"/>
      <c r="AB28" s="32"/>
      <c r="AC28" s="32"/>
      <c r="AD28" s="32"/>
      <c r="AE28" s="32">
        <v>2200</v>
      </c>
      <c r="AF28" s="32"/>
      <c r="AG28" s="32"/>
      <c r="AH28" s="32"/>
      <c r="AI28" s="32"/>
      <c r="AJ28" s="32"/>
      <c r="AK28" s="32"/>
      <c r="AL28" s="32">
        <v>800</v>
      </c>
      <c r="AM28" s="32"/>
      <c r="AN28" s="32"/>
      <c r="AO28" s="32"/>
      <c r="AP28" s="32"/>
      <c r="AQ28" s="32"/>
      <c r="AR28" s="32"/>
      <c r="AS28" s="32">
        <v>1300</v>
      </c>
      <c r="AT28" s="32"/>
      <c r="AU28" s="32"/>
      <c r="AV28" s="32"/>
      <c r="AW28" s="32"/>
      <c r="AX28" s="32"/>
      <c r="AY28" s="32"/>
      <c r="AZ28" s="32">
        <v>2200</v>
      </c>
      <c r="BA28" s="32"/>
      <c r="BB28" s="32"/>
      <c r="BC28" s="32"/>
      <c r="BD28" s="32"/>
      <c r="BE28" s="32"/>
      <c r="BF28" s="32"/>
      <c r="BG28" s="32">
        <v>2300</v>
      </c>
      <c r="BH28" s="32"/>
      <c r="BI28" s="32"/>
      <c r="BJ28" s="32"/>
      <c r="BK28" s="32"/>
      <c r="BL28" s="32"/>
      <c r="BM28" s="32"/>
      <c r="BN28" s="32">
        <v>1500</v>
      </c>
    </row>
    <row r="29" spans="1:66">
      <c r="A29" s="29"/>
      <c r="B29" s="30">
        <v>1240180</v>
      </c>
      <c r="C29" s="32">
        <v>1650</v>
      </c>
      <c r="D29" s="32"/>
      <c r="E29" s="32"/>
      <c r="F29" s="32"/>
      <c r="G29" s="32"/>
      <c r="H29" s="32"/>
      <c r="I29" s="32"/>
      <c r="J29" s="32">
        <v>900</v>
      </c>
      <c r="K29" s="32"/>
      <c r="L29" s="32"/>
      <c r="M29" s="32"/>
      <c r="N29" s="32"/>
      <c r="O29" s="32"/>
      <c r="P29" s="32"/>
      <c r="Q29" s="32">
        <v>1350</v>
      </c>
      <c r="R29" s="32"/>
      <c r="S29" s="32"/>
      <c r="T29" s="32"/>
      <c r="U29" s="32"/>
      <c r="V29" s="32"/>
      <c r="W29" s="32"/>
      <c r="X29" s="32">
        <v>2400</v>
      </c>
      <c r="Y29" s="32"/>
      <c r="Z29" s="32"/>
      <c r="AA29" s="32"/>
      <c r="AB29" s="32"/>
      <c r="AC29" s="32"/>
      <c r="AD29" s="32"/>
      <c r="AE29" s="32">
        <v>2400</v>
      </c>
      <c r="AF29" s="32"/>
      <c r="AG29" s="32"/>
      <c r="AH29" s="32"/>
      <c r="AI29" s="32"/>
      <c r="AJ29" s="32"/>
      <c r="AK29" s="32"/>
      <c r="AL29" s="32">
        <v>1600</v>
      </c>
      <c r="AM29" s="32"/>
      <c r="AN29" s="32"/>
      <c r="AO29" s="32"/>
      <c r="AP29" s="32"/>
      <c r="AQ29" s="32"/>
      <c r="AR29" s="32"/>
      <c r="AS29" s="32">
        <v>2200</v>
      </c>
      <c r="AT29" s="32"/>
      <c r="AU29" s="32"/>
      <c r="AV29" s="32"/>
      <c r="AW29" s="32"/>
      <c r="AX29" s="32"/>
      <c r="AY29" s="32"/>
      <c r="AZ29" s="32">
        <v>2540</v>
      </c>
      <c r="BA29" s="32"/>
      <c r="BB29" s="32"/>
      <c r="BC29" s="32"/>
      <c r="BD29" s="32"/>
      <c r="BE29" s="32"/>
      <c r="BF29" s="32"/>
      <c r="BG29" s="32">
        <v>2700</v>
      </c>
      <c r="BH29" s="32"/>
      <c r="BI29" s="32"/>
      <c r="BJ29" s="32"/>
      <c r="BK29" s="32"/>
      <c r="BL29" s="32"/>
      <c r="BM29" s="32"/>
      <c r="BN29" s="32">
        <v>2000</v>
      </c>
    </row>
    <row r="30" spans="1:66">
      <c r="A30" s="29"/>
      <c r="B30" s="30">
        <v>1240184</v>
      </c>
      <c r="C30" s="32">
        <v>1450</v>
      </c>
      <c r="D30" s="32"/>
      <c r="E30" s="32"/>
      <c r="F30" s="32"/>
      <c r="G30" s="32"/>
      <c r="H30" s="32"/>
      <c r="I30" s="32"/>
      <c r="J30" s="32">
        <v>900</v>
      </c>
      <c r="K30" s="32"/>
      <c r="L30" s="32"/>
      <c r="M30" s="32"/>
      <c r="N30" s="32"/>
      <c r="O30" s="32"/>
      <c r="P30" s="32"/>
      <c r="Q30" s="32">
        <v>1350</v>
      </c>
      <c r="R30" s="32"/>
      <c r="S30" s="32"/>
      <c r="T30" s="32"/>
      <c r="U30" s="32"/>
      <c r="V30" s="32"/>
      <c r="W30" s="32"/>
      <c r="X30" s="32">
        <v>2200</v>
      </c>
      <c r="Y30" s="32"/>
      <c r="Z30" s="32"/>
      <c r="AA30" s="32"/>
      <c r="AB30" s="32"/>
      <c r="AC30" s="32"/>
      <c r="AD30" s="32"/>
      <c r="AE30" s="32">
        <v>2400</v>
      </c>
      <c r="AF30" s="32"/>
      <c r="AG30" s="32"/>
      <c r="AH30" s="32"/>
      <c r="AI30" s="32"/>
      <c r="AJ30" s="32"/>
      <c r="AK30" s="32"/>
      <c r="AL30" s="32">
        <v>1500</v>
      </c>
      <c r="AM30" s="32"/>
      <c r="AN30" s="32"/>
      <c r="AO30" s="32"/>
      <c r="AP30" s="32"/>
      <c r="AQ30" s="32"/>
      <c r="AR30" s="32"/>
      <c r="AS30" s="32">
        <v>2200</v>
      </c>
      <c r="AT30" s="32"/>
      <c r="AU30" s="32"/>
      <c r="AV30" s="32"/>
      <c r="AW30" s="32"/>
      <c r="AX30" s="32"/>
      <c r="AY30" s="32"/>
      <c r="AZ30" s="32">
        <v>2200</v>
      </c>
      <c r="BA30" s="32"/>
      <c r="BB30" s="32"/>
      <c r="BC30" s="32"/>
      <c r="BD30" s="32"/>
      <c r="BE30" s="32"/>
      <c r="BF30" s="32"/>
      <c r="BG30" s="32">
        <v>2300</v>
      </c>
      <c r="BH30" s="32"/>
      <c r="BI30" s="32"/>
      <c r="BJ30" s="32"/>
      <c r="BK30" s="32"/>
      <c r="BL30" s="32"/>
      <c r="BM30" s="32"/>
      <c r="BN30" s="32">
        <v>1800</v>
      </c>
    </row>
    <row r="31" spans="1:66">
      <c r="A31" s="29"/>
      <c r="B31" s="30">
        <v>1240308</v>
      </c>
      <c r="C31" s="32">
        <v>300</v>
      </c>
      <c r="D31" s="32"/>
      <c r="E31" s="32"/>
      <c r="F31" s="32"/>
      <c r="G31" s="32"/>
      <c r="H31" s="32"/>
      <c r="I31" s="32"/>
      <c r="J31" s="32">
        <v>0</v>
      </c>
      <c r="K31" s="32"/>
      <c r="L31" s="32"/>
      <c r="M31" s="32"/>
      <c r="N31" s="32"/>
      <c r="O31" s="32"/>
      <c r="P31" s="32"/>
      <c r="Q31" s="32">
        <v>0</v>
      </c>
      <c r="R31" s="32"/>
      <c r="S31" s="32"/>
      <c r="T31" s="32"/>
      <c r="U31" s="32"/>
      <c r="V31" s="32"/>
      <c r="W31" s="32"/>
      <c r="X31" s="32">
        <v>700</v>
      </c>
      <c r="Y31" s="32"/>
      <c r="Z31" s="32"/>
      <c r="AA31" s="32"/>
      <c r="AB31" s="32"/>
      <c r="AC31" s="32"/>
      <c r="AD31" s="32"/>
      <c r="AE31" s="32">
        <v>1000</v>
      </c>
      <c r="AF31" s="32"/>
      <c r="AG31" s="32"/>
      <c r="AH31" s="32"/>
      <c r="AI31" s="32"/>
      <c r="AJ31" s="32"/>
      <c r="AK31" s="32"/>
      <c r="AL31" s="32">
        <v>400</v>
      </c>
      <c r="AM31" s="32"/>
      <c r="AN31" s="32"/>
      <c r="AO31" s="32"/>
      <c r="AP31" s="32"/>
      <c r="AQ31" s="32"/>
      <c r="AR31" s="32"/>
      <c r="AS31" s="32">
        <v>0</v>
      </c>
      <c r="AT31" s="32"/>
      <c r="AU31" s="32"/>
      <c r="AV31" s="32"/>
      <c r="AW31" s="32"/>
      <c r="AX31" s="32"/>
      <c r="AY31" s="32"/>
      <c r="AZ31" s="32">
        <v>750</v>
      </c>
      <c r="BA31" s="32"/>
      <c r="BB31" s="32"/>
      <c r="BC31" s="32"/>
      <c r="BD31" s="32"/>
      <c r="BE31" s="32"/>
      <c r="BF31" s="32"/>
      <c r="BG31" s="32">
        <v>850</v>
      </c>
      <c r="BH31" s="32"/>
      <c r="BI31" s="32"/>
      <c r="BJ31" s="32"/>
      <c r="BK31" s="32"/>
      <c r="BL31" s="32"/>
      <c r="BM31" s="32"/>
      <c r="BN31" s="32">
        <v>0</v>
      </c>
    </row>
    <row r="32" spans="1:66">
      <c r="A32" s="29"/>
      <c r="B32" s="30">
        <v>1241134</v>
      </c>
      <c r="C32" s="32">
        <v>0</v>
      </c>
      <c r="D32" s="32"/>
      <c r="E32" s="32"/>
      <c r="F32" s="32"/>
      <c r="G32" s="32"/>
      <c r="H32" s="32"/>
      <c r="I32" s="32"/>
      <c r="J32" s="32">
        <v>0</v>
      </c>
      <c r="K32" s="32"/>
      <c r="L32" s="32"/>
      <c r="M32" s="32"/>
      <c r="N32" s="32"/>
      <c r="O32" s="32"/>
      <c r="P32" s="32"/>
      <c r="Q32" s="32">
        <v>0</v>
      </c>
      <c r="R32" s="32"/>
      <c r="S32" s="32"/>
      <c r="T32" s="32"/>
      <c r="U32" s="32"/>
      <c r="V32" s="32"/>
      <c r="W32" s="32"/>
      <c r="X32" s="32">
        <v>0</v>
      </c>
      <c r="Y32" s="32"/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>
        <v>2100</v>
      </c>
      <c r="AT32" s="32"/>
      <c r="AU32" s="32"/>
      <c r="AV32" s="32"/>
      <c r="AW32" s="32"/>
      <c r="AX32" s="32"/>
      <c r="AY32" s="32"/>
      <c r="AZ32" s="32">
        <v>1000</v>
      </c>
      <c r="BA32" s="32"/>
      <c r="BB32" s="32"/>
      <c r="BC32" s="32"/>
      <c r="BD32" s="32"/>
      <c r="BE32" s="32"/>
      <c r="BF32" s="32"/>
      <c r="BG32" s="32">
        <v>400</v>
      </c>
      <c r="BH32" s="32"/>
      <c r="BI32" s="32"/>
      <c r="BJ32" s="32"/>
      <c r="BK32" s="32"/>
      <c r="BL32" s="32"/>
      <c r="BM32" s="32"/>
      <c r="BN32" s="32">
        <v>100</v>
      </c>
    </row>
    <row r="33" spans="1:66">
      <c r="A33" s="29"/>
      <c r="B33" s="30">
        <v>1241601</v>
      </c>
      <c r="C33" s="32">
        <v>6600</v>
      </c>
      <c r="D33" s="32"/>
      <c r="E33" s="32"/>
      <c r="F33" s="32"/>
      <c r="G33" s="32"/>
      <c r="H33" s="32"/>
      <c r="I33" s="32"/>
      <c r="J33" s="32">
        <v>6000</v>
      </c>
      <c r="K33" s="32"/>
      <c r="L33" s="32"/>
      <c r="M33" s="32"/>
      <c r="N33" s="32"/>
      <c r="O33" s="32"/>
      <c r="P33" s="32"/>
      <c r="Q33" s="32">
        <v>4100</v>
      </c>
      <c r="R33" s="32"/>
      <c r="S33" s="32"/>
      <c r="T33" s="32"/>
      <c r="U33" s="32"/>
      <c r="V33" s="32"/>
      <c r="W33" s="32"/>
      <c r="X33" s="32">
        <v>4800</v>
      </c>
      <c r="Y33" s="32"/>
      <c r="Z33" s="32"/>
      <c r="AA33" s="32"/>
      <c r="AB33" s="32"/>
      <c r="AC33" s="32"/>
      <c r="AD33" s="32"/>
      <c r="AE33" s="32">
        <v>5100</v>
      </c>
      <c r="AF33" s="32"/>
      <c r="AG33" s="32"/>
      <c r="AH33" s="32"/>
      <c r="AI33" s="32"/>
      <c r="AJ33" s="32"/>
      <c r="AK33" s="32"/>
      <c r="AL33" s="32">
        <v>4700</v>
      </c>
      <c r="AM33" s="32"/>
      <c r="AN33" s="32"/>
      <c r="AO33" s="32"/>
      <c r="AP33" s="32"/>
      <c r="AQ33" s="32"/>
      <c r="AR33" s="32"/>
      <c r="AS33" s="32">
        <v>5700</v>
      </c>
      <c r="AT33" s="32"/>
      <c r="AU33" s="32"/>
      <c r="AV33" s="32"/>
      <c r="AW33" s="32"/>
      <c r="AX33" s="32"/>
      <c r="AY33" s="32"/>
      <c r="AZ33" s="32">
        <v>4900</v>
      </c>
      <c r="BA33" s="32"/>
      <c r="BB33" s="32"/>
      <c r="BC33" s="32"/>
      <c r="BD33" s="32"/>
      <c r="BE33" s="32"/>
      <c r="BF33" s="32"/>
      <c r="BG33" s="32">
        <v>4200</v>
      </c>
      <c r="BH33" s="32"/>
      <c r="BI33" s="32"/>
      <c r="BJ33" s="32"/>
      <c r="BK33" s="32"/>
      <c r="BL33" s="32"/>
      <c r="BM33" s="32"/>
      <c r="BN33" s="32">
        <v>4400</v>
      </c>
    </row>
    <row r="34" spans="1:66">
      <c r="A34" s="29"/>
      <c r="B34" s="30">
        <v>1242242</v>
      </c>
      <c r="C34" s="32">
        <v>0</v>
      </c>
      <c r="D34" s="32"/>
      <c r="E34" s="32"/>
      <c r="F34" s="32"/>
      <c r="G34" s="32"/>
      <c r="H34" s="32"/>
      <c r="I34" s="32"/>
      <c r="J34" s="32">
        <v>0</v>
      </c>
      <c r="K34" s="32"/>
      <c r="L34" s="32"/>
      <c r="M34" s="32"/>
      <c r="N34" s="32"/>
      <c r="O34" s="32"/>
      <c r="P34" s="32"/>
      <c r="Q34" s="32">
        <v>900</v>
      </c>
      <c r="R34" s="32"/>
      <c r="S34" s="32"/>
      <c r="T34" s="32"/>
      <c r="U34" s="32"/>
      <c r="V34" s="32"/>
      <c r="W34" s="32"/>
      <c r="X34" s="32">
        <v>900</v>
      </c>
      <c r="Y34" s="32"/>
      <c r="Z34" s="32"/>
      <c r="AA34" s="32"/>
      <c r="AB34" s="32"/>
      <c r="AC34" s="32"/>
      <c r="AD34" s="32"/>
      <c r="AE34" s="32">
        <v>1000</v>
      </c>
      <c r="AF34" s="32"/>
      <c r="AG34" s="32"/>
      <c r="AH34" s="32"/>
      <c r="AI34" s="32"/>
      <c r="AJ34" s="32"/>
      <c r="AK34" s="32"/>
      <c r="AL34" s="32">
        <v>600</v>
      </c>
      <c r="AM34" s="32"/>
      <c r="AN34" s="32"/>
      <c r="AO34" s="32"/>
      <c r="AP34" s="32"/>
      <c r="AQ34" s="32"/>
      <c r="AR34" s="32"/>
      <c r="AS34" s="32">
        <v>400</v>
      </c>
      <c r="AT34" s="32"/>
      <c r="AU34" s="32"/>
      <c r="AV34" s="32"/>
      <c r="AW34" s="32"/>
      <c r="AX34" s="32"/>
      <c r="AY34" s="32"/>
      <c r="AZ34" s="32">
        <v>700</v>
      </c>
      <c r="BA34" s="32"/>
      <c r="BB34" s="32"/>
      <c r="BC34" s="32"/>
      <c r="BD34" s="32"/>
      <c r="BE34" s="32"/>
      <c r="BF34" s="32"/>
      <c r="BG34" s="32">
        <v>400</v>
      </c>
      <c r="BH34" s="32"/>
      <c r="BI34" s="32"/>
      <c r="BJ34" s="32"/>
      <c r="BK34" s="32"/>
      <c r="BL34" s="32"/>
      <c r="BM34" s="32"/>
      <c r="BN34" s="32">
        <v>600</v>
      </c>
    </row>
    <row r="39" spans="1:66" s="33" customFormat="1">
      <c r="A39" s="300"/>
      <c r="B39" s="300" t="s">
        <v>0</v>
      </c>
      <c r="C39" s="114" t="s">
        <v>927</v>
      </c>
      <c r="D39" s="114"/>
      <c r="E39" s="114"/>
      <c r="F39" s="114"/>
      <c r="G39" s="114"/>
      <c r="H39" s="114"/>
      <c r="I39" s="114"/>
      <c r="J39" s="114" t="s">
        <v>939</v>
      </c>
      <c r="K39" s="114"/>
      <c r="L39" s="114"/>
      <c r="M39" s="114"/>
      <c r="N39" s="114"/>
      <c r="O39" s="114"/>
      <c r="P39" s="114"/>
      <c r="Q39" s="114" t="s">
        <v>997</v>
      </c>
      <c r="R39" s="114"/>
      <c r="S39" s="114"/>
      <c r="T39" s="114"/>
      <c r="U39" s="114"/>
      <c r="V39" s="114"/>
      <c r="W39" s="114"/>
      <c r="X39" s="114" t="s">
        <v>1045</v>
      </c>
      <c r="Y39" s="114"/>
      <c r="Z39" s="114"/>
      <c r="AA39" s="114"/>
      <c r="AB39" s="114"/>
      <c r="AC39" s="114"/>
      <c r="AD39" s="114"/>
      <c r="AE39" s="114" t="s">
        <v>1089</v>
      </c>
      <c r="AF39" s="114"/>
      <c r="AG39" s="114"/>
      <c r="AH39" s="114"/>
      <c r="AI39" s="114"/>
      <c r="AJ39" s="114"/>
      <c r="AK39" s="114"/>
      <c r="AL39" s="114" t="s">
        <v>1152</v>
      </c>
      <c r="AM39" s="114"/>
      <c r="AN39" s="114"/>
      <c r="AO39" s="114"/>
      <c r="AP39" s="114"/>
      <c r="AQ39" s="114"/>
      <c r="AR39" s="114"/>
      <c r="AS39" s="114" t="s">
        <v>1212</v>
      </c>
      <c r="AT39" s="114"/>
      <c r="AU39" s="114"/>
      <c r="AV39" s="114"/>
      <c r="AW39" s="114"/>
      <c r="AX39" s="114"/>
      <c r="AY39" s="114"/>
      <c r="AZ39" s="114" t="s">
        <v>1239</v>
      </c>
      <c r="BA39" s="114"/>
      <c r="BB39" s="114"/>
      <c r="BC39" s="114"/>
      <c r="BD39" s="114"/>
      <c r="BE39" s="114"/>
      <c r="BF39" s="114"/>
      <c r="BG39" s="114" t="s">
        <v>1255</v>
      </c>
      <c r="BH39" s="114"/>
      <c r="BI39" s="114"/>
      <c r="BJ39" s="114"/>
      <c r="BK39" s="114"/>
      <c r="BL39" s="114"/>
      <c r="BM39" s="114"/>
      <c r="BN39" s="114" t="s">
        <v>12</v>
      </c>
    </row>
    <row r="40" spans="1:66" s="33" customFormat="1">
      <c r="A40" s="300"/>
      <c r="B40" s="301"/>
      <c r="C40" s="60" t="s">
        <v>928</v>
      </c>
      <c r="D40" s="60"/>
      <c r="E40" s="60"/>
      <c r="F40" s="60"/>
      <c r="G40" s="60"/>
      <c r="H40" s="60"/>
      <c r="I40" s="60"/>
      <c r="J40" s="60" t="s">
        <v>998</v>
      </c>
      <c r="K40" s="60"/>
      <c r="L40" s="60"/>
      <c r="M40" s="60"/>
      <c r="N40" s="60"/>
      <c r="O40" s="60"/>
      <c r="P40" s="60"/>
      <c r="Q40" s="60" t="s">
        <v>999</v>
      </c>
      <c r="R40" s="60"/>
      <c r="S40" s="60"/>
      <c r="T40" s="60"/>
      <c r="U40" s="60"/>
      <c r="V40" s="60"/>
      <c r="W40" s="60"/>
      <c r="X40" s="60" t="s">
        <v>1046</v>
      </c>
      <c r="Y40" s="60"/>
      <c r="Z40" s="60"/>
      <c r="AA40" s="60"/>
      <c r="AB40" s="60"/>
      <c r="AC40" s="60"/>
      <c r="AD40" s="60"/>
      <c r="AE40" s="60" t="s">
        <v>1090</v>
      </c>
      <c r="AF40" s="60"/>
      <c r="AG40" s="60"/>
      <c r="AH40" s="60"/>
      <c r="AI40" s="60"/>
      <c r="AJ40" s="60"/>
      <c r="AK40" s="60"/>
      <c r="AL40" s="60" t="s">
        <v>1153</v>
      </c>
      <c r="AM40" s="60"/>
      <c r="AN40" s="60"/>
      <c r="AO40" s="60"/>
      <c r="AP40" s="60"/>
      <c r="AQ40" s="60"/>
      <c r="AR40" s="60"/>
      <c r="AS40" s="60" t="s">
        <v>1213</v>
      </c>
      <c r="AT40" s="60"/>
      <c r="AU40" s="60"/>
      <c r="AV40" s="60"/>
      <c r="AW40" s="60"/>
      <c r="AX40" s="60"/>
      <c r="AY40" s="60"/>
      <c r="AZ40" s="60" t="s">
        <v>1240</v>
      </c>
      <c r="BA40" s="60"/>
      <c r="BB40" s="60"/>
      <c r="BC40" s="60"/>
      <c r="BD40" s="60"/>
      <c r="BE40" s="60"/>
      <c r="BF40" s="60"/>
      <c r="BG40" s="60" t="s">
        <v>1256</v>
      </c>
      <c r="BH40" s="60"/>
      <c r="BI40" s="60"/>
      <c r="BJ40" s="60"/>
      <c r="BK40" s="60"/>
      <c r="BL40" s="60"/>
      <c r="BM40" s="60"/>
      <c r="BN40" s="60" t="s">
        <v>1257</v>
      </c>
    </row>
    <row r="41" spans="1:66">
      <c r="A41" s="29"/>
      <c r="B41" s="89">
        <v>1216452</v>
      </c>
      <c r="C41" s="32">
        <v>3079</v>
      </c>
      <c r="D41" s="32"/>
      <c r="E41" s="32"/>
      <c r="F41" s="32"/>
      <c r="G41" s="32"/>
      <c r="H41" s="32"/>
      <c r="I41" s="32"/>
      <c r="J41" s="32">
        <v>900</v>
      </c>
      <c r="K41" s="32"/>
      <c r="L41" s="32"/>
      <c r="M41" s="32"/>
      <c r="N41" s="32"/>
      <c r="O41" s="32"/>
      <c r="P41" s="32"/>
      <c r="Q41" s="32">
        <v>486</v>
      </c>
      <c r="R41" s="32"/>
      <c r="S41" s="32"/>
      <c r="T41" s="32"/>
      <c r="U41" s="32"/>
      <c r="V41" s="32"/>
      <c r="W41" s="32"/>
      <c r="X41" s="32">
        <v>288</v>
      </c>
      <c r="Y41" s="32"/>
      <c r="Z41" s="32"/>
      <c r="AA41" s="32"/>
      <c r="AB41" s="32"/>
      <c r="AC41" s="32"/>
      <c r="AD41" s="32"/>
      <c r="AE41" s="32">
        <v>1212</v>
      </c>
      <c r="AF41" s="32"/>
      <c r="AG41" s="32"/>
      <c r="AH41" s="32"/>
      <c r="AI41" s="32"/>
      <c r="AJ41" s="32"/>
      <c r="AK41" s="32"/>
      <c r="AL41" s="32">
        <v>324</v>
      </c>
      <c r="AM41" s="32"/>
      <c r="AN41" s="32"/>
      <c r="AO41" s="32"/>
      <c r="AP41" s="32"/>
      <c r="AQ41" s="32"/>
      <c r="AR41" s="32"/>
      <c r="AS41" s="32">
        <v>0</v>
      </c>
      <c r="AT41" s="32"/>
      <c r="AU41" s="32"/>
      <c r="AV41" s="32"/>
      <c r="AW41" s="32"/>
      <c r="AX41" s="32"/>
      <c r="AY41" s="32"/>
      <c r="AZ41" s="32">
        <v>0</v>
      </c>
      <c r="BA41" s="32"/>
      <c r="BB41" s="32"/>
      <c r="BC41" s="32"/>
      <c r="BD41" s="32"/>
      <c r="BE41" s="32"/>
      <c r="BF41" s="32"/>
      <c r="BG41" s="32">
        <v>1188</v>
      </c>
      <c r="BH41" s="32"/>
      <c r="BI41" s="32"/>
      <c r="BJ41" s="32"/>
      <c r="BK41" s="32"/>
      <c r="BL41" s="32"/>
      <c r="BM41" s="32"/>
      <c r="BN41" s="32">
        <v>0</v>
      </c>
    </row>
    <row r="42" spans="1:66">
      <c r="A42" s="29"/>
      <c r="B42" s="30">
        <v>1220847</v>
      </c>
      <c r="C42" s="32">
        <v>875</v>
      </c>
      <c r="D42" s="32"/>
      <c r="E42" s="32"/>
      <c r="F42" s="32"/>
      <c r="G42" s="32"/>
      <c r="H42" s="32"/>
      <c r="I42" s="32"/>
      <c r="J42" s="32">
        <v>875</v>
      </c>
      <c r="K42" s="32"/>
      <c r="L42" s="32"/>
      <c r="M42" s="32"/>
      <c r="N42" s="32"/>
      <c r="O42" s="32"/>
      <c r="P42" s="32"/>
      <c r="Q42" s="32">
        <v>753</v>
      </c>
      <c r="R42" s="32"/>
      <c r="S42" s="32"/>
      <c r="T42" s="32"/>
      <c r="U42" s="32"/>
      <c r="V42" s="32"/>
      <c r="W42" s="32"/>
      <c r="X42" s="32">
        <v>1550</v>
      </c>
      <c r="Y42" s="32"/>
      <c r="Z42" s="32"/>
      <c r="AA42" s="32"/>
      <c r="AB42" s="32"/>
      <c r="AC42" s="32"/>
      <c r="AD42" s="32"/>
      <c r="AE42" s="32">
        <v>752</v>
      </c>
      <c r="AF42" s="32"/>
      <c r="AG42" s="32"/>
      <c r="AH42" s="32"/>
      <c r="AI42" s="32"/>
      <c r="AJ42" s="32"/>
      <c r="AK42" s="32"/>
      <c r="AL42" s="32">
        <v>0</v>
      </c>
      <c r="AM42" s="32"/>
      <c r="AN42" s="32"/>
      <c r="AO42" s="32"/>
      <c r="AP42" s="32"/>
      <c r="AQ42" s="32"/>
      <c r="AR42" s="32"/>
      <c r="AS42" s="32">
        <v>0</v>
      </c>
      <c r="AT42" s="32"/>
      <c r="AU42" s="32"/>
      <c r="AV42" s="32"/>
      <c r="AW42" s="32"/>
      <c r="AX42" s="32"/>
      <c r="AY42" s="32"/>
      <c r="AZ42" s="32">
        <v>1360</v>
      </c>
      <c r="BA42" s="32"/>
      <c r="BB42" s="32"/>
      <c r="BC42" s="32"/>
      <c r="BD42" s="32"/>
      <c r="BE42" s="32"/>
      <c r="BF42" s="32"/>
      <c r="BG42" s="32">
        <v>1000</v>
      </c>
      <c r="BH42" s="32"/>
      <c r="BI42" s="32"/>
      <c r="BJ42" s="32"/>
      <c r="BK42" s="32"/>
      <c r="BL42" s="32"/>
      <c r="BM42" s="32"/>
      <c r="BN42" s="32">
        <v>0</v>
      </c>
    </row>
    <row r="43" spans="1:66">
      <c r="A43" s="29"/>
      <c r="B43" s="30">
        <v>1221254</v>
      </c>
      <c r="C43" s="32">
        <v>0</v>
      </c>
      <c r="D43" s="32"/>
      <c r="E43" s="32"/>
      <c r="F43" s="32"/>
      <c r="G43" s="32"/>
      <c r="H43" s="32"/>
      <c r="I43" s="32"/>
      <c r="J43" s="32">
        <v>0</v>
      </c>
      <c r="K43" s="32"/>
      <c r="L43" s="32"/>
      <c r="M43" s="32"/>
      <c r="N43" s="32"/>
      <c r="O43" s="32"/>
      <c r="P43" s="32"/>
      <c r="Q43" s="32">
        <v>0</v>
      </c>
      <c r="R43" s="32"/>
      <c r="S43" s="32"/>
      <c r="T43" s="32"/>
      <c r="U43" s="32"/>
      <c r="V43" s="32"/>
      <c r="W43" s="32"/>
      <c r="X43" s="32">
        <v>0</v>
      </c>
      <c r="Y43" s="32"/>
      <c r="Z43" s="32"/>
      <c r="AA43" s="32"/>
      <c r="AB43" s="32"/>
      <c r="AC43" s="32"/>
      <c r="AD43" s="32"/>
      <c r="AE43" s="32">
        <v>0</v>
      </c>
      <c r="AF43" s="32"/>
      <c r="AG43" s="32"/>
      <c r="AH43" s="32"/>
      <c r="AI43" s="32"/>
      <c r="AJ43" s="32"/>
      <c r="AK43" s="32"/>
      <c r="AL43" s="32">
        <v>0</v>
      </c>
      <c r="AM43" s="32"/>
      <c r="AN43" s="32"/>
      <c r="AO43" s="32"/>
      <c r="AP43" s="32"/>
      <c r="AQ43" s="32"/>
      <c r="AR43" s="32"/>
      <c r="AS43" s="32">
        <v>0</v>
      </c>
      <c r="AT43" s="32"/>
      <c r="AU43" s="32"/>
      <c r="AV43" s="32"/>
      <c r="AW43" s="32"/>
      <c r="AX43" s="32"/>
      <c r="AY43" s="32"/>
      <c r="AZ43" s="32">
        <v>0</v>
      </c>
      <c r="BA43" s="32"/>
      <c r="BB43" s="32"/>
      <c r="BC43" s="32"/>
      <c r="BD43" s="32"/>
      <c r="BE43" s="32"/>
      <c r="BF43" s="32"/>
      <c r="BG43" s="32">
        <v>50</v>
      </c>
      <c r="BH43" s="32"/>
      <c r="BI43" s="32"/>
      <c r="BJ43" s="32"/>
      <c r="BK43" s="32"/>
      <c r="BL43" s="32"/>
      <c r="BM43" s="32"/>
      <c r="BN43" s="32">
        <v>0</v>
      </c>
    </row>
    <row r="44" spans="1:66">
      <c r="A44" s="29"/>
      <c r="B44" s="30">
        <v>1221967</v>
      </c>
      <c r="C44" s="32">
        <v>276</v>
      </c>
      <c r="D44" s="32"/>
      <c r="E44" s="32"/>
      <c r="F44" s="32"/>
      <c r="G44" s="32"/>
      <c r="H44" s="32"/>
      <c r="I44" s="32"/>
      <c r="J44" s="32">
        <v>0</v>
      </c>
      <c r="K44" s="32"/>
      <c r="L44" s="32"/>
      <c r="M44" s="32"/>
      <c r="N44" s="32"/>
      <c r="O44" s="32"/>
      <c r="P44" s="32"/>
      <c r="Q44" s="32">
        <v>0</v>
      </c>
      <c r="R44" s="32"/>
      <c r="S44" s="32"/>
      <c r="T44" s="32"/>
      <c r="U44" s="32"/>
      <c r="V44" s="32"/>
      <c r="W44" s="32"/>
      <c r="X44" s="32">
        <v>0</v>
      </c>
      <c r="Y44" s="32"/>
      <c r="Z44" s="32"/>
      <c r="AA44" s="32"/>
      <c r="AB44" s="32"/>
      <c r="AC44" s="32"/>
      <c r="AD44" s="32"/>
      <c r="AE44" s="32">
        <v>0</v>
      </c>
      <c r="AF44" s="32"/>
      <c r="AG44" s="32"/>
      <c r="AH44" s="32"/>
      <c r="AI44" s="32"/>
      <c r="AJ44" s="32"/>
      <c r="AK44" s="32"/>
      <c r="AL44" s="32">
        <v>238</v>
      </c>
      <c r="AM44" s="32"/>
      <c r="AN44" s="32"/>
      <c r="AO44" s="32"/>
      <c r="AP44" s="32"/>
      <c r="AQ44" s="32"/>
      <c r="AR44" s="32"/>
      <c r="AS44" s="32">
        <v>0</v>
      </c>
      <c r="AT44" s="32"/>
      <c r="AU44" s="32"/>
      <c r="AV44" s="32"/>
      <c r="AW44" s="32"/>
      <c r="AX44" s="32"/>
      <c r="AY44" s="32"/>
      <c r="AZ44" s="32">
        <v>0</v>
      </c>
      <c r="BA44" s="32"/>
      <c r="BB44" s="32"/>
      <c r="BC44" s="32"/>
      <c r="BD44" s="32"/>
      <c r="BE44" s="32"/>
      <c r="BF44" s="32"/>
      <c r="BG44" s="32">
        <v>0</v>
      </c>
      <c r="BH44" s="32"/>
      <c r="BI44" s="32"/>
      <c r="BJ44" s="32"/>
      <c r="BK44" s="32"/>
      <c r="BL44" s="32"/>
      <c r="BM44" s="32"/>
      <c r="BN44" s="32">
        <v>0</v>
      </c>
    </row>
    <row r="45" spans="1:66">
      <c r="A45" s="29"/>
      <c r="B45" s="30">
        <v>1225464</v>
      </c>
      <c r="C45" s="32">
        <v>0</v>
      </c>
      <c r="D45" s="32"/>
      <c r="E45" s="32"/>
      <c r="F45" s="32"/>
      <c r="G45" s="32"/>
      <c r="H45" s="32"/>
      <c r="I45" s="32"/>
      <c r="J45" s="32">
        <v>0</v>
      </c>
      <c r="K45" s="32"/>
      <c r="L45" s="32"/>
      <c r="M45" s="32"/>
      <c r="N45" s="32"/>
      <c r="O45" s="32"/>
      <c r="P45" s="32"/>
      <c r="Q45" s="32">
        <v>0</v>
      </c>
      <c r="R45" s="32"/>
      <c r="S45" s="32"/>
      <c r="T45" s="32"/>
      <c r="U45" s="32"/>
      <c r="V45" s="32"/>
      <c r="W45" s="32"/>
      <c r="X45" s="32">
        <v>0</v>
      </c>
      <c r="Y45" s="32"/>
      <c r="Z45" s="32"/>
      <c r="AA45" s="32"/>
      <c r="AB45" s="32"/>
      <c r="AC45" s="32"/>
      <c r="AD45" s="32"/>
      <c r="AE45" s="32">
        <v>0</v>
      </c>
      <c r="AF45" s="32"/>
      <c r="AG45" s="32"/>
      <c r="AH45" s="32"/>
      <c r="AI45" s="32"/>
      <c r="AJ45" s="32"/>
      <c r="AK45" s="32"/>
      <c r="AL45" s="32">
        <v>0</v>
      </c>
      <c r="AM45" s="32"/>
      <c r="AN45" s="32"/>
      <c r="AO45" s="32"/>
      <c r="AP45" s="32"/>
      <c r="AQ45" s="32"/>
      <c r="AR45" s="32"/>
      <c r="AS45" s="32">
        <v>0</v>
      </c>
      <c r="AT45" s="32"/>
      <c r="AU45" s="32"/>
      <c r="AV45" s="32"/>
      <c r="AW45" s="32"/>
      <c r="AX45" s="32"/>
      <c r="AY45" s="32"/>
      <c r="AZ45" s="32">
        <v>756</v>
      </c>
      <c r="BA45" s="32"/>
      <c r="BB45" s="32"/>
      <c r="BC45" s="32"/>
      <c r="BD45" s="32"/>
      <c r="BE45" s="32"/>
      <c r="BF45" s="32"/>
      <c r="BG45" s="32">
        <v>0</v>
      </c>
      <c r="BH45" s="32"/>
      <c r="BI45" s="32"/>
      <c r="BJ45" s="32"/>
      <c r="BK45" s="32"/>
      <c r="BL45" s="32"/>
      <c r="BM45" s="32"/>
      <c r="BN45" s="32">
        <v>0</v>
      </c>
    </row>
    <row r="46" spans="1:66">
      <c r="A46" s="29"/>
      <c r="B46" s="30">
        <v>1227306</v>
      </c>
      <c r="C46" s="32">
        <v>484</v>
      </c>
      <c r="D46" s="32"/>
      <c r="E46" s="32"/>
      <c r="F46" s="32"/>
      <c r="G46" s="32"/>
      <c r="H46" s="32"/>
      <c r="I46" s="32"/>
      <c r="J46" s="32">
        <v>0</v>
      </c>
      <c r="K46" s="32"/>
      <c r="L46" s="32"/>
      <c r="M46" s="32"/>
      <c r="N46" s="32"/>
      <c r="O46" s="32"/>
      <c r="P46" s="32"/>
      <c r="Q46" s="32">
        <v>400</v>
      </c>
      <c r="R46" s="32"/>
      <c r="S46" s="32"/>
      <c r="T46" s="32"/>
      <c r="U46" s="32"/>
      <c r="V46" s="32"/>
      <c r="W46" s="32"/>
      <c r="X46" s="32">
        <v>700</v>
      </c>
      <c r="Y46" s="32"/>
      <c r="Z46" s="32"/>
      <c r="AA46" s="32"/>
      <c r="AB46" s="32"/>
      <c r="AC46" s="32"/>
      <c r="AD46" s="32"/>
      <c r="AE46" s="32">
        <v>400</v>
      </c>
      <c r="AF46" s="32"/>
      <c r="AG46" s="32"/>
      <c r="AH46" s="32"/>
      <c r="AI46" s="32"/>
      <c r="AJ46" s="32"/>
      <c r="AK46" s="32"/>
      <c r="AL46" s="32">
        <v>400</v>
      </c>
      <c r="AM46" s="32"/>
      <c r="AN46" s="32"/>
      <c r="AO46" s="32"/>
      <c r="AP46" s="32"/>
      <c r="AQ46" s="32"/>
      <c r="AR46" s="32"/>
      <c r="AS46" s="32">
        <v>400</v>
      </c>
      <c r="AT46" s="32"/>
      <c r="AU46" s="32"/>
      <c r="AV46" s="32"/>
      <c r="AW46" s="32"/>
      <c r="AX46" s="32"/>
      <c r="AY46" s="32"/>
      <c r="AZ46" s="32">
        <v>300</v>
      </c>
      <c r="BA46" s="32"/>
      <c r="BB46" s="32"/>
      <c r="BC46" s="32"/>
      <c r="BD46" s="32"/>
      <c r="BE46" s="32"/>
      <c r="BF46" s="32"/>
      <c r="BG46" s="32">
        <v>300</v>
      </c>
      <c r="BH46" s="32"/>
      <c r="BI46" s="32"/>
      <c r="BJ46" s="32"/>
      <c r="BK46" s="32"/>
      <c r="BL46" s="32"/>
      <c r="BM46" s="32"/>
      <c r="BN46" s="32">
        <v>200</v>
      </c>
    </row>
    <row r="47" spans="1:66">
      <c r="A47" s="29"/>
      <c r="B47" s="30">
        <v>1229050</v>
      </c>
      <c r="C47" s="32">
        <v>85</v>
      </c>
      <c r="D47" s="32"/>
      <c r="E47" s="32"/>
      <c r="F47" s="32"/>
      <c r="G47" s="32"/>
      <c r="H47" s="32"/>
      <c r="I47" s="32"/>
      <c r="J47" s="32">
        <v>0</v>
      </c>
      <c r="K47" s="32"/>
      <c r="L47" s="32"/>
      <c r="M47" s="32"/>
      <c r="N47" s="32"/>
      <c r="O47" s="32"/>
      <c r="P47" s="32"/>
      <c r="Q47" s="32">
        <v>0</v>
      </c>
      <c r="R47" s="32"/>
      <c r="S47" s="32"/>
      <c r="T47" s="32"/>
      <c r="U47" s="32"/>
      <c r="V47" s="32"/>
      <c r="W47" s="32"/>
      <c r="X47" s="32">
        <v>0</v>
      </c>
      <c r="Y47" s="32"/>
      <c r="Z47" s="32"/>
      <c r="AA47" s="32"/>
      <c r="AB47" s="32"/>
      <c r="AC47" s="32"/>
      <c r="AD47" s="32"/>
      <c r="AE47" s="32">
        <v>305</v>
      </c>
      <c r="AF47" s="32"/>
      <c r="AG47" s="32"/>
      <c r="AH47" s="32"/>
      <c r="AI47" s="32"/>
      <c r="AJ47" s="32"/>
      <c r="AK47" s="32"/>
      <c r="AL47" s="32">
        <v>0</v>
      </c>
      <c r="AM47" s="32"/>
      <c r="AN47" s="32"/>
      <c r="AO47" s="32"/>
      <c r="AP47" s="32"/>
      <c r="AQ47" s="32"/>
      <c r="AR47" s="32"/>
      <c r="AS47" s="32">
        <v>0</v>
      </c>
      <c r="AT47" s="32"/>
      <c r="AU47" s="32"/>
      <c r="AV47" s="32"/>
      <c r="AW47" s="32"/>
      <c r="AX47" s="32"/>
      <c r="AY47" s="32"/>
      <c r="AZ47" s="32">
        <v>0</v>
      </c>
      <c r="BA47" s="32"/>
      <c r="BB47" s="32"/>
      <c r="BC47" s="32"/>
      <c r="BD47" s="32"/>
      <c r="BE47" s="32"/>
      <c r="BF47" s="32"/>
      <c r="BG47" s="32">
        <v>295</v>
      </c>
      <c r="BH47" s="32"/>
      <c r="BI47" s="32"/>
      <c r="BJ47" s="32"/>
      <c r="BK47" s="32"/>
      <c r="BL47" s="32"/>
      <c r="BM47" s="32"/>
      <c r="BN47" s="32">
        <v>0</v>
      </c>
    </row>
    <row r="48" spans="1:66">
      <c r="A48" s="29"/>
      <c r="B48" s="30">
        <v>1229088</v>
      </c>
      <c r="C48" s="32">
        <v>0</v>
      </c>
      <c r="D48" s="32"/>
      <c r="E48" s="32"/>
      <c r="F48" s="32"/>
      <c r="G48" s="32"/>
      <c r="H48" s="32"/>
      <c r="I48" s="32"/>
      <c r="J48" s="32">
        <v>200</v>
      </c>
      <c r="K48" s="32"/>
      <c r="L48" s="32"/>
      <c r="M48" s="32"/>
      <c r="N48" s="32"/>
      <c r="O48" s="32"/>
      <c r="P48" s="32"/>
      <c r="Q48" s="32">
        <v>0</v>
      </c>
      <c r="R48" s="32"/>
      <c r="S48" s="32"/>
      <c r="T48" s="32"/>
      <c r="U48" s="32"/>
      <c r="V48" s="32"/>
      <c r="W48" s="32"/>
      <c r="X48" s="32">
        <v>0</v>
      </c>
      <c r="Y48" s="32"/>
      <c r="Z48" s="32"/>
      <c r="AA48" s="32"/>
      <c r="AB48" s="32"/>
      <c r="AC48" s="32"/>
      <c r="AD48" s="32"/>
      <c r="AE48" s="32">
        <v>200</v>
      </c>
      <c r="AF48" s="32"/>
      <c r="AG48" s="32"/>
      <c r="AH48" s="32"/>
      <c r="AI48" s="32"/>
      <c r="AJ48" s="32"/>
      <c r="AK48" s="32"/>
      <c r="AL48" s="32">
        <v>50</v>
      </c>
      <c r="AM48" s="32"/>
      <c r="AN48" s="32"/>
      <c r="AO48" s="32"/>
      <c r="AP48" s="32"/>
      <c r="AQ48" s="32"/>
      <c r="AR48" s="32"/>
      <c r="AS48" s="32">
        <v>0</v>
      </c>
      <c r="AT48" s="32"/>
      <c r="AU48" s="32"/>
      <c r="AV48" s="32"/>
      <c r="AW48" s="32"/>
      <c r="AX48" s="32"/>
      <c r="AY48" s="32"/>
      <c r="AZ48" s="32">
        <v>0</v>
      </c>
      <c r="BA48" s="32"/>
      <c r="BB48" s="32"/>
      <c r="BC48" s="32"/>
      <c r="BD48" s="32"/>
      <c r="BE48" s="32"/>
      <c r="BF48" s="32"/>
      <c r="BG48" s="32">
        <v>0</v>
      </c>
      <c r="BH48" s="32"/>
      <c r="BI48" s="32"/>
      <c r="BJ48" s="32"/>
      <c r="BK48" s="32"/>
      <c r="BL48" s="32"/>
      <c r="BM48" s="32"/>
      <c r="BN48" s="32">
        <v>0</v>
      </c>
    </row>
    <row r="49" spans="1:66">
      <c r="A49" s="29"/>
      <c r="B49" s="30">
        <v>1229776</v>
      </c>
      <c r="C49" s="32">
        <v>180</v>
      </c>
      <c r="D49" s="32"/>
      <c r="E49" s="32"/>
      <c r="F49" s="32"/>
      <c r="G49" s="32"/>
      <c r="H49" s="32"/>
      <c r="I49" s="32"/>
      <c r="J49" s="32">
        <v>0</v>
      </c>
      <c r="K49" s="32"/>
      <c r="L49" s="32"/>
      <c r="M49" s="32"/>
      <c r="N49" s="32"/>
      <c r="O49" s="32"/>
      <c r="P49" s="32"/>
      <c r="Q49" s="32">
        <v>0</v>
      </c>
      <c r="R49" s="32"/>
      <c r="S49" s="32"/>
      <c r="T49" s="32"/>
      <c r="U49" s="32"/>
      <c r="V49" s="32"/>
      <c r="W49" s="32"/>
      <c r="X49" s="32">
        <v>90</v>
      </c>
      <c r="Y49" s="32"/>
      <c r="Z49" s="32"/>
      <c r="AA49" s="32"/>
      <c r="AB49" s="32"/>
      <c r="AC49" s="32"/>
      <c r="AD49" s="32"/>
      <c r="AE49" s="32">
        <v>350</v>
      </c>
      <c r="AF49" s="32"/>
      <c r="AG49" s="32"/>
      <c r="AH49" s="32"/>
      <c r="AI49" s="32"/>
      <c r="AJ49" s="32"/>
      <c r="AK49" s="32"/>
      <c r="AL49" s="32">
        <v>0</v>
      </c>
      <c r="AM49" s="32"/>
      <c r="AN49" s="32"/>
      <c r="AO49" s="32"/>
      <c r="AP49" s="32"/>
      <c r="AQ49" s="32"/>
      <c r="AR49" s="32"/>
      <c r="AS49" s="32">
        <v>0</v>
      </c>
      <c r="AT49" s="32"/>
      <c r="AU49" s="32"/>
      <c r="AV49" s="32"/>
      <c r="AW49" s="32"/>
      <c r="AX49" s="32"/>
      <c r="AY49" s="32"/>
      <c r="AZ49" s="32">
        <v>90</v>
      </c>
      <c r="BA49" s="32"/>
      <c r="BB49" s="32"/>
      <c r="BC49" s="32"/>
      <c r="BD49" s="32"/>
      <c r="BE49" s="32"/>
      <c r="BF49" s="32"/>
      <c r="BG49" s="32">
        <v>0</v>
      </c>
      <c r="BH49" s="32"/>
      <c r="BI49" s="32"/>
      <c r="BJ49" s="32"/>
      <c r="BK49" s="32"/>
      <c r="BL49" s="32"/>
      <c r="BM49" s="32"/>
      <c r="BN49" s="32">
        <v>0</v>
      </c>
    </row>
    <row r="50" spans="1:66">
      <c r="A50" s="29"/>
      <c r="B50" s="30">
        <v>1230685</v>
      </c>
      <c r="C50" s="32">
        <v>0</v>
      </c>
      <c r="D50" s="32"/>
      <c r="E50" s="32"/>
      <c r="F50" s="32"/>
      <c r="G50" s="32"/>
      <c r="H50" s="32"/>
      <c r="I50" s="32"/>
      <c r="J50" s="32">
        <v>0</v>
      </c>
      <c r="K50" s="32"/>
      <c r="L50" s="32"/>
      <c r="M50" s="32"/>
      <c r="N50" s="32"/>
      <c r="O50" s="32"/>
      <c r="P50" s="32"/>
      <c r="Q50" s="32">
        <v>0</v>
      </c>
      <c r="R50" s="32"/>
      <c r="S50" s="32"/>
      <c r="T50" s="32"/>
      <c r="U50" s="32"/>
      <c r="V50" s="32"/>
      <c r="W50" s="32"/>
      <c r="X50" s="32">
        <v>400</v>
      </c>
      <c r="Y50" s="32"/>
      <c r="Z50" s="32"/>
      <c r="AA50" s="32"/>
      <c r="AB50" s="32"/>
      <c r="AC50" s="32"/>
      <c r="AD50" s="32"/>
      <c r="AE50" s="32">
        <v>0</v>
      </c>
      <c r="AF50" s="32"/>
      <c r="AG50" s="32"/>
      <c r="AH50" s="32"/>
      <c r="AI50" s="32"/>
      <c r="AJ50" s="32"/>
      <c r="AK50" s="32"/>
      <c r="AL50" s="32">
        <v>0</v>
      </c>
      <c r="AM50" s="32"/>
      <c r="AN50" s="32"/>
      <c r="AO50" s="32"/>
      <c r="AP50" s="32"/>
      <c r="AQ50" s="32"/>
      <c r="AR50" s="32"/>
      <c r="AS50" s="32">
        <v>0</v>
      </c>
      <c r="AT50" s="32"/>
      <c r="AU50" s="32"/>
      <c r="AV50" s="32"/>
      <c r="AW50" s="32"/>
      <c r="AX50" s="32"/>
      <c r="AY50" s="32"/>
      <c r="AZ50" s="32">
        <v>400</v>
      </c>
      <c r="BA50" s="32"/>
      <c r="BB50" s="32"/>
      <c r="BC50" s="32"/>
      <c r="BD50" s="32"/>
      <c r="BE50" s="32"/>
      <c r="BF50" s="32"/>
      <c r="BG50" s="32">
        <v>0</v>
      </c>
      <c r="BH50" s="32"/>
      <c r="BI50" s="32"/>
      <c r="BJ50" s="32"/>
      <c r="BK50" s="32"/>
      <c r="BL50" s="32"/>
      <c r="BM50" s="32"/>
      <c r="BN50" s="32">
        <v>0</v>
      </c>
    </row>
    <row r="51" spans="1:66">
      <c r="A51" s="29"/>
      <c r="B51" s="30">
        <v>1230791</v>
      </c>
      <c r="C51" s="32">
        <v>0</v>
      </c>
      <c r="D51" s="32"/>
      <c r="E51" s="32"/>
      <c r="F51" s="32"/>
      <c r="G51" s="32"/>
      <c r="H51" s="32"/>
      <c r="I51" s="32"/>
      <c r="J51" s="32">
        <v>0</v>
      </c>
      <c r="K51" s="32"/>
      <c r="L51" s="32"/>
      <c r="M51" s="32"/>
      <c r="N51" s="32"/>
      <c r="O51" s="32"/>
      <c r="P51" s="32"/>
      <c r="Q51" s="32">
        <v>0</v>
      </c>
      <c r="R51" s="32"/>
      <c r="S51" s="32"/>
      <c r="T51" s="32"/>
      <c r="U51" s="32"/>
      <c r="V51" s="32"/>
      <c r="W51" s="32"/>
      <c r="X51" s="32">
        <v>0</v>
      </c>
      <c r="Y51" s="32"/>
      <c r="Z51" s="32"/>
      <c r="AA51" s="32"/>
      <c r="AB51" s="32"/>
      <c r="AC51" s="32"/>
      <c r="AD51" s="32"/>
      <c r="AE51" s="32">
        <v>0</v>
      </c>
      <c r="AF51" s="32"/>
      <c r="AG51" s="32"/>
      <c r="AH51" s="32"/>
      <c r="AI51" s="32"/>
      <c r="AJ51" s="32"/>
      <c r="AK51" s="32"/>
      <c r="AL51" s="32">
        <v>0</v>
      </c>
      <c r="AM51" s="32"/>
      <c r="AN51" s="32"/>
      <c r="AO51" s="32"/>
      <c r="AP51" s="32"/>
      <c r="AQ51" s="32"/>
      <c r="AR51" s="32"/>
      <c r="AS51" s="32">
        <v>0</v>
      </c>
      <c r="AT51" s="32"/>
      <c r="AU51" s="32"/>
      <c r="AV51" s="32"/>
      <c r="AW51" s="32"/>
      <c r="AX51" s="32"/>
      <c r="AY51" s="32"/>
      <c r="AZ51" s="32">
        <v>30</v>
      </c>
      <c r="BA51" s="32"/>
      <c r="BB51" s="32"/>
      <c r="BC51" s="32"/>
      <c r="BD51" s="32"/>
      <c r="BE51" s="32"/>
      <c r="BF51" s="32"/>
      <c r="BG51" s="32">
        <v>0</v>
      </c>
      <c r="BH51" s="32"/>
      <c r="BI51" s="32"/>
      <c r="BJ51" s="32"/>
      <c r="BK51" s="32"/>
      <c r="BL51" s="32"/>
      <c r="BM51" s="32"/>
      <c r="BN51" s="32">
        <v>0</v>
      </c>
    </row>
    <row r="52" spans="1:66">
      <c r="A52" s="29"/>
      <c r="B52" s="30">
        <v>1231011</v>
      </c>
      <c r="C52" s="32">
        <v>0</v>
      </c>
      <c r="D52" s="32"/>
      <c r="E52" s="32"/>
      <c r="F52" s="32"/>
      <c r="G52" s="32"/>
      <c r="H52" s="32"/>
      <c r="I52" s="32"/>
      <c r="J52" s="32">
        <v>0</v>
      </c>
      <c r="K52" s="32"/>
      <c r="L52" s="32"/>
      <c r="M52" s="32"/>
      <c r="N52" s="32"/>
      <c r="O52" s="32"/>
      <c r="P52" s="32"/>
      <c r="Q52" s="32">
        <v>0</v>
      </c>
      <c r="R52" s="32"/>
      <c r="S52" s="32"/>
      <c r="T52" s="32"/>
      <c r="U52" s="32"/>
      <c r="V52" s="32"/>
      <c r="W52" s="32"/>
      <c r="X52" s="32">
        <v>0</v>
      </c>
      <c r="Y52" s="32"/>
      <c r="Z52" s="32"/>
      <c r="AA52" s="32"/>
      <c r="AB52" s="32"/>
      <c r="AC52" s="32"/>
      <c r="AD52" s="32"/>
      <c r="AE52" s="32">
        <v>0</v>
      </c>
      <c r="AF52" s="32"/>
      <c r="AG52" s="32"/>
      <c r="AH52" s="32"/>
      <c r="AI52" s="32"/>
      <c r="AJ52" s="32"/>
      <c r="AK52" s="32"/>
      <c r="AL52" s="32">
        <v>0</v>
      </c>
      <c r="AM52" s="32"/>
      <c r="AN52" s="32"/>
      <c r="AO52" s="32"/>
      <c r="AP52" s="32"/>
      <c r="AQ52" s="32"/>
      <c r="AR52" s="32"/>
      <c r="AS52" s="32">
        <v>0</v>
      </c>
      <c r="AT52" s="32"/>
      <c r="AU52" s="32"/>
      <c r="AV52" s="32"/>
      <c r="AW52" s="32"/>
      <c r="AX52" s="32"/>
      <c r="AY52" s="32"/>
      <c r="AZ52" s="32">
        <v>0</v>
      </c>
      <c r="BA52" s="32"/>
      <c r="BB52" s="32"/>
      <c r="BC52" s="32"/>
      <c r="BD52" s="32"/>
      <c r="BE52" s="32"/>
      <c r="BF52" s="32"/>
      <c r="BG52" s="32">
        <v>300</v>
      </c>
      <c r="BH52" s="32"/>
      <c r="BI52" s="32"/>
      <c r="BJ52" s="32"/>
      <c r="BK52" s="32"/>
      <c r="BL52" s="32"/>
      <c r="BM52" s="32"/>
      <c r="BN52" s="32">
        <v>0</v>
      </c>
    </row>
    <row r="53" spans="1:66">
      <c r="A53" s="29"/>
      <c r="B53" s="30">
        <v>1231090</v>
      </c>
      <c r="C53" s="32">
        <v>180</v>
      </c>
      <c r="D53" s="32"/>
      <c r="E53" s="32"/>
      <c r="F53" s="32"/>
      <c r="G53" s="32"/>
      <c r="H53" s="32"/>
      <c r="I53" s="32"/>
      <c r="J53" s="32">
        <v>260</v>
      </c>
      <c r="K53" s="32"/>
      <c r="L53" s="32"/>
      <c r="M53" s="32"/>
      <c r="N53" s="32"/>
      <c r="O53" s="32"/>
      <c r="P53" s="32"/>
      <c r="Q53" s="32">
        <v>450</v>
      </c>
      <c r="R53" s="32"/>
      <c r="S53" s="32"/>
      <c r="T53" s="32"/>
      <c r="U53" s="32"/>
      <c r="V53" s="32"/>
      <c r="W53" s="32"/>
      <c r="X53" s="32">
        <v>90</v>
      </c>
      <c r="Y53" s="32"/>
      <c r="Z53" s="32"/>
      <c r="AA53" s="32"/>
      <c r="AB53" s="32"/>
      <c r="AC53" s="32"/>
      <c r="AD53" s="32"/>
      <c r="AE53" s="32">
        <v>1783</v>
      </c>
      <c r="AF53" s="32"/>
      <c r="AG53" s="32"/>
      <c r="AH53" s="32"/>
      <c r="AI53" s="32"/>
      <c r="AJ53" s="32"/>
      <c r="AK53" s="32"/>
      <c r="AL53" s="32">
        <v>0</v>
      </c>
      <c r="AM53" s="32"/>
      <c r="AN53" s="32"/>
      <c r="AO53" s="32"/>
      <c r="AP53" s="32"/>
      <c r="AQ53" s="32"/>
      <c r="AR53" s="32"/>
      <c r="AS53" s="32">
        <v>0</v>
      </c>
      <c r="AT53" s="32"/>
      <c r="AU53" s="32"/>
      <c r="AV53" s="32"/>
      <c r="AW53" s="32"/>
      <c r="AX53" s="32"/>
      <c r="AY53" s="32"/>
      <c r="AZ53" s="32">
        <v>90</v>
      </c>
      <c r="BA53" s="32"/>
      <c r="BB53" s="32"/>
      <c r="BC53" s="32"/>
      <c r="BD53" s="32"/>
      <c r="BE53" s="32"/>
      <c r="BF53" s="32"/>
      <c r="BG53" s="32">
        <v>983</v>
      </c>
      <c r="BH53" s="32"/>
      <c r="BI53" s="32"/>
      <c r="BJ53" s="32"/>
      <c r="BK53" s="32"/>
      <c r="BL53" s="32"/>
      <c r="BM53" s="32"/>
      <c r="BN53" s="32">
        <v>0</v>
      </c>
    </row>
    <row r="54" spans="1:66" s="20" customFormat="1">
      <c r="A54" s="88"/>
      <c r="B54" s="66">
        <v>1231578</v>
      </c>
      <c r="C54" s="61">
        <v>0</v>
      </c>
      <c r="D54" s="61"/>
      <c r="E54" s="61"/>
      <c r="F54" s="61"/>
      <c r="G54" s="61"/>
      <c r="H54" s="61"/>
      <c r="I54" s="61"/>
      <c r="J54" s="61">
        <v>0</v>
      </c>
      <c r="K54" s="61"/>
      <c r="L54" s="61"/>
      <c r="M54" s="61"/>
      <c r="N54" s="61"/>
      <c r="O54" s="61"/>
      <c r="P54" s="61"/>
      <c r="Q54" s="61">
        <v>0</v>
      </c>
      <c r="R54" s="61"/>
      <c r="S54" s="61"/>
      <c r="T54" s="61"/>
      <c r="U54" s="61"/>
      <c r="V54" s="61"/>
      <c r="W54" s="61"/>
      <c r="X54" s="61">
        <v>200</v>
      </c>
      <c r="Y54" s="61"/>
      <c r="Z54" s="61"/>
      <c r="AA54" s="61"/>
      <c r="AB54" s="61"/>
      <c r="AC54" s="61"/>
      <c r="AD54" s="61"/>
      <c r="AE54" s="61">
        <v>300</v>
      </c>
      <c r="AF54" s="61"/>
      <c r="AG54" s="61"/>
      <c r="AH54" s="61"/>
      <c r="AI54" s="61"/>
      <c r="AJ54" s="61"/>
      <c r="AK54" s="61"/>
      <c r="AL54" s="61">
        <v>0</v>
      </c>
      <c r="AM54" s="61"/>
      <c r="AN54" s="61"/>
      <c r="AO54" s="61"/>
      <c r="AP54" s="61"/>
      <c r="AQ54" s="61"/>
      <c r="AR54" s="61"/>
      <c r="AS54" s="61">
        <v>0</v>
      </c>
      <c r="AT54" s="61"/>
      <c r="AU54" s="61"/>
      <c r="AV54" s="61"/>
      <c r="AW54" s="61"/>
      <c r="AX54" s="61"/>
      <c r="AY54" s="61"/>
      <c r="AZ54" s="61">
        <v>200</v>
      </c>
      <c r="BA54" s="61"/>
      <c r="BB54" s="61"/>
      <c r="BC54" s="61"/>
      <c r="BD54" s="61"/>
      <c r="BE54" s="61"/>
      <c r="BF54" s="61"/>
      <c r="BG54" s="61">
        <v>200</v>
      </c>
      <c r="BH54" s="61"/>
      <c r="BI54" s="61"/>
      <c r="BJ54" s="61"/>
      <c r="BK54" s="61"/>
      <c r="BL54" s="61"/>
      <c r="BM54" s="61"/>
      <c r="BN54" s="61">
        <v>200</v>
      </c>
    </row>
    <row r="55" spans="1:66">
      <c r="A55" s="29"/>
      <c r="B55" s="30">
        <v>1231797</v>
      </c>
      <c r="C55" s="32">
        <v>71</v>
      </c>
      <c r="D55" s="32"/>
      <c r="E55" s="32"/>
      <c r="F55" s="32"/>
      <c r="G55" s="32"/>
      <c r="H55" s="32"/>
      <c r="I55" s="32"/>
      <c r="J55" s="32">
        <v>0</v>
      </c>
      <c r="K55" s="32"/>
      <c r="L55" s="32"/>
      <c r="M55" s="32"/>
      <c r="N55" s="32"/>
      <c r="O55" s="32"/>
      <c r="P55" s="32"/>
      <c r="Q55" s="32">
        <v>0</v>
      </c>
      <c r="R55" s="32"/>
      <c r="S55" s="32"/>
      <c r="T55" s="32"/>
      <c r="U55" s="32"/>
      <c r="V55" s="32"/>
      <c r="W55" s="32"/>
      <c r="X55" s="32">
        <v>0</v>
      </c>
      <c r="Y55" s="32"/>
      <c r="Z55" s="32"/>
      <c r="AA55" s="32"/>
      <c r="AB55" s="32"/>
      <c r="AC55" s="32"/>
      <c r="AD55" s="32"/>
      <c r="AE55" s="32">
        <v>137</v>
      </c>
      <c r="AF55" s="32"/>
      <c r="AG55" s="32"/>
      <c r="AH55" s="32"/>
      <c r="AI55" s="32"/>
      <c r="AJ55" s="32"/>
      <c r="AK55" s="32"/>
      <c r="AL55" s="32">
        <v>0</v>
      </c>
      <c r="AM55" s="32"/>
      <c r="AN55" s="32"/>
      <c r="AO55" s="32"/>
      <c r="AP55" s="32"/>
      <c r="AQ55" s="32"/>
      <c r="AR55" s="32"/>
      <c r="AS55" s="32">
        <v>0</v>
      </c>
      <c r="AT55" s="32"/>
      <c r="AU55" s="32"/>
      <c r="AV55" s="32"/>
      <c r="AW55" s="32"/>
      <c r="AX55" s="32"/>
      <c r="AY55" s="32"/>
      <c r="AZ55" s="32">
        <v>0</v>
      </c>
      <c r="BA55" s="32"/>
      <c r="BB55" s="32"/>
      <c r="BC55" s="32"/>
      <c r="BD55" s="32"/>
      <c r="BE55" s="32"/>
      <c r="BF55" s="32"/>
      <c r="BG55" s="32">
        <v>128</v>
      </c>
      <c r="BH55" s="32"/>
      <c r="BI55" s="32"/>
      <c r="BJ55" s="32"/>
      <c r="BK55" s="32"/>
      <c r="BL55" s="32"/>
      <c r="BM55" s="32"/>
      <c r="BN55" s="32">
        <v>0</v>
      </c>
    </row>
    <row r="56" spans="1:66">
      <c r="A56" s="29"/>
      <c r="B56" s="30">
        <v>1231860</v>
      </c>
      <c r="C56" s="32">
        <v>0</v>
      </c>
      <c r="D56" s="32"/>
      <c r="E56" s="32"/>
      <c r="F56" s="32"/>
      <c r="G56" s="32"/>
      <c r="H56" s="32"/>
      <c r="I56" s="32"/>
      <c r="J56" s="32">
        <v>0</v>
      </c>
      <c r="K56" s="32"/>
      <c r="L56" s="32"/>
      <c r="M56" s="32"/>
      <c r="N56" s="32"/>
      <c r="O56" s="32"/>
      <c r="P56" s="32"/>
      <c r="Q56" s="32">
        <v>100</v>
      </c>
      <c r="R56" s="32"/>
      <c r="S56" s="32"/>
      <c r="T56" s="32"/>
      <c r="U56" s="32"/>
      <c r="V56" s="32"/>
      <c r="W56" s="32"/>
      <c r="X56" s="32">
        <v>0</v>
      </c>
      <c r="Y56" s="32"/>
      <c r="Z56" s="32"/>
      <c r="AA56" s="32"/>
      <c r="AB56" s="32"/>
      <c r="AC56" s="32"/>
      <c r="AD56" s="32"/>
      <c r="AE56" s="32">
        <v>0</v>
      </c>
      <c r="AF56" s="32"/>
      <c r="AG56" s="32"/>
      <c r="AH56" s="32"/>
      <c r="AI56" s="32"/>
      <c r="AJ56" s="32"/>
      <c r="AK56" s="32"/>
      <c r="AL56" s="32">
        <v>0</v>
      </c>
      <c r="AM56" s="32"/>
      <c r="AN56" s="32"/>
      <c r="AO56" s="32"/>
      <c r="AP56" s="32"/>
      <c r="AQ56" s="32"/>
      <c r="AR56" s="32"/>
      <c r="AS56" s="32">
        <v>0</v>
      </c>
      <c r="AT56" s="32"/>
      <c r="AU56" s="32"/>
      <c r="AV56" s="32"/>
      <c r="AW56" s="32"/>
      <c r="AX56" s="32"/>
      <c r="AY56" s="32"/>
      <c r="AZ56" s="32">
        <v>0</v>
      </c>
      <c r="BA56" s="32"/>
      <c r="BB56" s="32"/>
      <c r="BC56" s="32"/>
      <c r="BD56" s="32"/>
      <c r="BE56" s="32"/>
      <c r="BF56" s="32"/>
      <c r="BG56" s="32">
        <v>0</v>
      </c>
      <c r="BH56" s="32"/>
      <c r="BI56" s="32"/>
      <c r="BJ56" s="32"/>
      <c r="BK56" s="32"/>
      <c r="BL56" s="32"/>
      <c r="BM56" s="32"/>
      <c r="BN56" s="32">
        <v>0</v>
      </c>
    </row>
    <row r="57" spans="1:66">
      <c r="A57" s="29"/>
      <c r="B57" s="30">
        <v>1232066</v>
      </c>
      <c r="C57" s="32">
        <v>0</v>
      </c>
      <c r="D57" s="32"/>
      <c r="E57" s="32"/>
      <c r="F57" s="32"/>
      <c r="G57" s="32"/>
      <c r="H57" s="32"/>
      <c r="I57" s="32"/>
      <c r="J57" s="32">
        <v>180</v>
      </c>
      <c r="K57" s="32"/>
      <c r="L57" s="32"/>
      <c r="M57" s="32"/>
      <c r="N57" s="32"/>
      <c r="O57" s="32"/>
      <c r="P57" s="32"/>
      <c r="Q57" s="32">
        <v>0</v>
      </c>
      <c r="R57" s="32"/>
      <c r="S57" s="32"/>
      <c r="T57" s="32"/>
      <c r="U57" s="32"/>
      <c r="V57" s="32"/>
      <c r="W57" s="32"/>
      <c r="X57" s="32">
        <v>0</v>
      </c>
      <c r="Y57" s="32"/>
      <c r="Z57" s="32"/>
      <c r="AA57" s="32"/>
      <c r="AB57" s="32"/>
      <c r="AC57" s="32"/>
      <c r="AD57" s="32"/>
      <c r="AE57" s="32">
        <v>0</v>
      </c>
      <c r="AF57" s="32"/>
      <c r="AG57" s="32"/>
      <c r="AH57" s="32"/>
      <c r="AI57" s="32"/>
      <c r="AJ57" s="32"/>
      <c r="AK57" s="32"/>
      <c r="AL57" s="32">
        <v>216</v>
      </c>
      <c r="AM57" s="32"/>
      <c r="AN57" s="32"/>
      <c r="AO57" s="32"/>
      <c r="AP57" s="32"/>
      <c r="AQ57" s="32"/>
      <c r="AR57" s="32"/>
      <c r="AS57" s="32">
        <v>0</v>
      </c>
      <c r="AT57" s="32"/>
      <c r="AU57" s="32"/>
      <c r="AV57" s="32"/>
      <c r="AW57" s="32"/>
      <c r="AX57" s="32"/>
      <c r="AY57" s="32"/>
      <c r="AZ57" s="32">
        <v>0</v>
      </c>
      <c r="BA57" s="32"/>
      <c r="BB57" s="32"/>
      <c r="BC57" s="32"/>
      <c r="BD57" s="32"/>
      <c r="BE57" s="32"/>
      <c r="BF57" s="32"/>
      <c r="BG57" s="32">
        <v>0</v>
      </c>
      <c r="BH57" s="32"/>
      <c r="BI57" s="32"/>
      <c r="BJ57" s="32"/>
      <c r="BK57" s="32"/>
      <c r="BL57" s="32"/>
      <c r="BM57" s="32"/>
      <c r="BN57" s="32">
        <v>234</v>
      </c>
    </row>
    <row r="58" spans="1:66">
      <c r="A58" s="29"/>
      <c r="B58" s="30">
        <v>1232528</v>
      </c>
      <c r="C58" s="32">
        <v>4930</v>
      </c>
      <c r="D58" s="32"/>
      <c r="E58" s="32"/>
      <c r="F58" s="32"/>
      <c r="G58" s="32"/>
      <c r="H58" s="32"/>
      <c r="I58" s="32"/>
      <c r="J58" s="32">
        <v>5278</v>
      </c>
      <c r="K58" s="32"/>
      <c r="L58" s="32"/>
      <c r="M58" s="32"/>
      <c r="N58" s="32"/>
      <c r="O58" s="32"/>
      <c r="P58" s="32"/>
      <c r="Q58" s="32">
        <v>7027</v>
      </c>
      <c r="R58" s="32"/>
      <c r="S58" s="32"/>
      <c r="T58" s="32"/>
      <c r="U58" s="32"/>
      <c r="V58" s="32"/>
      <c r="W58" s="32"/>
      <c r="X58" s="32">
        <v>1959</v>
      </c>
      <c r="Y58" s="32"/>
      <c r="Z58" s="32"/>
      <c r="AA58" s="32"/>
      <c r="AB58" s="32"/>
      <c r="AC58" s="32"/>
      <c r="AD58" s="32"/>
      <c r="AE58" s="32">
        <v>3110</v>
      </c>
      <c r="AF58" s="32"/>
      <c r="AG58" s="32"/>
      <c r="AH58" s="32"/>
      <c r="AI58" s="32"/>
      <c r="AJ58" s="32"/>
      <c r="AK58" s="32"/>
      <c r="AL58" s="32">
        <v>2000</v>
      </c>
      <c r="AM58" s="32"/>
      <c r="AN58" s="32"/>
      <c r="AO58" s="32"/>
      <c r="AP58" s="32"/>
      <c r="AQ58" s="32"/>
      <c r="AR58" s="32"/>
      <c r="AS58" s="32">
        <v>1400</v>
      </c>
      <c r="AT58" s="32"/>
      <c r="AU58" s="32"/>
      <c r="AV58" s="32"/>
      <c r="AW58" s="32"/>
      <c r="AX58" s="32"/>
      <c r="AY58" s="32"/>
      <c r="AZ58" s="32">
        <v>6396</v>
      </c>
      <c r="BA58" s="32"/>
      <c r="BB58" s="32"/>
      <c r="BC58" s="32"/>
      <c r="BD58" s="32"/>
      <c r="BE58" s="32"/>
      <c r="BF58" s="32"/>
      <c r="BG58" s="32">
        <v>5277</v>
      </c>
      <c r="BH58" s="32"/>
      <c r="BI58" s="32"/>
      <c r="BJ58" s="32"/>
      <c r="BK58" s="32"/>
      <c r="BL58" s="32"/>
      <c r="BM58" s="32"/>
      <c r="BN58" s="32">
        <v>6277</v>
      </c>
    </row>
    <row r="59" spans="1:66">
      <c r="A59" s="29"/>
      <c r="B59" s="30">
        <v>1232553</v>
      </c>
      <c r="C59" s="32">
        <v>0</v>
      </c>
      <c r="D59" s="32"/>
      <c r="E59" s="32"/>
      <c r="F59" s="32"/>
      <c r="G59" s="32"/>
      <c r="H59" s="32"/>
      <c r="I59" s="32"/>
      <c r="J59" s="32">
        <v>0</v>
      </c>
      <c r="K59" s="32"/>
      <c r="L59" s="32"/>
      <c r="M59" s="32"/>
      <c r="N59" s="32"/>
      <c r="O59" s="32"/>
      <c r="P59" s="32"/>
      <c r="Q59" s="32">
        <v>0</v>
      </c>
      <c r="R59" s="32"/>
      <c r="S59" s="32"/>
      <c r="T59" s="32"/>
      <c r="U59" s="32"/>
      <c r="V59" s="32"/>
      <c r="W59" s="32"/>
      <c r="X59" s="32">
        <v>0</v>
      </c>
      <c r="Y59" s="32"/>
      <c r="Z59" s="32"/>
      <c r="AA59" s="32"/>
      <c r="AB59" s="32"/>
      <c r="AC59" s="32"/>
      <c r="AD59" s="32"/>
      <c r="AE59" s="32">
        <v>0</v>
      </c>
      <c r="AF59" s="32"/>
      <c r="AG59" s="32"/>
      <c r="AH59" s="32"/>
      <c r="AI59" s="32"/>
      <c r="AJ59" s="32"/>
      <c r="AK59" s="32"/>
      <c r="AL59" s="32">
        <v>0</v>
      </c>
      <c r="AM59" s="32"/>
      <c r="AN59" s="32"/>
      <c r="AO59" s="32"/>
      <c r="AP59" s="32"/>
      <c r="AQ59" s="32"/>
      <c r="AR59" s="32"/>
      <c r="AS59" s="32">
        <v>0</v>
      </c>
      <c r="AT59" s="32"/>
      <c r="AU59" s="32"/>
      <c r="AV59" s="32"/>
      <c r="AW59" s="32"/>
      <c r="AX59" s="32"/>
      <c r="AY59" s="32"/>
      <c r="AZ59" s="32">
        <v>108</v>
      </c>
      <c r="BA59" s="32"/>
      <c r="BB59" s="32"/>
      <c r="BC59" s="32"/>
      <c r="BD59" s="32"/>
      <c r="BE59" s="32"/>
      <c r="BF59" s="32"/>
      <c r="BG59" s="32">
        <v>0</v>
      </c>
      <c r="BH59" s="32"/>
      <c r="BI59" s="32"/>
      <c r="BJ59" s="32"/>
      <c r="BK59" s="32"/>
      <c r="BL59" s="32"/>
      <c r="BM59" s="32"/>
      <c r="BN59" s="32">
        <v>0</v>
      </c>
    </row>
    <row r="60" spans="1:66">
      <c r="A60" s="29"/>
      <c r="B60" s="30">
        <v>1232693</v>
      </c>
      <c r="C60" s="32">
        <v>60</v>
      </c>
      <c r="D60" s="32"/>
      <c r="E60" s="32"/>
      <c r="F60" s="32"/>
      <c r="G60" s="32"/>
      <c r="H60" s="32"/>
      <c r="I60" s="32"/>
      <c r="J60" s="32">
        <v>1000</v>
      </c>
      <c r="K60" s="32"/>
      <c r="L60" s="32"/>
      <c r="M60" s="32"/>
      <c r="N60" s="32"/>
      <c r="O60" s="32"/>
      <c r="P60" s="32"/>
      <c r="Q60" s="32">
        <v>827</v>
      </c>
      <c r="R60" s="32"/>
      <c r="S60" s="32"/>
      <c r="T60" s="32"/>
      <c r="U60" s="32"/>
      <c r="V60" s="32"/>
      <c r="W60" s="32"/>
      <c r="X60" s="32">
        <v>0</v>
      </c>
      <c r="Y60" s="32"/>
      <c r="Z60" s="32"/>
      <c r="AA60" s="32"/>
      <c r="AB60" s="32"/>
      <c r="AC60" s="32"/>
      <c r="AD60" s="32"/>
      <c r="AE60" s="32">
        <v>0</v>
      </c>
      <c r="AF60" s="32"/>
      <c r="AG60" s="32"/>
      <c r="AH60" s="32"/>
      <c r="AI60" s="32"/>
      <c r="AJ60" s="32"/>
      <c r="AK60" s="32"/>
      <c r="AL60" s="32">
        <v>1000</v>
      </c>
      <c r="AM60" s="32"/>
      <c r="AN60" s="32"/>
      <c r="AO60" s="32"/>
      <c r="AP60" s="32"/>
      <c r="AQ60" s="32"/>
      <c r="AR60" s="32"/>
      <c r="AS60" s="32">
        <v>911</v>
      </c>
      <c r="AT60" s="32"/>
      <c r="AU60" s="32"/>
      <c r="AV60" s="32"/>
      <c r="AW60" s="32"/>
      <c r="AX60" s="32"/>
      <c r="AY60" s="32"/>
      <c r="AZ60" s="32">
        <v>18</v>
      </c>
      <c r="BA60" s="32"/>
      <c r="BB60" s="32"/>
      <c r="BC60" s="32"/>
      <c r="BD60" s="32"/>
      <c r="BE60" s="32"/>
      <c r="BF60" s="32"/>
      <c r="BG60" s="32">
        <v>0</v>
      </c>
      <c r="BH60" s="32"/>
      <c r="BI60" s="32"/>
      <c r="BJ60" s="32"/>
      <c r="BK60" s="32"/>
      <c r="BL60" s="32"/>
      <c r="BM60" s="32"/>
      <c r="BN60" s="32">
        <v>1000</v>
      </c>
    </row>
    <row r="61" spans="1:66">
      <c r="A61" s="29"/>
      <c r="B61" s="30">
        <v>1232775</v>
      </c>
      <c r="C61" s="32">
        <v>1822</v>
      </c>
      <c r="D61" s="32"/>
      <c r="E61" s="32"/>
      <c r="F61" s="32"/>
      <c r="G61" s="32"/>
      <c r="H61" s="32"/>
      <c r="I61" s="32"/>
      <c r="J61" s="32">
        <v>886</v>
      </c>
      <c r="K61" s="32"/>
      <c r="L61" s="32"/>
      <c r="M61" s="32"/>
      <c r="N61" s="32"/>
      <c r="O61" s="32"/>
      <c r="P61" s="32"/>
      <c r="Q61" s="32">
        <v>1050</v>
      </c>
      <c r="R61" s="32"/>
      <c r="S61" s="32"/>
      <c r="T61" s="32"/>
      <c r="U61" s="32"/>
      <c r="V61" s="32"/>
      <c r="W61" s="32"/>
      <c r="X61" s="32">
        <v>700</v>
      </c>
      <c r="Y61" s="32"/>
      <c r="Z61" s="32"/>
      <c r="AA61" s="32"/>
      <c r="AB61" s="32"/>
      <c r="AC61" s="32"/>
      <c r="AD61" s="32"/>
      <c r="AE61" s="32">
        <v>1460</v>
      </c>
      <c r="AF61" s="32"/>
      <c r="AG61" s="32"/>
      <c r="AH61" s="32"/>
      <c r="AI61" s="32"/>
      <c r="AJ61" s="32"/>
      <c r="AK61" s="32"/>
      <c r="AL61" s="32">
        <v>434</v>
      </c>
      <c r="AM61" s="32"/>
      <c r="AN61" s="32"/>
      <c r="AO61" s="32"/>
      <c r="AP61" s="32"/>
      <c r="AQ61" s="32"/>
      <c r="AR61" s="32"/>
      <c r="AS61" s="32">
        <v>500</v>
      </c>
      <c r="AT61" s="32"/>
      <c r="AU61" s="32"/>
      <c r="AV61" s="32"/>
      <c r="AW61" s="32"/>
      <c r="AX61" s="32"/>
      <c r="AY61" s="32"/>
      <c r="AZ61" s="32">
        <v>0</v>
      </c>
      <c r="BA61" s="32"/>
      <c r="BB61" s="32"/>
      <c r="BC61" s="32"/>
      <c r="BD61" s="32"/>
      <c r="BE61" s="32"/>
      <c r="BF61" s="32"/>
      <c r="BG61" s="32">
        <v>1200</v>
      </c>
      <c r="BH61" s="32"/>
      <c r="BI61" s="32"/>
      <c r="BJ61" s="32"/>
      <c r="BK61" s="32"/>
      <c r="BL61" s="32"/>
      <c r="BM61" s="32"/>
      <c r="BN61" s="32">
        <v>147</v>
      </c>
    </row>
    <row r="62" spans="1:66">
      <c r="A62" s="29"/>
      <c r="B62" s="30">
        <v>1232846</v>
      </c>
      <c r="C62" s="32">
        <v>601</v>
      </c>
      <c r="D62" s="32"/>
      <c r="E62" s="32"/>
      <c r="F62" s="32"/>
      <c r="G62" s="32"/>
      <c r="H62" s="32"/>
      <c r="I62" s="32"/>
      <c r="J62" s="32">
        <v>300</v>
      </c>
      <c r="K62" s="32"/>
      <c r="L62" s="32"/>
      <c r="M62" s="32"/>
      <c r="N62" s="32"/>
      <c r="O62" s="32"/>
      <c r="P62" s="32"/>
      <c r="Q62" s="32">
        <v>1164</v>
      </c>
      <c r="R62" s="32"/>
      <c r="S62" s="32"/>
      <c r="T62" s="32"/>
      <c r="U62" s="32"/>
      <c r="V62" s="32"/>
      <c r="W62" s="32"/>
      <c r="X62" s="32">
        <v>1164</v>
      </c>
      <c r="Y62" s="32"/>
      <c r="Z62" s="32"/>
      <c r="AA62" s="32"/>
      <c r="AB62" s="32"/>
      <c r="AC62" s="32"/>
      <c r="AD62" s="32"/>
      <c r="AE62" s="32">
        <v>583</v>
      </c>
      <c r="AF62" s="32"/>
      <c r="AG62" s="32"/>
      <c r="AH62" s="32"/>
      <c r="AI62" s="32"/>
      <c r="AJ62" s="32"/>
      <c r="AK62" s="32"/>
      <c r="AL62" s="32">
        <v>1192</v>
      </c>
      <c r="AM62" s="32"/>
      <c r="AN62" s="32"/>
      <c r="AO62" s="32"/>
      <c r="AP62" s="32"/>
      <c r="AQ62" s="32"/>
      <c r="AR62" s="32"/>
      <c r="AS62" s="32">
        <v>0</v>
      </c>
      <c r="AT62" s="32"/>
      <c r="AU62" s="32"/>
      <c r="AV62" s="32"/>
      <c r="AW62" s="32"/>
      <c r="AX62" s="32"/>
      <c r="AY62" s="32"/>
      <c r="AZ62" s="32">
        <v>0</v>
      </c>
      <c r="BA62" s="32"/>
      <c r="BB62" s="32"/>
      <c r="BC62" s="32"/>
      <c r="BD62" s="32"/>
      <c r="BE62" s="32"/>
      <c r="BF62" s="32"/>
      <c r="BG62" s="32">
        <v>273</v>
      </c>
      <c r="BH62" s="32"/>
      <c r="BI62" s="32"/>
      <c r="BJ62" s="32"/>
      <c r="BK62" s="32"/>
      <c r="BL62" s="32"/>
      <c r="BM62" s="32"/>
      <c r="BN62" s="32">
        <v>216</v>
      </c>
    </row>
    <row r="63" spans="1:66">
      <c r="A63" s="29"/>
      <c r="B63" s="30">
        <v>1232894</v>
      </c>
      <c r="C63" s="32">
        <v>218</v>
      </c>
      <c r="D63" s="32"/>
      <c r="E63" s="32"/>
      <c r="F63" s="32"/>
      <c r="G63" s="32"/>
      <c r="H63" s="32"/>
      <c r="I63" s="32"/>
      <c r="J63" s="32">
        <v>0</v>
      </c>
      <c r="K63" s="32"/>
      <c r="L63" s="32"/>
      <c r="M63" s="32"/>
      <c r="N63" s="32"/>
      <c r="O63" s="32"/>
      <c r="P63" s="32"/>
      <c r="Q63" s="32">
        <v>864</v>
      </c>
      <c r="R63" s="32"/>
      <c r="S63" s="32"/>
      <c r="T63" s="32"/>
      <c r="U63" s="32"/>
      <c r="V63" s="32"/>
      <c r="W63" s="32"/>
      <c r="X63" s="32">
        <v>864</v>
      </c>
      <c r="Y63" s="32"/>
      <c r="Z63" s="32"/>
      <c r="AA63" s="32"/>
      <c r="AB63" s="32"/>
      <c r="AC63" s="32"/>
      <c r="AD63" s="32"/>
      <c r="AE63" s="32">
        <v>0</v>
      </c>
      <c r="AF63" s="32"/>
      <c r="AG63" s="32"/>
      <c r="AH63" s="32"/>
      <c r="AI63" s="32"/>
      <c r="AJ63" s="32"/>
      <c r="AK63" s="32"/>
      <c r="AL63" s="32">
        <v>792</v>
      </c>
      <c r="AM63" s="32"/>
      <c r="AN63" s="32"/>
      <c r="AO63" s="32"/>
      <c r="AP63" s="32"/>
      <c r="AQ63" s="32"/>
      <c r="AR63" s="32"/>
      <c r="AS63" s="32">
        <v>0</v>
      </c>
      <c r="AT63" s="32"/>
      <c r="AU63" s="32"/>
      <c r="AV63" s="32"/>
      <c r="AW63" s="32"/>
      <c r="AX63" s="32"/>
      <c r="AY63" s="32"/>
      <c r="AZ63" s="32">
        <v>0</v>
      </c>
      <c r="BA63" s="32"/>
      <c r="BB63" s="32"/>
      <c r="BC63" s="32"/>
      <c r="BD63" s="32"/>
      <c r="BE63" s="32"/>
      <c r="BF63" s="32"/>
      <c r="BG63" s="32">
        <v>0</v>
      </c>
      <c r="BH63" s="32"/>
      <c r="BI63" s="32"/>
      <c r="BJ63" s="32"/>
      <c r="BK63" s="32"/>
      <c r="BL63" s="32"/>
      <c r="BM63" s="32"/>
      <c r="BN63" s="32">
        <v>216</v>
      </c>
    </row>
    <row r="64" spans="1:66">
      <c r="A64" s="29"/>
      <c r="B64" s="30">
        <v>1232895</v>
      </c>
      <c r="C64" s="32">
        <v>383</v>
      </c>
      <c r="D64" s="32"/>
      <c r="E64" s="32"/>
      <c r="F64" s="32"/>
      <c r="G64" s="32"/>
      <c r="H64" s="32"/>
      <c r="I64" s="32"/>
      <c r="J64" s="32">
        <v>300</v>
      </c>
      <c r="K64" s="32"/>
      <c r="L64" s="32"/>
      <c r="M64" s="32"/>
      <c r="N64" s="32"/>
      <c r="O64" s="32"/>
      <c r="P64" s="32"/>
      <c r="Q64" s="32">
        <v>300</v>
      </c>
      <c r="R64" s="32"/>
      <c r="S64" s="32"/>
      <c r="T64" s="32"/>
      <c r="U64" s="32"/>
      <c r="V64" s="32"/>
      <c r="W64" s="32"/>
      <c r="X64" s="32">
        <v>300</v>
      </c>
      <c r="Y64" s="32"/>
      <c r="Z64" s="32"/>
      <c r="AA64" s="32"/>
      <c r="AB64" s="32"/>
      <c r="AC64" s="32"/>
      <c r="AD64" s="32"/>
      <c r="AE64" s="32">
        <v>583</v>
      </c>
      <c r="AF64" s="32"/>
      <c r="AG64" s="32"/>
      <c r="AH64" s="32"/>
      <c r="AI64" s="32"/>
      <c r="AJ64" s="32"/>
      <c r="AK64" s="32"/>
      <c r="AL64" s="32">
        <v>400</v>
      </c>
      <c r="AM64" s="32"/>
      <c r="AN64" s="32"/>
      <c r="AO64" s="32"/>
      <c r="AP64" s="32"/>
      <c r="AQ64" s="32"/>
      <c r="AR64" s="32"/>
      <c r="AS64" s="32">
        <v>0</v>
      </c>
      <c r="AT64" s="32"/>
      <c r="AU64" s="32"/>
      <c r="AV64" s="32"/>
      <c r="AW64" s="32"/>
      <c r="AX64" s="32"/>
      <c r="AY64" s="32"/>
      <c r="AZ64" s="32">
        <v>0</v>
      </c>
      <c r="BA64" s="32"/>
      <c r="BB64" s="32"/>
      <c r="BC64" s="32"/>
      <c r="BD64" s="32"/>
      <c r="BE64" s="32"/>
      <c r="BF64" s="32"/>
      <c r="BG64" s="32">
        <v>273</v>
      </c>
      <c r="BH64" s="32"/>
      <c r="BI64" s="32"/>
      <c r="BJ64" s="32"/>
      <c r="BK64" s="32"/>
      <c r="BL64" s="32"/>
      <c r="BM64" s="32"/>
      <c r="BN64" s="32">
        <v>0</v>
      </c>
    </row>
    <row r="65" spans="1:66">
      <c r="A65" s="29"/>
      <c r="B65" s="30">
        <v>1232922</v>
      </c>
      <c r="C65" s="32">
        <v>333</v>
      </c>
      <c r="D65" s="32"/>
      <c r="E65" s="32"/>
      <c r="F65" s="32"/>
      <c r="G65" s="32"/>
      <c r="H65" s="32"/>
      <c r="I65" s="32"/>
      <c r="J65" s="32">
        <v>0</v>
      </c>
      <c r="K65" s="32"/>
      <c r="L65" s="32"/>
      <c r="M65" s="32"/>
      <c r="N65" s="32"/>
      <c r="O65" s="32"/>
      <c r="P65" s="32"/>
      <c r="Q65" s="32">
        <v>0</v>
      </c>
      <c r="R65" s="32"/>
      <c r="S65" s="32"/>
      <c r="T65" s="32"/>
      <c r="U65" s="32"/>
      <c r="V65" s="32"/>
      <c r="W65" s="32"/>
      <c r="X65" s="32">
        <v>0</v>
      </c>
      <c r="Y65" s="32"/>
      <c r="Z65" s="32"/>
      <c r="AA65" s="32"/>
      <c r="AB65" s="32"/>
      <c r="AC65" s="32"/>
      <c r="AD65" s="32"/>
      <c r="AE65" s="32">
        <v>283</v>
      </c>
      <c r="AF65" s="32"/>
      <c r="AG65" s="32"/>
      <c r="AH65" s="32"/>
      <c r="AI65" s="32"/>
      <c r="AJ65" s="32"/>
      <c r="AK65" s="32"/>
      <c r="AL65" s="32">
        <v>100</v>
      </c>
      <c r="AM65" s="32"/>
      <c r="AN65" s="32"/>
      <c r="AO65" s="32"/>
      <c r="AP65" s="32"/>
      <c r="AQ65" s="32"/>
      <c r="AR65" s="32"/>
      <c r="AS65" s="32">
        <v>0</v>
      </c>
      <c r="AT65" s="32"/>
      <c r="AU65" s="32"/>
      <c r="AV65" s="32"/>
      <c r="AW65" s="32"/>
      <c r="AX65" s="32"/>
      <c r="AY65" s="32"/>
      <c r="AZ65" s="32">
        <v>0</v>
      </c>
      <c r="BA65" s="32"/>
      <c r="BB65" s="32"/>
      <c r="BC65" s="32"/>
      <c r="BD65" s="32"/>
      <c r="BE65" s="32"/>
      <c r="BF65" s="32"/>
      <c r="BG65" s="32">
        <v>273</v>
      </c>
      <c r="BH65" s="32"/>
      <c r="BI65" s="32"/>
      <c r="BJ65" s="32"/>
      <c r="BK65" s="32"/>
      <c r="BL65" s="32"/>
      <c r="BM65" s="32"/>
      <c r="BN65" s="32">
        <v>0</v>
      </c>
    </row>
    <row r="66" spans="1:66">
      <c r="A66" s="29"/>
      <c r="B66" s="30">
        <v>1232982</v>
      </c>
      <c r="C66" s="32">
        <v>0</v>
      </c>
      <c r="D66" s="32"/>
      <c r="E66" s="32"/>
      <c r="F66" s="32"/>
      <c r="G66" s="32"/>
      <c r="H66" s="32"/>
      <c r="I66" s="32"/>
      <c r="J66" s="32">
        <v>0</v>
      </c>
      <c r="K66" s="32"/>
      <c r="L66" s="32"/>
      <c r="M66" s="32"/>
      <c r="N66" s="32"/>
      <c r="O66" s="32"/>
      <c r="P66" s="32"/>
      <c r="Q66" s="32">
        <v>450</v>
      </c>
      <c r="R66" s="32"/>
      <c r="S66" s="32"/>
      <c r="T66" s="32"/>
      <c r="U66" s="32"/>
      <c r="V66" s="32"/>
      <c r="W66" s="32"/>
      <c r="X66" s="32">
        <v>0</v>
      </c>
      <c r="Y66" s="32"/>
      <c r="Z66" s="32"/>
      <c r="AA66" s="32"/>
      <c r="AB66" s="32"/>
      <c r="AC66" s="32"/>
      <c r="AD66" s="32"/>
      <c r="AE66" s="32">
        <v>0</v>
      </c>
      <c r="AF66" s="32"/>
      <c r="AG66" s="32"/>
      <c r="AH66" s="32"/>
      <c r="AI66" s="32"/>
      <c r="AJ66" s="32"/>
      <c r="AK66" s="32"/>
      <c r="AL66" s="32">
        <v>50</v>
      </c>
      <c r="AM66" s="32"/>
      <c r="AN66" s="32"/>
      <c r="AO66" s="32"/>
      <c r="AP66" s="32"/>
      <c r="AQ66" s="32"/>
      <c r="AR66" s="32"/>
      <c r="AS66" s="32">
        <v>0</v>
      </c>
      <c r="AT66" s="32"/>
      <c r="AU66" s="32"/>
      <c r="AV66" s="32"/>
      <c r="AW66" s="32"/>
      <c r="AX66" s="32"/>
      <c r="AY66" s="32"/>
      <c r="AZ66" s="32">
        <v>0</v>
      </c>
      <c r="BA66" s="32"/>
      <c r="BB66" s="32"/>
      <c r="BC66" s="32"/>
      <c r="BD66" s="32"/>
      <c r="BE66" s="32"/>
      <c r="BF66" s="32"/>
      <c r="BG66" s="32">
        <v>0</v>
      </c>
      <c r="BH66" s="32"/>
      <c r="BI66" s="32"/>
      <c r="BJ66" s="32"/>
      <c r="BK66" s="32"/>
      <c r="BL66" s="32"/>
      <c r="BM66" s="32"/>
      <c r="BN66" s="32">
        <v>0</v>
      </c>
    </row>
    <row r="67" spans="1:66">
      <c r="A67" s="29"/>
      <c r="B67" s="30">
        <v>1233025</v>
      </c>
      <c r="C67" s="32">
        <v>60</v>
      </c>
      <c r="D67" s="32"/>
      <c r="E67" s="32"/>
      <c r="F67" s="32"/>
      <c r="G67" s="32"/>
      <c r="H67" s="32"/>
      <c r="I67" s="32"/>
      <c r="J67" s="32">
        <v>1000</v>
      </c>
      <c r="K67" s="32"/>
      <c r="L67" s="32"/>
      <c r="M67" s="32"/>
      <c r="N67" s="32"/>
      <c r="O67" s="32"/>
      <c r="P67" s="32"/>
      <c r="Q67" s="32">
        <v>827</v>
      </c>
      <c r="R67" s="32"/>
      <c r="S67" s="32"/>
      <c r="T67" s="32"/>
      <c r="U67" s="32"/>
      <c r="V67" s="32"/>
      <c r="W67" s="32"/>
      <c r="X67" s="32">
        <v>0</v>
      </c>
      <c r="Y67" s="32"/>
      <c r="Z67" s="32"/>
      <c r="AA67" s="32"/>
      <c r="AB67" s="32"/>
      <c r="AC67" s="32"/>
      <c r="AD67" s="32"/>
      <c r="AE67" s="32">
        <v>0</v>
      </c>
      <c r="AF67" s="32"/>
      <c r="AG67" s="32"/>
      <c r="AH67" s="32"/>
      <c r="AI67" s="32"/>
      <c r="AJ67" s="32"/>
      <c r="AK67" s="32"/>
      <c r="AL67" s="32">
        <v>1000</v>
      </c>
      <c r="AM67" s="32"/>
      <c r="AN67" s="32"/>
      <c r="AO67" s="32"/>
      <c r="AP67" s="32"/>
      <c r="AQ67" s="32"/>
      <c r="AR67" s="32"/>
      <c r="AS67" s="32">
        <v>911</v>
      </c>
      <c r="AT67" s="32"/>
      <c r="AU67" s="32"/>
      <c r="AV67" s="32"/>
      <c r="AW67" s="32"/>
      <c r="AX67" s="32"/>
      <c r="AY67" s="32"/>
      <c r="AZ67" s="32">
        <v>18</v>
      </c>
      <c r="BA67" s="32"/>
      <c r="BB67" s="32"/>
      <c r="BC67" s="32"/>
      <c r="BD67" s="32"/>
      <c r="BE67" s="32"/>
      <c r="BF67" s="32"/>
      <c r="BG67" s="32">
        <v>0</v>
      </c>
      <c r="BH67" s="32"/>
      <c r="BI67" s="32"/>
      <c r="BJ67" s="32"/>
      <c r="BK67" s="32"/>
      <c r="BL67" s="32"/>
      <c r="BM67" s="32"/>
      <c r="BN67" s="32">
        <v>1000</v>
      </c>
    </row>
    <row r="68" spans="1:66">
      <c r="A68" s="29"/>
      <c r="B68" s="30">
        <v>1233165</v>
      </c>
      <c r="C68" s="32">
        <v>370</v>
      </c>
      <c r="D68" s="32"/>
      <c r="E68" s="32"/>
      <c r="F68" s="32"/>
      <c r="G68" s="32"/>
      <c r="H68" s="32"/>
      <c r="I68" s="32"/>
      <c r="J68" s="32">
        <v>0</v>
      </c>
      <c r="K68" s="32"/>
      <c r="L68" s="32"/>
      <c r="M68" s="32"/>
      <c r="N68" s="32"/>
      <c r="O68" s="32"/>
      <c r="P68" s="32"/>
      <c r="Q68" s="32">
        <v>0</v>
      </c>
      <c r="R68" s="32"/>
      <c r="S68" s="32"/>
      <c r="T68" s="32"/>
      <c r="U68" s="32"/>
      <c r="V68" s="32"/>
      <c r="W68" s="32"/>
      <c r="X68" s="32">
        <v>0</v>
      </c>
      <c r="Y68" s="32"/>
      <c r="Z68" s="32"/>
      <c r="AA68" s="32"/>
      <c r="AB68" s="32"/>
      <c r="AC68" s="32"/>
      <c r="AD68" s="32"/>
      <c r="AE68" s="32">
        <v>0</v>
      </c>
      <c r="AF68" s="32"/>
      <c r="AG68" s="32"/>
      <c r="AH68" s="32"/>
      <c r="AI68" s="32"/>
      <c r="AJ68" s="32"/>
      <c r="AK68" s="32"/>
      <c r="AL68" s="32">
        <v>0</v>
      </c>
      <c r="AM68" s="32"/>
      <c r="AN68" s="32"/>
      <c r="AO68" s="32"/>
      <c r="AP68" s="32"/>
      <c r="AQ68" s="32"/>
      <c r="AR68" s="32"/>
      <c r="AS68" s="32">
        <v>0</v>
      </c>
      <c r="AT68" s="32"/>
      <c r="AU68" s="32"/>
      <c r="AV68" s="32"/>
      <c r="AW68" s="32"/>
      <c r="AX68" s="32"/>
      <c r="AY68" s="32"/>
      <c r="AZ68" s="32">
        <v>0</v>
      </c>
      <c r="BA68" s="32"/>
      <c r="BB68" s="32"/>
      <c r="BC68" s="32"/>
      <c r="BD68" s="32"/>
      <c r="BE68" s="32"/>
      <c r="BF68" s="32"/>
      <c r="BG68" s="32">
        <v>0</v>
      </c>
      <c r="BH68" s="32"/>
      <c r="BI68" s="32"/>
      <c r="BJ68" s="32"/>
      <c r="BK68" s="32"/>
      <c r="BL68" s="32"/>
      <c r="BM68" s="32"/>
      <c r="BN68" s="32">
        <v>0</v>
      </c>
    </row>
    <row r="69" spans="1:66">
      <c r="A69" s="29"/>
      <c r="B69" s="30">
        <v>1233383</v>
      </c>
      <c r="C69" s="32">
        <v>156</v>
      </c>
      <c r="D69" s="32"/>
      <c r="E69" s="32"/>
      <c r="F69" s="32"/>
      <c r="G69" s="32"/>
      <c r="H69" s="32"/>
      <c r="I69" s="32"/>
      <c r="J69" s="32">
        <v>0</v>
      </c>
      <c r="K69" s="32"/>
      <c r="L69" s="32"/>
      <c r="M69" s="32"/>
      <c r="N69" s="32"/>
      <c r="O69" s="32"/>
      <c r="P69" s="32"/>
      <c r="Q69" s="32">
        <v>0</v>
      </c>
      <c r="R69" s="32"/>
      <c r="S69" s="32"/>
      <c r="T69" s="32"/>
      <c r="U69" s="32"/>
      <c r="V69" s="32"/>
      <c r="W69" s="32"/>
      <c r="X69" s="32">
        <v>0</v>
      </c>
      <c r="Y69" s="32"/>
      <c r="Z69" s="32"/>
      <c r="AA69" s="32"/>
      <c r="AB69" s="32"/>
      <c r="AC69" s="32"/>
      <c r="AD69" s="32"/>
      <c r="AE69" s="32">
        <v>150</v>
      </c>
      <c r="AF69" s="32"/>
      <c r="AG69" s="32"/>
      <c r="AH69" s="32"/>
      <c r="AI69" s="32"/>
      <c r="AJ69" s="32"/>
      <c r="AK69" s="32"/>
      <c r="AL69" s="32">
        <v>0</v>
      </c>
      <c r="AM69" s="32"/>
      <c r="AN69" s="32"/>
      <c r="AO69" s="32"/>
      <c r="AP69" s="32"/>
      <c r="AQ69" s="32"/>
      <c r="AR69" s="32"/>
      <c r="AS69" s="32">
        <v>0</v>
      </c>
      <c r="AT69" s="32"/>
      <c r="AU69" s="32"/>
      <c r="AV69" s="32"/>
      <c r="AW69" s="32"/>
      <c r="AX69" s="32"/>
      <c r="AY69" s="32"/>
      <c r="AZ69" s="32">
        <v>0</v>
      </c>
      <c r="BA69" s="32"/>
      <c r="BB69" s="32"/>
      <c r="BC69" s="32"/>
      <c r="BD69" s="32"/>
      <c r="BE69" s="32"/>
      <c r="BF69" s="32"/>
      <c r="BG69" s="32">
        <v>42</v>
      </c>
      <c r="BH69" s="32"/>
      <c r="BI69" s="32"/>
      <c r="BJ69" s="32"/>
      <c r="BK69" s="32"/>
      <c r="BL69" s="32"/>
      <c r="BM69" s="32"/>
      <c r="BN69" s="32">
        <v>0</v>
      </c>
    </row>
    <row r="70" spans="1:66">
      <c r="A70" s="29"/>
      <c r="B70" s="30">
        <v>1233384</v>
      </c>
      <c r="C70" s="32">
        <v>50</v>
      </c>
      <c r="D70" s="32"/>
      <c r="E70" s="32"/>
      <c r="F70" s="32"/>
      <c r="G70" s="32"/>
      <c r="H70" s="32"/>
      <c r="I70" s="32"/>
      <c r="J70" s="32">
        <v>300</v>
      </c>
      <c r="K70" s="32"/>
      <c r="L70" s="32"/>
      <c r="M70" s="32"/>
      <c r="N70" s="32"/>
      <c r="O70" s="32"/>
      <c r="P70" s="32"/>
      <c r="Q70" s="32">
        <v>300</v>
      </c>
      <c r="R70" s="32"/>
      <c r="S70" s="32"/>
      <c r="T70" s="32"/>
      <c r="U70" s="32"/>
      <c r="V70" s="32"/>
      <c r="W70" s="32"/>
      <c r="X70" s="32">
        <v>300</v>
      </c>
      <c r="Y70" s="32"/>
      <c r="Z70" s="32"/>
      <c r="AA70" s="32"/>
      <c r="AB70" s="32"/>
      <c r="AC70" s="32"/>
      <c r="AD70" s="32"/>
      <c r="AE70" s="32">
        <v>300</v>
      </c>
      <c r="AF70" s="32"/>
      <c r="AG70" s="32"/>
      <c r="AH70" s="32"/>
      <c r="AI70" s="32"/>
      <c r="AJ70" s="32"/>
      <c r="AK70" s="32"/>
      <c r="AL70" s="32">
        <v>300</v>
      </c>
      <c r="AM70" s="32"/>
      <c r="AN70" s="32"/>
      <c r="AO70" s="32"/>
      <c r="AP70" s="32"/>
      <c r="AQ70" s="32"/>
      <c r="AR70" s="32"/>
      <c r="AS70" s="32">
        <v>0</v>
      </c>
      <c r="AT70" s="32"/>
      <c r="AU70" s="32"/>
      <c r="AV70" s="32"/>
      <c r="AW70" s="32"/>
      <c r="AX70" s="32"/>
      <c r="AY70" s="32"/>
      <c r="AZ70" s="32">
        <v>0</v>
      </c>
      <c r="BA70" s="32"/>
      <c r="BB70" s="32"/>
      <c r="BC70" s="32"/>
      <c r="BD70" s="32"/>
      <c r="BE70" s="32"/>
      <c r="BF70" s="32"/>
      <c r="BG70" s="32">
        <v>0</v>
      </c>
      <c r="BH70" s="32"/>
      <c r="BI70" s="32"/>
      <c r="BJ70" s="32"/>
      <c r="BK70" s="32"/>
      <c r="BL70" s="32"/>
      <c r="BM70" s="32"/>
      <c r="BN70" s="32">
        <v>0</v>
      </c>
    </row>
    <row r="71" spans="1:66">
      <c r="A71" s="29"/>
      <c r="B71" s="30">
        <v>1233385</v>
      </c>
      <c r="C71" s="32">
        <v>192</v>
      </c>
      <c r="D71" s="32"/>
      <c r="E71" s="32"/>
      <c r="F71" s="32"/>
      <c r="G71" s="32"/>
      <c r="H71" s="32"/>
      <c r="I71" s="32"/>
      <c r="J71" s="32">
        <v>0</v>
      </c>
      <c r="K71" s="32"/>
      <c r="L71" s="32"/>
      <c r="M71" s="32"/>
      <c r="N71" s="32"/>
      <c r="O71" s="32"/>
      <c r="P71" s="32"/>
      <c r="Q71" s="32">
        <v>0</v>
      </c>
      <c r="R71" s="32"/>
      <c r="S71" s="32"/>
      <c r="T71" s="32"/>
      <c r="U71" s="32"/>
      <c r="V71" s="32"/>
      <c r="W71" s="32"/>
      <c r="X71" s="32">
        <v>0</v>
      </c>
      <c r="Y71" s="32"/>
      <c r="Z71" s="32"/>
      <c r="AA71" s="32"/>
      <c r="AB71" s="32"/>
      <c r="AC71" s="32"/>
      <c r="AD71" s="32"/>
      <c r="AE71" s="32">
        <v>0</v>
      </c>
      <c r="AF71" s="32"/>
      <c r="AG71" s="32"/>
      <c r="AH71" s="32"/>
      <c r="AI71" s="32"/>
      <c r="AJ71" s="32"/>
      <c r="AK71" s="32"/>
      <c r="AL71" s="32">
        <v>192</v>
      </c>
      <c r="AM71" s="32"/>
      <c r="AN71" s="32"/>
      <c r="AO71" s="32"/>
      <c r="AP71" s="32"/>
      <c r="AQ71" s="32"/>
      <c r="AR71" s="32"/>
      <c r="AS71" s="32">
        <v>0</v>
      </c>
      <c r="AT71" s="32"/>
      <c r="AU71" s="32"/>
      <c r="AV71" s="32"/>
      <c r="AW71" s="32"/>
      <c r="AX71" s="32"/>
      <c r="AY71" s="32"/>
      <c r="AZ71" s="32">
        <v>0</v>
      </c>
      <c r="BA71" s="32"/>
      <c r="BB71" s="32"/>
      <c r="BC71" s="32"/>
      <c r="BD71" s="32"/>
      <c r="BE71" s="32"/>
      <c r="BF71" s="32"/>
      <c r="BG71" s="32">
        <v>0</v>
      </c>
      <c r="BH71" s="32"/>
      <c r="BI71" s="32"/>
      <c r="BJ71" s="32"/>
      <c r="BK71" s="32"/>
      <c r="BL71" s="32"/>
      <c r="BM71" s="32"/>
      <c r="BN71" s="32">
        <v>216</v>
      </c>
    </row>
    <row r="72" spans="1:66">
      <c r="A72" s="29"/>
      <c r="B72" s="30">
        <v>1233386</v>
      </c>
      <c r="C72" s="32">
        <v>26</v>
      </c>
      <c r="D72" s="32"/>
      <c r="E72" s="32"/>
      <c r="F72" s="32"/>
      <c r="G72" s="32"/>
      <c r="H72" s="32"/>
      <c r="I72" s="32"/>
      <c r="J72" s="32">
        <v>0</v>
      </c>
      <c r="K72" s="32"/>
      <c r="L72" s="32"/>
      <c r="M72" s="32"/>
      <c r="N72" s="32"/>
      <c r="O72" s="32"/>
      <c r="P72" s="32"/>
      <c r="Q72" s="32">
        <v>0</v>
      </c>
      <c r="R72" s="32"/>
      <c r="S72" s="32"/>
      <c r="T72" s="32"/>
      <c r="U72" s="32"/>
      <c r="V72" s="32"/>
      <c r="W72" s="32"/>
      <c r="X72" s="32">
        <v>0</v>
      </c>
      <c r="Y72" s="32"/>
      <c r="Z72" s="32"/>
      <c r="AA72" s="32"/>
      <c r="AB72" s="32"/>
      <c r="AC72" s="32"/>
      <c r="AD72" s="32"/>
      <c r="AE72" s="32">
        <v>0</v>
      </c>
      <c r="AF72" s="32"/>
      <c r="AG72" s="32"/>
      <c r="AH72" s="32"/>
      <c r="AI72" s="32"/>
      <c r="AJ72" s="32"/>
      <c r="AK72" s="32"/>
      <c r="AL72" s="32">
        <v>600</v>
      </c>
      <c r="AM72" s="32"/>
      <c r="AN72" s="32"/>
      <c r="AO72" s="32"/>
      <c r="AP72" s="32"/>
      <c r="AQ72" s="32"/>
      <c r="AR72" s="32"/>
      <c r="AS72" s="32">
        <v>0</v>
      </c>
      <c r="AT72" s="32"/>
      <c r="AU72" s="32"/>
      <c r="AV72" s="32"/>
      <c r="AW72" s="32"/>
      <c r="AX72" s="32"/>
      <c r="AY72" s="32"/>
      <c r="AZ72" s="32">
        <v>0</v>
      </c>
      <c r="BA72" s="32"/>
      <c r="BB72" s="32"/>
      <c r="BC72" s="32"/>
      <c r="BD72" s="32"/>
      <c r="BE72" s="32"/>
      <c r="BF72" s="32"/>
      <c r="BG72" s="32">
        <v>0</v>
      </c>
      <c r="BH72" s="32"/>
      <c r="BI72" s="32"/>
      <c r="BJ72" s="32"/>
      <c r="BK72" s="32"/>
      <c r="BL72" s="32"/>
      <c r="BM72" s="32"/>
      <c r="BN72" s="32">
        <v>0</v>
      </c>
    </row>
    <row r="73" spans="1:66">
      <c r="A73" s="29"/>
      <c r="B73" s="30">
        <v>1233387</v>
      </c>
      <c r="C73" s="32">
        <v>0</v>
      </c>
      <c r="D73" s="32"/>
      <c r="E73" s="32"/>
      <c r="F73" s="32"/>
      <c r="G73" s="32"/>
      <c r="H73" s="32"/>
      <c r="I73" s="32"/>
      <c r="J73" s="32">
        <v>0</v>
      </c>
      <c r="K73" s="32"/>
      <c r="L73" s="32"/>
      <c r="M73" s="32"/>
      <c r="N73" s="32"/>
      <c r="O73" s="32"/>
      <c r="P73" s="32"/>
      <c r="Q73" s="32">
        <v>864</v>
      </c>
      <c r="R73" s="32"/>
      <c r="S73" s="32"/>
      <c r="T73" s="32"/>
      <c r="U73" s="32"/>
      <c r="V73" s="32"/>
      <c r="W73" s="32"/>
      <c r="X73" s="32">
        <v>864</v>
      </c>
      <c r="Y73" s="32"/>
      <c r="Z73" s="32"/>
      <c r="AA73" s="32"/>
      <c r="AB73" s="32"/>
      <c r="AC73" s="32"/>
      <c r="AD73" s="32"/>
      <c r="AE73" s="32">
        <v>0</v>
      </c>
      <c r="AF73" s="32"/>
      <c r="AG73" s="32"/>
      <c r="AH73" s="32"/>
      <c r="AI73" s="32"/>
      <c r="AJ73" s="32"/>
      <c r="AK73" s="32"/>
      <c r="AL73" s="32">
        <v>0</v>
      </c>
      <c r="AM73" s="32"/>
      <c r="AN73" s="32"/>
      <c r="AO73" s="32"/>
      <c r="AP73" s="32"/>
      <c r="AQ73" s="32"/>
      <c r="AR73" s="32"/>
      <c r="AS73" s="32">
        <v>0</v>
      </c>
      <c r="AT73" s="32"/>
      <c r="AU73" s="32"/>
      <c r="AV73" s="32"/>
      <c r="AW73" s="32"/>
      <c r="AX73" s="32"/>
      <c r="AY73" s="32"/>
      <c r="AZ73" s="32">
        <v>0</v>
      </c>
      <c r="BA73" s="32"/>
      <c r="BB73" s="32"/>
      <c r="BC73" s="32"/>
      <c r="BD73" s="32"/>
      <c r="BE73" s="32"/>
      <c r="BF73" s="32"/>
      <c r="BG73" s="32">
        <v>0</v>
      </c>
      <c r="BH73" s="32"/>
      <c r="BI73" s="32"/>
      <c r="BJ73" s="32"/>
      <c r="BK73" s="32"/>
      <c r="BL73" s="32"/>
      <c r="BM73" s="32"/>
      <c r="BN73" s="32">
        <v>0</v>
      </c>
    </row>
    <row r="74" spans="1:66">
      <c r="A74" s="29"/>
      <c r="B74" s="30">
        <v>1233580</v>
      </c>
      <c r="C74" s="32">
        <v>0</v>
      </c>
      <c r="D74" s="32"/>
      <c r="E74" s="32"/>
      <c r="F74" s="32"/>
      <c r="G74" s="32"/>
      <c r="H74" s="32"/>
      <c r="I74" s="32"/>
      <c r="J74" s="32">
        <v>0</v>
      </c>
      <c r="K74" s="32"/>
      <c r="L74" s="32"/>
      <c r="M74" s="32"/>
      <c r="N74" s="32"/>
      <c r="O74" s="32"/>
      <c r="P74" s="32"/>
      <c r="Q74" s="32">
        <v>0</v>
      </c>
      <c r="R74" s="32"/>
      <c r="S74" s="32"/>
      <c r="T74" s="32"/>
      <c r="U74" s="32"/>
      <c r="V74" s="32"/>
      <c r="W74" s="32"/>
      <c r="X74" s="32">
        <v>0</v>
      </c>
      <c r="Y74" s="32"/>
      <c r="Z74" s="32"/>
      <c r="AA74" s="32"/>
      <c r="AB74" s="32"/>
      <c r="AC74" s="32"/>
      <c r="AD74" s="32"/>
      <c r="AE74" s="32">
        <v>50</v>
      </c>
      <c r="AF74" s="32"/>
      <c r="AG74" s="32"/>
      <c r="AH74" s="32"/>
      <c r="AI74" s="32"/>
      <c r="AJ74" s="32"/>
      <c r="AK74" s="32"/>
      <c r="AL74" s="32">
        <v>0</v>
      </c>
      <c r="AM74" s="32"/>
      <c r="AN74" s="32"/>
      <c r="AO74" s="32"/>
      <c r="AP74" s="32"/>
      <c r="AQ74" s="32"/>
      <c r="AR74" s="32"/>
      <c r="AS74" s="32">
        <v>0</v>
      </c>
      <c r="AT74" s="32"/>
      <c r="AU74" s="32"/>
      <c r="AV74" s="32"/>
      <c r="AW74" s="32"/>
      <c r="AX74" s="32"/>
      <c r="AY74" s="32"/>
      <c r="AZ74" s="32">
        <v>0</v>
      </c>
      <c r="BA74" s="32"/>
      <c r="BB74" s="32"/>
      <c r="BC74" s="32"/>
      <c r="BD74" s="32"/>
      <c r="BE74" s="32"/>
      <c r="BF74" s="32"/>
      <c r="BG74" s="32">
        <v>100</v>
      </c>
      <c r="BH74" s="32"/>
      <c r="BI74" s="32"/>
      <c r="BJ74" s="32"/>
      <c r="BK74" s="32"/>
      <c r="BL74" s="32"/>
      <c r="BM74" s="32"/>
      <c r="BN74" s="32">
        <v>0</v>
      </c>
    </row>
    <row r="75" spans="1:66">
      <c r="A75" s="29"/>
      <c r="B75" s="30">
        <v>1233587</v>
      </c>
      <c r="C75" s="32">
        <v>0</v>
      </c>
      <c r="D75" s="32"/>
      <c r="E75" s="32"/>
      <c r="F75" s="32"/>
      <c r="G75" s="32"/>
      <c r="H75" s="32"/>
      <c r="I75" s="32"/>
      <c r="J75" s="32">
        <v>0</v>
      </c>
      <c r="K75" s="32"/>
      <c r="L75" s="32"/>
      <c r="M75" s="32"/>
      <c r="N75" s="32"/>
      <c r="O75" s="32"/>
      <c r="P75" s="32"/>
      <c r="Q75" s="32">
        <v>0</v>
      </c>
      <c r="R75" s="32"/>
      <c r="S75" s="32"/>
      <c r="T75" s="32"/>
      <c r="U75" s="32"/>
      <c r="V75" s="32"/>
      <c r="W75" s="32"/>
      <c r="X75" s="32">
        <v>0</v>
      </c>
      <c r="Y75" s="32"/>
      <c r="Z75" s="32"/>
      <c r="AA75" s="32"/>
      <c r="AB75" s="32"/>
      <c r="AC75" s="32"/>
      <c r="AD75" s="32"/>
      <c r="AE75" s="32">
        <v>0</v>
      </c>
      <c r="AF75" s="32"/>
      <c r="AG75" s="32"/>
      <c r="AH75" s="32"/>
      <c r="AI75" s="32"/>
      <c r="AJ75" s="32"/>
      <c r="AK75" s="32"/>
      <c r="AL75" s="32">
        <v>5</v>
      </c>
      <c r="AM75" s="32"/>
      <c r="AN75" s="32"/>
      <c r="AO75" s="32"/>
      <c r="AP75" s="32"/>
      <c r="AQ75" s="32"/>
      <c r="AR75" s="32"/>
      <c r="AS75" s="32">
        <v>0</v>
      </c>
      <c r="AT75" s="32"/>
      <c r="AU75" s="32"/>
      <c r="AV75" s="32"/>
      <c r="AW75" s="32"/>
      <c r="AX75" s="32"/>
      <c r="AY75" s="32"/>
      <c r="AZ75" s="32">
        <v>0</v>
      </c>
      <c r="BA75" s="32"/>
      <c r="BB75" s="32"/>
      <c r="BC75" s="32"/>
      <c r="BD75" s="32"/>
      <c r="BE75" s="32"/>
      <c r="BF75" s="32"/>
      <c r="BG75" s="32">
        <v>0</v>
      </c>
      <c r="BH75" s="32"/>
      <c r="BI75" s="32"/>
      <c r="BJ75" s="32"/>
      <c r="BK75" s="32"/>
      <c r="BL75" s="32"/>
      <c r="BM75" s="32"/>
      <c r="BN75" s="32">
        <v>10</v>
      </c>
    </row>
    <row r="76" spans="1:66">
      <c r="A76" s="29"/>
      <c r="B76" s="30">
        <v>1234110</v>
      </c>
      <c r="C76" s="32">
        <v>0</v>
      </c>
      <c r="D76" s="32"/>
      <c r="E76" s="32"/>
      <c r="F76" s="32"/>
      <c r="G76" s="32"/>
      <c r="H76" s="32"/>
      <c r="I76" s="32"/>
      <c r="J76" s="32">
        <v>0</v>
      </c>
      <c r="K76" s="32"/>
      <c r="L76" s="32"/>
      <c r="M76" s="32"/>
      <c r="N76" s="32"/>
      <c r="O76" s="32"/>
      <c r="P76" s="32"/>
      <c r="Q76" s="32">
        <v>0</v>
      </c>
      <c r="R76" s="32"/>
      <c r="S76" s="32"/>
      <c r="T76" s="32"/>
      <c r="U76" s="32"/>
      <c r="V76" s="32"/>
      <c r="W76" s="32"/>
      <c r="X76" s="32">
        <v>0</v>
      </c>
      <c r="Y76" s="32"/>
      <c r="Z76" s="32"/>
      <c r="AA76" s="32"/>
      <c r="AB76" s="32"/>
      <c r="AC76" s="32"/>
      <c r="AD76" s="32"/>
      <c r="AE76" s="32">
        <v>270</v>
      </c>
      <c r="AF76" s="32"/>
      <c r="AG76" s="32"/>
      <c r="AH76" s="32"/>
      <c r="AI76" s="32"/>
      <c r="AJ76" s="32"/>
      <c r="AK76" s="32"/>
      <c r="AL76" s="32">
        <v>0</v>
      </c>
      <c r="AM76" s="32"/>
      <c r="AN76" s="32"/>
      <c r="AO76" s="32"/>
      <c r="AP76" s="32"/>
      <c r="AQ76" s="32"/>
      <c r="AR76" s="32"/>
      <c r="AS76" s="32">
        <v>0</v>
      </c>
      <c r="AT76" s="32"/>
      <c r="AU76" s="32"/>
      <c r="AV76" s="32"/>
      <c r="AW76" s="32"/>
      <c r="AX76" s="32"/>
      <c r="AY76" s="32"/>
      <c r="AZ76" s="32">
        <v>0</v>
      </c>
      <c r="BA76" s="32"/>
      <c r="BB76" s="32"/>
      <c r="BC76" s="32"/>
      <c r="BD76" s="32"/>
      <c r="BE76" s="32"/>
      <c r="BF76" s="32"/>
      <c r="BG76" s="32">
        <v>0</v>
      </c>
      <c r="BH76" s="32"/>
      <c r="BI76" s="32"/>
      <c r="BJ76" s="32"/>
      <c r="BK76" s="32"/>
      <c r="BL76" s="32"/>
      <c r="BM76" s="32"/>
      <c r="BN76" s="32">
        <v>0</v>
      </c>
    </row>
    <row r="77" spans="1:66">
      <c r="A77" s="29"/>
      <c r="B77" s="30">
        <v>1234111</v>
      </c>
      <c r="C77" s="32">
        <v>0</v>
      </c>
      <c r="D77" s="32"/>
      <c r="E77" s="32"/>
      <c r="F77" s="32"/>
      <c r="G77" s="32"/>
      <c r="H77" s="32"/>
      <c r="I77" s="32"/>
      <c r="J77" s="32">
        <v>0</v>
      </c>
      <c r="K77" s="32"/>
      <c r="L77" s="32"/>
      <c r="M77" s="32"/>
      <c r="N77" s="32"/>
      <c r="O77" s="32"/>
      <c r="P77" s="32"/>
      <c r="Q77" s="32">
        <v>0</v>
      </c>
      <c r="R77" s="32"/>
      <c r="S77" s="32"/>
      <c r="T77" s="32"/>
      <c r="U77" s="32"/>
      <c r="V77" s="32"/>
      <c r="W77" s="32"/>
      <c r="X77" s="32">
        <v>0</v>
      </c>
      <c r="Y77" s="32"/>
      <c r="Z77" s="32"/>
      <c r="AA77" s="32"/>
      <c r="AB77" s="32"/>
      <c r="AC77" s="32"/>
      <c r="AD77" s="32"/>
      <c r="AE77" s="32">
        <v>270</v>
      </c>
      <c r="AF77" s="32"/>
      <c r="AG77" s="32"/>
      <c r="AH77" s="32"/>
      <c r="AI77" s="32"/>
      <c r="AJ77" s="32"/>
      <c r="AK77" s="32"/>
      <c r="AL77" s="32">
        <v>0</v>
      </c>
      <c r="AM77" s="32"/>
      <c r="AN77" s="32"/>
      <c r="AO77" s="32"/>
      <c r="AP77" s="32"/>
      <c r="AQ77" s="32"/>
      <c r="AR77" s="32"/>
      <c r="AS77" s="32">
        <v>0</v>
      </c>
      <c r="AT77" s="32"/>
      <c r="AU77" s="32"/>
      <c r="AV77" s="32"/>
      <c r="AW77" s="32"/>
      <c r="AX77" s="32"/>
      <c r="AY77" s="32"/>
      <c r="AZ77" s="32">
        <v>0</v>
      </c>
      <c r="BA77" s="32"/>
      <c r="BB77" s="32"/>
      <c r="BC77" s="32"/>
      <c r="BD77" s="32"/>
      <c r="BE77" s="32"/>
      <c r="BF77" s="32"/>
      <c r="BG77" s="32">
        <v>0</v>
      </c>
      <c r="BH77" s="32"/>
      <c r="BI77" s="32"/>
      <c r="BJ77" s="32"/>
      <c r="BK77" s="32"/>
      <c r="BL77" s="32"/>
      <c r="BM77" s="32"/>
      <c r="BN77" s="32">
        <v>0</v>
      </c>
    </row>
    <row r="78" spans="1:66">
      <c r="A78" s="29"/>
      <c r="B78" s="30">
        <v>1234217</v>
      </c>
      <c r="C78" s="32">
        <v>0</v>
      </c>
      <c r="D78" s="32"/>
      <c r="E78" s="32"/>
      <c r="F78" s="32"/>
      <c r="G78" s="32"/>
      <c r="H78" s="32"/>
      <c r="I78" s="32"/>
      <c r="J78" s="32">
        <v>0</v>
      </c>
      <c r="K78" s="32"/>
      <c r="L78" s="32"/>
      <c r="M78" s="32"/>
      <c r="N78" s="32"/>
      <c r="O78" s="32"/>
      <c r="P78" s="32"/>
      <c r="Q78" s="32">
        <v>0</v>
      </c>
      <c r="R78" s="32"/>
      <c r="S78" s="32"/>
      <c r="T78" s="32"/>
      <c r="U78" s="32"/>
      <c r="V78" s="32"/>
      <c r="W78" s="32"/>
      <c r="X78" s="32">
        <v>0</v>
      </c>
      <c r="Y78" s="32"/>
      <c r="Z78" s="32"/>
      <c r="AA78" s="32"/>
      <c r="AB78" s="32"/>
      <c r="AC78" s="32"/>
      <c r="AD78" s="32"/>
      <c r="AE78" s="32">
        <v>270</v>
      </c>
      <c r="AF78" s="32"/>
      <c r="AG78" s="32"/>
      <c r="AH78" s="32"/>
      <c r="AI78" s="32"/>
      <c r="AJ78" s="32"/>
      <c r="AK78" s="32"/>
      <c r="AL78" s="32">
        <v>0</v>
      </c>
      <c r="AM78" s="32"/>
      <c r="AN78" s="32"/>
      <c r="AO78" s="32"/>
      <c r="AP78" s="32"/>
      <c r="AQ78" s="32"/>
      <c r="AR78" s="32"/>
      <c r="AS78" s="32">
        <v>0</v>
      </c>
      <c r="AT78" s="32"/>
      <c r="AU78" s="32"/>
      <c r="AV78" s="32"/>
      <c r="AW78" s="32"/>
      <c r="AX78" s="32"/>
      <c r="AY78" s="32"/>
      <c r="AZ78" s="32">
        <v>0</v>
      </c>
      <c r="BA78" s="32"/>
      <c r="BB78" s="32"/>
      <c r="BC78" s="32"/>
      <c r="BD78" s="32"/>
      <c r="BE78" s="32"/>
      <c r="BF78" s="32"/>
      <c r="BG78" s="32">
        <v>0</v>
      </c>
      <c r="BH78" s="32"/>
      <c r="BI78" s="32"/>
      <c r="BJ78" s="32"/>
      <c r="BK78" s="32"/>
      <c r="BL78" s="32"/>
      <c r="BM78" s="32"/>
      <c r="BN78" s="32">
        <v>0</v>
      </c>
    </row>
    <row r="79" spans="1:66">
      <c r="A79" s="29"/>
      <c r="B79" s="30">
        <v>1234222</v>
      </c>
      <c r="C79" s="32">
        <v>0</v>
      </c>
      <c r="D79" s="32"/>
      <c r="E79" s="32"/>
      <c r="F79" s="32"/>
      <c r="G79" s="32"/>
      <c r="H79" s="32"/>
      <c r="I79" s="32"/>
      <c r="J79" s="32">
        <v>571</v>
      </c>
      <c r="K79" s="32"/>
      <c r="L79" s="32"/>
      <c r="M79" s="32"/>
      <c r="N79" s="32"/>
      <c r="O79" s="32"/>
      <c r="P79" s="32"/>
      <c r="Q79" s="32">
        <v>0</v>
      </c>
      <c r="R79" s="32"/>
      <c r="S79" s="32"/>
      <c r="T79" s="32"/>
      <c r="U79" s="32"/>
      <c r="V79" s="32"/>
      <c r="W79" s="32"/>
      <c r="X79" s="32">
        <v>0</v>
      </c>
      <c r="Y79" s="32"/>
      <c r="Z79" s="32"/>
      <c r="AA79" s="32"/>
      <c r="AB79" s="32"/>
      <c r="AC79" s="32"/>
      <c r="AD79" s="32"/>
      <c r="AE79" s="32">
        <v>0</v>
      </c>
      <c r="AF79" s="32"/>
      <c r="AG79" s="32"/>
      <c r="AH79" s="32"/>
      <c r="AI79" s="32"/>
      <c r="AJ79" s="32"/>
      <c r="AK79" s="32"/>
      <c r="AL79" s="32">
        <v>777</v>
      </c>
      <c r="AM79" s="32"/>
      <c r="AN79" s="32"/>
      <c r="AO79" s="32"/>
      <c r="AP79" s="32"/>
      <c r="AQ79" s="32"/>
      <c r="AR79" s="32"/>
      <c r="AS79" s="32">
        <v>0</v>
      </c>
      <c r="AT79" s="32"/>
      <c r="AU79" s="32"/>
      <c r="AV79" s="32"/>
      <c r="AW79" s="32"/>
      <c r="AX79" s="32"/>
      <c r="AY79" s="32"/>
      <c r="AZ79" s="32">
        <v>0</v>
      </c>
      <c r="BA79" s="32"/>
      <c r="BB79" s="32"/>
      <c r="BC79" s="32"/>
      <c r="BD79" s="32"/>
      <c r="BE79" s="32"/>
      <c r="BF79" s="32"/>
      <c r="BG79" s="32">
        <v>0</v>
      </c>
      <c r="BH79" s="32"/>
      <c r="BI79" s="32"/>
      <c r="BJ79" s="32"/>
      <c r="BK79" s="32"/>
      <c r="BL79" s="32"/>
      <c r="BM79" s="32"/>
      <c r="BN79" s="32">
        <v>868</v>
      </c>
    </row>
    <row r="80" spans="1:66">
      <c r="A80" s="29"/>
      <c r="B80" s="30">
        <v>1234614</v>
      </c>
      <c r="C80" s="32">
        <v>0</v>
      </c>
      <c r="D80" s="32"/>
      <c r="E80" s="32"/>
      <c r="F80" s="32"/>
      <c r="G80" s="32"/>
      <c r="H80" s="32"/>
      <c r="I80" s="32"/>
      <c r="J80" s="32">
        <v>0</v>
      </c>
      <c r="K80" s="32"/>
      <c r="L80" s="32"/>
      <c r="M80" s="32"/>
      <c r="N80" s="32"/>
      <c r="O80" s="32"/>
      <c r="P80" s="32"/>
      <c r="Q80" s="32">
        <v>573</v>
      </c>
      <c r="R80" s="32"/>
      <c r="S80" s="32"/>
      <c r="T80" s="32"/>
      <c r="U80" s="32"/>
      <c r="V80" s="32"/>
      <c r="W80" s="32"/>
      <c r="X80" s="32">
        <v>324</v>
      </c>
      <c r="Y80" s="32"/>
      <c r="Z80" s="32"/>
      <c r="AA80" s="32"/>
      <c r="AB80" s="32"/>
      <c r="AC80" s="32"/>
      <c r="AD80" s="32"/>
      <c r="AE80" s="32">
        <v>500</v>
      </c>
      <c r="AF80" s="32"/>
      <c r="AG80" s="32"/>
      <c r="AH80" s="32"/>
      <c r="AI80" s="32"/>
      <c r="AJ80" s="32"/>
      <c r="AK80" s="32"/>
      <c r="AL80" s="32">
        <v>648</v>
      </c>
      <c r="AM80" s="32"/>
      <c r="AN80" s="32"/>
      <c r="AO80" s="32"/>
      <c r="AP80" s="32"/>
      <c r="AQ80" s="32"/>
      <c r="AR80" s="32"/>
      <c r="AS80" s="32">
        <v>300</v>
      </c>
      <c r="AT80" s="32"/>
      <c r="AU80" s="32"/>
      <c r="AV80" s="32"/>
      <c r="AW80" s="32"/>
      <c r="AX80" s="32"/>
      <c r="AY80" s="32"/>
      <c r="AZ80" s="32">
        <v>300</v>
      </c>
      <c r="BA80" s="32"/>
      <c r="BB80" s="32"/>
      <c r="BC80" s="32"/>
      <c r="BD80" s="32"/>
      <c r="BE80" s="32"/>
      <c r="BF80" s="32"/>
      <c r="BG80" s="32">
        <v>200</v>
      </c>
      <c r="BH80" s="32"/>
      <c r="BI80" s="32"/>
      <c r="BJ80" s="32"/>
      <c r="BK80" s="32"/>
      <c r="BL80" s="32"/>
      <c r="BM80" s="32"/>
      <c r="BN80" s="32">
        <v>0</v>
      </c>
    </row>
    <row r="81" spans="1:66">
      <c r="A81" s="29"/>
      <c r="B81" s="30">
        <v>1235097</v>
      </c>
      <c r="C81" s="32">
        <v>521</v>
      </c>
      <c r="D81" s="32"/>
      <c r="E81" s="32"/>
      <c r="F81" s="32"/>
      <c r="G81" s="32"/>
      <c r="H81" s="32"/>
      <c r="I81" s="32"/>
      <c r="J81" s="32">
        <v>0</v>
      </c>
      <c r="K81" s="32"/>
      <c r="L81" s="32"/>
      <c r="M81" s="32"/>
      <c r="N81" s="32"/>
      <c r="O81" s="32"/>
      <c r="P81" s="32"/>
      <c r="Q81" s="32">
        <v>300</v>
      </c>
      <c r="R81" s="32"/>
      <c r="S81" s="32"/>
      <c r="T81" s="32"/>
      <c r="U81" s="32"/>
      <c r="V81" s="32"/>
      <c r="W81" s="32"/>
      <c r="X81" s="32">
        <v>738</v>
      </c>
      <c r="Y81" s="32"/>
      <c r="Z81" s="32"/>
      <c r="AA81" s="32"/>
      <c r="AB81" s="32"/>
      <c r="AC81" s="32"/>
      <c r="AD81" s="32"/>
      <c r="AE81" s="32">
        <v>500</v>
      </c>
      <c r="AF81" s="32"/>
      <c r="AG81" s="32"/>
      <c r="AH81" s="32"/>
      <c r="AI81" s="32"/>
      <c r="AJ81" s="32"/>
      <c r="AK81" s="32"/>
      <c r="AL81" s="32">
        <v>300</v>
      </c>
      <c r="AM81" s="32"/>
      <c r="AN81" s="32"/>
      <c r="AO81" s="32"/>
      <c r="AP81" s="32"/>
      <c r="AQ81" s="32"/>
      <c r="AR81" s="32"/>
      <c r="AS81" s="32">
        <v>500</v>
      </c>
      <c r="AT81" s="32"/>
      <c r="AU81" s="32"/>
      <c r="AV81" s="32"/>
      <c r="AW81" s="32"/>
      <c r="AX81" s="32"/>
      <c r="AY81" s="32"/>
      <c r="AZ81" s="32">
        <v>300</v>
      </c>
      <c r="BA81" s="32"/>
      <c r="BB81" s="32"/>
      <c r="BC81" s="32"/>
      <c r="BD81" s="32"/>
      <c r="BE81" s="32"/>
      <c r="BF81" s="32"/>
      <c r="BG81" s="32">
        <v>400</v>
      </c>
      <c r="BH81" s="32"/>
      <c r="BI81" s="32"/>
      <c r="BJ81" s="32"/>
      <c r="BK81" s="32"/>
      <c r="BL81" s="32"/>
      <c r="BM81" s="32"/>
      <c r="BN81" s="32">
        <v>300</v>
      </c>
    </row>
    <row r="82" spans="1:66">
      <c r="A82" s="29"/>
      <c r="B82" s="30">
        <v>1235845</v>
      </c>
      <c r="C82" s="32">
        <v>100</v>
      </c>
      <c r="D82" s="32"/>
      <c r="E82" s="32"/>
      <c r="F82" s="32"/>
      <c r="G82" s="32"/>
      <c r="H82" s="32"/>
      <c r="I82" s="32"/>
      <c r="J82" s="32">
        <v>0</v>
      </c>
      <c r="K82" s="32"/>
      <c r="L82" s="32"/>
      <c r="M82" s="32"/>
      <c r="N82" s="32"/>
      <c r="O82" s="32"/>
      <c r="P82" s="32"/>
      <c r="Q82" s="32">
        <v>0</v>
      </c>
      <c r="R82" s="32"/>
      <c r="S82" s="32"/>
      <c r="T82" s="32"/>
      <c r="U82" s="32"/>
      <c r="V82" s="32"/>
      <c r="W82" s="32"/>
      <c r="X82" s="32">
        <v>0</v>
      </c>
      <c r="Y82" s="32"/>
      <c r="Z82" s="32"/>
      <c r="AA82" s="32"/>
      <c r="AB82" s="32"/>
      <c r="AC82" s="32"/>
      <c r="AD82" s="32"/>
      <c r="AE82" s="32">
        <v>0</v>
      </c>
      <c r="AF82" s="32"/>
      <c r="AG82" s="32"/>
      <c r="AH82" s="32"/>
      <c r="AI82" s="32"/>
      <c r="AJ82" s="32"/>
      <c r="AK82" s="32"/>
      <c r="AL82" s="32">
        <v>547</v>
      </c>
      <c r="AM82" s="32"/>
      <c r="AN82" s="32"/>
      <c r="AO82" s="32"/>
      <c r="AP82" s="32"/>
      <c r="AQ82" s="32"/>
      <c r="AR82" s="32"/>
      <c r="AS82" s="32">
        <v>0</v>
      </c>
      <c r="AT82" s="32"/>
      <c r="AU82" s="32"/>
      <c r="AV82" s="32"/>
      <c r="AW82" s="32"/>
      <c r="AX82" s="32"/>
      <c r="AY82" s="32"/>
      <c r="AZ82" s="32">
        <v>0</v>
      </c>
      <c r="BA82" s="32"/>
      <c r="BB82" s="32"/>
      <c r="BC82" s="32"/>
      <c r="BD82" s="32"/>
      <c r="BE82" s="32"/>
      <c r="BF82" s="32"/>
      <c r="BG82" s="32">
        <v>0</v>
      </c>
      <c r="BH82" s="32"/>
      <c r="BI82" s="32"/>
      <c r="BJ82" s="32"/>
      <c r="BK82" s="32"/>
      <c r="BL82" s="32"/>
      <c r="BM82" s="32"/>
      <c r="BN82" s="32">
        <v>382</v>
      </c>
    </row>
    <row r="83" spans="1:66">
      <c r="A83" s="29"/>
      <c r="B83" s="30">
        <v>1235958</v>
      </c>
      <c r="C83" s="32">
        <v>0</v>
      </c>
      <c r="D83" s="32"/>
      <c r="E83" s="32"/>
      <c r="F83" s="32"/>
      <c r="G83" s="32"/>
      <c r="H83" s="32"/>
      <c r="I83" s="32"/>
      <c r="J83" s="32">
        <v>0</v>
      </c>
      <c r="K83" s="32"/>
      <c r="L83" s="32"/>
      <c r="M83" s="32"/>
      <c r="N83" s="32"/>
      <c r="O83" s="32"/>
      <c r="P83" s="32"/>
      <c r="Q83" s="32">
        <v>0</v>
      </c>
      <c r="R83" s="32"/>
      <c r="S83" s="32"/>
      <c r="T83" s="32"/>
      <c r="U83" s="32"/>
      <c r="V83" s="32"/>
      <c r="W83" s="32"/>
      <c r="X83" s="32">
        <v>0</v>
      </c>
      <c r="Y83" s="32"/>
      <c r="Z83" s="32"/>
      <c r="AA83" s="32"/>
      <c r="AB83" s="32"/>
      <c r="AC83" s="32"/>
      <c r="AD83" s="32"/>
      <c r="AE83" s="32">
        <v>0</v>
      </c>
      <c r="AF83" s="32"/>
      <c r="AG83" s="32"/>
      <c r="AH83" s="32"/>
      <c r="AI83" s="32"/>
      <c r="AJ83" s="32"/>
      <c r="AK83" s="32"/>
      <c r="AL83" s="32">
        <v>5</v>
      </c>
      <c r="AM83" s="32"/>
      <c r="AN83" s="32"/>
      <c r="AO83" s="32"/>
      <c r="AP83" s="32"/>
      <c r="AQ83" s="32"/>
      <c r="AR83" s="32"/>
      <c r="AS83" s="32">
        <v>0</v>
      </c>
      <c r="AT83" s="32"/>
      <c r="AU83" s="32"/>
      <c r="AV83" s="32"/>
      <c r="AW83" s="32"/>
      <c r="AX83" s="32"/>
      <c r="AY83" s="32"/>
      <c r="AZ83" s="32">
        <v>0</v>
      </c>
      <c r="BA83" s="32"/>
      <c r="BB83" s="32"/>
      <c r="BC83" s="32"/>
      <c r="BD83" s="32"/>
      <c r="BE83" s="32"/>
      <c r="BF83" s="32"/>
      <c r="BG83" s="32">
        <v>0</v>
      </c>
      <c r="BH83" s="32"/>
      <c r="BI83" s="32"/>
      <c r="BJ83" s="32"/>
      <c r="BK83" s="32"/>
      <c r="BL83" s="32"/>
      <c r="BM83" s="32"/>
      <c r="BN83" s="32">
        <v>0</v>
      </c>
    </row>
    <row r="84" spans="1:66">
      <c r="A84" s="29"/>
      <c r="B84" s="30">
        <v>1236387</v>
      </c>
      <c r="C84" s="32">
        <v>0</v>
      </c>
      <c r="D84" s="32"/>
      <c r="E84" s="32"/>
      <c r="F84" s="32"/>
      <c r="G84" s="32"/>
      <c r="H84" s="32"/>
      <c r="I84" s="32"/>
      <c r="J84" s="32">
        <v>0</v>
      </c>
      <c r="K84" s="32"/>
      <c r="L84" s="32"/>
      <c r="M84" s="32"/>
      <c r="N84" s="32"/>
      <c r="O84" s="32"/>
      <c r="P84" s="32"/>
      <c r="Q84" s="32">
        <v>0</v>
      </c>
      <c r="R84" s="32"/>
      <c r="S84" s="32"/>
      <c r="T84" s="32"/>
      <c r="U84" s="32"/>
      <c r="V84" s="32"/>
      <c r="W84" s="32"/>
      <c r="X84" s="32">
        <v>510</v>
      </c>
      <c r="Y84" s="32"/>
      <c r="Z84" s="32"/>
      <c r="AA84" s="32"/>
      <c r="AB84" s="32"/>
      <c r="AC84" s="32"/>
      <c r="AD84" s="32"/>
      <c r="AE84" s="32">
        <v>300</v>
      </c>
      <c r="AF84" s="32"/>
      <c r="AG84" s="32"/>
      <c r="AH84" s="32"/>
      <c r="AI84" s="32"/>
      <c r="AJ84" s="32"/>
      <c r="AK84" s="32"/>
      <c r="AL84" s="32">
        <v>0</v>
      </c>
      <c r="AM84" s="32"/>
      <c r="AN84" s="32"/>
      <c r="AO84" s="32"/>
      <c r="AP84" s="32"/>
      <c r="AQ84" s="32"/>
      <c r="AR84" s="32"/>
      <c r="AS84" s="32">
        <v>0</v>
      </c>
      <c r="AT84" s="32"/>
      <c r="AU84" s="32"/>
      <c r="AV84" s="32"/>
      <c r="AW84" s="32"/>
      <c r="AX84" s="32"/>
      <c r="AY84" s="32"/>
      <c r="AZ84" s="32">
        <v>700</v>
      </c>
      <c r="BA84" s="32"/>
      <c r="BB84" s="32"/>
      <c r="BC84" s="32"/>
      <c r="BD84" s="32"/>
      <c r="BE84" s="32"/>
      <c r="BF84" s="32"/>
      <c r="BG84" s="32">
        <v>0</v>
      </c>
      <c r="BH84" s="32"/>
      <c r="BI84" s="32"/>
      <c r="BJ84" s="32"/>
      <c r="BK84" s="32"/>
      <c r="BL84" s="32"/>
      <c r="BM84" s="32"/>
      <c r="BN84" s="32">
        <v>0</v>
      </c>
    </row>
    <row r="85" spans="1:66">
      <c r="A85" s="29"/>
      <c r="B85" s="30">
        <v>1236600</v>
      </c>
      <c r="C85" s="32">
        <v>1130</v>
      </c>
      <c r="D85" s="32"/>
      <c r="E85" s="32"/>
      <c r="F85" s="32"/>
      <c r="G85" s="32"/>
      <c r="H85" s="32"/>
      <c r="I85" s="32"/>
      <c r="J85" s="32">
        <v>0</v>
      </c>
      <c r="K85" s="32"/>
      <c r="L85" s="32"/>
      <c r="M85" s="32"/>
      <c r="N85" s="32"/>
      <c r="O85" s="32"/>
      <c r="P85" s="32"/>
      <c r="Q85" s="32">
        <v>0</v>
      </c>
      <c r="R85" s="32"/>
      <c r="S85" s="32"/>
      <c r="T85" s="32"/>
      <c r="U85" s="32"/>
      <c r="V85" s="32"/>
      <c r="W85" s="32"/>
      <c r="X85" s="32">
        <v>0</v>
      </c>
      <c r="Y85" s="32"/>
      <c r="Z85" s="32"/>
      <c r="AA85" s="32"/>
      <c r="AB85" s="32"/>
      <c r="AC85" s="32"/>
      <c r="AD85" s="32"/>
      <c r="AE85" s="32">
        <v>873</v>
      </c>
      <c r="AF85" s="32"/>
      <c r="AG85" s="32"/>
      <c r="AH85" s="32"/>
      <c r="AI85" s="32"/>
      <c r="AJ85" s="32"/>
      <c r="AK85" s="32"/>
      <c r="AL85" s="32">
        <v>100</v>
      </c>
      <c r="AM85" s="32"/>
      <c r="AN85" s="32"/>
      <c r="AO85" s="32"/>
      <c r="AP85" s="32"/>
      <c r="AQ85" s="32"/>
      <c r="AR85" s="32"/>
      <c r="AS85" s="32">
        <v>0</v>
      </c>
      <c r="AT85" s="32"/>
      <c r="AU85" s="32"/>
      <c r="AV85" s="32"/>
      <c r="AW85" s="32"/>
      <c r="AX85" s="32"/>
      <c r="AY85" s="32"/>
      <c r="AZ85" s="32">
        <v>0</v>
      </c>
      <c r="BA85" s="32"/>
      <c r="BB85" s="32"/>
      <c r="BC85" s="32"/>
      <c r="BD85" s="32"/>
      <c r="BE85" s="32"/>
      <c r="BF85" s="32"/>
      <c r="BG85" s="32">
        <v>829</v>
      </c>
      <c r="BH85" s="32"/>
      <c r="BI85" s="32"/>
      <c r="BJ85" s="32"/>
      <c r="BK85" s="32"/>
      <c r="BL85" s="32"/>
      <c r="BM85" s="32"/>
      <c r="BN85" s="32">
        <v>0</v>
      </c>
    </row>
    <row r="86" spans="1:66">
      <c r="A86" s="29"/>
      <c r="B86" s="30">
        <v>1236601</v>
      </c>
      <c r="C86" s="32">
        <v>27</v>
      </c>
      <c r="D86" s="32"/>
      <c r="E86" s="32"/>
      <c r="F86" s="32"/>
      <c r="G86" s="32"/>
      <c r="H86" s="32"/>
      <c r="I86" s="32"/>
      <c r="J86" s="32">
        <v>0</v>
      </c>
      <c r="K86" s="32"/>
      <c r="L86" s="32"/>
      <c r="M86" s="32"/>
      <c r="N86" s="32"/>
      <c r="O86" s="32"/>
      <c r="P86" s="32"/>
      <c r="Q86" s="32">
        <v>0</v>
      </c>
      <c r="R86" s="32"/>
      <c r="S86" s="32"/>
      <c r="T86" s="32"/>
      <c r="U86" s="32"/>
      <c r="V86" s="32"/>
      <c r="W86" s="32"/>
      <c r="X86" s="32">
        <v>0</v>
      </c>
      <c r="Y86" s="32"/>
      <c r="Z86" s="32"/>
      <c r="AA86" s="32"/>
      <c r="AB86" s="32"/>
      <c r="AC86" s="32"/>
      <c r="AD86" s="32"/>
      <c r="AE86" s="32">
        <v>100</v>
      </c>
      <c r="AF86" s="32"/>
      <c r="AG86" s="32"/>
      <c r="AH86" s="32"/>
      <c r="AI86" s="32"/>
      <c r="AJ86" s="32"/>
      <c r="AK86" s="32"/>
      <c r="AL86" s="32">
        <v>0</v>
      </c>
      <c r="AM86" s="32"/>
      <c r="AN86" s="32"/>
      <c r="AO86" s="32"/>
      <c r="AP86" s="32"/>
      <c r="AQ86" s="32"/>
      <c r="AR86" s="32"/>
      <c r="AS86" s="32">
        <v>0</v>
      </c>
      <c r="AT86" s="32"/>
      <c r="AU86" s="32"/>
      <c r="AV86" s="32"/>
      <c r="AW86" s="32"/>
      <c r="AX86" s="32"/>
      <c r="AY86" s="32"/>
      <c r="AZ86" s="32">
        <v>0</v>
      </c>
      <c r="BA86" s="32"/>
      <c r="BB86" s="32"/>
      <c r="BC86" s="32"/>
      <c r="BD86" s="32"/>
      <c r="BE86" s="32"/>
      <c r="BF86" s="32"/>
      <c r="BG86" s="32">
        <v>100</v>
      </c>
      <c r="BH86" s="32"/>
      <c r="BI86" s="32"/>
      <c r="BJ86" s="32"/>
      <c r="BK86" s="32"/>
      <c r="BL86" s="32"/>
      <c r="BM86" s="32"/>
      <c r="BN86" s="32">
        <v>0</v>
      </c>
    </row>
    <row r="87" spans="1:66">
      <c r="A87" s="29"/>
      <c r="B87" s="30">
        <v>1236930</v>
      </c>
      <c r="C87" s="32">
        <v>3500</v>
      </c>
      <c r="D87" s="32"/>
      <c r="E87" s="32"/>
      <c r="F87" s="32"/>
      <c r="G87" s="32"/>
      <c r="H87" s="32"/>
      <c r="I87" s="32"/>
      <c r="J87" s="32">
        <v>3076</v>
      </c>
      <c r="K87" s="32"/>
      <c r="L87" s="32"/>
      <c r="M87" s="32"/>
      <c r="N87" s="32"/>
      <c r="O87" s="32"/>
      <c r="P87" s="32"/>
      <c r="Q87" s="32">
        <v>1534</v>
      </c>
      <c r="R87" s="32"/>
      <c r="S87" s="32"/>
      <c r="T87" s="32"/>
      <c r="U87" s="32"/>
      <c r="V87" s="32"/>
      <c r="W87" s="32"/>
      <c r="X87" s="32">
        <v>3460</v>
      </c>
      <c r="Y87" s="32"/>
      <c r="Z87" s="32"/>
      <c r="AA87" s="32"/>
      <c r="AB87" s="32"/>
      <c r="AC87" s="32"/>
      <c r="AD87" s="32"/>
      <c r="AE87" s="32">
        <v>1720</v>
      </c>
      <c r="AF87" s="32"/>
      <c r="AG87" s="32"/>
      <c r="AH87" s="32"/>
      <c r="AI87" s="32"/>
      <c r="AJ87" s="32"/>
      <c r="AK87" s="32"/>
      <c r="AL87" s="32">
        <v>2850</v>
      </c>
      <c r="AM87" s="32"/>
      <c r="AN87" s="32"/>
      <c r="AO87" s="32"/>
      <c r="AP87" s="32"/>
      <c r="AQ87" s="32"/>
      <c r="AR87" s="32"/>
      <c r="AS87" s="32">
        <v>1150</v>
      </c>
      <c r="AT87" s="32"/>
      <c r="AU87" s="32"/>
      <c r="AV87" s="32"/>
      <c r="AW87" s="32"/>
      <c r="AX87" s="32"/>
      <c r="AY87" s="32"/>
      <c r="AZ87" s="32">
        <v>3238</v>
      </c>
      <c r="BA87" s="32"/>
      <c r="BB87" s="32"/>
      <c r="BC87" s="32"/>
      <c r="BD87" s="32"/>
      <c r="BE87" s="32"/>
      <c r="BF87" s="32"/>
      <c r="BG87" s="32">
        <v>1950</v>
      </c>
      <c r="BH87" s="32"/>
      <c r="BI87" s="32"/>
      <c r="BJ87" s="32"/>
      <c r="BK87" s="32"/>
      <c r="BL87" s="32"/>
      <c r="BM87" s="32"/>
      <c r="BN87" s="32">
        <v>550</v>
      </c>
    </row>
    <row r="88" spans="1:66">
      <c r="A88" s="29"/>
      <c r="B88" s="30">
        <v>1237210</v>
      </c>
      <c r="C88" s="32">
        <v>0</v>
      </c>
      <c r="D88" s="32"/>
      <c r="E88" s="32"/>
      <c r="F88" s="32"/>
      <c r="G88" s="32"/>
      <c r="H88" s="32"/>
      <c r="I88" s="32"/>
      <c r="J88" s="32">
        <v>375</v>
      </c>
      <c r="K88" s="32"/>
      <c r="L88" s="32"/>
      <c r="M88" s="32"/>
      <c r="N88" s="32"/>
      <c r="O88" s="32"/>
      <c r="P88" s="32"/>
      <c r="Q88" s="32">
        <v>160</v>
      </c>
      <c r="R88" s="32"/>
      <c r="S88" s="32"/>
      <c r="T88" s="32"/>
      <c r="U88" s="32"/>
      <c r="V88" s="32"/>
      <c r="W88" s="32"/>
      <c r="X88" s="32">
        <v>160</v>
      </c>
      <c r="Y88" s="32"/>
      <c r="Z88" s="32"/>
      <c r="AA88" s="32"/>
      <c r="AB88" s="32"/>
      <c r="AC88" s="32"/>
      <c r="AD88" s="32"/>
      <c r="AE88" s="32">
        <v>0</v>
      </c>
      <c r="AF88" s="32"/>
      <c r="AG88" s="32"/>
      <c r="AH88" s="32"/>
      <c r="AI88" s="32"/>
      <c r="AJ88" s="32"/>
      <c r="AK88" s="32"/>
      <c r="AL88" s="32">
        <v>0</v>
      </c>
      <c r="AM88" s="32"/>
      <c r="AN88" s="32"/>
      <c r="AO88" s="32"/>
      <c r="AP88" s="32"/>
      <c r="AQ88" s="32"/>
      <c r="AR88" s="32"/>
      <c r="AS88" s="32">
        <v>0</v>
      </c>
      <c r="AT88" s="32"/>
      <c r="AU88" s="32"/>
      <c r="AV88" s="32"/>
      <c r="AW88" s="32"/>
      <c r="AX88" s="32"/>
      <c r="AY88" s="32"/>
      <c r="AZ88" s="32">
        <v>160</v>
      </c>
      <c r="BA88" s="32"/>
      <c r="BB88" s="32"/>
      <c r="BC88" s="32"/>
      <c r="BD88" s="32"/>
      <c r="BE88" s="32"/>
      <c r="BF88" s="32"/>
      <c r="BG88" s="32">
        <v>0</v>
      </c>
      <c r="BH88" s="32"/>
      <c r="BI88" s="32"/>
      <c r="BJ88" s="32"/>
      <c r="BK88" s="32"/>
      <c r="BL88" s="32"/>
      <c r="BM88" s="32"/>
      <c r="BN88" s="32">
        <v>0</v>
      </c>
    </row>
    <row r="89" spans="1:66">
      <c r="A89" s="29"/>
      <c r="B89" s="30">
        <v>1237386</v>
      </c>
      <c r="C89" s="32">
        <v>180</v>
      </c>
      <c r="D89" s="32"/>
      <c r="E89" s="32"/>
      <c r="F89" s="32"/>
      <c r="G89" s="32"/>
      <c r="H89" s="32"/>
      <c r="I89" s="32"/>
      <c r="J89" s="32">
        <v>0</v>
      </c>
      <c r="K89" s="32"/>
      <c r="L89" s="32"/>
      <c r="M89" s="32"/>
      <c r="N89" s="32"/>
      <c r="O89" s="32"/>
      <c r="P89" s="32"/>
      <c r="Q89" s="32">
        <v>0</v>
      </c>
      <c r="R89" s="32"/>
      <c r="S89" s="32"/>
      <c r="T89" s="32"/>
      <c r="U89" s="32"/>
      <c r="V89" s="32"/>
      <c r="W89" s="32"/>
      <c r="X89" s="32">
        <v>0</v>
      </c>
      <c r="Y89" s="32"/>
      <c r="Z89" s="32"/>
      <c r="AA89" s="32"/>
      <c r="AB89" s="32"/>
      <c r="AC89" s="32"/>
      <c r="AD89" s="32"/>
      <c r="AE89" s="32">
        <v>0</v>
      </c>
      <c r="AF89" s="32"/>
      <c r="AG89" s="32"/>
      <c r="AH89" s="32"/>
      <c r="AI89" s="32"/>
      <c r="AJ89" s="32"/>
      <c r="AK89" s="32"/>
      <c r="AL89" s="32">
        <v>0</v>
      </c>
      <c r="AM89" s="32"/>
      <c r="AN89" s="32"/>
      <c r="AO89" s="32"/>
      <c r="AP89" s="32"/>
      <c r="AQ89" s="32"/>
      <c r="AR89" s="32"/>
      <c r="AS89" s="32">
        <v>0</v>
      </c>
      <c r="AT89" s="32"/>
      <c r="AU89" s="32"/>
      <c r="AV89" s="32"/>
      <c r="AW89" s="32"/>
      <c r="AX89" s="32"/>
      <c r="AY89" s="32"/>
      <c r="AZ89" s="32">
        <v>0</v>
      </c>
      <c r="BA89" s="32"/>
      <c r="BB89" s="32"/>
      <c r="BC89" s="32"/>
      <c r="BD89" s="32"/>
      <c r="BE89" s="32"/>
      <c r="BF89" s="32"/>
      <c r="BG89" s="32">
        <v>0</v>
      </c>
      <c r="BH89" s="32"/>
      <c r="BI89" s="32"/>
      <c r="BJ89" s="32"/>
      <c r="BK89" s="32"/>
      <c r="BL89" s="32"/>
      <c r="BM89" s="32"/>
      <c r="BN89" s="32">
        <v>0</v>
      </c>
    </row>
    <row r="90" spans="1:66">
      <c r="A90" s="29"/>
      <c r="B90" s="30">
        <v>1237468</v>
      </c>
      <c r="C90" s="32">
        <v>140</v>
      </c>
      <c r="D90" s="32"/>
      <c r="E90" s="32"/>
      <c r="F90" s="32"/>
      <c r="G90" s="32"/>
      <c r="H90" s="32"/>
      <c r="I90" s="32"/>
      <c r="J90" s="32">
        <v>0</v>
      </c>
      <c r="K90" s="32"/>
      <c r="L90" s="32"/>
      <c r="M90" s="32"/>
      <c r="N90" s="32"/>
      <c r="O90" s="32"/>
      <c r="P90" s="32"/>
      <c r="Q90" s="32">
        <v>468</v>
      </c>
      <c r="R90" s="32"/>
      <c r="S90" s="32"/>
      <c r="T90" s="32"/>
      <c r="U90" s="32"/>
      <c r="V90" s="32"/>
      <c r="W90" s="32"/>
      <c r="X90" s="32">
        <v>0</v>
      </c>
      <c r="Y90" s="32"/>
      <c r="Z90" s="32"/>
      <c r="AA90" s="32"/>
      <c r="AB90" s="32"/>
      <c r="AC90" s="32"/>
      <c r="AD90" s="32"/>
      <c r="AE90" s="32">
        <v>79</v>
      </c>
      <c r="AF90" s="32"/>
      <c r="AG90" s="32"/>
      <c r="AH90" s="32"/>
      <c r="AI90" s="32"/>
      <c r="AJ90" s="32"/>
      <c r="AK90" s="32"/>
      <c r="AL90" s="32">
        <v>0</v>
      </c>
      <c r="AM90" s="32"/>
      <c r="AN90" s="32"/>
      <c r="AO90" s="32"/>
      <c r="AP90" s="32"/>
      <c r="AQ90" s="32"/>
      <c r="AR90" s="32"/>
      <c r="AS90" s="32">
        <v>612</v>
      </c>
      <c r="AT90" s="32"/>
      <c r="AU90" s="32"/>
      <c r="AV90" s="32"/>
      <c r="AW90" s="32"/>
      <c r="AX90" s="32"/>
      <c r="AY90" s="32"/>
      <c r="AZ90" s="32">
        <v>0</v>
      </c>
      <c r="BA90" s="32"/>
      <c r="BB90" s="32"/>
      <c r="BC90" s="32"/>
      <c r="BD90" s="32"/>
      <c r="BE90" s="32"/>
      <c r="BF90" s="32"/>
      <c r="BG90" s="32">
        <v>79</v>
      </c>
      <c r="BH90" s="32"/>
      <c r="BI90" s="32"/>
      <c r="BJ90" s="32"/>
      <c r="BK90" s="32"/>
      <c r="BL90" s="32"/>
      <c r="BM90" s="32"/>
      <c r="BN90" s="32">
        <v>0</v>
      </c>
    </row>
    <row r="91" spans="1:66">
      <c r="A91" s="29"/>
      <c r="B91" s="30">
        <v>1238092</v>
      </c>
      <c r="C91" s="32">
        <v>0</v>
      </c>
      <c r="D91" s="32"/>
      <c r="E91" s="32"/>
      <c r="F91" s="32"/>
      <c r="G91" s="32"/>
      <c r="H91" s="32"/>
      <c r="I91" s="32"/>
      <c r="J91" s="32">
        <v>0</v>
      </c>
      <c r="K91" s="32"/>
      <c r="L91" s="32"/>
      <c r="M91" s="32"/>
      <c r="N91" s="32"/>
      <c r="O91" s="32"/>
      <c r="P91" s="32"/>
      <c r="Q91" s="32">
        <v>0</v>
      </c>
      <c r="R91" s="32"/>
      <c r="S91" s="32"/>
      <c r="T91" s="32"/>
      <c r="U91" s="32"/>
      <c r="V91" s="32"/>
      <c r="W91" s="32"/>
      <c r="X91" s="32">
        <v>0</v>
      </c>
      <c r="Y91" s="32"/>
      <c r="Z91" s="32"/>
      <c r="AA91" s="32"/>
      <c r="AB91" s="32"/>
      <c r="AC91" s="32"/>
      <c r="AD91" s="32"/>
      <c r="AE91" s="32">
        <v>0</v>
      </c>
      <c r="AF91" s="32"/>
      <c r="AG91" s="32"/>
      <c r="AH91" s="32"/>
      <c r="AI91" s="32"/>
      <c r="AJ91" s="32"/>
      <c r="AK91" s="32"/>
      <c r="AL91" s="32">
        <v>144</v>
      </c>
      <c r="AM91" s="32"/>
      <c r="AN91" s="32"/>
      <c r="AO91" s="32"/>
      <c r="AP91" s="32"/>
      <c r="AQ91" s="32"/>
      <c r="AR91" s="32"/>
      <c r="AS91" s="32">
        <v>0</v>
      </c>
      <c r="AT91" s="32"/>
      <c r="AU91" s="32"/>
      <c r="AV91" s="32"/>
      <c r="AW91" s="32"/>
      <c r="AX91" s="32"/>
      <c r="AY91" s="32"/>
      <c r="AZ91" s="32">
        <v>0</v>
      </c>
      <c r="BA91" s="32"/>
      <c r="BB91" s="32"/>
      <c r="BC91" s="32"/>
      <c r="BD91" s="32"/>
      <c r="BE91" s="32"/>
      <c r="BF91" s="32"/>
      <c r="BG91" s="32">
        <v>0</v>
      </c>
      <c r="BH91" s="32"/>
      <c r="BI91" s="32"/>
      <c r="BJ91" s="32"/>
      <c r="BK91" s="32"/>
      <c r="BL91" s="32"/>
      <c r="BM91" s="32"/>
      <c r="BN91" s="32">
        <v>0</v>
      </c>
    </row>
    <row r="92" spans="1:66">
      <c r="A92" s="29"/>
      <c r="B92" s="30">
        <v>1238453</v>
      </c>
      <c r="C92" s="32">
        <v>1272</v>
      </c>
      <c r="D92" s="32"/>
      <c r="E92" s="32"/>
      <c r="F92" s="32"/>
      <c r="G92" s="32"/>
      <c r="H92" s="32"/>
      <c r="I92" s="32"/>
      <c r="J92" s="32">
        <v>190</v>
      </c>
      <c r="K92" s="32"/>
      <c r="L92" s="32"/>
      <c r="M92" s="32"/>
      <c r="N92" s="32"/>
      <c r="O92" s="32"/>
      <c r="P92" s="32"/>
      <c r="Q92" s="32">
        <v>0</v>
      </c>
      <c r="R92" s="32"/>
      <c r="S92" s="32"/>
      <c r="T92" s="32"/>
      <c r="U92" s="32"/>
      <c r="V92" s="32"/>
      <c r="W92" s="32"/>
      <c r="X92" s="32">
        <v>0</v>
      </c>
      <c r="Y92" s="32"/>
      <c r="Z92" s="32"/>
      <c r="AA92" s="32"/>
      <c r="AB92" s="32"/>
      <c r="AC92" s="32"/>
      <c r="AD92" s="32"/>
      <c r="AE92" s="32">
        <v>175</v>
      </c>
      <c r="AF92" s="32"/>
      <c r="AG92" s="32"/>
      <c r="AH92" s="32"/>
      <c r="AI92" s="32"/>
      <c r="AJ92" s="32"/>
      <c r="AK92" s="32"/>
      <c r="AL92" s="32">
        <v>0</v>
      </c>
      <c r="AM92" s="32"/>
      <c r="AN92" s="32"/>
      <c r="AO92" s="32"/>
      <c r="AP92" s="32"/>
      <c r="AQ92" s="32"/>
      <c r="AR92" s="32"/>
      <c r="AS92" s="32">
        <v>0</v>
      </c>
      <c r="AT92" s="32"/>
      <c r="AU92" s="32"/>
      <c r="AV92" s="32"/>
      <c r="AW92" s="32"/>
      <c r="AX92" s="32"/>
      <c r="AY92" s="32"/>
      <c r="AZ92" s="32">
        <v>0</v>
      </c>
      <c r="BA92" s="32"/>
      <c r="BB92" s="32"/>
      <c r="BC92" s="32"/>
      <c r="BD92" s="32"/>
      <c r="BE92" s="32"/>
      <c r="BF92" s="32"/>
      <c r="BG92" s="32">
        <v>122</v>
      </c>
      <c r="BH92" s="32"/>
      <c r="BI92" s="32"/>
      <c r="BJ92" s="32"/>
      <c r="BK92" s="32"/>
      <c r="BL92" s="32"/>
      <c r="BM92" s="32"/>
      <c r="BN92" s="32">
        <v>0</v>
      </c>
    </row>
    <row r="93" spans="1:66">
      <c r="A93" s="29"/>
      <c r="B93" s="30">
        <v>1238480</v>
      </c>
      <c r="C93" s="32">
        <v>930</v>
      </c>
      <c r="D93" s="32"/>
      <c r="E93" s="32"/>
      <c r="F93" s="32"/>
      <c r="G93" s="32"/>
      <c r="H93" s="32"/>
      <c r="I93" s="32"/>
      <c r="J93" s="32">
        <v>2215</v>
      </c>
      <c r="K93" s="32"/>
      <c r="L93" s="32"/>
      <c r="M93" s="32"/>
      <c r="N93" s="32"/>
      <c r="O93" s="32"/>
      <c r="P93" s="32"/>
      <c r="Q93" s="32">
        <v>5390</v>
      </c>
      <c r="R93" s="32"/>
      <c r="S93" s="32"/>
      <c r="T93" s="32"/>
      <c r="U93" s="32"/>
      <c r="V93" s="32"/>
      <c r="W93" s="32"/>
      <c r="X93" s="32">
        <v>5918</v>
      </c>
      <c r="Y93" s="32"/>
      <c r="Z93" s="32"/>
      <c r="AA93" s="32"/>
      <c r="AB93" s="32"/>
      <c r="AC93" s="32"/>
      <c r="AD93" s="32"/>
      <c r="AE93" s="32">
        <v>6017</v>
      </c>
      <c r="AF93" s="32"/>
      <c r="AG93" s="32"/>
      <c r="AH93" s="32"/>
      <c r="AI93" s="32"/>
      <c r="AJ93" s="32"/>
      <c r="AK93" s="32"/>
      <c r="AL93" s="32">
        <v>6230</v>
      </c>
      <c r="AM93" s="32"/>
      <c r="AN93" s="32"/>
      <c r="AO93" s="32"/>
      <c r="AP93" s="32"/>
      <c r="AQ93" s="32"/>
      <c r="AR93" s="32"/>
      <c r="AS93" s="32">
        <v>3810</v>
      </c>
      <c r="AT93" s="32"/>
      <c r="AU93" s="32"/>
      <c r="AV93" s="32"/>
      <c r="AW93" s="32"/>
      <c r="AX93" s="32"/>
      <c r="AY93" s="32"/>
      <c r="AZ93" s="32">
        <v>5405</v>
      </c>
      <c r="BA93" s="32"/>
      <c r="BB93" s="32"/>
      <c r="BC93" s="32"/>
      <c r="BD93" s="32"/>
      <c r="BE93" s="32"/>
      <c r="BF93" s="32"/>
      <c r="BG93" s="32">
        <v>5176</v>
      </c>
      <c r="BH93" s="32"/>
      <c r="BI93" s="32"/>
      <c r="BJ93" s="32"/>
      <c r="BK93" s="32"/>
      <c r="BL93" s="32"/>
      <c r="BM93" s="32"/>
      <c r="BN93" s="32">
        <v>5676</v>
      </c>
    </row>
    <row r="94" spans="1:66">
      <c r="A94" s="29"/>
      <c r="B94" s="30">
        <v>1238605</v>
      </c>
      <c r="C94" s="32">
        <v>650</v>
      </c>
      <c r="D94" s="32"/>
      <c r="E94" s="32"/>
      <c r="F94" s="32"/>
      <c r="G94" s="32"/>
      <c r="H94" s="32"/>
      <c r="I94" s="32"/>
      <c r="J94" s="32">
        <v>0</v>
      </c>
      <c r="K94" s="32"/>
      <c r="L94" s="32"/>
      <c r="M94" s="32"/>
      <c r="N94" s="32"/>
      <c r="O94" s="32"/>
      <c r="P94" s="32"/>
      <c r="Q94" s="32">
        <v>0</v>
      </c>
      <c r="R94" s="32"/>
      <c r="S94" s="32"/>
      <c r="T94" s="32"/>
      <c r="U94" s="32"/>
      <c r="V94" s="32"/>
      <c r="W94" s="32"/>
      <c r="X94" s="32">
        <v>0</v>
      </c>
      <c r="Y94" s="32"/>
      <c r="Z94" s="32"/>
      <c r="AA94" s="32"/>
      <c r="AB94" s="32"/>
      <c r="AC94" s="32"/>
      <c r="AD94" s="32"/>
      <c r="AE94" s="32">
        <v>800</v>
      </c>
      <c r="AF94" s="32"/>
      <c r="AG94" s="32"/>
      <c r="AH94" s="32"/>
      <c r="AI94" s="32"/>
      <c r="AJ94" s="32"/>
      <c r="AK94" s="32"/>
      <c r="AL94" s="32">
        <v>0</v>
      </c>
      <c r="AM94" s="32"/>
      <c r="AN94" s="32"/>
      <c r="AO94" s="32"/>
      <c r="AP94" s="32"/>
      <c r="AQ94" s="32"/>
      <c r="AR94" s="32"/>
      <c r="AS94" s="32">
        <v>0</v>
      </c>
      <c r="AT94" s="32"/>
      <c r="AU94" s="32"/>
      <c r="AV94" s="32"/>
      <c r="AW94" s="32"/>
      <c r="AX94" s="32"/>
      <c r="AY94" s="32"/>
      <c r="AZ94" s="32">
        <v>0</v>
      </c>
      <c r="BA94" s="32"/>
      <c r="BB94" s="32"/>
      <c r="BC94" s="32"/>
      <c r="BD94" s="32"/>
      <c r="BE94" s="32"/>
      <c r="BF94" s="32"/>
      <c r="BG94" s="32">
        <v>150</v>
      </c>
      <c r="BH94" s="32"/>
      <c r="BI94" s="32"/>
      <c r="BJ94" s="32"/>
      <c r="BK94" s="32"/>
      <c r="BL94" s="32"/>
      <c r="BM94" s="32"/>
      <c r="BN94" s="32">
        <v>0</v>
      </c>
    </row>
    <row r="95" spans="1:66">
      <c r="A95" s="29"/>
      <c r="B95" s="30">
        <v>1240180</v>
      </c>
      <c r="C95" s="32">
        <v>150</v>
      </c>
      <c r="D95" s="32"/>
      <c r="E95" s="32"/>
      <c r="F95" s="32"/>
      <c r="G95" s="32"/>
      <c r="H95" s="32"/>
      <c r="I95" s="32"/>
      <c r="J95" s="32">
        <v>400</v>
      </c>
      <c r="K95" s="32"/>
      <c r="L95" s="32"/>
      <c r="M95" s="32"/>
      <c r="N95" s="32"/>
      <c r="O95" s="32"/>
      <c r="P95" s="32"/>
      <c r="Q95" s="32">
        <v>0</v>
      </c>
      <c r="R95" s="32"/>
      <c r="S95" s="32"/>
      <c r="T95" s="32"/>
      <c r="U95" s="32"/>
      <c r="V95" s="32"/>
      <c r="W95" s="32"/>
      <c r="X95" s="32">
        <v>848</v>
      </c>
      <c r="Y95" s="32"/>
      <c r="Z95" s="32"/>
      <c r="AA95" s="32"/>
      <c r="AB95" s="32"/>
      <c r="AC95" s="32"/>
      <c r="AD95" s="32"/>
      <c r="AE95" s="32">
        <v>400</v>
      </c>
      <c r="AF95" s="32"/>
      <c r="AG95" s="32"/>
      <c r="AH95" s="32"/>
      <c r="AI95" s="32"/>
      <c r="AJ95" s="32"/>
      <c r="AK95" s="32"/>
      <c r="AL95" s="32">
        <v>300</v>
      </c>
      <c r="AM95" s="32"/>
      <c r="AN95" s="32"/>
      <c r="AO95" s="32"/>
      <c r="AP95" s="32"/>
      <c r="AQ95" s="32"/>
      <c r="AR95" s="32"/>
      <c r="AS95" s="32">
        <v>0</v>
      </c>
      <c r="AT95" s="32"/>
      <c r="AU95" s="32"/>
      <c r="AV95" s="32"/>
      <c r="AW95" s="32"/>
      <c r="AX95" s="32"/>
      <c r="AY95" s="32"/>
      <c r="AZ95" s="32">
        <v>400</v>
      </c>
      <c r="BA95" s="32"/>
      <c r="BB95" s="32"/>
      <c r="BC95" s="32"/>
      <c r="BD95" s="32"/>
      <c r="BE95" s="32"/>
      <c r="BF95" s="32"/>
      <c r="BG95" s="32">
        <v>850</v>
      </c>
      <c r="BH95" s="32"/>
      <c r="BI95" s="32"/>
      <c r="BJ95" s="32"/>
      <c r="BK95" s="32"/>
      <c r="BL95" s="32"/>
      <c r="BM95" s="32"/>
      <c r="BN95" s="32">
        <v>0</v>
      </c>
    </row>
    <row r="96" spans="1:66">
      <c r="A96" s="29"/>
      <c r="B96" s="30">
        <v>1240184</v>
      </c>
      <c r="C96" s="32">
        <v>150</v>
      </c>
      <c r="D96" s="32"/>
      <c r="E96" s="32"/>
      <c r="F96" s="32"/>
      <c r="G96" s="32"/>
      <c r="H96" s="32"/>
      <c r="I96" s="32"/>
      <c r="J96" s="32">
        <v>400</v>
      </c>
      <c r="K96" s="32"/>
      <c r="L96" s="32"/>
      <c r="M96" s="32"/>
      <c r="N96" s="32"/>
      <c r="O96" s="32"/>
      <c r="P96" s="32"/>
      <c r="Q96" s="32">
        <v>0</v>
      </c>
      <c r="R96" s="32"/>
      <c r="S96" s="32"/>
      <c r="T96" s="32"/>
      <c r="U96" s="32"/>
      <c r="V96" s="32"/>
      <c r="W96" s="32"/>
      <c r="X96" s="32">
        <v>848</v>
      </c>
      <c r="Y96" s="32"/>
      <c r="Z96" s="32"/>
      <c r="AA96" s="32"/>
      <c r="AB96" s="32"/>
      <c r="AC96" s="32"/>
      <c r="AD96" s="32"/>
      <c r="AE96" s="32">
        <v>400</v>
      </c>
      <c r="AF96" s="32"/>
      <c r="AG96" s="32"/>
      <c r="AH96" s="32"/>
      <c r="AI96" s="32"/>
      <c r="AJ96" s="32"/>
      <c r="AK96" s="32"/>
      <c r="AL96" s="32">
        <v>300</v>
      </c>
      <c r="AM96" s="32"/>
      <c r="AN96" s="32"/>
      <c r="AO96" s="32"/>
      <c r="AP96" s="32"/>
      <c r="AQ96" s="32"/>
      <c r="AR96" s="32"/>
      <c r="AS96" s="32">
        <v>0</v>
      </c>
      <c r="AT96" s="32"/>
      <c r="AU96" s="32"/>
      <c r="AV96" s="32"/>
      <c r="AW96" s="32"/>
      <c r="AX96" s="32"/>
      <c r="AY96" s="32"/>
      <c r="AZ96" s="32">
        <v>400</v>
      </c>
      <c r="BA96" s="32"/>
      <c r="BB96" s="32"/>
      <c r="BC96" s="32"/>
      <c r="BD96" s="32"/>
      <c r="BE96" s="32"/>
      <c r="BF96" s="32"/>
      <c r="BG96" s="32">
        <v>850</v>
      </c>
      <c r="BH96" s="32"/>
      <c r="BI96" s="32"/>
      <c r="BJ96" s="32"/>
      <c r="BK96" s="32"/>
      <c r="BL96" s="32"/>
      <c r="BM96" s="32"/>
      <c r="BN96" s="32">
        <v>0</v>
      </c>
    </row>
    <row r="97" spans="1:66">
      <c r="A97" s="29"/>
      <c r="B97" s="30">
        <v>1241343</v>
      </c>
      <c r="C97" s="32">
        <v>0</v>
      </c>
      <c r="D97" s="32"/>
      <c r="E97" s="32"/>
      <c r="F97" s="32"/>
      <c r="G97" s="32"/>
      <c r="H97" s="32"/>
      <c r="I97" s="32"/>
      <c r="J97" s="32">
        <v>20</v>
      </c>
      <c r="K97" s="32"/>
      <c r="L97" s="32"/>
      <c r="M97" s="32"/>
      <c r="N97" s="32"/>
      <c r="O97" s="32"/>
      <c r="P97" s="32"/>
      <c r="Q97" s="32">
        <v>0</v>
      </c>
      <c r="R97" s="32"/>
      <c r="S97" s="32"/>
      <c r="T97" s="32"/>
      <c r="U97" s="32"/>
      <c r="V97" s="32"/>
      <c r="W97" s="32"/>
      <c r="X97" s="32">
        <v>0</v>
      </c>
      <c r="Y97" s="32"/>
      <c r="Z97" s="32"/>
      <c r="AA97" s="32"/>
      <c r="AB97" s="32"/>
      <c r="AC97" s="32"/>
      <c r="AD97" s="32"/>
      <c r="AE97" s="32">
        <v>0</v>
      </c>
      <c r="AF97" s="32"/>
      <c r="AG97" s="32"/>
      <c r="AH97" s="32"/>
      <c r="AI97" s="32"/>
      <c r="AJ97" s="32"/>
      <c r="AK97" s="32"/>
      <c r="AL97" s="32">
        <v>0</v>
      </c>
      <c r="AM97" s="32"/>
      <c r="AN97" s="32"/>
      <c r="AO97" s="32"/>
      <c r="AP97" s="32"/>
      <c r="AQ97" s="32"/>
      <c r="AR97" s="32"/>
      <c r="AS97" s="32">
        <v>0</v>
      </c>
      <c r="AT97" s="32"/>
      <c r="AU97" s="32"/>
      <c r="AV97" s="32"/>
      <c r="AW97" s="32"/>
      <c r="AX97" s="32"/>
      <c r="AY97" s="32"/>
      <c r="AZ97" s="32">
        <v>0</v>
      </c>
      <c r="BA97" s="32"/>
      <c r="BB97" s="32"/>
      <c r="BC97" s="32"/>
      <c r="BD97" s="32"/>
      <c r="BE97" s="32"/>
      <c r="BF97" s="32"/>
      <c r="BG97" s="32">
        <v>0</v>
      </c>
      <c r="BH97" s="32"/>
      <c r="BI97" s="32"/>
      <c r="BJ97" s="32"/>
      <c r="BK97" s="32"/>
      <c r="BL97" s="32"/>
      <c r="BM97" s="32"/>
      <c r="BN97" s="32">
        <v>0</v>
      </c>
    </row>
    <row r="98" spans="1:66">
      <c r="A98" s="29"/>
      <c r="B98" s="30">
        <v>1241347</v>
      </c>
      <c r="C98" s="32">
        <v>0</v>
      </c>
      <c r="D98" s="32"/>
      <c r="E98" s="32"/>
      <c r="F98" s="32"/>
      <c r="G98" s="32"/>
      <c r="H98" s="32"/>
      <c r="I98" s="32"/>
      <c r="J98" s="32">
        <v>20</v>
      </c>
      <c r="K98" s="32"/>
      <c r="L98" s="32"/>
      <c r="M98" s="32"/>
      <c r="N98" s="32"/>
      <c r="O98" s="32"/>
      <c r="P98" s="32"/>
      <c r="Q98" s="32">
        <v>0</v>
      </c>
      <c r="R98" s="32"/>
      <c r="S98" s="32"/>
      <c r="T98" s="32"/>
      <c r="U98" s="32"/>
      <c r="V98" s="32"/>
      <c r="W98" s="32"/>
      <c r="X98" s="32">
        <v>0</v>
      </c>
      <c r="Y98" s="32"/>
      <c r="Z98" s="32"/>
      <c r="AA98" s="32"/>
      <c r="AB98" s="32"/>
      <c r="AC98" s="32"/>
      <c r="AD98" s="32"/>
      <c r="AE98" s="32">
        <v>0</v>
      </c>
      <c r="AF98" s="32"/>
      <c r="AG98" s="32"/>
      <c r="AH98" s="32"/>
      <c r="AI98" s="32"/>
      <c r="AJ98" s="32"/>
      <c r="AK98" s="32"/>
      <c r="AL98" s="32">
        <v>0</v>
      </c>
      <c r="AM98" s="32"/>
      <c r="AN98" s="32"/>
      <c r="AO98" s="32"/>
      <c r="AP98" s="32"/>
      <c r="AQ98" s="32"/>
      <c r="AR98" s="32"/>
      <c r="AS98" s="32">
        <v>0</v>
      </c>
      <c r="AT98" s="32"/>
      <c r="AU98" s="32"/>
      <c r="AV98" s="32"/>
      <c r="AW98" s="32"/>
      <c r="AX98" s="32"/>
      <c r="AY98" s="32"/>
      <c r="AZ98" s="32">
        <v>0</v>
      </c>
      <c r="BA98" s="32"/>
      <c r="BB98" s="32"/>
      <c r="BC98" s="32"/>
      <c r="BD98" s="32"/>
      <c r="BE98" s="32"/>
      <c r="BF98" s="32"/>
      <c r="BG98" s="32">
        <v>0</v>
      </c>
      <c r="BH98" s="32"/>
      <c r="BI98" s="32"/>
      <c r="BJ98" s="32"/>
      <c r="BK98" s="32"/>
      <c r="BL98" s="32"/>
      <c r="BM98" s="32"/>
      <c r="BN98" s="32">
        <v>0</v>
      </c>
    </row>
    <row r="99" spans="1:66">
      <c r="A99" s="29"/>
      <c r="B99" s="30">
        <v>1241387</v>
      </c>
      <c r="C99" s="32">
        <v>0</v>
      </c>
      <c r="D99" s="32"/>
      <c r="E99" s="32"/>
      <c r="F99" s="32"/>
      <c r="G99" s="32"/>
      <c r="H99" s="32"/>
      <c r="I99" s="32"/>
      <c r="J99" s="32">
        <v>151</v>
      </c>
      <c r="K99" s="32"/>
      <c r="L99" s="32"/>
      <c r="M99" s="32"/>
      <c r="N99" s="32"/>
      <c r="O99" s="32"/>
      <c r="P99" s="32"/>
      <c r="Q99" s="32">
        <v>0</v>
      </c>
      <c r="R99" s="32"/>
      <c r="S99" s="32"/>
      <c r="T99" s="32"/>
      <c r="U99" s="32"/>
      <c r="V99" s="32"/>
      <c r="W99" s="32"/>
      <c r="X99" s="32">
        <v>0</v>
      </c>
      <c r="Y99" s="32"/>
      <c r="Z99" s="32"/>
      <c r="AA99" s="32"/>
      <c r="AB99" s="32"/>
      <c r="AC99" s="32"/>
      <c r="AD99" s="32"/>
      <c r="AE99" s="32">
        <v>0</v>
      </c>
      <c r="AF99" s="32"/>
      <c r="AG99" s="32"/>
      <c r="AH99" s="32"/>
      <c r="AI99" s="32"/>
      <c r="AJ99" s="32"/>
      <c r="AK99" s="32"/>
      <c r="AL99" s="32">
        <v>0</v>
      </c>
      <c r="AM99" s="32"/>
      <c r="AN99" s="32"/>
      <c r="AO99" s="32"/>
      <c r="AP99" s="32"/>
      <c r="AQ99" s="32"/>
      <c r="AR99" s="32"/>
      <c r="AS99" s="32">
        <v>0</v>
      </c>
      <c r="AT99" s="32"/>
      <c r="AU99" s="32"/>
      <c r="AV99" s="32"/>
      <c r="AW99" s="32"/>
      <c r="AX99" s="32"/>
      <c r="AY99" s="32"/>
      <c r="AZ99" s="32">
        <v>0</v>
      </c>
      <c r="BA99" s="32"/>
      <c r="BB99" s="32"/>
      <c r="BC99" s="32"/>
      <c r="BD99" s="32"/>
      <c r="BE99" s="32"/>
      <c r="BF99" s="32"/>
      <c r="BG99" s="32">
        <v>0</v>
      </c>
      <c r="BH99" s="32"/>
      <c r="BI99" s="32"/>
      <c r="BJ99" s="32"/>
      <c r="BK99" s="32"/>
      <c r="BL99" s="32"/>
      <c r="BM99" s="32"/>
      <c r="BN99" s="32">
        <v>0</v>
      </c>
    </row>
    <row r="100" spans="1:66">
      <c r="A100" s="29"/>
      <c r="B100" s="30">
        <v>1241474</v>
      </c>
      <c r="C100" s="32">
        <v>0</v>
      </c>
      <c r="D100" s="32"/>
      <c r="E100" s="32"/>
      <c r="F100" s="32"/>
      <c r="G100" s="32"/>
      <c r="H100" s="32"/>
      <c r="I100" s="32"/>
      <c r="J100" s="32">
        <v>37</v>
      </c>
      <c r="K100" s="32"/>
      <c r="L100" s="32"/>
      <c r="M100" s="32"/>
      <c r="N100" s="32"/>
      <c r="O100" s="32"/>
      <c r="P100" s="32"/>
      <c r="Q100" s="32">
        <v>0</v>
      </c>
      <c r="R100" s="32"/>
      <c r="S100" s="32"/>
      <c r="T100" s="32"/>
      <c r="U100" s="32"/>
      <c r="V100" s="32"/>
      <c r="W100" s="32"/>
      <c r="X100" s="32">
        <v>0</v>
      </c>
      <c r="Y100" s="32"/>
      <c r="Z100" s="32"/>
      <c r="AA100" s="32"/>
      <c r="AB100" s="32"/>
      <c r="AC100" s="32"/>
      <c r="AD100" s="32"/>
      <c r="AE100" s="32">
        <v>0</v>
      </c>
      <c r="AF100" s="32"/>
      <c r="AG100" s="32"/>
      <c r="AH100" s="32"/>
      <c r="AI100" s="32"/>
      <c r="AJ100" s="32"/>
      <c r="AK100" s="32"/>
      <c r="AL100" s="32">
        <v>0</v>
      </c>
      <c r="AM100" s="32"/>
      <c r="AN100" s="32"/>
      <c r="AO100" s="32"/>
      <c r="AP100" s="32"/>
      <c r="AQ100" s="32"/>
      <c r="AR100" s="32"/>
      <c r="AS100" s="32">
        <v>0</v>
      </c>
      <c r="AT100" s="32"/>
      <c r="AU100" s="32"/>
      <c r="AV100" s="32"/>
      <c r="AW100" s="32"/>
      <c r="AX100" s="32"/>
      <c r="AY100" s="32"/>
      <c r="AZ100" s="32">
        <v>0</v>
      </c>
      <c r="BA100" s="32"/>
      <c r="BB100" s="32"/>
      <c r="BC100" s="32"/>
      <c r="BD100" s="32"/>
      <c r="BE100" s="32"/>
      <c r="BF100" s="32"/>
      <c r="BG100" s="32">
        <v>0</v>
      </c>
      <c r="BH100" s="32"/>
      <c r="BI100" s="32"/>
      <c r="BJ100" s="32"/>
      <c r="BK100" s="32"/>
      <c r="BL100" s="32"/>
      <c r="BM100" s="32"/>
      <c r="BN100" s="32">
        <v>0</v>
      </c>
    </row>
    <row r="101" spans="1:66">
      <c r="A101" s="29"/>
      <c r="B101" s="30">
        <v>1241480</v>
      </c>
      <c r="C101" s="32">
        <v>0</v>
      </c>
      <c r="D101" s="32"/>
      <c r="E101" s="32"/>
      <c r="F101" s="32"/>
      <c r="G101" s="32"/>
      <c r="H101" s="32"/>
      <c r="I101" s="32"/>
      <c r="J101" s="32">
        <v>26</v>
      </c>
      <c r="K101" s="32"/>
      <c r="L101" s="32"/>
      <c r="M101" s="32"/>
      <c r="N101" s="32"/>
      <c r="O101" s="32"/>
      <c r="P101" s="32"/>
      <c r="Q101" s="32">
        <v>0</v>
      </c>
      <c r="R101" s="32"/>
      <c r="S101" s="32"/>
      <c r="T101" s="32"/>
      <c r="U101" s="32"/>
      <c r="V101" s="32"/>
      <c r="W101" s="32"/>
      <c r="X101" s="32">
        <v>0</v>
      </c>
      <c r="Y101" s="32"/>
      <c r="Z101" s="32"/>
      <c r="AA101" s="32"/>
      <c r="AB101" s="32"/>
      <c r="AC101" s="32"/>
      <c r="AD101" s="32"/>
      <c r="AE101" s="32">
        <v>0</v>
      </c>
      <c r="AF101" s="32"/>
      <c r="AG101" s="32"/>
      <c r="AH101" s="32"/>
      <c r="AI101" s="32"/>
      <c r="AJ101" s="32"/>
      <c r="AK101" s="32"/>
      <c r="AL101" s="32">
        <v>0</v>
      </c>
      <c r="AM101" s="32"/>
      <c r="AN101" s="32"/>
      <c r="AO101" s="32"/>
      <c r="AP101" s="32"/>
      <c r="AQ101" s="32"/>
      <c r="AR101" s="32"/>
      <c r="AS101" s="32">
        <v>0</v>
      </c>
      <c r="AT101" s="32"/>
      <c r="AU101" s="32"/>
      <c r="AV101" s="32"/>
      <c r="AW101" s="32"/>
      <c r="AX101" s="32"/>
      <c r="AY101" s="32"/>
      <c r="AZ101" s="32">
        <v>0</v>
      </c>
      <c r="BA101" s="32"/>
      <c r="BB101" s="32"/>
      <c r="BC101" s="32"/>
      <c r="BD101" s="32"/>
      <c r="BE101" s="32"/>
      <c r="BF101" s="32"/>
      <c r="BG101" s="32">
        <v>0</v>
      </c>
      <c r="BH101" s="32"/>
      <c r="BI101" s="32"/>
      <c r="BJ101" s="32"/>
      <c r="BK101" s="32"/>
      <c r="BL101" s="32"/>
      <c r="BM101" s="32"/>
      <c r="BN101" s="32">
        <v>0</v>
      </c>
    </row>
  </sheetData>
  <mergeCells count="4">
    <mergeCell ref="A1:A2"/>
    <mergeCell ref="B1:B2"/>
    <mergeCell ref="A39:A40"/>
    <mergeCell ref="B39:B40"/>
  </mergeCells>
  <phoneticPr fontId="1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8C8D-41BC-46C9-8EA1-1CA2580DA54A}">
  <dimension ref="A1:AB65"/>
  <sheetViews>
    <sheetView topLeftCell="A43" zoomScale="130" zoomScaleNormal="130" workbookViewId="0">
      <selection activeCell="A59" sqref="A59:XFD59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8" width="9.5" style="9" customWidth="1"/>
    <col min="19" max="19" width="9.5" style="9" bestFit="1" customWidth="1"/>
    <col min="20" max="28" width="9.33203125" style="9"/>
    <col min="29" max="16384" width="9.33203125" style="5"/>
  </cols>
  <sheetData>
    <row r="1" spans="1:19">
      <c r="A1" s="19" t="s">
        <v>0</v>
      </c>
      <c r="B1" s="9" t="s">
        <v>1235</v>
      </c>
      <c r="C1" s="9" t="s">
        <v>1236</v>
      </c>
      <c r="D1" s="9" t="s">
        <v>1237</v>
      </c>
      <c r="E1" s="9" t="s">
        <v>1238</v>
      </c>
      <c r="F1" s="9" t="s">
        <v>1241</v>
      </c>
      <c r="G1" s="9" t="s">
        <v>1242</v>
      </c>
      <c r="H1" s="9" t="s">
        <v>1243</v>
      </c>
      <c r="I1" s="9" t="s">
        <v>1244</v>
      </c>
      <c r="J1" s="18" t="s">
        <v>1245</v>
      </c>
      <c r="K1" s="9" t="s">
        <v>1246</v>
      </c>
      <c r="L1" s="9" t="s">
        <v>1247</v>
      </c>
      <c r="M1" s="9" t="s">
        <v>1248</v>
      </c>
      <c r="N1" s="9" t="s">
        <v>1249</v>
      </c>
      <c r="O1" s="9" t="s">
        <v>1250</v>
      </c>
      <c r="P1" s="9" t="s">
        <v>1251</v>
      </c>
      <c r="Q1" s="9" t="s">
        <v>1252</v>
      </c>
      <c r="R1" s="9" t="s">
        <v>1253</v>
      </c>
      <c r="S1" s="9" t="s">
        <v>1254</v>
      </c>
    </row>
    <row r="2" spans="1:19">
      <c r="A2" s="19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400</v>
      </c>
      <c r="P2" s="9">
        <v>400</v>
      </c>
      <c r="Q2" s="9">
        <v>260</v>
      </c>
      <c r="R2" s="9">
        <v>0</v>
      </c>
      <c r="S2" s="9">
        <v>0</v>
      </c>
    </row>
    <row r="3" spans="1:19">
      <c r="A3" s="19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400</v>
      </c>
      <c r="P3" s="9">
        <v>400</v>
      </c>
      <c r="Q3" s="9">
        <v>260</v>
      </c>
      <c r="R3" s="9">
        <v>0</v>
      </c>
      <c r="S3" s="9">
        <v>0</v>
      </c>
    </row>
    <row r="4" spans="1:19">
      <c r="A4" s="19">
        <v>1229673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344</v>
      </c>
      <c r="J4" s="18">
        <v>218</v>
      </c>
      <c r="K4" s="9">
        <v>0</v>
      </c>
      <c r="L4" s="9">
        <v>0</v>
      </c>
      <c r="M4" s="9">
        <v>200</v>
      </c>
      <c r="N4" s="9">
        <v>200</v>
      </c>
      <c r="O4" s="9">
        <v>200</v>
      </c>
      <c r="P4" s="9">
        <v>0</v>
      </c>
      <c r="Q4" s="9">
        <v>0</v>
      </c>
      <c r="R4" s="9">
        <v>0</v>
      </c>
      <c r="S4" s="9">
        <v>0</v>
      </c>
    </row>
    <row r="5" spans="1:19">
      <c r="A5" s="19">
        <v>1230854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200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</row>
    <row r="6" spans="1:19">
      <c r="A6" s="19">
        <v>1233492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300</v>
      </c>
      <c r="R6" s="9">
        <v>0</v>
      </c>
      <c r="S6" s="9">
        <v>0</v>
      </c>
    </row>
    <row r="7" spans="1:19">
      <c r="A7" s="19">
        <v>1233498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300</v>
      </c>
      <c r="R7" s="9">
        <v>0</v>
      </c>
      <c r="S7" s="9">
        <v>0</v>
      </c>
    </row>
    <row r="8" spans="1:19">
      <c r="A8" s="19">
        <v>1233623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300</v>
      </c>
      <c r="R8" s="9">
        <v>0</v>
      </c>
      <c r="S8" s="9">
        <v>0</v>
      </c>
    </row>
    <row r="9" spans="1:19">
      <c r="A9" s="19">
        <v>1237088</v>
      </c>
      <c r="B9" s="9">
        <v>1022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538</v>
      </c>
      <c r="I9" s="9">
        <v>500</v>
      </c>
      <c r="J9" s="18">
        <v>586</v>
      </c>
      <c r="K9" s="9">
        <v>0</v>
      </c>
      <c r="L9" s="9">
        <v>0</v>
      </c>
      <c r="M9" s="9">
        <v>0</v>
      </c>
      <c r="N9" s="9">
        <v>552</v>
      </c>
      <c r="O9" s="9">
        <v>404</v>
      </c>
      <c r="P9" s="9">
        <v>0</v>
      </c>
      <c r="Q9" s="9">
        <v>0</v>
      </c>
      <c r="R9" s="9">
        <v>0</v>
      </c>
      <c r="S9" s="9">
        <v>0</v>
      </c>
    </row>
    <row r="10" spans="1:19">
      <c r="A10" s="19">
        <v>1231898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230</v>
      </c>
      <c r="N10" s="9">
        <v>250</v>
      </c>
      <c r="O10" s="9">
        <v>240</v>
      </c>
      <c r="P10" s="9">
        <v>0</v>
      </c>
      <c r="Q10" s="9">
        <v>384</v>
      </c>
      <c r="R10" s="9">
        <v>0</v>
      </c>
      <c r="S10" s="9">
        <v>0</v>
      </c>
    </row>
    <row r="11" spans="1:19">
      <c r="A11" s="19">
        <v>1237586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230</v>
      </c>
      <c r="N11" s="9">
        <v>250</v>
      </c>
      <c r="O11" s="9">
        <v>240</v>
      </c>
      <c r="P11" s="9">
        <v>0</v>
      </c>
      <c r="Q11" s="9">
        <v>384</v>
      </c>
      <c r="R11" s="9">
        <v>0</v>
      </c>
      <c r="S11" s="9">
        <v>0</v>
      </c>
    </row>
    <row r="12" spans="1:19">
      <c r="A12" s="19">
        <v>1236091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250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250</v>
      </c>
      <c r="Q12" s="9">
        <v>0</v>
      </c>
      <c r="R12" s="9">
        <v>0</v>
      </c>
      <c r="S12" s="9">
        <v>0</v>
      </c>
    </row>
    <row r="13" spans="1:19">
      <c r="A13" s="19">
        <v>1238128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18">
        <v>350</v>
      </c>
      <c r="K13" s="9">
        <v>0</v>
      </c>
      <c r="L13" s="9">
        <v>0</v>
      </c>
      <c r="M13" s="9">
        <v>352</v>
      </c>
      <c r="N13" s="9">
        <v>590</v>
      </c>
      <c r="O13" s="9">
        <v>464</v>
      </c>
      <c r="P13" s="9">
        <v>258</v>
      </c>
      <c r="Q13" s="9">
        <v>0</v>
      </c>
      <c r="R13" s="9">
        <v>0</v>
      </c>
      <c r="S13" s="9">
        <v>0</v>
      </c>
    </row>
    <row r="14" spans="1:19">
      <c r="A14" s="19">
        <v>1236962</v>
      </c>
      <c r="B14" s="9">
        <v>144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200</v>
      </c>
      <c r="I14" s="9">
        <v>192</v>
      </c>
      <c r="J14" s="18">
        <v>224</v>
      </c>
      <c r="K14" s="9">
        <v>0</v>
      </c>
      <c r="L14" s="9">
        <v>0</v>
      </c>
      <c r="M14" s="9">
        <v>200</v>
      </c>
      <c r="N14" s="9">
        <v>0</v>
      </c>
      <c r="O14" s="9">
        <v>0</v>
      </c>
      <c r="P14" s="9">
        <v>124</v>
      </c>
      <c r="Q14" s="9">
        <v>150</v>
      </c>
      <c r="R14" s="9">
        <v>0</v>
      </c>
      <c r="S14" s="9">
        <v>0</v>
      </c>
    </row>
    <row r="15" spans="1:19">
      <c r="A15" s="19">
        <v>1233761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150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6" spans="1:19">
      <c r="A16" s="19">
        <v>1239651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306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400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</row>
    <row r="17" spans="1:19">
      <c r="A17" s="19">
        <v>1240180</v>
      </c>
      <c r="B17" s="9">
        <v>430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338</v>
      </c>
      <c r="I17" s="9">
        <v>532</v>
      </c>
      <c r="J17" s="18">
        <v>796</v>
      </c>
      <c r="K17" s="9">
        <v>0</v>
      </c>
      <c r="L17" s="9">
        <v>0</v>
      </c>
      <c r="M17" s="9">
        <v>384</v>
      </c>
      <c r="N17" s="9">
        <v>430</v>
      </c>
      <c r="O17" s="9">
        <v>339</v>
      </c>
      <c r="P17" s="9">
        <v>430</v>
      </c>
      <c r="Q17" s="9">
        <v>430</v>
      </c>
      <c r="R17" s="9">
        <v>0</v>
      </c>
      <c r="S17" s="9">
        <v>0</v>
      </c>
    </row>
    <row r="18" spans="1:19">
      <c r="A18" s="19">
        <v>1240184</v>
      </c>
      <c r="B18" s="9">
        <v>430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338</v>
      </c>
      <c r="I18" s="9">
        <v>532</v>
      </c>
      <c r="J18" s="18">
        <v>760</v>
      </c>
      <c r="K18" s="9">
        <v>0</v>
      </c>
      <c r="L18" s="9">
        <v>0</v>
      </c>
      <c r="M18" s="9">
        <v>258</v>
      </c>
      <c r="N18" s="9">
        <v>430</v>
      </c>
      <c r="O18" s="9">
        <v>139</v>
      </c>
      <c r="P18" s="9">
        <v>386</v>
      </c>
      <c r="Q18" s="9">
        <v>0</v>
      </c>
      <c r="R18" s="9">
        <v>0</v>
      </c>
      <c r="S18" s="9">
        <v>0</v>
      </c>
    </row>
    <row r="19" spans="1:19">
      <c r="A19" s="19">
        <v>1240308</v>
      </c>
      <c r="B19" s="9">
        <v>200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200</v>
      </c>
      <c r="N19" s="9">
        <v>250</v>
      </c>
      <c r="O19" s="9">
        <v>0</v>
      </c>
      <c r="P19" s="9">
        <v>400</v>
      </c>
      <c r="Q19" s="9">
        <v>0</v>
      </c>
      <c r="R19" s="9">
        <v>0</v>
      </c>
      <c r="S19" s="9">
        <v>0</v>
      </c>
    </row>
    <row r="20" spans="1:19">
      <c r="A20" s="19">
        <v>1241601</v>
      </c>
      <c r="B20" s="9">
        <v>2198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964</v>
      </c>
      <c r="I20" s="9">
        <v>1644</v>
      </c>
      <c r="J20" s="18">
        <v>838</v>
      </c>
      <c r="K20" s="9">
        <v>0</v>
      </c>
      <c r="L20" s="9">
        <v>0</v>
      </c>
      <c r="M20" s="9">
        <v>690</v>
      </c>
      <c r="N20" s="9">
        <v>1600</v>
      </c>
      <c r="O20" s="9">
        <v>678</v>
      </c>
      <c r="P20" s="9">
        <v>1808</v>
      </c>
      <c r="Q20" s="9">
        <v>2062</v>
      </c>
      <c r="R20" s="9">
        <v>0</v>
      </c>
      <c r="S20" s="9">
        <v>0</v>
      </c>
    </row>
    <row r="24" spans="1:19">
      <c r="A24" s="19" t="s">
        <v>0</v>
      </c>
      <c r="B24" s="9" t="s">
        <v>1235</v>
      </c>
      <c r="C24" s="9" t="s">
        <v>1236</v>
      </c>
      <c r="D24" s="9" t="s">
        <v>1237</v>
      </c>
      <c r="E24" s="9" t="s">
        <v>1238</v>
      </c>
      <c r="F24" s="9" t="s">
        <v>1241</v>
      </c>
      <c r="G24" s="9" t="s">
        <v>1242</v>
      </c>
      <c r="H24" s="9" t="s">
        <v>1243</v>
      </c>
      <c r="I24" s="9" t="s">
        <v>1244</v>
      </c>
      <c r="J24" s="9" t="s">
        <v>1245</v>
      </c>
      <c r="K24" s="9" t="s">
        <v>1246</v>
      </c>
      <c r="L24" s="9" t="s">
        <v>1247</v>
      </c>
      <c r="M24" s="9" t="s">
        <v>1248</v>
      </c>
      <c r="N24" s="9" t="s">
        <v>1249</v>
      </c>
      <c r="O24" s="9" t="s">
        <v>1250</v>
      </c>
      <c r="P24" s="9" t="s">
        <v>1251</v>
      </c>
      <c r="Q24" s="9" t="s">
        <v>1252</v>
      </c>
      <c r="R24" s="9" t="s">
        <v>1253</v>
      </c>
      <c r="S24" s="9" t="s">
        <v>1254</v>
      </c>
    </row>
    <row r="25" spans="1:19">
      <c r="A25" s="19">
        <v>1232846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352</v>
      </c>
      <c r="I25" s="9">
        <v>148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</row>
    <row r="26" spans="1:19">
      <c r="A26" s="19">
        <v>1232895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352</v>
      </c>
      <c r="I26" s="9">
        <v>148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</row>
    <row r="27" spans="1:19">
      <c r="A27" s="19">
        <v>1233384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352</v>
      </c>
      <c r="I27" s="9">
        <v>148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</row>
    <row r="28" spans="1:19">
      <c r="A28" s="19">
        <v>1236110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150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29" spans="1:19">
      <c r="A29" s="19">
        <v>1236387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271</v>
      </c>
      <c r="N29" s="9">
        <v>367</v>
      </c>
      <c r="O29" s="9">
        <v>62</v>
      </c>
      <c r="P29" s="9">
        <v>0</v>
      </c>
      <c r="Q29" s="9">
        <v>0</v>
      </c>
      <c r="R29" s="9">
        <v>0</v>
      </c>
      <c r="S29" s="9">
        <v>0</v>
      </c>
    </row>
    <row r="30" spans="1:19">
      <c r="A30" s="19">
        <v>1232775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242</v>
      </c>
      <c r="I30" s="9">
        <v>242</v>
      </c>
      <c r="J30" s="9">
        <v>225</v>
      </c>
      <c r="K30" s="9">
        <v>0</v>
      </c>
      <c r="L30" s="9">
        <v>0</v>
      </c>
      <c r="M30" s="9">
        <v>210</v>
      </c>
      <c r="N30" s="9">
        <v>0</v>
      </c>
      <c r="O30" s="9">
        <v>434</v>
      </c>
      <c r="P30" s="9">
        <v>242</v>
      </c>
      <c r="Q30" s="9">
        <v>291</v>
      </c>
      <c r="R30" s="9">
        <v>0</v>
      </c>
      <c r="S30" s="9">
        <v>0</v>
      </c>
    </row>
    <row r="33" spans="1:19">
      <c r="A33" s="19" t="s">
        <v>0</v>
      </c>
      <c r="B33" s="9" t="s">
        <v>1235</v>
      </c>
      <c r="C33" s="9" t="s">
        <v>1236</v>
      </c>
      <c r="D33" s="9" t="s">
        <v>1237</v>
      </c>
      <c r="E33" s="9" t="s">
        <v>1238</v>
      </c>
      <c r="F33" s="9" t="s">
        <v>1241</v>
      </c>
      <c r="G33" s="9" t="s">
        <v>1242</v>
      </c>
      <c r="H33" s="9" t="s">
        <v>1243</v>
      </c>
      <c r="I33" s="9" t="s">
        <v>1244</v>
      </c>
      <c r="J33" s="9" t="s">
        <v>1245</v>
      </c>
      <c r="K33" s="9" t="s">
        <v>1246</v>
      </c>
      <c r="L33" s="9" t="s">
        <v>1247</v>
      </c>
      <c r="M33" s="9" t="s">
        <v>1248</v>
      </c>
      <c r="N33" s="9" t="s">
        <v>1249</v>
      </c>
      <c r="O33" s="9" t="s">
        <v>1250</v>
      </c>
      <c r="P33" s="9" t="s">
        <v>1251</v>
      </c>
      <c r="Q33" s="9" t="s">
        <v>1252</v>
      </c>
      <c r="R33" s="9" t="s">
        <v>1253</v>
      </c>
      <c r="S33" s="9" t="s">
        <v>1254</v>
      </c>
    </row>
    <row r="34" spans="1:19">
      <c r="A34" s="19">
        <v>1234614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18</v>
      </c>
      <c r="J34" s="9">
        <v>632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431</v>
      </c>
      <c r="Q34" s="9">
        <v>544</v>
      </c>
      <c r="R34" s="9">
        <v>0</v>
      </c>
      <c r="S34" s="9">
        <v>0</v>
      </c>
    </row>
    <row r="35" spans="1:19">
      <c r="A35" s="19">
        <v>1221967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276</v>
      </c>
      <c r="R35" s="9">
        <v>0</v>
      </c>
      <c r="S35" s="9">
        <v>0</v>
      </c>
    </row>
    <row r="36" spans="1:19">
      <c r="A36" s="19">
        <v>1227306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357</v>
      </c>
      <c r="N36" s="9">
        <v>243</v>
      </c>
      <c r="O36" s="9">
        <v>26</v>
      </c>
      <c r="P36" s="9">
        <v>254</v>
      </c>
      <c r="Q36" s="9">
        <v>0</v>
      </c>
      <c r="R36" s="9">
        <v>0</v>
      </c>
      <c r="S36" s="9">
        <v>0</v>
      </c>
    </row>
    <row r="37" spans="1:19">
      <c r="A37" s="19">
        <v>1229776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5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1:19">
      <c r="A38" s="19">
        <v>1231090</v>
      </c>
      <c r="B38" s="9">
        <v>416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325</v>
      </c>
      <c r="I38" s="9">
        <v>349</v>
      </c>
      <c r="J38" s="9">
        <v>5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475</v>
      </c>
      <c r="R38" s="9">
        <v>0</v>
      </c>
      <c r="S38" s="9">
        <v>0</v>
      </c>
    </row>
    <row r="39" spans="1:19">
      <c r="A39" s="19">
        <v>1232066</v>
      </c>
      <c r="B39" s="9">
        <v>108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18</v>
      </c>
      <c r="Q39" s="9">
        <v>0</v>
      </c>
      <c r="R39" s="9">
        <v>0</v>
      </c>
      <c r="S39" s="9">
        <v>0</v>
      </c>
    </row>
    <row r="40" spans="1:19">
      <c r="A40" s="19">
        <v>1229088</v>
      </c>
      <c r="B40" s="9">
        <v>48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50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19">
        <v>1232693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309</v>
      </c>
      <c r="I41" s="9">
        <v>321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19">
        <v>1233025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309</v>
      </c>
      <c r="I42" s="9">
        <v>321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19">
        <v>1225464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50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>
      <c r="A44" s="19">
        <v>1232528</v>
      </c>
      <c r="B44" s="9">
        <v>1173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1016</v>
      </c>
      <c r="I44" s="9">
        <v>1341</v>
      </c>
      <c r="J44" s="9">
        <v>686</v>
      </c>
      <c r="K44" s="9">
        <v>0</v>
      </c>
      <c r="L44" s="9">
        <v>0</v>
      </c>
      <c r="M44" s="9">
        <v>686</v>
      </c>
      <c r="N44" s="9">
        <v>686</v>
      </c>
      <c r="O44" s="9">
        <v>539</v>
      </c>
      <c r="P44" s="9">
        <v>686</v>
      </c>
      <c r="Q44" s="9">
        <v>2186</v>
      </c>
      <c r="R44" s="9">
        <v>0</v>
      </c>
      <c r="S44" s="9">
        <v>0</v>
      </c>
    </row>
    <row r="45" spans="1:19">
      <c r="A45" s="19">
        <v>1232553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61</v>
      </c>
      <c r="P45" s="9">
        <v>191</v>
      </c>
      <c r="Q45" s="9">
        <v>0</v>
      </c>
      <c r="R45" s="9">
        <v>0</v>
      </c>
      <c r="S45" s="9">
        <v>0</v>
      </c>
    </row>
    <row r="46" spans="1:19">
      <c r="A46" s="19">
        <v>1233587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18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19">
        <v>1232846</v>
      </c>
      <c r="B47" s="9">
        <v>270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32</v>
      </c>
      <c r="J47" s="9">
        <v>667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269</v>
      </c>
      <c r="Q47" s="9">
        <v>714</v>
      </c>
      <c r="R47" s="9">
        <v>0</v>
      </c>
      <c r="S47" s="9">
        <v>0</v>
      </c>
    </row>
    <row r="48" spans="1:19">
      <c r="A48" s="19">
        <v>1229050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185</v>
      </c>
      <c r="O48" s="9">
        <v>335</v>
      </c>
      <c r="P48" s="9">
        <v>0</v>
      </c>
      <c r="Q48" s="9">
        <v>0</v>
      </c>
      <c r="R48" s="9">
        <v>0</v>
      </c>
      <c r="S48" s="9">
        <v>0</v>
      </c>
    </row>
    <row r="49" spans="1:19">
      <c r="A49" s="19">
        <v>1220847</v>
      </c>
      <c r="B49" s="9">
        <v>50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1750</v>
      </c>
      <c r="R49" s="9">
        <v>0</v>
      </c>
      <c r="S49" s="9">
        <v>0</v>
      </c>
    </row>
    <row r="50" spans="1:19">
      <c r="A50" s="19">
        <v>1235958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25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</row>
    <row r="51" spans="1:19">
      <c r="A51" s="19">
        <v>1236619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236</v>
      </c>
      <c r="P51" s="9">
        <v>34</v>
      </c>
      <c r="Q51" s="9">
        <v>0</v>
      </c>
      <c r="R51" s="9">
        <v>0</v>
      </c>
      <c r="S51" s="9">
        <v>0</v>
      </c>
    </row>
    <row r="52" spans="1:19">
      <c r="A52" s="19">
        <v>1236930</v>
      </c>
      <c r="B52" s="9">
        <v>582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377</v>
      </c>
      <c r="I52" s="9">
        <v>717</v>
      </c>
      <c r="J52" s="9">
        <v>724</v>
      </c>
      <c r="K52" s="9">
        <v>0</v>
      </c>
      <c r="L52" s="9">
        <v>0</v>
      </c>
      <c r="M52" s="9">
        <v>482</v>
      </c>
      <c r="N52" s="9">
        <v>158</v>
      </c>
      <c r="O52" s="9">
        <v>591</v>
      </c>
      <c r="P52" s="9">
        <v>533</v>
      </c>
      <c r="Q52" s="9">
        <v>1051</v>
      </c>
      <c r="R52" s="9">
        <v>0</v>
      </c>
      <c r="S52" s="9">
        <v>0</v>
      </c>
    </row>
    <row r="53" spans="1:19">
      <c r="A53" s="19">
        <v>1237210</v>
      </c>
      <c r="B53" s="9">
        <v>43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26</v>
      </c>
      <c r="K53" s="9">
        <v>0</v>
      </c>
      <c r="L53" s="9">
        <v>0</v>
      </c>
      <c r="M53" s="9">
        <v>144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19">
        <v>1237457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18</v>
      </c>
      <c r="R54" s="9">
        <v>0</v>
      </c>
      <c r="S54" s="9">
        <v>0</v>
      </c>
    </row>
    <row r="55" spans="1:19">
      <c r="A55" s="19">
        <v>1238480</v>
      </c>
      <c r="B55" s="9">
        <v>542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244</v>
      </c>
      <c r="I55" s="9">
        <v>406</v>
      </c>
      <c r="J55" s="9">
        <v>721</v>
      </c>
      <c r="K55" s="9">
        <v>0</v>
      </c>
      <c r="L55" s="9">
        <v>0</v>
      </c>
      <c r="M55" s="9">
        <v>1040</v>
      </c>
      <c r="N55" s="9">
        <v>1170</v>
      </c>
      <c r="O55" s="9">
        <v>429</v>
      </c>
      <c r="P55" s="9">
        <v>721</v>
      </c>
      <c r="Q55" s="9">
        <v>1064</v>
      </c>
      <c r="R55" s="9">
        <v>0</v>
      </c>
      <c r="S55" s="9">
        <v>0</v>
      </c>
    </row>
    <row r="56" spans="1:19">
      <c r="A56" s="19">
        <v>1240180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233</v>
      </c>
      <c r="O56" s="9">
        <v>67</v>
      </c>
      <c r="P56" s="9">
        <v>0</v>
      </c>
      <c r="Q56" s="9">
        <v>0</v>
      </c>
      <c r="R56" s="9">
        <v>0</v>
      </c>
      <c r="S56" s="9">
        <v>0</v>
      </c>
    </row>
    <row r="57" spans="1:19">
      <c r="A57" s="19">
        <v>1240184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233</v>
      </c>
      <c r="O57" s="9">
        <v>67</v>
      </c>
      <c r="P57" s="9">
        <v>0</v>
      </c>
      <c r="Q57" s="9">
        <v>0</v>
      </c>
      <c r="R57" s="9">
        <v>0</v>
      </c>
      <c r="S57" s="9">
        <v>0</v>
      </c>
    </row>
    <row r="58" spans="1:19">
      <c r="A58" s="19">
        <v>1237468</v>
      </c>
      <c r="B58" s="9">
        <v>114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210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</row>
    <row r="59" spans="1:19">
      <c r="A59" s="19">
        <v>1216452</v>
      </c>
      <c r="B59" s="9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576</v>
      </c>
      <c r="J59" s="9">
        <v>0</v>
      </c>
      <c r="K59" s="9">
        <v>0</v>
      </c>
      <c r="L59" s="9">
        <v>0</v>
      </c>
      <c r="M59" s="9">
        <v>0</v>
      </c>
      <c r="N59" s="9">
        <v>282</v>
      </c>
      <c r="O59" s="9">
        <v>825</v>
      </c>
      <c r="P59" s="9">
        <v>1907</v>
      </c>
      <c r="Q59" s="9">
        <v>0</v>
      </c>
      <c r="R59" s="9">
        <v>0</v>
      </c>
      <c r="S59" s="9">
        <v>0</v>
      </c>
    </row>
    <row r="60" spans="1:19">
      <c r="A60" s="19">
        <v>1232894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32</v>
      </c>
      <c r="J60" s="9">
        <v>667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269</v>
      </c>
      <c r="Q60" s="9">
        <v>714</v>
      </c>
      <c r="R60" s="9">
        <v>0</v>
      </c>
      <c r="S60" s="9">
        <v>0</v>
      </c>
    </row>
    <row r="61" spans="1:19">
      <c r="A61" s="19">
        <v>1233386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303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269</v>
      </c>
      <c r="Q61" s="9">
        <v>714</v>
      </c>
      <c r="R61" s="9">
        <v>0</v>
      </c>
      <c r="S61" s="9">
        <v>0</v>
      </c>
    </row>
    <row r="62" spans="1:19">
      <c r="A62" s="19">
        <v>1233387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32</v>
      </c>
      <c r="J62" s="9">
        <v>268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 spans="1:19">
      <c r="A63" s="19">
        <v>1233385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96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>
      <c r="A64" s="19">
        <v>1232895</v>
      </c>
      <c r="B64" s="9">
        <v>270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19">
        <v>1232922</v>
      </c>
      <c r="B65" s="9">
        <v>270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</sheetData>
  <autoFilter ref="A1:S20" xr:uid="{147E8C8D-41BC-46C9-8EA1-1CA2580DA54A}"/>
  <phoneticPr fontId="1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AA81-D6AA-49EC-AFEB-C02A71CD1E69}">
  <dimension ref="A1:X79"/>
  <sheetViews>
    <sheetView topLeftCell="A34" zoomScale="115" zoomScaleNormal="115" workbookViewId="0">
      <selection activeCell="R39" sqref="R39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5" style="9" bestFit="1" customWidth="1"/>
    <col min="21" max="24" width="9.33203125" style="9"/>
    <col min="25" max="16384" width="9.33203125" style="5"/>
  </cols>
  <sheetData>
    <row r="1" spans="1:20">
      <c r="A1" s="5" t="s">
        <v>0</v>
      </c>
      <c r="B1" s="9" t="s">
        <v>1243</v>
      </c>
      <c r="C1" s="9" t="s">
        <v>1244</v>
      </c>
      <c r="D1" s="9" t="s">
        <v>1245</v>
      </c>
      <c r="E1" s="9" t="s">
        <v>1246</v>
      </c>
      <c r="F1" s="9" t="s">
        <v>1247</v>
      </c>
      <c r="G1" s="9" t="s">
        <v>1248</v>
      </c>
      <c r="H1" s="9" t="s">
        <v>1249</v>
      </c>
      <c r="I1" s="9" t="s">
        <v>1250</v>
      </c>
      <c r="J1" s="9" t="s">
        <v>1251</v>
      </c>
      <c r="K1" s="9" t="s">
        <v>1252</v>
      </c>
      <c r="L1" s="9" t="s">
        <v>1253</v>
      </c>
      <c r="M1" s="9" t="s">
        <v>1254</v>
      </c>
      <c r="N1" s="9" t="s">
        <v>1258</v>
      </c>
      <c r="O1" s="9" t="s">
        <v>1259</v>
      </c>
      <c r="P1" s="9" t="s">
        <v>1260</v>
      </c>
      <c r="Q1" s="9" t="s">
        <v>1261</v>
      </c>
      <c r="R1" s="9" t="s">
        <v>1262</v>
      </c>
      <c r="S1" s="9" t="s">
        <v>1263</v>
      </c>
      <c r="T1" s="9" t="s">
        <v>1264</v>
      </c>
    </row>
    <row r="2" spans="1:20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400</v>
      </c>
      <c r="J2" s="9">
        <v>400</v>
      </c>
      <c r="K2" s="9">
        <v>260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</row>
    <row r="3" spans="1:20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400</v>
      </c>
      <c r="J3" s="9">
        <v>400</v>
      </c>
      <c r="K3" s="9">
        <v>260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</row>
    <row r="4" spans="1:20">
      <c r="A4" s="5">
        <v>1229673</v>
      </c>
      <c r="B4" s="9">
        <v>0</v>
      </c>
      <c r="C4" s="9">
        <v>344</v>
      </c>
      <c r="D4" s="9">
        <v>218</v>
      </c>
      <c r="E4" s="9">
        <v>0</v>
      </c>
      <c r="F4" s="9">
        <v>0</v>
      </c>
      <c r="G4" s="9">
        <v>200</v>
      </c>
      <c r="H4" s="9">
        <v>200</v>
      </c>
      <c r="I4" s="9">
        <v>200</v>
      </c>
      <c r="J4" s="9">
        <v>0</v>
      </c>
      <c r="K4" s="9">
        <v>0</v>
      </c>
      <c r="L4" s="9">
        <v>0</v>
      </c>
      <c r="M4" s="9">
        <v>0</v>
      </c>
      <c r="N4" s="9">
        <v>200</v>
      </c>
      <c r="O4" s="9">
        <v>200</v>
      </c>
      <c r="P4" s="9">
        <v>0</v>
      </c>
      <c r="Q4" s="9">
        <v>300</v>
      </c>
      <c r="R4" s="9">
        <v>300</v>
      </c>
      <c r="S4" s="9">
        <v>0</v>
      </c>
      <c r="T4" s="9">
        <v>0</v>
      </c>
    </row>
    <row r="5" spans="1:20">
      <c r="A5" s="5">
        <v>1230854</v>
      </c>
      <c r="B5" s="9">
        <v>0</v>
      </c>
      <c r="C5" s="9">
        <v>200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</row>
    <row r="6" spans="1:20">
      <c r="A6" s="5">
        <v>1231202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100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5">
        <v>1233492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300</v>
      </c>
      <c r="L7" s="9">
        <v>0</v>
      </c>
      <c r="M7" s="9">
        <v>0</v>
      </c>
      <c r="N7" s="9">
        <v>782</v>
      </c>
      <c r="O7" s="9">
        <v>50</v>
      </c>
      <c r="P7" s="9">
        <v>0</v>
      </c>
      <c r="Q7" s="9">
        <v>0</v>
      </c>
      <c r="R7" s="9">
        <v>0</v>
      </c>
      <c r="S7" s="9">
        <v>0</v>
      </c>
      <c r="T7" s="9">
        <v>0</v>
      </c>
    </row>
    <row r="8" spans="1:20">
      <c r="A8" s="5">
        <v>1233498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300</v>
      </c>
      <c r="L8" s="9">
        <v>0</v>
      </c>
      <c r="M8" s="9">
        <v>0</v>
      </c>
      <c r="N8" s="9">
        <v>782</v>
      </c>
      <c r="O8" s="9">
        <v>50</v>
      </c>
      <c r="P8" s="9">
        <v>0</v>
      </c>
      <c r="Q8" s="9">
        <v>0</v>
      </c>
      <c r="R8" s="9">
        <v>0</v>
      </c>
      <c r="S8" s="9">
        <v>0</v>
      </c>
      <c r="T8" s="9">
        <v>0</v>
      </c>
    </row>
    <row r="9" spans="1:20">
      <c r="A9" s="5">
        <v>1233623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300</v>
      </c>
      <c r="L9" s="9">
        <v>0</v>
      </c>
      <c r="M9" s="9">
        <v>0</v>
      </c>
      <c r="N9" s="9">
        <v>782</v>
      </c>
      <c r="O9" s="9">
        <v>50</v>
      </c>
      <c r="P9" s="9">
        <v>0</v>
      </c>
      <c r="Q9" s="9">
        <v>0</v>
      </c>
      <c r="R9" s="9">
        <v>0</v>
      </c>
      <c r="S9" s="9">
        <v>0</v>
      </c>
      <c r="T9" s="9">
        <v>0</v>
      </c>
    </row>
    <row r="10" spans="1:20">
      <c r="A10" s="5">
        <v>1233877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150</v>
      </c>
      <c r="Q10" s="9">
        <v>0</v>
      </c>
      <c r="R10" s="9">
        <v>0</v>
      </c>
      <c r="S10" s="9">
        <v>0</v>
      </c>
      <c r="T10" s="9">
        <v>0</v>
      </c>
    </row>
    <row r="11" spans="1:20">
      <c r="A11" s="5">
        <v>1235623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24</v>
      </c>
      <c r="R11" s="9">
        <v>912</v>
      </c>
      <c r="S11" s="9">
        <v>0</v>
      </c>
      <c r="T11" s="9">
        <v>0</v>
      </c>
    </row>
    <row r="12" spans="1:20">
      <c r="A12" s="5">
        <v>1237088</v>
      </c>
      <c r="B12" s="9">
        <v>538</v>
      </c>
      <c r="C12" s="9">
        <v>500</v>
      </c>
      <c r="D12" s="9">
        <v>586</v>
      </c>
      <c r="E12" s="9">
        <v>0</v>
      </c>
      <c r="F12" s="9">
        <v>0</v>
      </c>
      <c r="G12" s="9">
        <v>0</v>
      </c>
      <c r="H12" s="9">
        <v>552</v>
      </c>
      <c r="I12" s="9">
        <v>404</v>
      </c>
      <c r="J12" s="9">
        <v>0</v>
      </c>
      <c r="K12" s="9">
        <v>0</v>
      </c>
      <c r="L12" s="9">
        <v>0</v>
      </c>
      <c r="M12" s="9">
        <v>0</v>
      </c>
      <c r="N12" s="9">
        <v>866</v>
      </c>
      <c r="O12" s="9">
        <v>826</v>
      </c>
      <c r="P12" s="9">
        <v>406</v>
      </c>
      <c r="Q12" s="9">
        <v>706</v>
      </c>
      <c r="R12" s="9">
        <v>550</v>
      </c>
      <c r="S12" s="9">
        <v>0</v>
      </c>
      <c r="T12" s="9">
        <v>0</v>
      </c>
    </row>
    <row r="13" spans="1:20">
      <c r="A13" s="5">
        <v>1231898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230</v>
      </c>
      <c r="H13" s="9">
        <v>250</v>
      </c>
      <c r="I13" s="9">
        <v>240</v>
      </c>
      <c r="J13" s="9">
        <v>0</v>
      </c>
      <c r="K13" s="9">
        <v>384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</row>
    <row r="14" spans="1:20">
      <c r="A14" s="5">
        <v>1237586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230</v>
      </c>
      <c r="H14" s="9">
        <v>250</v>
      </c>
      <c r="I14" s="9">
        <v>240</v>
      </c>
      <c r="J14" s="9">
        <v>0</v>
      </c>
      <c r="K14" s="9">
        <v>384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</row>
    <row r="15" spans="1:20">
      <c r="A15" s="5">
        <v>1236091</v>
      </c>
      <c r="B15" s="9">
        <v>0</v>
      </c>
      <c r="C15" s="9">
        <v>250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250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</row>
    <row r="16" spans="1:20">
      <c r="A16" s="5">
        <v>1234905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514</v>
      </c>
      <c r="O16" s="9">
        <v>512</v>
      </c>
      <c r="P16" s="9">
        <v>334</v>
      </c>
      <c r="Q16" s="9">
        <v>426</v>
      </c>
      <c r="R16" s="9">
        <v>426</v>
      </c>
      <c r="S16" s="9">
        <v>0</v>
      </c>
      <c r="T16" s="9">
        <v>0</v>
      </c>
    </row>
    <row r="17" spans="1:20">
      <c r="A17" s="5">
        <v>1238128</v>
      </c>
      <c r="B17" s="9">
        <v>0</v>
      </c>
      <c r="C17" s="9">
        <v>0</v>
      </c>
      <c r="D17" s="9">
        <v>350</v>
      </c>
      <c r="E17" s="9">
        <v>0</v>
      </c>
      <c r="F17" s="9">
        <v>0</v>
      </c>
      <c r="G17" s="9">
        <v>352</v>
      </c>
      <c r="H17" s="9">
        <v>590</v>
      </c>
      <c r="I17" s="9">
        <v>464</v>
      </c>
      <c r="J17" s="9">
        <v>258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</row>
    <row r="18" spans="1:20">
      <c r="A18" s="5">
        <v>1237748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126</v>
      </c>
      <c r="Q18" s="9">
        <v>810</v>
      </c>
      <c r="R18" s="9">
        <v>0</v>
      </c>
      <c r="S18" s="9">
        <v>0</v>
      </c>
      <c r="T18" s="9">
        <v>0</v>
      </c>
    </row>
    <row r="19" spans="1:20">
      <c r="A19" s="5">
        <v>1236962</v>
      </c>
      <c r="B19" s="9">
        <v>200</v>
      </c>
      <c r="C19" s="9">
        <v>192</v>
      </c>
      <c r="D19" s="9">
        <v>224</v>
      </c>
      <c r="E19" s="9">
        <v>0</v>
      </c>
      <c r="F19" s="9">
        <v>0</v>
      </c>
      <c r="G19" s="9">
        <v>200</v>
      </c>
      <c r="H19" s="9">
        <v>0</v>
      </c>
      <c r="I19" s="9">
        <v>0</v>
      </c>
      <c r="J19" s="9">
        <v>124</v>
      </c>
      <c r="K19" s="9">
        <v>150</v>
      </c>
      <c r="L19" s="9">
        <v>0</v>
      </c>
      <c r="M19" s="9">
        <v>0</v>
      </c>
      <c r="N19" s="9">
        <v>0</v>
      </c>
      <c r="O19" s="9">
        <v>200</v>
      </c>
      <c r="P19" s="9">
        <v>222</v>
      </c>
      <c r="Q19" s="9">
        <v>200</v>
      </c>
      <c r="R19" s="9">
        <v>200</v>
      </c>
      <c r="S19" s="9">
        <v>0</v>
      </c>
      <c r="T19" s="9">
        <v>0</v>
      </c>
    </row>
    <row r="20" spans="1:20">
      <c r="A20" s="58">
        <v>1233761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150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200</v>
      </c>
      <c r="R20" s="9">
        <v>0</v>
      </c>
      <c r="S20" s="9">
        <v>0</v>
      </c>
      <c r="T20" s="9">
        <v>0</v>
      </c>
    </row>
    <row r="21" spans="1:20">
      <c r="A21" s="5">
        <v>1239651</v>
      </c>
      <c r="B21" s="9">
        <v>306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400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250</v>
      </c>
      <c r="Q21" s="9">
        <v>0</v>
      </c>
      <c r="R21" s="9">
        <v>350</v>
      </c>
      <c r="S21" s="9">
        <v>0</v>
      </c>
      <c r="T21" s="9">
        <v>0</v>
      </c>
    </row>
    <row r="22" spans="1:20">
      <c r="A22" s="5">
        <v>1240180</v>
      </c>
      <c r="B22" s="9">
        <v>338</v>
      </c>
      <c r="C22" s="9">
        <v>532</v>
      </c>
      <c r="D22" s="9">
        <v>796</v>
      </c>
      <c r="E22" s="9">
        <v>0</v>
      </c>
      <c r="F22" s="9">
        <v>0</v>
      </c>
      <c r="G22" s="9">
        <v>384</v>
      </c>
      <c r="H22" s="9">
        <v>430</v>
      </c>
      <c r="I22" s="9">
        <v>339</v>
      </c>
      <c r="J22" s="9">
        <v>430</v>
      </c>
      <c r="K22" s="9">
        <v>430</v>
      </c>
      <c r="L22" s="9">
        <v>0</v>
      </c>
      <c r="M22" s="9">
        <v>0</v>
      </c>
      <c r="N22" s="9">
        <v>50</v>
      </c>
      <c r="O22" s="9">
        <v>334</v>
      </c>
      <c r="P22" s="9">
        <v>338</v>
      </c>
      <c r="Q22" s="9">
        <v>430</v>
      </c>
      <c r="R22" s="9">
        <v>430</v>
      </c>
      <c r="S22" s="9">
        <v>0</v>
      </c>
      <c r="T22" s="9">
        <v>0</v>
      </c>
    </row>
    <row r="23" spans="1:20">
      <c r="A23" s="5">
        <v>1240184</v>
      </c>
      <c r="B23" s="9">
        <v>338</v>
      </c>
      <c r="C23" s="9">
        <v>532</v>
      </c>
      <c r="D23" s="9">
        <v>760</v>
      </c>
      <c r="E23" s="9">
        <v>0</v>
      </c>
      <c r="F23" s="9">
        <v>0</v>
      </c>
      <c r="G23" s="9">
        <v>258</v>
      </c>
      <c r="H23" s="9">
        <v>430</v>
      </c>
      <c r="I23" s="9">
        <v>139</v>
      </c>
      <c r="J23" s="9">
        <v>386</v>
      </c>
      <c r="K23" s="9">
        <v>0</v>
      </c>
      <c r="L23" s="9">
        <v>0</v>
      </c>
      <c r="M23" s="9">
        <v>0</v>
      </c>
      <c r="N23" s="9">
        <v>0</v>
      </c>
      <c r="O23" s="9">
        <v>134</v>
      </c>
      <c r="P23" s="9">
        <v>338</v>
      </c>
      <c r="Q23" s="9">
        <v>430</v>
      </c>
      <c r="R23" s="9">
        <v>430</v>
      </c>
      <c r="S23" s="9">
        <v>0</v>
      </c>
      <c r="T23" s="9">
        <v>0</v>
      </c>
    </row>
    <row r="24" spans="1:20">
      <c r="A24" s="5">
        <v>1240308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200</v>
      </c>
      <c r="H24" s="9">
        <v>250</v>
      </c>
      <c r="I24" s="9">
        <v>0</v>
      </c>
      <c r="J24" s="9">
        <v>400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300</v>
      </c>
      <c r="Q24" s="9">
        <v>0</v>
      </c>
      <c r="R24" s="9">
        <v>0</v>
      </c>
      <c r="S24" s="9">
        <v>0</v>
      </c>
      <c r="T24" s="9">
        <v>0</v>
      </c>
    </row>
    <row r="25" spans="1:20">
      <c r="A25" s="5">
        <v>1241601</v>
      </c>
      <c r="B25" s="9">
        <v>964</v>
      </c>
      <c r="C25" s="9">
        <v>1644</v>
      </c>
      <c r="D25" s="9">
        <v>838</v>
      </c>
      <c r="E25" s="9">
        <v>0</v>
      </c>
      <c r="F25" s="9">
        <v>0</v>
      </c>
      <c r="G25" s="9">
        <v>690</v>
      </c>
      <c r="H25" s="9">
        <v>1600</v>
      </c>
      <c r="I25" s="9">
        <v>678</v>
      </c>
      <c r="J25" s="9">
        <v>1808</v>
      </c>
      <c r="K25" s="9">
        <v>2062</v>
      </c>
      <c r="L25" s="9">
        <v>0</v>
      </c>
      <c r="M25" s="9">
        <v>0</v>
      </c>
      <c r="N25" s="9">
        <v>1272</v>
      </c>
      <c r="O25" s="9">
        <v>800</v>
      </c>
      <c r="P25" s="9">
        <v>600</v>
      </c>
      <c r="Q25" s="9">
        <v>0</v>
      </c>
      <c r="R25" s="9">
        <v>750</v>
      </c>
      <c r="S25" s="9">
        <v>0</v>
      </c>
      <c r="T25" s="9">
        <v>0</v>
      </c>
    </row>
    <row r="28" spans="1:20">
      <c r="A28" s="5" t="s">
        <v>0</v>
      </c>
      <c r="B28" s="9" t="s">
        <v>1243</v>
      </c>
      <c r="C28" s="9" t="s">
        <v>1244</v>
      </c>
      <c r="D28" s="9" t="s">
        <v>1245</v>
      </c>
      <c r="E28" s="9" t="s">
        <v>1246</v>
      </c>
      <c r="F28" s="9" t="s">
        <v>1247</v>
      </c>
      <c r="G28" s="9" t="s">
        <v>1248</v>
      </c>
      <c r="H28" s="9" t="s">
        <v>1249</v>
      </c>
      <c r="I28" s="9" t="s">
        <v>1250</v>
      </c>
      <c r="J28" s="9" t="s">
        <v>1251</v>
      </c>
      <c r="K28" s="9" t="s">
        <v>1252</v>
      </c>
      <c r="L28" s="9" t="s">
        <v>1253</v>
      </c>
      <c r="M28" s="9" t="s">
        <v>1254</v>
      </c>
      <c r="N28" s="9" t="s">
        <v>1258</v>
      </c>
      <c r="O28" s="9" t="s">
        <v>1259</v>
      </c>
      <c r="P28" s="9" t="s">
        <v>1260</v>
      </c>
      <c r="Q28" s="9" t="s">
        <v>1261</v>
      </c>
      <c r="R28" s="9" t="s">
        <v>1262</v>
      </c>
      <c r="S28" s="9" t="s">
        <v>1263</v>
      </c>
      <c r="T28" s="9" t="s">
        <v>1264</v>
      </c>
    </row>
    <row r="29" spans="1:20">
      <c r="A29" s="5">
        <v>1232846</v>
      </c>
      <c r="B29" s="9">
        <v>352</v>
      </c>
      <c r="C29" s="9">
        <v>148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</row>
    <row r="30" spans="1:20">
      <c r="A30" s="5">
        <v>1232895</v>
      </c>
      <c r="B30" s="9">
        <v>352</v>
      </c>
      <c r="C30" s="9">
        <v>148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</row>
    <row r="31" spans="1:20">
      <c r="A31" s="5">
        <v>1233384</v>
      </c>
      <c r="B31" s="9">
        <v>352</v>
      </c>
      <c r="C31" s="9">
        <v>148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</row>
    <row r="32" spans="1:20">
      <c r="A32" s="5">
        <v>1236110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150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</row>
    <row r="33" spans="1:20">
      <c r="A33" s="5">
        <v>1236387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271</v>
      </c>
      <c r="H33" s="9">
        <v>367</v>
      </c>
      <c r="I33" s="9">
        <v>62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</row>
    <row r="34" spans="1:20">
      <c r="A34" s="5">
        <v>1232775</v>
      </c>
      <c r="B34" s="9">
        <v>242</v>
      </c>
      <c r="C34" s="9">
        <v>242</v>
      </c>
      <c r="D34" s="9">
        <v>225</v>
      </c>
      <c r="E34" s="9">
        <v>0</v>
      </c>
      <c r="F34" s="9">
        <v>0</v>
      </c>
      <c r="G34" s="9">
        <v>210</v>
      </c>
      <c r="H34" s="9">
        <v>0</v>
      </c>
      <c r="I34" s="9">
        <v>434</v>
      </c>
      <c r="J34" s="9">
        <v>242</v>
      </c>
      <c r="K34" s="9">
        <v>291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</row>
    <row r="37" spans="1:20">
      <c r="A37" s="74" t="s">
        <v>0</v>
      </c>
      <c r="B37" s="69" t="s">
        <v>1243</v>
      </c>
      <c r="C37" s="69" t="s">
        <v>1244</v>
      </c>
      <c r="D37" s="69" t="s">
        <v>1245</v>
      </c>
      <c r="E37" s="69" t="s">
        <v>1246</v>
      </c>
      <c r="F37" s="70" t="s">
        <v>1247</v>
      </c>
      <c r="G37" s="69" t="s">
        <v>1248</v>
      </c>
      <c r="H37" s="69" t="s">
        <v>1249</v>
      </c>
      <c r="I37" s="69" t="s">
        <v>1250</v>
      </c>
      <c r="J37" s="69" t="s">
        <v>1251</v>
      </c>
      <c r="K37" s="69" t="s">
        <v>1252</v>
      </c>
      <c r="L37" s="69" t="s">
        <v>1253</v>
      </c>
      <c r="M37" s="70" t="s">
        <v>1254</v>
      </c>
      <c r="N37" s="69" t="s">
        <v>1258</v>
      </c>
      <c r="O37" s="69" t="s">
        <v>1259</v>
      </c>
      <c r="P37" s="69" t="s">
        <v>1260</v>
      </c>
      <c r="Q37" s="69" t="s">
        <v>1261</v>
      </c>
      <c r="R37" s="69" t="s">
        <v>1262</v>
      </c>
      <c r="S37" s="69" t="s">
        <v>1263</v>
      </c>
      <c r="T37" s="70" t="s">
        <v>1264</v>
      </c>
    </row>
    <row r="38" spans="1:20">
      <c r="A38" s="30">
        <v>1234614</v>
      </c>
      <c r="B38" s="32">
        <v>0</v>
      </c>
      <c r="C38" s="32">
        <v>18</v>
      </c>
      <c r="D38" s="32">
        <v>632</v>
      </c>
      <c r="E38" s="32">
        <v>0</v>
      </c>
      <c r="F38" s="32">
        <v>0</v>
      </c>
      <c r="G38" s="32">
        <v>0</v>
      </c>
      <c r="H38" s="32">
        <v>0</v>
      </c>
      <c r="I38" s="32">
        <v>61</v>
      </c>
      <c r="J38" s="32">
        <v>587</v>
      </c>
      <c r="K38" s="32">
        <v>321</v>
      </c>
      <c r="L38" s="32">
        <v>0</v>
      </c>
      <c r="M38" s="32">
        <v>0</v>
      </c>
      <c r="N38" s="32">
        <v>50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</row>
    <row r="39" spans="1:20">
      <c r="A39" s="30">
        <v>1221967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220</v>
      </c>
      <c r="L39" s="32">
        <v>0</v>
      </c>
      <c r="M39" s="32">
        <v>0</v>
      </c>
      <c r="N39" s="32">
        <v>56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</row>
    <row r="40" spans="1:20">
      <c r="A40" s="30">
        <v>1227306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280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600</v>
      </c>
      <c r="P40" s="32">
        <v>500</v>
      </c>
      <c r="Q40" s="32">
        <v>0</v>
      </c>
      <c r="R40" s="32">
        <v>0</v>
      </c>
      <c r="S40" s="32">
        <v>0</v>
      </c>
      <c r="T40" s="32">
        <v>0</v>
      </c>
    </row>
    <row r="41" spans="1:20">
      <c r="A41" s="30">
        <v>1231797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71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</row>
    <row r="42" spans="1:20">
      <c r="A42" s="30">
        <v>1229776</v>
      </c>
      <c r="B42" s="32">
        <v>0</v>
      </c>
      <c r="C42" s="32">
        <v>0</v>
      </c>
      <c r="D42" s="32">
        <v>5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180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</row>
    <row r="43" spans="1:20">
      <c r="A43" s="30">
        <v>1231090</v>
      </c>
      <c r="B43" s="32">
        <v>325</v>
      </c>
      <c r="C43" s="32">
        <v>365</v>
      </c>
      <c r="D43" s="17">
        <v>5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475</v>
      </c>
      <c r="L43" s="32">
        <v>0</v>
      </c>
      <c r="M43" s="32">
        <v>0</v>
      </c>
      <c r="N43" s="32">
        <v>180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</row>
    <row r="44" spans="1:20">
      <c r="A44" s="30">
        <v>1232066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18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</row>
    <row r="45" spans="1:20">
      <c r="A45" s="30">
        <v>1229088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250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</row>
    <row r="46" spans="1:20">
      <c r="A46" s="30">
        <v>1232693</v>
      </c>
      <c r="B46" s="32">
        <v>309</v>
      </c>
      <c r="C46" s="32">
        <v>321</v>
      </c>
      <c r="D46" s="32">
        <v>0</v>
      </c>
      <c r="E46" s="32">
        <v>0</v>
      </c>
      <c r="F46" s="32">
        <v>0</v>
      </c>
      <c r="G46" s="17">
        <v>205</v>
      </c>
      <c r="H46" s="32">
        <v>194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</row>
    <row r="47" spans="1:20">
      <c r="A47" s="30">
        <v>1233025</v>
      </c>
      <c r="B47" s="32">
        <v>309</v>
      </c>
      <c r="C47" s="32">
        <v>321</v>
      </c>
      <c r="D47" s="32">
        <v>0</v>
      </c>
      <c r="E47" s="32">
        <v>0</v>
      </c>
      <c r="F47" s="32">
        <v>0</v>
      </c>
      <c r="G47" s="17">
        <v>205</v>
      </c>
      <c r="H47" s="32">
        <v>194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</row>
    <row r="48" spans="1:20">
      <c r="A48" s="30">
        <v>1225464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50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</row>
    <row r="49" spans="1:20">
      <c r="A49" s="30">
        <v>1234222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510</v>
      </c>
      <c r="S49" s="32">
        <v>0</v>
      </c>
      <c r="T49" s="32">
        <v>0</v>
      </c>
    </row>
    <row r="50" spans="1:20">
      <c r="A50" s="30">
        <v>1232528</v>
      </c>
      <c r="B50" s="32">
        <v>1016</v>
      </c>
      <c r="C50" s="32">
        <v>1341</v>
      </c>
      <c r="D50" s="17">
        <v>686</v>
      </c>
      <c r="E50" s="32">
        <v>0</v>
      </c>
      <c r="F50" s="32">
        <v>0</v>
      </c>
      <c r="G50" s="32">
        <v>686</v>
      </c>
      <c r="H50" s="32">
        <v>686</v>
      </c>
      <c r="I50" s="32">
        <v>539</v>
      </c>
      <c r="J50" s="32">
        <v>686</v>
      </c>
      <c r="K50" s="32">
        <v>2174</v>
      </c>
      <c r="L50" s="32">
        <v>0</v>
      </c>
      <c r="M50" s="32">
        <v>0</v>
      </c>
      <c r="N50" s="32">
        <v>774</v>
      </c>
      <c r="O50" s="32">
        <v>1303</v>
      </c>
      <c r="P50" s="32">
        <v>1039</v>
      </c>
      <c r="Q50" s="32">
        <v>1308</v>
      </c>
      <c r="R50" s="32">
        <v>1308</v>
      </c>
      <c r="S50" s="32">
        <v>0</v>
      </c>
      <c r="T50" s="32">
        <v>0</v>
      </c>
    </row>
    <row r="51" spans="1:20">
      <c r="A51" s="30">
        <v>1232553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50</v>
      </c>
      <c r="K51" s="32">
        <v>202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</row>
    <row r="52" spans="1:20">
      <c r="A52" s="30">
        <v>1233587</v>
      </c>
      <c r="B52" s="32">
        <v>18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</row>
    <row r="53" spans="1:20">
      <c r="A53" s="30">
        <v>1232846</v>
      </c>
      <c r="B53" s="32">
        <v>0</v>
      </c>
      <c r="C53" s="32">
        <v>32</v>
      </c>
      <c r="D53" s="32">
        <v>667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593</v>
      </c>
      <c r="L53" s="32">
        <v>0</v>
      </c>
      <c r="M53" s="32">
        <v>0</v>
      </c>
      <c r="N53" s="32">
        <v>749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</row>
    <row r="54" spans="1:20">
      <c r="A54" s="30">
        <v>1229050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520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</row>
    <row r="55" spans="1:20">
      <c r="A55" s="30">
        <v>1233383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6</v>
      </c>
      <c r="O55" s="32">
        <v>150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</row>
    <row r="56" spans="1:20">
      <c r="A56" s="30">
        <v>1220847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1750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</row>
    <row r="57" spans="1:20">
      <c r="A57" s="30">
        <v>1232775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322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</row>
    <row r="58" spans="1:20">
      <c r="A58" s="30">
        <v>1235097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300</v>
      </c>
      <c r="Q58" s="32">
        <v>0</v>
      </c>
      <c r="R58" s="32">
        <v>0</v>
      </c>
      <c r="S58" s="32">
        <v>0</v>
      </c>
      <c r="T58" s="32">
        <v>0</v>
      </c>
    </row>
    <row r="59" spans="1:20">
      <c r="A59" s="30">
        <v>1235958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25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</row>
    <row r="60" spans="1:20">
      <c r="A60" s="30">
        <v>1235845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100</v>
      </c>
      <c r="Q60" s="32">
        <v>0</v>
      </c>
      <c r="R60" s="32">
        <v>0</v>
      </c>
      <c r="S60" s="32">
        <v>0</v>
      </c>
      <c r="T60" s="32">
        <v>0</v>
      </c>
    </row>
    <row r="61" spans="1:20">
      <c r="A61" s="30">
        <v>1236600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533</v>
      </c>
      <c r="O61" s="32">
        <v>533</v>
      </c>
      <c r="P61" s="32">
        <v>64</v>
      </c>
      <c r="Q61" s="32">
        <v>0</v>
      </c>
      <c r="R61" s="32">
        <v>0</v>
      </c>
      <c r="S61" s="32">
        <v>0</v>
      </c>
      <c r="T61" s="32">
        <v>0</v>
      </c>
    </row>
    <row r="62" spans="1:20">
      <c r="A62" s="30">
        <v>1236601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27</v>
      </c>
      <c r="Q62" s="32">
        <v>0</v>
      </c>
      <c r="R62" s="32">
        <v>0</v>
      </c>
      <c r="S62" s="32">
        <v>0</v>
      </c>
      <c r="T62" s="32">
        <v>0</v>
      </c>
    </row>
    <row r="63" spans="1:20">
      <c r="A63" s="30">
        <v>1236619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270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</row>
    <row r="64" spans="1:20">
      <c r="A64" s="30">
        <v>1236930</v>
      </c>
      <c r="B64" s="32">
        <v>377</v>
      </c>
      <c r="C64" s="32">
        <v>717</v>
      </c>
      <c r="D64" s="32">
        <v>724</v>
      </c>
      <c r="E64" s="32">
        <v>0</v>
      </c>
      <c r="F64" s="32">
        <v>0</v>
      </c>
      <c r="G64" s="32">
        <v>817</v>
      </c>
      <c r="H64" s="17">
        <v>865</v>
      </c>
      <c r="I64" s="32">
        <v>74</v>
      </c>
      <c r="J64" s="32">
        <v>536</v>
      </c>
      <c r="K64" s="32">
        <v>1048</v>
      </c>
      <c r="L64" s="32">
        <v>0</v>
      </c>
      <c r="M64" s="32">
        <v>0</v>
      </c>
      <c r="N64" s="32">
        <v>895</v>
      </c>
      <c r="O64" s="32">
        <v>495</v>
      </c>
      <c r="P64" s="32">
        <v>311</v>
      </c>
      <c r="Q64" s="32">
        <v>395</v>
      </c>
      <c r="R64" s="32">
        <v>1335</v>
      </c>
      <c r="S64" s="32">
        <v>0</v>
      </c>
      <c r="T64" s="32">
        <v>0</v>
      </c>
    </row>
    <row r="65" spans="1:20">
      <c r="A65" s="30">
        <v>1237210</v>
      </c>
      <c r="B65" s="32">
        <v>0</v>
      </c>
      <c r="C65" s="32">
        <v>0</v>
      </c>
      <c r="D65" s="32">
        <v>26</v>
      </c>
      <c r="E65" s="32">
        <v>0</v>
      </c>
      <c r="F65" s="32">
        <v>0</v>
      </c>
      <c r="G65" s="17">
        <v>144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375</v>
      </c>
      <c r="S65" s="32">
        <v>0</v>
      </c>
      <c r="T65" s="32">
        <v>0</v>
      </c>
    </row>
    <row r="66" spans="1:20">
      <c r="A66" s="30">
        <v>1237457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18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</row>
    <row r="67" spans="1:20">
      <c r="A67" s="30">
        <v>1237386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180</v>
      </c>
      <c r="S67" s="32">
        <v>0</v>
      </c>
      <c r="T67" s="32">
        <v>0</v>
      </c>
    </row>
    <row r="68" spans="1:20">
      <c r="A68" s="30">
        <v>1238480</v>
      </c>
      <c r="B68" s="32">
        <v>244</v>
      </c>
      <c r="C68" s="32">
        <v>393</v>
      </c>
      <c r="D68" s="32">
        <v>721</v>
      </c>
      <c r="E68" s="32">
        <v>0</v>
      </c>
      <c r="F68" s="32">
        <v>0</v>
      </c>
      <c r="G68" s="17">
        <v>1036</v>
      </c>
      <c r="H68" s="32">
        <v>1170</v>
      </c>
      <c r="I68" s="32">
        <v>366</v>
      </c>
      <c r="J68" s="32">
        <v>764</v>
      </c>
      <c r="K68" s="32">
        <v>1270</v>
      </c>
      <c r="L68" s="32">
        <v>0</v>
      </c>
      <c r="M68" s="32">
        <v>0</v>
      </c>
      <c r="N68" s="32">
        <v>674</v>
      </c>
      <c r="O68" s="32">
        <v>346</v>
      </c>
      <c r="P68" s="32">
        <v>272</v>
      </c>
      <c r="Q68" s="32">
        <v>346</v>
      </c>
      <c r="R68" s="32">
        <v>345</v>
      </c>
      <c r="S68" s="32">
        <v>0</v>
      </c>
      <c r="T68" s="32">
        <v>0</v>
      </c>
    </row>
    <row r="69" spans="1:20">
      <c r="A69" s="30">
        <v>1240180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215</v>
      </c>
      <c r="J69" s="32">
        <v>85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400</v>
      </c>
      <c r="R69" s="32">
        <v>0</v>
      </c>
      <c r="S69" s="32">
        <v>0</v>
      </c>
      <c r="T69" s="32">
        <v>0</v>
      </c>
    </row>
    <row r="70" spans="1:20">
      <c r="A70" s="30">
        <v>1240184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215</v>
      </c>
      <c r="J70" s="32">
        <v>85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400</v>
      </c>
      <c r="R70" s="32">
        <v>0</v>
      </c>
      <c r="S70" s="32">
        <v>0</v>
      </c>
      <c r="T70" s="32">
        <v>0</v>
      </c>
    </row>
    <row r="71" spans="1:20">
      <c r="A71" s="30">
        <v>1237468</v>
      </c>
      <c r="B71" s="32">
        <v>210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</row>
    <row r="72" spans="1:20">
      <c r="A72" s="30">
        <v>1238453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60</v>
      </c>
      <c r="R72" s="32">
        <v>1212</v>
      </c>
      <c r="S72" s="32">
        <v>0</v>
      </c>
      <c r="T72" s="32">
        <v>0</v>
      </c>
    </row>
    <row r="73" spans="1:20">
      <c r="A73" s="30">
        <v>1216452</v>
      </c>
      <c r="B73" s="32">
        <v>0</v>
      </c>
      <c r="C73" s="32">
        <v>576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769</v>
      </c>
      <c r="J73" s="32">
        <v>1050</v>
      </c>
      <c r="K73" s="32">
        <v>62</v>
      </c>
      <c r="L73" s="32">
        <v>0</v>
      </c>
      <c r="M73" s="32">
        <v>0</v>
      </c>
      <c r="N73" s="32">
        <v>0</v>
      </c>
      <c r="O73" s="32">
        <v>0</v>
      </c>
      <c r="P73" s="32">
        <v>2601</v>
      </c>
      <c r="Q73" s="32">
        <v>612</v>
      </c>
      <c r="R73" s="32">
        <v>0</v>
      </c>
      <c r="S73" s="32">
        <v>0</v>
      </c>
      <c r="T73" s="32">
        <v>0</v>
      </c>
    </row>
    <row r="74" spans="1:20">
      <c r="A74" s="30">
        <v>1232894</v>
      </c>
      <c r="B74" s="32">
        <v>0</v>
      </c>
      <c r="C74" s="32">
        <v>32</v>
      </c>
      <c r="D74" s="17">
        <v>667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593</v>
      </c>
      <c r="L74" s="32">
        <v>0</v>
      </c>
      <c r="M74" s="32">
        <v>0</v>
      </c>
      <c r="N74" s="32">
        <v>416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</row>
    <row r="75" spans="1:20">
      <c r="A75" s="30">
        <v>1233386</v>
      </c>
      <c r="B75" s="32">
        <v>0</v>
      </c>
      <c r="C75" s="32">
        <v>0</v>
      </c>
      <c r="D75" s="17">
        <v>303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593</v>
      </c>
      <c r="L75" s="32">
        <v>0</v>
      </c>
      <c r="M75" s="32">
        <v>0</v>
      </c>
      <c r="N75" s="32">
        <v>416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</row>
    <row r="76" spans="1:20">
      <c r="A76" s="30">
        <v>1233387</v>
      </c>
      <c r="B76" s="32">
        <v>0</v>
      </c>
      <c r="C76" s="32">
        <v>32</v>
      </c>
      <c r="D76" s="17">
        <v>268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</row>
    <row r="77" spans="1:20">
      <c r="A77" s="30">
        <v>1233385</v>
      </c>
      <c r="B77" s="32">
        <v>0</v>
      </c>
      <c r="C77" s="32">
        <v>0</v>
      </c>
      <c r="D77" s="17">
        <v>96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</row>
    <row r="78" spans="1:20">
      <c r="A78" s="30">
        <v>1232895</v>
      </c>
      <c r="B78" s="32">
        <v>0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333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</row>
    <row r="79" spans="1:20">
      <c r="A79" s="30">
        <v>1232922</v>
      </c>
      <c r="B79" s="32">
        <v>0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333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</row>
  </sheetData>
  <phoneticPr fontId="1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908B-897C-44E8-831C-2C84E713CDDD}">
  <dimension ref="A1:U84"/>
  <sheetViews>
    <sheetView topLeftCell="A13" zoomScale="145" zoomScaleNormal="145" workbookViewId="0">
      <selection activeCell="I45" sqref="I44:I45"/>
    </sheetView>
  </sheetViews>
  <sheetFormatPr defaultRowHeight="11.25"/>
  <cols>
    <col min="1" max="1" width="12.5" style="13" customWidth="1"/>
    <col min="2" max="2" width="9.33203125" style="14"/>
    <col min="3" max="18" width="9.33203125" style="14" customWidth="1"/>
    <col min="19" max="21" width="9.33203125" style="14"/>
  </cols>
  <sheetData>
    <row r="1" spans="1:19" ht="12">
      <c r="A1" s="19" t="s">
        <v>0</v>
      </c>
      <c r="B1" s="9" t="s">
        <v>1244</v>
      </c>
      <c r="C1" s="9" t="s">
        <v>1245</v>
      </c>
      <c r="D1" s="9" t="s">
        <v>1246</v>
      </c>
      <c r="E1" s="9" t="s">
        <v>1247</v>
      </c>
      <c r="F1" s="9" t="s">
        <v>1248</v>
      </c>
      <c r="G1" s="9" t="s">
        <v>1249</v>
      </c>
      <c r="H1" s="9" t="s">
        <v>1250</v>
      </c>
      <c r="I1" s="9" t="s">
        <v>1251</v>
      </c>
      <c r="J1" s="9" t="s">
        <v>1252</v>
      </c>
      <c r="K1" s="9" t="s">
        <v>1253</v>
      </c>
      <c r="L1" s="9" t="s">
        <v>1254</v>
      </c>
      <c r="M1" s="9" t="s">
        <v>1258</v>
      </c>
      <c r="N1" s="9" t="s">
        <v>1259</v>
      </c>
      <c r="O1" s="9" t="s">
        <v>1260</v>
      </c>
      <c r="P1" s="9" t="s">
        <v>1261</v>
      </c>
      <c r="Q1" s="9" t="s">
        <v>1262</v>
      </c>
      <c r="R1" s="9" t="s">
        <v>1263</v>
      </c>
      <c r="S1" s="9" t="s">
        <v>1264</v>
      </c>
    </row>
    <row r="2" spans="1:19" ht="12">
      <c r="A2" s="19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400</v>
      </c>
      <c r="I2" s="9">
        <v>400</v>
      </c>
      <c r="J2" s="9">
        <v>260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</row>
    <row r="3" spans="1:19" ht="12">
      <c r="A3" s="19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400</v>
      </c>
      <c r="I3" s="9">
        <v>400</v>
      </c>
      <c r="J3" s="9">
        <v>260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19" ht="12">
      <c r="A4" s="19">
        <v>1229673</v>
      </c>
      <c r="B4" s="9">
        <v>344</v>
      </c>
      <c r="C4" s="9">
        <v>218</v>
      </c>
      <c r="D4" s="9">
        <v>0</v>
      </c>
      <c r="E4" s="9">
        <v>0</v>
      </c>
      <c r="F4" s="9">
        <v>200</v>
      </c>
      <c r="G4" s="9">
        <v>200</v>
      </c>
      <c r="H4" s="9">
        <v>200</v>
      </c>
      <c r="I4" s="9">
        <v>0</v>
      </c>
      <c r="J4" s="9">
        <v>0</v>
      </c>
      <c r="K4" s="9">
        <v>0</v>
      </c>
      <c r="L4" s="9">
        <v>0</v>
      </c>
      <c r="M4" s="9">
        <v>200</v>
      </c>
      <c r="N4" s="9">
        <v>200</v>
      </c>
      <c r="O4" s="9">
        <v>0</v>
      </c>
      <c r="P4" s="9">
        <v>300</v>
      </c>
      <c r="Q4" s="9">
        <v>300</v>
      </c>
      <c r="R4" s="9">
        <v>0</v>
      </c>
      <c r="S4" s="9">
        <v>0</v>
      </c>
    </row>
    <row r="5" spans="1:19" ht="12">
      <c r="A5" s="19">
        <v>1230854</v>
      </c>
      <c r="B5" s="9">
        <v>200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</row>
    <row r="6" spans="1:19" ht="12">
      <c r="A6" s="19">
        <v>1231202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100</v>
      </c>
      <c r="O6" s="9">
        <v>0</v>
      </c>
      <c r="P6" s="9">
        <v>0</v>
      </c>
      <c r="Q6" s="9">
        <v>0</v>
      </c>
      <c r="R6" s="9">
        <v>0</v>
      </c>
      <c r="S6" s="9">
        <v>0</v>
      </c>
    </row>
    <row r="7" spans="1:19" ht="12">
      <c r="A7" s="19">
        <v>1233492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300</v>
      </c>
      <c r="K7" s="9">
        <v>0</v>
      </c>
      <c r="L7" s="9">
        <v>0</v>
      </c>
      <c r="M7" s="9">
        <v>782</v>
      </c>
      <c r="N7" s="9">
        <v>50</v>
      </c>
      <c r="O7" s="9">
        <v>0</v>
      </c>
      <c r="P7" s="9">
        <v>0</v>
      </c>
      <c r="Q7" s="9">
        <v>0</v>
      </c>
      <c r="R7" s="9">
        <v>0</v>
      </c>
      <c r="S7" s="9">
        <v>0</v>
      </c>
    </row>
    <row r="8" spans="1:19" ht="12">
      <c r="A8" s="19">
        <v>1233498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300</v>
      </c>
      <c r="K8" s="9">
        <v>0</v>
      </c>
      <c r="L8" s="9">
        <v>0</v>
      </c>
      <c r="M8" s="9">
        <v>782</v>
      </c>
      <c r="N8" s="9">
        <v>50</v>
      </c>
      <c r="O8" s="9">
        <v>0</v>
      </c>
      <c r="P8" s="9">
        <v>0</v>
      </c>
      <c r="Q8" s="9">
        <v>0</v>
      </c>
      <c r="R8" s="9">
        <v>0</v>
      </c>
      <c r="S8" s="9">
        <v>0</v>
      </c>
    </row>
    <row r="9" spans="1:19" ht="12">
      <c r="A9" s="19">
        <v>1233623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300</v>
      </c>
      <c r="K9" s="9">
        <v>0</v>
      </c>
      <c r="L9" s="9">
        <v>0</v>
      </c>
      <c r="M9" s="9">
        <v>782</v>
      </c>
      <c r="N9" s="9">
        <v>50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 ht="12">
      <c r="A10" s="19">
        <v>1233877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150</v>
      </c>
      <c r="P10" s="9">
        <v>0</v>
      </c>
      <c r="Q10" s="9">
        <v>0</v>
      </c>
      <c r="R10" s="9">
        <v>0</v>
      </c>
      <c r="S10" s="9">
        <v>0</v>
      </c>
    </row>
    <row r="11" spans="1:19" ht="12">
      <c r="A11" s="19">
        <v>1235623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24</v>
      </c>
      <c r="Q11" s="9">
        <v>912</v>
      </c>
      <c r="R11" s="9">
        <v>0</v>
      </c>
      <c r="S11" s="9">
        <v>0</v>
      </c>
    </row>
    <row r="12" spans="1:19" ht="12">
      <c r="A12" s="19">
        <v>1237088</v>
      </c>
      <c r="B12" s="9">
        <v>500</v>
      </c>
      <c r="C12" s="9">
        <v>586</v>
      </c>
      <c r="D12" s="9">
        <v>0</v>
      </c>
      <c r="E12" s="9">
        <v>0</v>
      </c>
      <c r="F12" s="9">
        <v>0</v>
      </c>
      <c r="G12" s="9">
        <v>552</v>
      </c>
      <c r="H12" s="9">
        <v>404</v>
      </c>
      <c r="I12" s="9">
        <v>0</v>
      </c>
      <c r="J12" s="9">
        <v>0</v>
      </c>
      <c r="K12" s="9">
        <v>0</v>
      </c>
      <c r="L12" s="9">
        <v>0</v>
      </c>
      <c r="M12" s="9">
        <v>866</v>
      </c>
      <c r="N12" s="9">
        <v>826</v>
      </c>
      <c r="O12" s="9">
        <v>406</v>
      </c>
      <c r="P12" s="9">
        <v>706</v>
      </c>
      <c r="Q12" s="9">
        <v>550</v>
      </c>
      <c r="R12" s="9">
        <v>0</v>
      </c>
      <c r="S12" s="9">
        <v>0</v>
      </c>
    </row>
    <row r="13" spans="1:19" ht="12">
      <c r="A13" s="19">
        <v>1231898</v>
      </c>
      <c r="B13" s="9">
        <v>0</v>
      </c>
      <c r="C13" s="9">
        <v>0</v>
      </c>
      <c r="D13" s="9">
        <v>0</v>
      </c>
      <c r="E13" s="9">
        <v>0</v>
      </c>
      <c r="F13" s="9">
        <v>230</v>
      </c>
      <c r="G13" s="9">
        <v>250</v>
      </c>
      <c r="H13" s="9">
        <v>240</v>
      </c>
      <c r="I13" s="9">
        <v>0</v>
      </c>
      <c r="J13" s="9">
        <v>384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</row>
    <row r="14" spans="1:19" ht="12">
      <c r="A14" s="19">
        <v>1237586</v>
      </c>
      <c r="B14" s="9">
        <v>0</v>
      </c>
      <c r="C14" s="9">
        <v>0</v>
      </c>
      <c r="D14" s="9">
        <v>0</v>
      </c>
      <c r="E14" s="9">
        <v>0</v>
      </c>
      <c r="F14" s="9">
        <v>230</v>
      </c>
      <c r="G14" s="9">
        <v>250</v>
      </c>
      <c r="H14" s="9">
        <v>240</v>
      </c>
      <c r="I14" s="9">
        <v>0</v>
      </c>
      <c r="J14" s="9">
        <v>384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</row>
    <row r="15" spans="1:19" ht="12">
      <c r="A15" s="19">
        <v>1236091</v>
      </c>
      <c r="B15" s="9">
        <v>250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250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6" spans="1:19" ht="12">
      <c r="A16" s="19">
        <v>1234905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514</v>
      </c>
      <c r="N16" s="9">
        <v>512</v>
      </c>
      <c r="O16" s="9">
        <v>334</v>
      </c>
      <c r="P16" s="9">
        <v>426</v>
      </c>
      <c r="Q16" s="9">
        <v>426</v>
      </c>
      <c r="R16" s="9">
        <v>0</v>
      </c>
      <c r="S16" s="9">
        <v>0</v>
      </c>
    </row>
    <row r="17" spans="1:19" ht="12">
      <c r="A17" s="19">
        <v>1238128</v>
      </c>
      <c r="B17" s="9">
        <v>0</v>
      </c>
      <c r="C17" s="9">
        <v>350</v>
      </c>
      <c r="D17" s="9">
        <v>0</v>
      </c>
      <c r="E17" s="9">
        <v>0</v>
      </c>
      <c r="F17" s="9">
        <v>352</v>
      </c>
      <c r="G17" s="9">
        <v>590</v>
      </c>
      <c r="H17" s="9">
        <v>464</v>
      </c>
      <c r="I17" s="9">
        <v>258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</row>
    <row r="18" spans="1:19" ht="12">
      <c r="A18" s="19">
        <v>1237748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126</v>
      </c>
      <c r="P18" s="9">
        <v>810</v>
      </c>
      <c r="Q18" s="9">
        <v>0</v>
      </c>
      <c r="R18" s="9">
        <v>0</v>
      </c>
      <c r="S18" s="9">
        <v>0</v>
      </c>
    </row>
    <row r="19" spans="1:19" ht="12">
      <c r="A19" s="19">
        <v>1236962</v>
      </c>
      <c r="B19" s="9">
        <v>192</v>
      </c>
      <c r="C19" s="9">
        <v>224</v>
      </c>
      <c r="D19" s="9">
        <v>0</v>
      </c>
      <c r="E19" s="9">
        <v>0</v>
      </c>
      <c r="F19" s="9">
        <v>200</v>
      </c>
      <c r="G19" s="9">
        <v>0</v>
      </c>
      <c r="H19" s="9">
        <v>0</v>
      </c>
      <c r="I19" s="9">
        <v>124</v>
      </c>
      <c r="J19" s="9">
        <v>150</v>
      </c>
      <c r="K19" s="9">
        <v>0</v>
      </c>
      <c r="L19" s="9">
        <v>0</v>
      </c>
      <c r="M19" s="9">
        <v>0</v>
      </c>
      <c r="N19" s="9">
        <v>200</v>
      </c>
      <c r="O19" s="9">
        <v>222</v>
      </c>
      <c r="P19" s="9">
        <v>200</v>
      </c>
      <c r="Q19" s="9">
        <v>200</v>
      </c>
      <c r="R19" s="9">
        <v>0</v>
      </c>
      <c r="S19" s="9">
        <v>0</v>
      </c>
    </row>
    <row r="20" spans="1:19" ht="12">
      <c r="A20" s="19">
        <v>1233761</v>
      </c>
      <c r="B20" s="9">
        <v>0</v>
      </c>
      <c r="C20" s="9">
        <v>0</v>
      </c>
      <c r="D20" s="9">
        <v>0</v>
      </c>
      <c r="E20" s="9">
        <v>0</v>
      </c>
      <c r="F20" s="9">
        <v>150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200</v>
      </c>
      <c r="Q20" s="9">
        <v>0</v>
      </c>
      <c r="R20" s="9">
        <v>0</v>
      </c>
      <c r="S20" s="9">
        <v>0</v>
      </c>
    </row>
    <row r="21" spans="1:19" ht="12">
      <c r="A21" s="19">
        <v>1239651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400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250</v>
      </c>
      <c r="P21" s="9">
        <v>0</v>
      </c>
      <c r="Q21" s="9">
        <v>350</v>
      </c>
      <c r="R21" s="9">
        <v>0</v>
      </c>
      <c r="S21" s="9">
        <v>0</v>
      </c>
    </row>
    <row r="22" spans="1:19" ht="12">
      <c r="A22" s="19">
        <v>1240180</v>
      </c>
      <c r="B22" s="9">
        <v>532</v>
      </c>
      <c r="C22" s="9">
        <v>796</v>
      </c>
      <c r="D22" s="9">
        <v>0</v>
      </c>
      <c r="E22" s="9">
        <v>0</v>
      </c>
      <c r="F22" s="9">
        <v>384</v>
      </c>
      <c r="G22" s="9">
        <v>430</v>
      </c>
      <c r="H22" s="9">
        <v>339</v>
      </c>
      <c r="I22" s="9">
        <v>430</v>
      </c>
      <c r="J22" s="9">
        <v>430</v>
      </c>
      <c r="K22" s="9">
        <v>0</v>
      </c>
      <c r="L22" s="9">
        <v>0</v>
      </c>
      <c r="M22" s="9">
        <v>50</v>
      </c>
      <c r="N22" s="9">
        <v>334</v>
      </c>
      <c r="O22" s="9">
        <v>338</v>
      </c>
      <c r="P22" s="9">
        <v>430</v>
      </c>
      <c r="Q22" s="9">
        <v>430</v>
      </c>
      <c r="R22" s="9">
        <v>0</v>
      </c>
      <c r="S22" s="9">
        <v>0</v>
      </c>
    </row>
    <row r="23" spans="1:19" ht="12">
      <c r="A23" s="19">
        <v>1240184</v>
      </c>
      <c r="B23" s="9">
        <v>532</v>
      </c>
      <c r="C23" s="9">
        <v>760</v>
      </c>
      <c r="D23" s="9">
        <v>0</v>
      </c>
      <c r="E23" s="9">
        <v>0</v>
      </c>
      <c r="F23" s="9">
        <v>258</v>
      </c>
      <c r="G23" s="9">
        <v>430</v>
      </c>
      <c r="H23" s="9">
        <v>139</v>
      </c>
      <c r="I23" s="9">
        <v>386</v>
      </c>
      <c r="J23" s="9">
        <v>0</v>
      </c>
      <c r="K23" s="9">
        <v>0</v>
      </c>
      <c r="L23" s="9">
        <v>0</v>
      </c>
      <c r="M23" s="9">
        <v>0</v>
      </c>
      <c r="N23" s="9">
        <v>134</v>
      </c>
      <c r="O23" s="9">
        <v>338</v>
      </c>
      <c r="P23" s="9">
        <v>430</v>
      </c>
      <c r="Q23" s="9">
        <v>430</v>
      </c>
      <c r="R23" s="9">
        <v>0</v>
      </c>
      <c r="S23" s="9">
        <v>0</v>
      </c>
    </row>
    <row r="24" spans="1:19" ht="12">
      <c r="A24" s="19">
        <v>1240308</v>
      </c>
      <c r="B24" s="9">
        <v>0</v>
      </c>
      <c r="C24" s="9">
        <v>0</v>
      </c>
      <c r="D24" s="9">
        <v>0</v>
      </c>
      <c r="E24" s="9">
        <v>0</v>
      </c>
      <c r="F24" s="9">
        <v>200</v>
      </c>
      <c r="G24" s="9">
        <v>250</v>
      </c>
      <c r="H24" s="9">
        <v>0</v>
      </c>
      <c r="I24" s="9">
        <v>400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300</v>
      </c>
      <c r="P24" s="9">
        <v>0</v>
      </c>
      <c r="Q24" s="9">
        <v>0</v>
      </c>
      <c r="R24" s="9">
        <v>0</v>
      </c>
      <c r="S24" s="9">
        <v>0</v>
      </c>
    </row>
    <row r="25" spans="1:19" ht="12">
      <c r="A25" s="19">
        <v>1241601</v>
      </c>
      <c r="B25" s="9">
        <v>1644</v>
      </c>
      <c r="C25" s="9">
        <v>838</v>
      </c>
      <c r="D25" s="9">
        <v>0</v>
      </c>
      <c r="E25" s="9">
        <v>0</v>
      </c>
      <c r="F25" s="9">
        <v>690</v>
      </c>
      <c r="G25" s="9">
        <v>1600</v>
      </c>
      <c r="H25" s="9">
        <v>678</v>
      </c>
      <c r="I25" s="9">
        <v>1808</v>
      </c>
      <c r="J25" s="9">
        <v>2062</v>
      </c>
      <c r="K25" s="9">
        <v>0</v>
      </c>
      <c r="L25" s="9">
        <v>0</v>
      </c>
      <c r="M25" s="9">
        <v>1272</v>
      </c>
      <c r="N25" s="9">
        <v>800</v>
      </c>
      <c r="O25" s="9">
        <v>600</v>
      </c>
      <c r="P25" s="9">
        <v>0</v>
      </c>
      <c r="Q25" s="9">
        <v>750</v>
      </c>
      <c r="R25" s="9">
        <v>0</v>
      </c>
      <c r="S25" s="9">
        <v>0</v>
      </c>
    </row>
    <row r="26" spans="1:19" ht="12">
      <c r="A26" s="1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12">
      <c r="A27" s="1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12">
      <c r="A28" s="1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12">
      <c r="A29" s="19" t="s">
        <v>0</v>
      </c>
      <c r="B29" s="9" t="s">
        <v>1244</v>
      </c>
      <c r="C29" s="9" t="s">
        <v>1245</v>
      </c>
      <c r="D29" s="9" t="s">
        <v>1246</v>
      </c>
      <c r="E29" s="9" t="s">
        <v>1247</v>
      </c>
      <c r="F29" s="9" t="s">
        <v>1248</v>
      </c>
      <c r="G29" s="9" t="s">
        <v>1249</v>
      </c>
      <c r="H29" s="9" t="s">
        <v>1250</v>
      </c>
      <c r="I29" s="9" t="s">
        <v>1251</v>
      </c>
      <c r="J29" s="9" t="s">
        <v>1252</v>
      </c>
      <c r="K29" s="9" t="s">
        <v>1253</v>
      </c>
      <c r="L29" s="9" t="s">
        <v>1254</v>
      </c>
      <c r="M29" s="9" t="s">
        <v>1258</v>
      </c>
      <c r="N29" s="9" t="s">
        <v>1259</v>
      </c>
      <c r="O29" s="9" t="s">
        <v>1260</v>
      </c>
      <c r="P29" s="9" t="s">
        <v>1261</v>
      </c>
      <c r="Q29" s="9" t="s">
        <v>1262</v>
      </c>
      <c r="R29" s="9" t="s">
        <v>1263</v>
      </c>
      <c r="S29" s="9" t="s">
        <v>1264</v>
      </c>
    </row>
    <row r="30" spans="1:19">
      <c r="A30" s="28">
        <v>1232846</v>
      </c>
      <c r="B30" s="105">
        <v>148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204</v>
      </c>
      <c r="K30" s="105">
        <v>0</v>
      </c>
      <c r="L30" s="105">
        <v>0</v>
      </c>
      <c r="M30" s="105">
        <v>352</v>
      </c>
      <c r="N30" s="105">
        <v>352</v>
      </c>
      <c r="O30" s="105">
        <v>205</v>
      </c>
      <c r="P30" s="105">
        <v>0</v>
      </c>
      <c r="Q30" s="105">
        <v>0</v>
      </c>
      <c r="R30" s="105">
        <v>0</v>
      </c>
      <c r="S30" s="105">
        <v>0</v>
      </c>
    </row>
    <row r="31" spans="1:19">
      <c r="A31" s="28">
        <v>1232895</v>
      </c>
      <c r="B31" s="105">
        <v>148</v>
      </c>
      <c r="C31" s="105">
        <v>0</v>
      </c>
      <c r="D31" s="105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105">
        <v>204</v>
      </c>
      <c r="K31" s="105">
        <v>0</v>
      </c>
      <c r="L31" s="105">
        <v>0</v>
      </c>
      <c r="M31" s="105">
        <v>352</v>
      </c>
      <c r="N31" s="105">
        <v>352</v>
      </c>
      <c r="O31" s="105">
        <v>205</v>
      </c>
      <c r="P31" s="105">
        <v>0</v>
      </c>
      <c r="Q31" s="105">
        <v>0</v>
      </c>
      <c r="R31" s="105">
        <v>0</v>
      </c>
      <c r="S31" s="105">
        <v>0</v>
      </c>
    </row>
    <row r="32" spans="1:19">
      <c r="A32" s="28">
        <v>1233384</v>
      </c>
      <c r="B32" s="105">
        <v>148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204</v>
      </c>
      <c r="K32" s="105">
        <v>0</v>
      </c>
      <c r="L32" s="105">
        <v>0</v>
      </c>
      <c r="M32" s="105">
        <v>352</v>
      </c>
      <c r="N32" s="105">
        <v>352</v>
      </c>
      <c r="O32" s="105">
        <v>205</v>
      </c>
      <c r="P32" s="105">
        <v>0</v>
      </c>
      <c r="Q32" s="105">
        <v>0</v>
      </c>
      <c r="R32" s="105">
        <v>0</v>
      </c>
      <c r="S32" s="105">
        <v>0</v>
      </c>
    </row>
    <row r="33" spans="1:19">
      <c r="A33" s="28">
        <v>1236110</v>
      </c>
      <c r="B33" s="105">
        <v>0</v>
      </c>
      <c r="C33" s="105">
        <v>0</v>
      </c>
      <c r="D33" s="105">
        <v>0</v>
      </c>
      <c r="E33" s="105">
        <v>0</v>
      </c>
      <c r="F33" s="105">
        <v>0</v>
      </c>
      <c r="G33" s="105">
        <v>120</v>
      </c>
      <c r="H33" s="105">
        <v>30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105">
        <v>0</v>
      </c>
      <c r="P33" s="105">
        <v>0</v>
      </c>
      <c r="Q33" s="105">
        <v>0</v>
      </c>
      <c r="R33" s="105">
        <v>0</v>
      </c>
      <c r="S33" s="105">
        <v>0</v>
      </c>
    </row>
    <row r="34" spans="1:19">
      <c r="A34" s="28">
        <v>1236387</v>
      </c>
      <c r="B34" s="105">
        <v>0</v>
      </c>
      <c r="C34" s="105">
        <v>0</v>
      </c>
      <c r="D34" s="105">
        <v>0</v>
      </c>
      <c r="E34" s="105">
        <v>0</v>
      </c>
      <c r="F34" s="105">
        <v>271</v>
      </c>
      <c r="G34" s="105">
        <v>0</v>
      </c>
      <c r="H34" s="105">
        <v>367</v>
      </c>
      <c r="I34" s="105">
        <v>62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</row>
    <row r="35" spans="1:19">
      <c r="A35" s="28">
        <v>1232775</v>
      </c>
      <c r="B35" s="105">
        <v>242</v>
      </c>
      <c r="C35" s="105">
        <v>225</v>
      </c>
      <c r="D35" s="105">
        <v>0</v>
      </c>
      <c r="E35" s="105">
        <v>0</v>
      </c>
      <c r="F35" s="105">
        <v>210</v>
      </c>
      <c r="G35" s="105">
        <v>209</v>
      </c>
      <c r="H35" s="105">
        <v>242</v>
      </c>
      <c r="I35" s="105">
        <v>192</v>
      </c>
      <c r="J35" s="105">
        <v>324</v>
      </c>
      <c r="K35" s="105">
        <v>0</v>
      </c>
      <c r="L35" s="105">
        <v>0</v>
      </c>
      <c r="M35" s="105">
        <v>242</v>
      </c>
      <c r="N35" s="105">
        <v>245</v>
      </c>
      <c r="O35" s="105">
        <v>242</v>
      </c>
      <c r="P35" s="105">
        <v>134</v>
      </c>
      <c r="Q35" s="105">
        <v>0</v>
      </c>
      <c r="R35" s="105">
        <v>0</v>
      </c>
      <c r="S35" s="105">
        <v>0</v>
      </c>
    </row>
    <row r="36" spans="1:19">
      <c r="A36" s="28">
        <v>1238605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70</v>
      </c>
      <c r="Q36" s="105">
        <v>88</v>
      </c>
      <c r="R36" s="105">
        <v>0</v>
      </c>
      <c r="S36" s="105">
        <v>0</v>
      </c>
    </row>
    <row r="37" spans="1:19" ht="12">
      <c r="A37" s="1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2">
      <c r="A38" s="1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t="12">
      <c r="A39" s="1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12">
      <c r="A40" s="1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12">
      <c r="A41" s="74" t="s">
        <v>0</v>
      </c>
      <c r="B41" s="69" t="s">
        <v>1244</v>
      </c>
      <c r="C41" s="69" t="s">
        <v>1245</v>
      </c>
      <c r="D41" s="69" t="s">
        <v>1246</v>
      </c>
      <c r="E41" s="70" t="s">
        <v>1247</v>
      </c>
      <c r="F41" s="69" t="s">
        <v>1248</v>
      </c>
      <c r="G41" s="69" t="s">
        <v>1249</v>
      </c>
      <c r="H41" s="69" t="s">
        <v>1250</v>
      </c>
      <c r="I41" s="69" t="s">
        <v>1251</v>
      </c>
      <c r="J41" s="69" t="s">
        <v>1252</v>
      </c>
      <c r="K41" s="69" t="s">
        <v>1253</v>
      </c>
      <c r="L41" s="70" t="s">
        <v>1254</v>
      </c>
      <c r="M41" s="69" t="s">
        <v>1258</v>
      </c>
      <c r="N41" s="69" t="s">
        <v>1259</v>
      </c>
      <c r="O41" s="69" t="s">
        <v>1260</v>
      </c>
      <c r="P41" s="69" t="s">
        <v>1261</v>
      </c>
      <c r="Q41" s="69" t="s">
        <v>1262</v>
      </c>
      <c r="R41" s="69" t="s">
        <v>1263</v>
      </c>
      <c r="S41" s="70" t="s">
        <v>1264</v>
      </c>
    </row>
    <row r="42" spans="1:19" ht="12">
      <c r="A42" s="30">
        <v>1234614</v>
      </c>
      <c r="B42" s="32">
        <v>18</v>
      </c>
      <c r="C42" s="32">
        <v>632</v>
      </c>
      <c r="D42" s="32">
        <v>0</v>
      </c>
      <c r="E42" s="32">
        <v>0</v>
      </c>
      <c r="F42" s="32">
        <v>0</v>
      </c>
      <c r="G42" s="32">
        <v>0</v>
      </c>
      <c r="H42" s="32">
        <v>61</v>
      </c>
      <c r="I42" s="32">
        <v>587</v>
      </c>
      <c r="J42" s="32">
        <v>321</v>
      </c>
      <c r="K42" s="32">
        <v>0</v>
      </c>
      <c r="L42" s="32">
        <v>0</v>
      </c>
      <c r="M42" s="32">
        <v>50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</row>
    <row r="43" spans="1:19" ht="12">
      <c r="A43" s="30">
        <v>1221967</v>
      </c>
      <c r="B43" s="32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220</v>
      </c>
      <c r="K43" s="32">
        <v>0</v>
      </c>
      <c r="L43" s="32">
        <v>0</v>
      </c>
      <c r="M43" s="32">
        <v>56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</row>
    <row r="44" spans="1:19" ht="12">
      <c r="A44" s="30">
        <v>1227306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280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600</v>
      </c>
      <c r="O44" s="32">
        <v>500</v>
      </c>
      <c r="P44" s="32">
        <v>0</v>
      </c>
      <c r="Q44" s="32">
        <v>0</v>
      </c>
      <c r="R44" s="32">
        <v>0</v>
      </c>
      <c r="S44" s="32">
        <v>0</v>
      </c>
    </row>
    <row r="45" spans="1:19" ht="12">
      <c r="A45" s="30">
        <v>1231797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71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</row>
    <row r="46" spans="1:19" ht="12">
      <c r="A46" s="30">
        <v>1229776</v>
      </c>
      <c r="B46" s="32">
        <v>0</v>
      </c>
      <c r="C46" s="32">
        <v>5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180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</row>
    <row r="47" spans="1:19" ht="12">
      <c r="A47" s="30">
        <v>1231090</v>
      </c>
      <c r="B47" s="32">
        <v>349</v>
      </c>
      <c r="C47" s="32">
        <v>5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475</v>
      </c>
      <c r="K47" s="32">
        <v>0</v>
      </c>
      <c r="L47" s="32">
        <v>0</v>
      </c>
      <c r="M47" s="32">
        <v>180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</row>
    <row r="48" spans="1:19" ht="12">
      <c r="A48" s="30">
        <v>1232066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18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</row>
    <row r="49" spans="1:19" ht="12">
      <c r="A49" s="30">
        <v>1229088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250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</row>
    <row r="50" spans="1:19" ht="12">
      <c r="A50" s="30">
        <v>1232693</v>
      </c>
      <c r="B50" s="32">
        <v>321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400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</row>
    <row r="51" spans="1:19" ht="12">
      <c r="A51" s="30">
        <v>1233025</v>
      </c>
      <c r="B51" s="32">
        <v>321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400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</row>
    <row r="52" spans="1:19" ht="12">
      <c r="A52" s="30">
        <v>1225464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50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</row>
    <row r="53" spans="1:19" ht="12">
      <c r="A53" s="30">
        <v>1234222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510</v>
      </c>
      <c r="R53" s="32">
        <v>0</v>
      </c>
      <c r="S53" s="32">
        <v>0</v>
      </c>
    </row>
    <row r="54" spans="1:19" ht="12">
      <c r="A54" s="30">
        <v>1232528</v>
      </c>
      <c r="B54" s="32">
        <v>1341</v>
      </c>
      <c r="C54" s="32">
        <v>686</v>
      </c>
      <c r="D54" s="32">
        <v>0</v>
      </c>
      <c r="E54" s="32">
        <v>0</v>
      </c>
      <c r="F54" s="32">
        <v>686</v>
      </c>
      <c r="G54" s="32">
        <v>686</v>
      </c>
      <c r="H54" s="32">
        <v>539</v>
      </c>
      <c r="I54" s="32">
        <v>686</v>
      </c>
      <c r="J54" s="32">
        <v>2174</v>
      </c>
      <c r="K54" s="32">
        <v>0</v>
      </c>
      <c r="L54" s="32">
        <v>0</v>
      </c>
      <c r="M54" s="32">
        <v>892</v>
      </c>
      <c r="N54" s="32">
        <v>1303</v>
      </c>
      <c r="O54" s="32">
        <v>1439</v>
      </c>
      <c r="P54" s="32">
        <v>1908</v>
      </c>
      <c r="Q54" s="32">
        <v>1908</v>
      </c>
      <c r="R54" s="32">
        <v>0</v>
      </c>
      <c r="S54" s="32">
        <v>0</v>
      </c>
    </row>
    <row r="55" spans="1:19" ht="12">
      <c r="A55" s="30">
        <v>1232553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50</v>
      </c>
      <c r="J55" s="32">
        <v>202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</row>
    <row r="56" spans="1:19" ht="12">
      <c r="A56" s="30">
        <v>1232846</v>
      </c>
      <c r="B56" s="32">
        <v>32</v>
      </c>
      <c r="C56" s="32">
        <v>667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176</v>
      </c>
      <c r="J56" s="32">
        <v>700</v>
      </c>
      <c r="K56" s="32">
        <v>0</v>
      </c>
      <c r="L56" s="32">
        <v>0</v>
      </c>
      <c r="M56" s="32">
        <v>466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</row>
    <row r="57" spans="1:19" ht="12">
      <c r="A57" s="30">
        <v>1229050</v>
      </c>
      <c r="B57" s="32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520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</row>
    <row r="58" spans="1:19" ht="12">
      <c r="A58" s="30">
        <v>1233383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6</v>
      </c>
      <c r="N58" s="32">
        <v>150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</row>
    <row r="59" spans="1:19" ht="12">
      <c r="A59" s="30">
        <v>1220847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1750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</row>
    <row r="60" spans="1:19" ht="12">
      <c r="A60" s="30">
        <v>1232775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322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</row>
    <row r="61" spans="1:19" ht="12">
      <c r="A61" s="30">
        <v>1235097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300</v>
      </c>
      <c r="P61" s="32">
        <v>0</v>
      </c>
      <c r="Q61" s="32">
        <v>0</v>
      </c>
      <c r="R61" s="32">
        <v>0</v>
      </c>
      <c r="S61" s="32">
        <v>0</v>
      </c>
    </row>
    <row r="62" spans="1:19" ht="12">
      <c r="A62" s="30">
        <v>1235958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25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</row>
    <row r="63" spans="1:19" ht="12">
      <c r="A63" s="30">
        <v>1235845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100</v>
      </c>
      <c r="P63" s="32">
        <v>0</v>
      </c>
      <c r="Q63" s="32">
        <v>0</v>
      </c>
      <c r="R63" s="32">
        <v>0</v>
      </c>
      <c r="S63" s="32">
        <v>0</v>
      </c>
    </row>
    <row r="64" spans="1:19" ht="12">
      <c r="A64" s="30">
        <v>1236600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533</v>
      </c>
      <c r="N64" s="32">
        <v>533</v>
      </c>
      <c r="O64" s="32">
        <v>64</v>
      </c>
      <c r="P64" s="32">
        <v>0</v>
      </c>
      <c r="Q64" s="32">
        <v>0</v>
      </c>
      <c r="R64" s="32">
        <v>0</v>
      </c>
      <c r="S64" s="32">
        <v>0</v>
      </c>
    </row>
    <row r="65" spans="1:19" ht="12">
      <c r="A65" s="30">
        <v>1236601</v>
      </c>
      <c r="B65" s="32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27</v>
      </c>
      <c r="P65" s="32">
        <v>0</v>
      </c>
      <c r="Q65" s="32">
        <v>0</v>
      </c>
      <c r="R65" s="32">
        <v>0</v>
      </c>
      <c r="S65" s="32">
        <v>0</v>
      </c>
    </row>
    <row r="66" spans="1:19" ht="12">
      <c r="A66" s="30">
        <v>1236619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270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</row>
    <row r="67" spans="1:19" ht="12">
      <c r="A67" s="30">
        <v>1236930</v>
      </c>
      <c r="B67" s="32">
        <v>717</v>
      </c>
      <c r="C67" s="32">
        <v>724</v>
      </c>
      <c r="D67" s="32">
        <v>0</v>
      </c>
      <c r="E67" s="32">
        <v>0</v>
      </c>
      <c r="F67" s="32">
        <v>817</v>
      </c>
      <c r="G67" s="32">
        <v>865</v>
      </c>
      <c r="H67" s="32">
        <v>74</v>
      </c>
      <c r="I67" s="32">
        <v>536</v>
      </c>
      <c r="J67" s="32">
        <v>1048</v>
      </c>
      <c r="K67" s="32">
        <v>0</v>
      </c>
      <c r="L67" s="32">
        <v>0</v>
      </c>
      <c r="M67" s="32">
        <v>895</v>
      </c>
      <c r="N67" s="32">
        <v>495</v>
      </c>
      <c r="O67" s="32">
        <v>311</v>
      </c>
      <c r="P67" s="32">
        <v>395</v>
      </c>
      <c r="Q67" s="32">
        <v>1335</v>
      </c>
      <c r="R67" s="32">
        <v>0</v>
      </c>
      <c r="S67" s="32">
        <v>0</v>
      </c>
    </row>
    <row r="68" spans="1:19" ht="12">
      <c r="A68" s="30">
        <v>1237210</v>
      </c>
      <c r="B68" s="32">
        <v>0</v>
      </c>
      <c r="C68" s="32">
        <v>26</v>
      </c>
      <c r="D68" s="32">
        <v>0</v>
      </c>
      <c r="E68" s="32">
        <v>0</v>
      </c>
      <c r="F68" s="32">
        <v>144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375</v>
      </c>
      <c r="R68" s="32">
        <v>0</v>
      </c>
      <c r="S68" s="32">
        <v>0</v>
      </c>
    </row>
    <row r="69" spans="1:19" ht="12">
      <c r="A69" s="30">
        <v>1237457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18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</row>
    <row r="70" spans="1:19" ht="12">
      <c r="A70" s="30">
        <v>1237386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180</v>
      </c>
      <c r="R70" s="32">
        <v>0</v>
      </c>
      <c r="S70" s="32">
        <v>0</v>
      </c>
    </row>
    <row r="71" spans="1:19" ht="12">
      <c r="A71" s="30">
        <v>1238480</v>
      </c>
      <c r="B71" s="32">
        <v>363</v>
      </c>
      <c r="C71" s="32">
        <v>721</v>
      </c>
      <c r="D71" s="32">
        <v>0</v>
      </c>
      <c r="E71" s="32">
        <v>0</v>
      </c>
      <c r="F71" s="32">
        <v>1036</v>
      </c>
      <c r="G71" s="32">
        <v>1170</v>
      </c>
      <c r="H71" s="32">
        <v>406</v>
      </c>
      <c r="I71" s="32">
        <v>764</v>
      </c>
      <c r="J71" s="32">
        <v>1263</v>
      </c>
      <c r="K71" s="32">
        <v>0</v>
      </c>
      <c r="L71" s="32">
        <v>0</v>
      </c>
      <c r="M71" s="32">
        <v>599</v>
      </c>
      <c r="N71" s="32">
        <v>346</v>
      </c>
      <c r="O71" s="32">
        <v>110</v>
      </c>
      <c r="P71" s="32">
        <v>0</v>
      </c>
      <c r="Q71" s="32">
        <v>0</v>
      </c>
      <c r="R71" s="32">
        <v>0</v>
      </c>
      <c r="S71" s="32">
        <v>0</v>
      </c>
    </row>
    <row r="72" spans="1:19" ht="12">
      <c r="A72" s="30">
        <v>1240180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215</v>
      </c>
      <c r="I72" s="32">
        <v>85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400</v>
      </c>
      <c r="Q72" s="32">
        <v>0</v>
      </c>
      <c r="R72" s="32">
        <v>0</v>
      </c>
      <c r="S72" s="32">
        <v>0</v>
      </c>
    </row>
    <row r="73" spans="1:19" ht="12">
      <c r="A73" s="30">
        <v>1240184</v>
      </c>
      <c r="B73" s="32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215</v>
      </c>
      <c r="I73" s="32">
        <v>85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400</v>
      </c>
      <c r="Q73" s="32">
        <v>0</v>
      </c>
      <c r="R73" s="32">
        <v>0</v>
      </c>
      <c r="S73" s="32">
        <v>0</v>
      </c>
    </row>
    <row r="74" spans="1:19" ht="12">
      <c r="A74" s="30">
        <v>1237468</v>
      </c>
      <c r="B74" s="32">
        <v>0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4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</row>
    <row r="75" spans="1:19" ht="12">
      <c r="A75" s="30">
        <v>1238453</v>
      </c>
      <c r="B75" s="32">
        <v>0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60</v>
      </c>
      <c r="Q75" s="32">
        <v>1212</v>
      </c>
      <c r="R75" s="32">
        <v>0</v>
      </c>
      <c r="S75" s="32">
        <v>0</v>
      </c>
    </row>
    <row r="76" spans="1:19" ht="12">
      <c r="A76" s="30">
        <v>1216452</v>
      </c>
      <c r="B76" s="32">
        <v>576</v>
      </c>
      <c r="C76" s="32">
        <v>0</v>
      </c>
      <c r="D76" s="32">
        <v>0</v>
      </c>
      <c r="E76" s="32">
        <v>0</v>
      </c>
      <c r="F76" s="32">
        <v>0</v>
      </c>
      <c r="G76" s="32">
        <v>386</v>
      </c>
      <c r="H76" s="32">
        <v>825</v>
      </c>
      <c r="I76" s="32">
        <v>670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2601</v>
      </c>
      <c r="P76" s="32">
        <v>612</v>
      </c>
      <c r="Q76" s="32">
        <v>0</v>
      </c>
      <c r="R76" s="32">
        <v>0</v>
      </c>
      <c r="S76" s="32">
        <v>0</v>
      </c>
    </row>
    <row r="77" spans="1:19" ht="12">
      <c r="A77" s="30">
        <v>1232894</v>
      </c>
      <c r="B77" s="32">
        <v>32</v>
      </c>
      <c r="C77" s="32">
        <v>667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176</v>
      </c>
      <c r="J77" s="32">
        <v>700</v>
      </c>
      <c r="K77" s="32">
        <v>0</v>
      </c>
      <c r="L77" s="32">
        <v>0</v>
      </c>
      <c r="M77" s="32">
        <v>133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</row>
    <row r="78" spans="1:19" ht="12">
      <c r="A78" s="30">
        <v>1233386</v>
      </c>
      <c r="B78" s="32">
        <v>0</v>
      </c>
      <c r="C78" s="32">
        <v>303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176</v>
      </c>
      <c r="J78" s="32">
        <v>700</v>
      </c>
      <c r="K78" s="32">
        <v>0</v>
      </c>
      <c r="L78" s="32">
        <v>0</v>
      </c>
      <c r="M78" s="32">
        <v>133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</row>
    <row r="79" spans="1:19" ht="12">
      <c r="A79" s="30">
        <v>1233387</v>
      </c>
      <c r="B79" s="32">
        <v>32</v>
      </c>
      <c r="C79" s="32">
        <v>268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</row>
    <row r="80" spans="1:19" ht="12">
      <c r="A80" s="30">
        <v>1233385</v>
      </c>
      <c r="B80" s="32">
        <v>0</v>
      </c>
      <c r="C80" s="32">
        <v>96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</row>
    <row r="81" spans="1:19" ht="12">
      <c r="A81" s="30">
        <v>1232895</v>
      </c>
      <c r="B81" s="32">
        <v>0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333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</row>
    <row r="82" spans="1:19" ht="12">
      <c r="A82" s="30">
        <v>1232922</v>
      </c>
      <c r="B82" s="32">
        <v>0</v>
      </c>
      <c r="C82" s="32">
        <v>0</v>
      </c>
      <c r="D82" s="32">
        <v>0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2">
        <v>333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</row>
    <row r="83" spans="1:19" ht="12">
      <c r="A83" s="1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ht="12">
      <c r="A84" s="1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</sheetData>
  <phoneticPr fontId="1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AF5F-FC34-4056-B50F-042BFF0EE6F2}">
  <sheetPr>
    <tabColor rgb="FFFFFF00"/>
  </sheetPr>
  <dimension ref="A1:R101"/>
  <sheetViews>
    <sheetView zoomScale="115" zoomScaleNormal="115" workbookViewId="0">
      <selection activeCell="A6" sqref="A1:XFD6"/>
    </sheetView>
  </sheetViews>
  <sheetFormatPr defaultColWidth="9.33203125" defaultRowHeight="12"/>
  <cols>
    <col min="1" max="1" width="9.33203125" style="5"/>
    <col min="2" max="2" width="10.1640625" style="5" bestFit="1" customWidth="1"/>
    <col min="3" max="12" width="10.33203125" style="9" customWidth="1"/>
    <col min="13" max="13" width="9.5" style="5" bestFit="1" customWidth="1"/>
    <col min="14" max="15" width="9.33203125" style="5"/>
    <col min="16" max="16" width="9.5" style="5" bestFit="1" customWidth="1"/>
    <col min="17" max="16384" width="9.33203125" style="5"/>
  </cols>
  <sheetData>
    <row r="1" spans="1:18" s="80" customFormat="1">
      <c r="A1" s="81"/>
      <c r="B1" s="81" t="s">
        <v>730</v>
      </c>
      <c r="C1" s="9">
        <f>+C2-C3</f>
        <v>-51891</v>
      </c>
      <c r="D1" s="9">
        <f t="shared" ref="D1:L1" si="0">+D2-D3</f>
        <v>-51241</v>
      </c>
      <c r="E1" s="9">
        <f t="shared" si="0"/>
        <v>-57412</v>
      </c>
      <c r="F1" s="9">
        <f t="shared" si="0"/>
        <v>-59427</v>
      </c>
      <c r="G1" s="9">
        <f t="shared" si="0"/>
        <v>-46566</v>
      </c>
      <c r="H1" s="9">
        <f t="shared" si="0"/>
        <v>-43133</v>
      </c>
      <c r="I1" s="9">
        <f t="shared" si="0"/>
        <v>-51505</v>
      </c>
      <c r="J1" s="9">
        <f t="shared" si="0"/>
        <v>-54161</v>
      </c>
      <c r="K1" s="9">
        <f t="shared" si="0"/>
        <v>-44116</v>
      </c>
      <c r="L1" s="9">
        <f t="shared" si="0"/>
        <v>-19581</v>
      </c>
      <c r="M1" s="193"/>
      <c r="N1" s="194"/>
      <c r="O1" s="194"/>
      <c r="P1" s="194"/>
      <c r="Q1" s="194"/>
      <c r="R1" s="194"/>
    </row>
    <row r="2" spans="1:18" s="80" customFormat="1">
      <c r="A2" s="81"/>
      <c r="B2" s="81" t="s">
        <v>729</v>
      </c>
      <c r="C2" s="9"/>
      <c r="D2" s="9"/>
      <c r="E2" s="9"/>
      <c r="F2" s="9"/>
      <c r="G2" s="9"/>
      <c r="H2" s="9"/>
      <c r="I2" s="9"/>
      <c r="J2" s="9"/>
      <c r="K2" s="9"/>
      <c r="L2" s="9"/>
      <c r="M2" s="193">
        <v>0</v>
      </c>
      <c r="N2" s="194"/>
      <c r="O2" s="194"/>
      <c r="P2" s="194"/>
      <c r="Q2" s="194"/>
      <c r="R2" s="194"/>
    </row>
    <row r="3" spans="1:18" s="196" customFormat="1">
      <c r="A3" s="195"/>
      <c r="B3" s="195" t="s">
        <v>30</v>
      </c>
      <c r="C3" s="63">
        <f>+C4+C5</f>
        <v>51891</v>
      </c>
      <c r="D3" s="63">
        <f t="shared" ref="D3:L3" si="1">+D4+D5</f>
        <v>51241</v>
      </c>
      <c r="E3" s="63">
        <f t="shared" si="1"/>
        <v>57412</v>
      </c>
      <c r="F3" s="63">
        <f t="shared" si="1"/>
        <v>59427</v>
      </c>
      <c r="G3" s="63">
        <f t="shared" si="1"/>
        <v>46566</v>
      </c>
      <c r="H3" s="63">
        <f t="shared" si="1"/>
        <v>43133</v>
      </c>
      <c r="I3" s="63">
        <f t="shared" si="1"/>
        <v>51505</v>
      </c>
      <c r="J3" s="63">
        <f t="shared" si="1"/>
        <v>54161</v>
      </c>
      <c r="K3" s="63">
        <f t="shared" si="1"/>
        <v>44116</v>
      </c>
      <c r="L3" s="63">
        <f t="shared" si="1"/>
        <v>19581</v>
      </c>
      <c r="M3" s="197"/>
      <c r="N3" s="198"/>
      <c r="O3" s="198"/>
      <c r="P3" s="198"/>
      <c r="Q3" s="198"/>
      <c r="R3" s="198"/>
    </row>
    <row r="4" spans="1:18" s="80" customFormat="1">
      <c r="A4" s="81"/>
      <c r="B4" s="81" t="s">
        <v>31</v>
      </c>
      <c r="C4" s="9">
        <f>SUM(C9:C38)</f>
        <v>35264</v>
      </c>
      <c r="D4" s="9">
        <f t="shared" ref="D4:L4" si="2">SUM(D9:D38)</f>
        <v>27344</v>
      </c>
      <c r="E4" s="9">
        <f t="shared" si="2"/>
        <v>32584</v>
      </c>
      <c r="F4" s="9">
        <f t="shared" si="2"/>
        <v>33087</v>
      </c>
      <c r="G4" s="9">
        <f t="shared" si="2"/>
        <v>26114</v>
      </c>
      <c r="H4" s="9">
        <f t="shared" si="2"/>
        <v>31815</v>
      </c>
      <c r="I4" s="9">
        <f t="shared" si="2"/>
        <v>30036</v>
      </c>
      <c r="J4" s="9">
        <f t="shared" si="2"/>
        <v>30755</v>
      </c>
      <c r="K4" s="9">
        <f t="shared" si="2"/>
        <v>26224</v>
      </c>
      <c r="L4" s="9">
        <f t="shared" si="2"/>
        <v>9206</v>
      </c>
      <c r="M4" s="193"/>
      <c r="N4" s="194"/>
      <c r="O4" s="194"/>
      <c r="P4" s="194"/>
      <c r="Q4" s="194"/>
      <c r="R4" s="194"/>
    </row>
    <row r="5" spans="1:18" s="80" customFormat="1">
      <c r="A5" s="81"/>
      <c r="B5" s="81" t="s">
        <v>27</v>
      </c>
      <c r="C5" s="9">
        <f>SUM(C42:C101)</f>
        <v>16627</v>
      </c>
      <c r="D5" s="9">
        <f t="shared" ref="D5:L5" si="3">SUM(D42:D101)</f>
        <v>23897</v>
      </c>
      <c r="E5" s="9">
        <f t="shared" si="3"/>
        <v>24828</v>
      </c>
      <c r="F5" s="9">
        <f t="shared" si="3"/>
        <v>26340</v>
      </c>
      <c r="G5" s="9">
        <f t="shared" si="3"/>
        <v>20452</v>
      </c>
      <c r="H5" s="9">
        <f t="shared" si="3"/>
        <v>11318</v>
      </c>
      <c r="I5" s="9">
        <f t="shared" si="3"/>
        <v>21469</v>
      </c>
      <c r="J5" s="9">
        <f t="shared" si="3"/>
        <v>23406</v>
      </c>
      <c r="K5" s="9">
        <f t="shared" si="3"/>
        <v>17892</v>
      </c>
      <c r="L5" s="9">
        <f t="shared" si="3"/>
        <v>10375</v>
      </c>
      <c r="M5" s="193"/>
      <c r="N5" s="194"/>
      <c r="O5" s="194"/>
      <c r="P5" s="194"/>
      <c r="Q5" s="194"/>
      <c r="R5" s="194"/>
    </row>
    <row r="7" spans="1:18" s="33" customFormat="1">
      <c r="A7" s="300"/>
      <c r="B7" s="300" t="s">
        <v>0</v>
      </c>
      <c r="C7" s="114" t="s">
        <v>939</v>
      </c>
      <c r="D7" s="114" t="s">
        <v>997</v>
      </c>
      <c r="E7" s="114" t="s">
        <v>1045</v>
      </c>
      <c r="F7" s="114" t="s">
        <v>1089</v>
      </c>
      <c r="G7" s="114" t="s">
        <v>1152</v>
      </c>
      <c r="H7" s="114" t="s">
        <v>1212</v>
      </c>
      <c r="I7" s="114" t="s">
        <v>1239</v>
      </c>
      <c r="J7" s="114" t="s">
        <v>1255</v>
      </c>
      <c r="K7" s="114" t="s">
        <v>12</v>
      </c>
      <c r="L7" s="114" t="s">
        <v>13</v>
      </c>
    </row>
    <row r="8" spans="1:18" s="33" customFormat="1">
      <c r="A8" s="300"/>
      <c r="B8" s="301"/>
      <c r="C8" s="60" t="s">
        <v>998</v>
      </c>
      <c r="D8" s="60" t="s">
        <v>999</v>
      </c>
      <c r="E8" s="60" t="s">
        <v>1046</v>
      </c>
      <c r="F8" s="60" t="s">
        <v>1090</v>
      </c>
      <c r="G8" s="60" t="s">
        <v>1153</v>
      </c>
      <c r="H8" s="60" t="s">
        <v>1213</v>
      </c>
      <c r="I8" s="60" t="s">
        <v>1240</v>
      </c>
      <c r="J8" s="60" t="s">
        <v>1256</v>
      </c>
      <c r="K8" s="60" t="s">
        <v>1257</v>
      </c>
      <c r="L8" s="60" t="s">
        <v>1265</v>
      </c>
    </row>
    <row r="9" spans="1:18">
      <c r="A9" s="29"/>
      <c r="B9" s="30">
        <v>1221154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50</v>
      </c>
      <c r="K9" s="32">
        <v>0</v>
      </c>
      <c r="L9" s="32">
        <v>0</v>
      </c>
    </row>
    <row r="10" spans="1:18">
      <c r="A10" s="29"/>
      <c r="B10" s="30">
        <v>1226384</v>
      </c>
      <c r="C10" s="32">
        <v>453</v>
      </c>
      <c r="D10" s="32">
        <v>936</v>
      </c>
      <c r="E10" s="32">
        <v>712</v>
      </c>
      <c r="F10" s="32">
        <v>0</v>
      </c>
      <c r="G10" s="32">
        <v>845</v>
      </c>
      <c r="H10" s="32">
        <v>0</v>
      </c>
      <c r="I10" s="32">
        <v>0</v>
      </c>
      <c r="J10" s="32">
        <v>200</v>
      </c>
      <c r="K10" s="32">
        <v>0</v>
      </c>
      <c r="L10" s="32">
        <v>0</v>
      </c>
    </row>
    <row r="11" spans="1:18">
      <c r="A11" s="29"/>
      <c r="B11" s="30">
        <v>1226388</v>
      </c>
      <c r="C11" s="32">
        <v>453</v>
      </c>
      <c r="D11" s="32">
        <v>936</v>
      </c>
      <c r="E11" s="32">
        <v>712</v>
      </c>
      <c r="F11" s="32">
        <v>0</v>
      </c>
      <c r="G11" s="32">
        <v>845</v>
      </c>
      <c r="H11" s="32">
        <v>0</v>
      </c>
      <c r="I11" s="32">
        <v>0</v>
      </c>
      <c r="J11" s="32">
        <v>200</v>
      </c>
      <c r="K11" s="32">
        <v>0</v>
      </c>
      <c r="L11" s="32">
        <v>0</v>
      </c>
    </row>
    <row r="12" spans="1:18">
      <c r="A12" s="29"/>
      <c r="B12" s="30">
        <v>1229673</v>
      </c>
      <c r="C12" s="32">
        <v>1048</v>
      </c>
      <c r="D12" s="32">
        <v>700</v>
      </c>
      <c r="E12" s="32">
        <v>700</v>
      </c>
      <c r="F12" s="32">
        <v>700</v>
      </c>
      <c r="G12" s="32">
        <v>0</v>
      </c>
      <c r="H12" s="32">
        <v>500</v>
      </c>
      <c r="I12" s="32">
        <v>650</v>
      </c>
      <c r="J12" s="32">
        <v>500</v>
      </c>
      <c r="K12" s="32">
        <v>500</v>
      </c>
      <c r="L12" s="32">
        <v>0</v>
      </c>
    </row>
    <row r="13" spans="1:18">
      <c r="A13" s="29"/>
      <c r="B13" s="30">
        <v>1230692</v>
      </c>
      <c r="C13" s="32">
        <v>600</v>
      </c>
      <c r="D13" s="32">
        <v>900</v>
      </c>
      <c r="E13" s="32">
        <v>900</v>
      </c>
      <c r="F13" s="32">
        <v>900</v>
      </c>
      <c r="G13" s="32">
        <v>800</v>
      </c>
      <c r="H13" s="32">
        <v>900</v>
      </c>
      <c r="I13" s="32">
        <v>900</v>
      </c>
      <c r="J13" s="32">
        <v>900</v>
      </c>
      <c r="K13" s="32">
        <v>800</v>
      </c>
      <c r="L13" s="32">
        <v>0</v>
      </c>
    </row>
    <row r="14" spans="1:18">
      <c r="A14" s="29"/>
      <c r="B14" s="30">
        <v>1230696</v>
      </c>
      <c r="C14" s="32">
        <v>100</v>
      </c>
      <c r="D14" s="32">
        <v>200</v>
      </c>
      <c r="E14" s="32">
        <v>200</v>
      </c>
      <c r="F14" s="32">
        <v>100</v>
      </c>
      <c r="G14" s="32">
        <v>0</v>
      </c>
      <c r="H14" s="32">
        <v>200</v>
      </c>
      <c r="I14" s="32">
        <v>200</v>
      </c>
      <c r="J14" s="32">
        <v>0</v>
      </c>
      <c r="K14" s="32">
        <v>0</v>
      </c>
      <c r="L14" s="32">
        <v>0</v>
      </c>
    </row>
    <row r="15" spans="1:18">
      <c r="A15" s="29"/>
      <c r="B15" s="30">
        <v>1230854</v>
      </c>
      <c r="C15" s="32">
        <v>0</v>
      </c>
      <c r="D15" s="32">
        <v>0</v>
      </c>
      <c r="E15" s="32">
        <v>0</v>
      </c>
      <c r="F15" s="32">
        <v>400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</row>
    <row r="16" spans="1:18">
      <c r="A16" s="29"/>
      <c r="B16" s="30">
        <v>1231898</v>
      </c>
      <c r="C16" s="32">
        <v>2688</v>
      </c>
      <c r="D16" s="32">
        <v>1344</v>
      </c>
      <c r="E16" s="32">
        <v>1792</v>
      </c>
      <c r="F16" s="32">
        <v>1344</v>
      </c>
      <c r="G16" s="32">
        <v>1344</v>
      </c>
      <c r="H16" s="32">
        <v>1344</v>
      </c>
      <c r="I16" s="32">
        <v>1792</v>
      </c>
      <c r="J16" s="32">
        <v>1344</v>
      </c>
      <c r="K16" s="32">
        <v>1344</v>
      </c>
      <c r="L16" s="32">
        <v>0</v>
      </c>
    </row>
    <row r="17" spans="1:12">
      <c r="A17" s="29"/>
      <c r="B17" s="30">
        <v>1233492</v>
      </c>
      <c r="C17" s="32">
        <v>1300</v>
      </c>
      <c r="D17" s="32">
        <v>500</v>
      </c>
      <c r="E17" s="32">
        <v>900</v>
      </c>
      <c r="F17" s="32">
        <v>900</v>
      </c>
      <c r="G17" s="32">
        <v>800</v>
      </c>
      <c r="H17" s="32">
        <v>500</v>
      </c>
      <c r="I17" s="32">
        <v>800</v>
      </c>
      <c r="J17" s="32">
        <v>800</v>
      </c>
      <c r="K17" s="32">
        <v>700</v>
      </c>
      <c r="L17" s="32">
        <v>0</v>
      </c>
    </row>
    <row r="18" spans="1:12">
      <c r="A18" s="29"/>
      <c r="B18" s="30">
        <v>1233498</v>
      </c>
      <c r="C18" s="32">
        <v>1300</v>
      </c>
      <c r="D18" s="32">
        <v>500</v>
      </c>
      <c r="E18" s="32">
        <v>900</v>
      </c>
      <c r="F18" s="32">
        <v>900</v>
      </c>
      <c r="G18" s="32">
        <v>800</v>
      </c>
      <c r="H18" s="32">
        <v>500</v>
      </c>
      <c r="I18" s="32">
        <v>800</v>
      </c>
      <c r="J18" s="32">
        <v>800</v>
      </c>
      <c r="K18" s="32">
        <v>700</v>
      </c>
      <c r="L18" s="32">
        <v>0</v>
      </c>
    </row>
    <row r="19" spans="1:12">
      <c r="A19" s="29"/>
      <c r="B19" s="30">
        <v>1233623</v>
      </c>
      <c r="C19" s="32">
        <v>1300</v>
      </c>
      <c r="D19" s="32">
        <v>500</v>
      </c>
      <c r="E19" s="32">
        <v>900</v>
      </c>
      <c r="F19" s="32">
        <v>900</v>
      </c>
      <c r="G19" s="32">
        <v>800</v>
      </c>
      <c r="H19" s="32">
        <v>500</v>
      </c>
      <c r="I19" s="32">
        <v>800</v>
      </c>
      <c r="J19" s="32">
        <v>800</v>
      </c>
      <c r="K19" s="32">
        <v>700</v>
      </c>
      <c r="L19" s="32">
        <v>0</v>
      </c>
    </row>
    <row r="20" spans="1:12">
      <c r="A20" s="29"/>
      <c r="B20" s="30">
        <v>1233761</v>
      </c>
      <c r="C20" s="32">
        <v>100</v>
      </c>
      <c r="D20" s="32">
        <v>0</v>
      </c>
      <c r="E20" s="32">
        <v>100</v>
      </c>
      <c r="F20" s="32">
        <v>150</v>
      </c>
      <c r="G20" s="32">
        <v>100</v>
      </c>
      <c r="H20" s="32">
        <v>0</v>
      </c>
      <c r="I20" s="32">
        <v>100</v>
      </c>
      <c r="J20" s="32">
        <v>150</v>
      </c>
      <c r="K20" s="32">
        <v>100</v>
      </c>
      <c r="L20" s="32">
        <v>0</v>
      </c>
    </row>
    <row r="21" spans="1:12">
      <c r="A21" s="29"/>
      <c r="B21" s="30">
        <v>1234905</v>
      </c>
      <c r="C21" s="32">
        <v>900</v>
      </c>
      <c r="D21" s="32">
        <v>950</v>
      </c>
      <c r="E21" s="32">
        <v>1000</v>
      </c>
      <c r="F21" s="32">
        <v>1453</v>
      </c>
      <c r="G21" s="32">
        <v>950</v>
      </c>
      <c r="H21" s="32">
        <v>1600</v>
      </c>
      <c r="I21" s="32">
        <v>1200</v>
      </c>
      <c r="J21" s="32">
        <v>1500</v>
      </c>
      <c r="K21" s="32">
        <v>600</v>
      </c>
      <c r="L21" s="32">
        <v>400</v>
      </c>
    </row>
    <row r="22" spans="1:12">
      <c r="A22" s="29"/>
      <c r="B22" s="30">
        <v>1235623</v>
      </c>
      <c r="C22" s="32">
        <v>0</v>
      </c>
      <c r="D22" s="32">
        <v>0</v>
      </c>
      <c r="E22" s="32">
        <v>1872</v>
      </c>
      <c r="F22" s="32">
        <v>0</v>
      </c>
      <c r="G22" s="32">
        <v>0</v>
      </c>
      <c r="H22" s="32">
        <v>1872</v>
      </c>
      <c r="I22" s="32">
        <v>0</v>
      </c>
      <c r="J22" s="32">
        <v>416</v>
      </c>
      <c r="K22" s="32">
        <v>0</v>
      </c>
      <c r="L22" s="32">
        <v>0</v>
      </c>
    </row>
    <row r="23" spans="1:12">
      <c r="A23" s="29"/>
      <c r="B23" s="30">
        <v>1236091</v>
      </c>
      <c r="C23" s="32">
        <v>0</v>
      </c>
      <c r="D23" s="32">
        <v>0</v>
      </c>
      <c r="E23" s="32">
        <v>200</v>
      </c>
      <c r="F23" s="32">
        <v>200</v>
      </c>
      <c r="G23" s="32">
        <v>0</v>
      </c>
      <c r="H23" s="32">
        <v>0</v>
      </c>
      <c r="I23" s="32">
        <v>200</v>
      </c>
      <c r="J23" s="32">
        <v>200</v>
      </c>
      <c r="K23" s="32">
        <v>0</v>
      </c>
      <c r="L23" s="32">
        <v>0</v>
      </c>
    </row>
    <row r="24" spans="1:12">
      <c r="A24" s="29"/>
      <c r="B24" s="30">
        <v>1236488</v>
      </c>
      <c r="C24" s="32">
        <v>500</v>
      </c>
      <c r="D24" s="32">
        <v>700</v>
      </c>
      <c r="E24" s="32">
        <v>700</v>
      </c>
      <c r="F24" s="32">
        <v>700</v>
      </c>
      <c r="G24" s="32">
        <v>600</v>
      </c>
      <c r="H24" s="32">
        <v>700</v>
      </c>
      <c r="I24" s="32">
        <v>700</v>
      </c>
      <c r="J24" s="32">
        <v>800</v>
      </c>
      <c r="K24" s="32">
        <v>700</v>
      </c>
      <c r="L24" s="32">
        <v>700</v>
      </c>
    </row>
    <row r="25" spans="1:12">
      <c r="A25" s="29"/>
      <c r="B25" s="30">
        <v>1236534</v>
      </c>
      <c r="C25" s="32">
        <v>0</v>
      </c>
      <c r="D25" s="32">
        <v>300</v>
      </c>
      <c r="E25" s="32">
        <v>200</v>
      </c>
      <c r="F25" s="32">
        <v>0</v>
      </c>
      <c r="G25" s="32">
        <v>0</v>
      </c>
      <c r="H25" s="32">
        <v>300</v>
      </c>
      <c r="I25" s="32">
        <v>200</v>
      </c>
      <c r="J25" s="32">
        <v>0</v>
      </c>
      <c r="K25" s="32">
        <v>0</v>
      </c>
      <c r="L25" s="32">
        <v>0</v>
      </c>
    </row>
    <row r="26" spans="1:12">
      <c r="A26" s="29"/>
      <c r="B26" s="30">
        <v>1236962</v>
      </c>
      <c r="C26" s="32">
        <v>0</v>
      </c>
      <c r="D26" s="32">
        <v>800</v>
      </c>
      <c r="E26" s="32">
        <v>700</v>
      </c>
      <c r="F26" s="32">
        <v>700</v>
      </c>
      <c r="G26" s="32">
        <v>650</v>
      </c>
      <c r="H26" s="32">
        <v>700</v>
      </c>
      <c r="I26" s="32">
        <v>700</v>
      </c>
      <c r="J26" s="32">
        <v>700</v>
      </c>
      <c r="K26" s="32">
        <v>700</v>
      </c>
      <c r="L26" s="32">
        <v>0</v>
      </c>
    </row>
    <row r="27" spans="1:12">
      <c r="A27" s="29"/>
      <c r="B27" s="30">
        <v>1237088</v>
      </c>
      <c r="C27" s="32">
        <v>3808</v>
      </c>
      <c r="D27" s="32">
        <v>2644</v>
      </c>
      <c r="E27" s="32">
        <v>3192</v>
      </c>
      <c r="F27" s="32">
        <v>3092</v>
      </c>
      <c r="G27" s="32">
        <v>2096</v>
      </c>
      <c r="H27" s="32">
        <v>3092</v>
      </c>
      <c r="I27" s="32">
        <v>3092</v>
      </c>
      <c r="J27" s="32">
        <v>3192</v>
      </c>
      <c r="K27" s="32">
        <v>2644</v>
      </c>
      <c r="L27" s="32">
        <v>0</v>
      </c>
    </row>
    <row r="28" spans="1:12">
      <c r="A28" s="29"/>
      <c r="B28" s="30">
        <v>1237586</v>
      </c>
      <c r="C28" s="32">
        <v>2688</v>
      </c>
      <c r="D28" s="32">
        <v>1344</v>
      </c>
      <c r="E28" s="32">
        <v>1792</v>
      </c>
      <c r="F28" s="32">
        <v>1344</v>
      </c>
      <c r="G28" s="32">
        <v>1344</v>
      </c>
      <c r="H28" s="32">
        <v>1344</v>
      </c>
      <c r="I28" s="32">
        <v>1792</v>
      </c>
      <c r="J28" s="32">
        <v>1344</v>
      </c>
      <c r="K28" s="32">
        <v>1344</v>
      </c>
      <c r="L28" s="32">
        <v>0</v>
      </c>
    </row>
    <row r="29" spans="1:12">
      <c r="A29" s="29"/>
      <c r="B29" s="30">
        <v>1237748</v>
      </c>
      <c r="C29" s="32">
        <v>676</v>
      </c>
      <c r="D29" s="32">
        <v>364</v>
      </c>
      <c r="E29" s="32">
        <v>0</v>
      </c>
      <c r="F29" s="32">
        <v>0</v>
      </c>
      <c r="G29" s="32">
        <v>1236</v>
      </c>
      <c r="H29" s="32">
        <v>0</v>
      </c>
      <c r="I29" s="32">
        <v>0</v>
      </c>
      <c r="J29" s="32">
        <v>0</v>
      </c>
      <c r="K29" s="32">
        <v>936</v>
      </c>
      <c r="L29" s="32">
        <v>0</v>
      </c>
    </row>
    <row r="30" spans="1:12">
      <c r="A30" s="29"/>
      <c r="B30" s="30">
        <v>1238128</v>
      </c>
      <c r="C30" s="32">
        <v>7530</v>
      </c>
      <c r="D30" s="32">
        <v>4074</v>
      </c>
      <c r="E30" s="32">
        <v>1512</v>
      </c>
      <c r="F30" s="32">
        <v>4704</v>
      </c>
      <c r="G30" s="32">
        <v>2464</v>
      </c>
      <c r="H30" s="32">
        <v>3563</v>
      </c>
      <c r="I30" s="32">
        <v>1120</v>
      </c>
      <c r="J30" s="32">
        <v>2859</v>
      </c>
      <c r="K30" s="32">
        <v>2506</v>
      </c>
      <c r="L30" s="32">
        <v>3606</v>
      </c>
    </row>
    <row r="31" spans="1:12">
      <c r="A31" s="29"/>
      <c r="B31" s="30">
        <v>1239651</v>
      </c>
      <c r="C31" s="32">
        <v>0</v>
      </c>
      <c r="D31" s="32">
        <v>300</v>
      </c>
      <c r="E31" s="32">
        <v>300</v>
      </c>
      <c r="F31" s="32">
        <v>300</v>
      </c>
      <c r="G31" s="32">
        <v>340</v>
      </c>
      <c r="H31" s="32">
        <v>300</v>
      </c>
      <c r="I31" s="32">
        <v>300</v>
      </c>
      <c r="J31" s="32">
        <v>550</v>
      </c>
      <c r="K31" s="32">
        <v>300</v>
      </c>
      <c r="L31" s="32">
        <v>0</v>
      </c>
    </row>
    <row r="32" spans="1:12">
      <c r="A32" s="29"/>
      <c r="B32" s="30">
        <v>1239988</v>
      </c>
      <c r="C32" s="32">
        <v>1920</v>
      </c>
      <c r="D32" s="32">
        <v>1652</v>
      </c>
      <c r="E32" s="32">
        <v>2300</v>
      </c>
      <c r="F32" s="32">
        <v>2400</v>
      </c>
      <c r="G32" s="32">
        <v>1300</v>
      </c>
      <c r="H32" s="32">
        <v>1300</v>
      </c>
      <c r="I32" s="32">
        <v>2500</v>
      </c>
      <c r="J32" s="32">
        <v>2600</v>
      </c>
      <c r="K32" s="32">
        <v>1900</v>
      </c>
      <c r="L32" s="32">
        <v>600</v>
      </c>
    </row>
    <row r="33" spans="1:12">
      <c r="A33" s="29"/>
      <c r="B33" s="30">
        <v>1240180</v>
      </c>
      <c r="C33" s="32">
        <v>900</v>
      </c>
      <c r="D33" s="32">
        <v>1350</v>
      </c>
      <c r="E33" s="32">
        <v>2400</v>
      </c>
      <c r="F33" s="32">
        <v>2400</v>
      </c>
      <c r="G33" s="32">
        <v>1600</v>
      </c>
      <c r="H33" s="32">
        <v>2200</v>
      </c>
      <c r="I33" s="32">
        <v>2640</v>
      </c>
      <c r="J33" s="32">
        <v>2700</v>
      </c>
      <c r="K33" s="32">
        <v>2350</v>
      </c>
      <c r="L33" s="32">
        <v>600</v>
      </c>
    </row>
    <row r="34" spans="1:12">
      <c r="A34" s="29"/>
      <c r="B34" s="30">
        <v>1240184</v>
      </c>
      <c r="C34" s="32">
        <v>900</v>
      </c>
      <c r="D34" s="32">
        <v>1350</v>
      </c>
      <c r="E34" s="32">
        <v>2200</v>
      </c>
      <c r="F34" s="32">
        <v>2400</v>
      </c>
      <c r="G34" s="32">
        <v>1500</v>
      </c>
      <c r="H34" s="32">
        <v>2200</v>
      </c>
      <c r="I34" s="32">
        <v>2200</v>
      </c>
      <c r="J34" s="32">
        <v>2300</v>
      </c>
      <c r="K34" s="32">
        <v>2100</v>
      </c>
      <c r="L34" s="32">
        <v>600</v>
      </c>
    </row>
    <row r="35" spans="1:12">
      <c r="A35" s="29"/>
      <c r="B35" s="30">
        <v>1240308</v>
      </c>
      <c r="C35" s="32">
        <v>0</v>
      </c>
      <c r="D35" s="32">
        <v>0</v>
      </c>
      <c r="E35" s="32">
        <v>700</v>
      </c>
      <c r="F35" s="32">
        <v>1000</v>
      </c>
      <c r="G35" s="32">
        <v>400</v>
      </c>
      <c r="H35" s="32">
        <v>0</v>
      </c>
      <c r="I35" s="32">
        <v>750</v>
      </c>
      <c r="J35" s="32">
        <v>850</v>
      </c>
      <c r="K35" s="32">
        <v>200</v>
      </c>
      <c r="L35" s="32">
        <v>0</v>
      </c>
    </row>
    <row r="36" spans="1:12">
      <c r="A36" s="29"/>
      <c r="B36" s="30">
        <v>1241134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2100</v>
      </c>
      <c r="I36" s="32">
        <v>1000</v>
      </c>
      <c r="J36" s="32">
        <v>400</v>
      </c>
      <c r="K36" s="32">
        <v>100</v>
      </c>
      <c r="L36" s="32">
        <v>0</v>
      </c>
    </row>
    <row r="37" spans="1:12">
      <c r="A37" s="29"/>
      <c r="B37" s="30">
        <v>1241601</v>
      </c>
      <c r="C37" s="32">
        <v>6100</v>
      </c>
      <c r="D37" s="32">
        <v>4100</v>
      </c>
      <c r="E37" s="32">
        <v>4800</v>
      </c>
      <c r="F37" s="32">
        <v>5100</v>
      </c>
      <c r="G37" s="32">
        <v>4700</v>
      </c>
      <c r="H37" s="32">
        <v>5700</v>
      </c>
      <c r="I37" s="32">
        <v>4900</v>
      </c>
      <c r="J37" s="32">
        <v>4200</v>
      </c>
      <c r="K37" s="32">
        <v>4400</v>
      </c>
      <c r="L37" s="32">
        <v>2400</v>
      </c>
    </row>
    <row r="38" spans="1:12">
      <c r="A38" s="29"/>
      <c r="B38" s="30">
        <v>1242242</v>
      </c>
      <c r="C38" s="32">
        <v>0</v>
      </c>
      <c r="D38" s="32">
        <v>900</v>
      </c>
      <c r="E38" s="32">
        <v>900</v>
      </c>
      <c r="F38" s="32">
        <v>1000</v>
      </c>
      <c r="G38" s="32">
        <v>600</v>
      </c>
      <c r="H38" s="32">
        <v>400</v>
      </c>
      <c r="I38" s="32">
        <v>700</v>
      </c>
      <c r="J38" s="32">
        <v>400</v>
      </c>
      <c r="K38" s="32">
        <v>600</v>
      </c>
      <c r="L38" s="32">
        <v>300</v>
      </c>
    </row>
    <row r="41" spans="1:12" s="33" customFormat="1">
      <c r="A41" s="300"/>
      <c r="B41" s="300" t="s">
        <v>0</v>
      </c>
      <c r="C41" s="114" t="s">
        <v>939</v>
      </c>
      <c r="D41" s="114" t="s">
        <v>997</v>
      </c>
      <c r="E41" s="114" t="s">
        <v>1045</v>
      </c>
      <c r="F41" s="114" t="s">
        <v>1089</v>
      </c>
      <c r="G41" s="114" t="s">
        <v>1152</v>
      </c>
      <c r="H41" s="114" t="s">
        <v>1212</v>
      </c>
      <c r="I41" s="114" t="s">
        <v>1239</v>
      </c>
      <c r="J41" s="114" t="s">
        <v>1255</v>
      </c>
      <c r="K41" s="114" t="s">
        <v>12</v>
      </c>
      <c r="L41" s="114" t="s">
        <v>13</v>
      </c>
    </row>
    <row r="42" spans="1:12" s="33" customFormat="1">
      <c r="A42" s="300"/>
      <c r="B42" s="301"/>
      <c r="C42" s="60" t="s">
        <v>998</v>
      </c>
      <c r="D42" s="60" t="s">
        <v>999</v>
      </c>
      <c r="E42" s="60" t="s">
        <v>1046</v>
      </c>
      <c r="F42" s="60" t="s">
        <v>1090</v>
      </c>
      <c r="G42" s="60" t="s">
        <v>1153</v>
      </c>
      <c r="H42" s="60" t="s">
        <v>1213</v>
      </c>
      <c r="I42" s="60" t="s">
        <v>1240</v>
      </c>
      <c r="J42" s="60" t="s">
        <v>1256</v>
      </c>
      <c r="K42" s="60" t="s">
        <v>1257</v>
      </c>
      <c r="L42" s="60" t="s">
        <v>1265</v>
      </c>
    </row>
    <row r="43" spans="1:12">
      <c r="B43" s="30">
        <v>1216452</v>
      </c>
      <c r="C43" s="32">
        <v>900</v>
      </c>
      <c r="D43" s="32">
        <v>486</v>
      </c>
      <c r="E43" s="32">
        <v>216</v>
      </c>
      <c r="F43" s="32">
        <v>1152</v>
      </c>
      <c r="G43" s="32">
        <v>324</v>
      </c>
      <c r="H43" s="32">
        <v>324</v>
      </c>
      <c r="I43" s="32">
        <v>0</v>
      </c>
      <c r="J43" s="32">
        <v>1356</v>
      </c>
      <c r="K43" s="32">
        <v>0</v>
      </c>
      <c r="L43" s="32">
        <v>144</v>
      </c>
    </row>
    <row r="44" spans="1:12">
      <c r="B44" s="30">
        <v>1220847</v>
      </c>
      <c r="C44" s="32">
        <v>875</v>
      </c>
      <c r="D44" s="32">
        <v>753</v>
      </c>
      <c r="E44" s="32">
        <v>1550</v>
      </c>
      <c r="F44" s="32">
        <v>752</v>
      </c>
      <c r="G44" s="32">
        <v>0</v>
      </c>
      <c r="H44" s="32">
        <v>0</v>
      </c>
      <c r="I44" s="32">
        <v>1360</v>
      </c>
      <c r="J44" s="32">
        <v>1000</v>
      </c>
      <c r="K44" s="32">
        <v>0</v>
      </c>
      <c r="L44" s="32">
        <v>0</v>
      </c>
    </row>
    <row r="45" spans="1:12">
      <c r="B45" s="30">
        <v>1221254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50</v>
      </c>
      <c r="K45" s="32">
        <v>0</v>
      </c>
      <c r="L45" s="32">
        <v>0</v>
      </c>
    </row>
    <row r="46" spans="1:12">
      <c r="B46" s="30">
        <v>1221967</v>
      </c>
      <c r="C46" s="32">
        <v>0</v>
      </c>
      <c r="D46" s="32">
        <v>0</v>
      </c>
      <c r="E46" s="32">
        <v>0</v>
      </c>
      <c r="F46" s="32">
        <v>0</v>
      </c>
      <c r="G46" s="32">
        <v>238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</row>
    <row r="47" spans="1:12">
      <c r="B47" s="30">
        <v>1225464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756</v>
      </c>
      <c r="J47" s="32">
        <v>0</v>
      </c>
      <c r="K47" s="32">
        <v>0</v>
      </c>
      <c r="L47" s="32">
        <v>0</v>
      </c>
    </row>
    <row r="48" spans="1:12">
      <c r="B48" s="30">
        <v>1227306</v>
      </c>
      <c r="C48" s="32">
        <v>500</v>
      </c>
      <c r="D48" s="32">
        <v>400</v>
      </c>
      <c r="E48" s="32">
        <v>700</v>
      </c>
      <c r="F48" s="32">
        <v>400</v>
      </c>
      <c r="G48" s="32">
        <v>400</v>
      </c>
      <c r="H48" s="32">
        <v>400</v>
      </c>
      <c r="I48" s="32">
        <v>400</v>
      </c>
      <c r="J48" s="32">
        <v>400</v>
      </c>
      <c r="K48" s="32">
        <v>200</v>
      </c>
      <c r="L48" s="32">
        <v>0</v>
      </c>
    </row>
    <row r="49" spans="2:12">
      <c r="B49" s="30">
        <v>1229050</v>
      </c>
      <c r="C49" s="32">
        <v>85</v>
      </c>
      <c r="D49" s="32">
        <v>0</v>
      </c>
      <c r="E49" s="32">
        <v>0</v>
      </c>
      <c r="F49" s="32">
        <v>305</v>
      </c>
      <c r="G49" s="32">
        <v>0</v>
      </c>
      <c r="H49" s="32">
        <v>0</v>
      </c>
      <c r="I49" s="32">
        <v>0</v>
      </c>
      <c r="J49" s="32">
        <v>295</v>
      </c>
      <c r="K49" s="32">
        <v>0</v>
      </c>
      <c r="L49" s="32">
        <v>0</v>
      </c>
    </row>
    <row r="50" spans="2:12">
      <c r="B50" s="30">
        <v>1229088</v>
      </c>
      <c r="C50" s="32">
        <v>0</v>
      </c>
      <c r="D50" s="32">
        <v>0</v>
      </c>
      <c r="E50" s="32">
        <v>0</v>
      </c>
      <c r="F50" s="32">
        <v>0</v>
      </c>
      <c r="G50" s="32">
        <v>50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</row>
    <row r="51" spans="2:12">
      <c r="B51" s="30">
        <v>1229776</v>
      </c>
      <c r="C51" s="32">
        <v>0</v>
      </c>
      <c r="D51" s="32">
        <v>90</v>
      </c>
      <c r="E51" s="32">
        <v>0</v>
      </c>
      <c r="F51" s="32">
        <v>350</v>
      </c>
      <c r="G51" s="32">
        <v>0</v>
      </c>
      <c r="H51" s="32">
        <v>0</v>
      </c>
      <c r="I51" s="32">
        <v>90</v>
      </c>
      <c r="J51" s="32">
        <v>0</v>
      </c>
      <c r="K51" s="32">
        <v>0</v>
      </c>
      <c r="L51" s="32">
        <v>0</v>
      </c>
    </row>
    <row r="52" spans="2:12">
      <c r="B52" s="30">
        <v>1230685</v>
      </c>
      <c r="C52" s="32">
        <v>0</v>
      </c>
      <c r="D52" s="32">
        <v>0</v>
      </c>
      <c r="E52" s="32">
        <v>400</v>
      </c>
      <c r="F52" s="32">
        <v>0</v>
      </c>
      <c r="G52" s="32">
        <v>0</v>
      </c>
      <c r="H52" s="32">
        <v>0</v>
      </c>
      <c r="I52" s="32">
        <v>400</v>
      </c>
      <c r="J52" s="32">
        <v>0</v>
      </c>
      <c r="K52" s="32">
        <v>0</v>
      </c>
      <c r="L52" s="32">
        <v>0</v>
      </c>
    </row>
    <row r="53" spans="2:12">
      <c r="B53" s="30">
        <v>1230791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30</v>
      </c>
      <c r="J53" s="32">
        <v>0</v>
      </c>
      <c r="K53" s="32">
        <v>0</v>
      </c>
      <c r="L53" s="32">
        <v>0</v>
      </c>
    </row>
    <row r="54" spans="2:12">
      <c r="B54" s="30">
        <v>1231011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300</v>
      </c>
      <c r="K54" s="32">
        <v>0</v>
      </c>
      <c r="L54" s="32">
        <v>0</v>
      </c>
    </row>
    <row r="55" spans="2:12">
      <c r="B55" s="30">
        <v>1231090</v>
      </c>
      <c r="C55" s="32">
        <v>260</v>
      </c>
      <c r="D55" s="32">
        <v>540</v>
      </c>
      <c r="E55" s="32">
        <v>0</v>
      </c>
      <c r="F55" s="32">
        <v>1783</v>
      </c>
      <c r="G55" s="32">
        <v>0</v>
      </c>
      <c r="H55" s="32">
        <v>0</v>
      </c>
      <c r="I55" s="32">
        <v>90</v>
      </c>
      <c r="J55" s="32">
        <v>983</v>
      </c>
      <c r="K55" s="32">
        <v>0</v>
      </c>
      <c r="L55" s="32">
        <v>0</v>
      </c>
    </row>
    <row r="56" spans="2:12">
      <c r="B56" s="30">
        <v>1231578</v>
      </c>
      <c r="C56" s="32">
        <v>0</v>
      </c>
      <c r="D56" s="32">
        <v>0</v>
      </c>
      <c r="E56" s="32">
        <v>200</v>
      </c>
      <c r="F56" s="32">
        <v>300</v>
      </c>
      <c r="G56" s="32">
        <v>0</v>
      </c>
      <c r="H56" s="32">
        <v>0</v>
      </c>
      <c r="I56" s="32">
        <v>200</v>
      </c>
      <c r="J56" s="32">
        <v>200</v>
      </c>
      <c r="K56" s="32">
        <v>200</v>
      </c>
      <c r="L56" s="32">
        <v>0</v>
      </c>
    </row>
    <row r="57" spans="2:12">
      <c r="B57" s="30">
        <v>1231797</v>
      </c>
      <c r="C57" s="32">
        <v>0</v>
      </c>
      <c r="D57" s="32">
        <v>0</v>
      </c>
      <c r="E57" s="32">
        <v>0</v>
      </c>
      <c r="F57" s="32">
        <v>137</v>
      </c>
      <c r="G57" s="32">
        <v>0</v>
      </c>
      <c r="H57" s="32">
        <v>0</v>
      </c>
      <c r="I57" s="32">
        <v>0</v>
      </c>
      <c r="J57" s="32">
        <v>128</v>
      </c>
      <c r="K57" s="32">
        <v>0</v>
      </c>
      <c r="L57" s="32">
        <v>0</v>
      </c>
    </row>
    <row r="58" spans="2:12">
      <c r="B58" s="30">
        <v>1231860</v>
      </c>
      <c r="C58" s="32">
        <v>0</v>
      </c>
      <c r="D58" s="32">
        <v>100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</row>
    <row r="59" spans="2:12">
      <c r="B59" s="30">
        <v>1232066</v>
      </c>
      <c r="C59" s="32">
        <v>180</v>
      </c>
      <c r="D59" s="32">
        <v>0</v>
      </c>
      <c r="E59" s="32">
        <v>0</v>
      </c>
      <c r="F59" s="32">
        <v>0</v>
      </c>
      <c r="G59" s="32">
        <v>216</v>
      </c>
      <c r="H59" s="32">
        <v>0</v>
      </c>
      <c r="I59" s="32">
        <v>0</v>
      </c>
      <c r="J59" s="32">
        <v>0</v>
      </c>
      <c r="K59" s="32">
        <v>234</v>
      </c>
      <c r="L59" s="32">
        <v>0</v>
      </c>
    </row>
    <row r="60" spans="2:12">
      <c r="B60" s="30">
        <v>1232528</v>
      </c>
      <c r="C60" s="32">
        <v>3870</v>
      </c>
      <c r="D60" s="32">
        <v>6027</v>
      </c>
      <c r="E60" s="32">
        <v>4926</v>
      </c>
      <c r="F60" s="32">
        <v>3110</v>
      </c>
      <c r="G60" s="32">
        <v>2000</v>
      </c>
      <c r="H60" s="32">
        <v>1400</v>
      </c>
      <c r="I60" s="32">
        <v>6396</v>
      </c>
      <c r="J60" s="32">
        <v>5277</v>
      </c>
      <c r="K60" s="32">
        <v>6277</v>
      </c>
      <c r="L60" s="32">
        <v>2277</v>
      </c>
    </row>
    <row r="61" spans="2:12">
      <c r="B61" s="30">
        <v>1232553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108</v>
      </c>
      <c r="J61" s="32">
        <v>0</v>
      </c>
      <c r="K61" s="32">
        <v>0</v>
      </c>
      <c r="L61" s="32">
        <v>0</v>
      </c>
    </row>
    <row r="62" spans="2:12">
      <c r="B62" s="30">
        <v>1232693</v>
      </c>
      <c r="C62" s="32">
        <v>660</v>
      </c>
      <c r="D62" s="32">
        <v>827</v>
      </c>
      <c r="E62" s="32">
        <v>0</v>
      </c>
      <c r="F62" s="32">
        <v>0</v>
      </c>
      <c r="G62" s="32">
        <v>1000</v>
      </c>
      <c r="H62" s="32">
        <v>911</v>
      </c>
      <c r="I62" s="32">
        <v>18</v>
      </c>
      <c r="J62" s="32">
        <v>0</v>
      </c>
      <c r="K62" s="32">
        <v>1000</v>
      </c>
      <c r="L62" s="32">
        <v>0</v>
      </c>
    </row>
    <row r="63" spans="2:12">
      <c r="B63" s="30">
        <v>1232775</v>
      </c>
      <c r="C63" s="32">
        <v>886</v>
      </c>
      <c r="D63" s="32">
        <v>1050</v>
      </c>
      <c r="E63" s="32">
        <v>1300</v>
      </c>
      <c r="F63" s="32">
        <v>1930</v>
      </c>
      <c r="G63" s="32">
        <v>534</v>
      </c>
      <c r="H63" s="32">
        <v>500</v>
      </c>
      <c r="I63" s="32">
        <v>200</v>
      </c>
      <c r="J63" s="32">
        <v>1950</v>
      </c>
      <c r="K63" s="32">
        <v>447</v>
      </c>
      <c r="L63" s="32">
        <v>0</v>
      </c>
    </row>
    <row r="64" spans="2:12">
      <c r="B64" s="30">
        <v>1232846</v>
      </c>
      <c r="C64" s="32">
        <v>492</v>
      </c>
      <c r="D64" s="32">
        <v>1164</v>
      </c>
      <c r="E64" s="32">
        <v>1164</v>
      </c>
      <c r="F64" s="32">
        <v>583</v>
      </c>
      <c r="G64" s="32">
        <v>1192</v>
      </c>
      <c r="H64" s="32">
        <v>0</v>
      </c>
      <c r="I64" s="32">
        <v>0</v>
      </c>
      <c r="J64" s="32">
        <v>273</v>
      </c>
      <c r="K64" s="32">
        <v>216</v>
      </c>
      <c r="L64" s="32">
        <v>0</v>
      </c>
    </row>
    <row r="65" spans="2:12">
      <c r="B65" s="30">
        <v>1232894</v>
      </c>
      <c r="C65" s="32">
        <v>192</v>
      </c>
      <c r="D65" s="32">
        <v>864</v>
      </c>
      <c r="E65" s="32">
        <v>864</v>
      </c>
      <c r="F65" s="32">
        <v>0</v>
      </c>
      <c r="G65" s="32">
        <v>792</v>
      </c>
      <c r="H65" s="32">
        <v>0</v>
      </c>
      <c r="I65" s="32">
        <v>0</v>
      </c>
      <c r="J65" s="32">
        <v>0</v>
      </c>
      <c r="K65" s="32">
        <v>216</v>
      </c>
      <c r="L65" s="32">
        <v>0</v>
      </c>
    </row>
    <row r="66" spans="2:12">
      <c r="B66" s="30">
        <v>1232895</v>
      </c>
      <c r="C66" s="32">
        <v>300</v>
      </c>
      <c r="D66" s="32">
        <v>300</v>
      </c>
      <c r="E66" s="32">
        <v>300</v>
      </c>
      <c r="F66" s="32">
        <v>583</v>
      </c>
      <c r="G66" s="32">
        <v>400</v>
      </c>
      <c r="H66" s="32">
        <v>0</v>
      </c>
      <c r="I66" s="32">
        <v>0</v>
      </c>
      <c r="J66" s="32">
        <v>273</v>
      </c>
      <c r="K66" s="32">
        <v>0</v>
      </c>
      <c r="L66" s="32">
        <v>0</v>
      </c>
    </row>
    <row r="67" spans="2:12">
      <c r="B67" s="30">
        <v>1232922</v>
      </c>
      <c r="C67" s="32">
        <v>0</v>
      </c>
      <c r="D67" s="32">
        <v>0</v>
      </c>
      <c r="E67" s="32">
        <v>0</v>
      </c>
      <c r="F67" s="32">
        <v>283</v>
      </c>
      <c r="G67" s="32">
        <v>100</v>
      </c>
      <c r="H67" s="32">
        <v>0</v>
      </c>
      <c r="I67" s="32">
        <v>0</v>
      </c>
      <c r="J67" s="32">
        <v>273</v>
      </c>
      <c r="K67" s="32">
        <v>0</v>
      </c>
      <c r="L67" s="32">
        <v>0</v>
      </c>
    </row>
    <row r="68" spans="2:12">
      <c r="B68" s="30">
        <v>1232982</v>
      </c>
      <c r="C68" s="32">
        <v>0</v>
      </c>
      <c r="D68" s="32">
        <v>0</v>
      </c>
      <c r="E68" s="32">
        <v>0</v>
      </c>
      <c r="F68" s="32">
        <v>0</v>
      </c>
      <c r="G68" s="32">
        <v>50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</row>
    <row r="69" spans="2:12">
      <c r="B69" s="30">
        <v>1233025</v>
      </c>
      <c r="C69" s="32">
        <v>660</v>
      </c>
      <c r="D69" s="32">
        <v>827</v>
      </c>
      <c r="E69" s="32">
        <v>0</v>
      </c>
      <c r="F69" s="32">
        <v>0</v>
      </c>
      <c r="G69" s="32">
        <v>1000</v>
      </c>
      <c r="H69" s="32">
        <v>911</v>
      </c>
      <c r="I69" s="32">
        <v>18</v>
      </c>
      <c r="J69" s="32">
        <v>0</v>
      </c>
      <c r="K69" s="32">
        <v>1000</v>
      </c>
      <c r="L69" s="32">
        <v>0</v>
      </c>
    </row>
    <row r="70" spans="2:12">
      <c r="B70" s="30">
        <v>1233165</v>
      </c>
      <c r="C70" s="32">
        <v>370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</row>
    <row r="71" spans="2:12">
      <c r="B71" s="30">
        <v>1233383</v>
      </c>
      <c r="C71" s="32">
        <v>0</v>
      </c>
      <c r="D71" s="32">
        <v>0</v>
      </c>
      <c r="E71" s="32">
        <v>0</v>
      </c>
      <c r="F71" s="32">
        <v>150</v>
      </c>
      <c r="G71" s="32">
        <v>0</v>
      </c>
      <c r="H71" s="32">
        <v>0</v>
      </c>
      <c r="I71" s="32">
        <v>0</v>
      </c>
      <c r="J71" s="32">
        <v>42</v>
      </c>
      <c r="K71" s="32">
        <v>0</v>
      </c>
      <c r="L71" s="32">
        <v>0</v>
      </c>
    </row>
    <row r="72" spans="2:12">
      <c r="B72" s="30">
        <v>1233384</v>
      </c>
      <c r="C72" s="32">
        <v>300</v>
      </c>
      <c r="D72" s="32">
        <v>300</v>
      </c>
      <c r="E72" s="32">
        <v>300</v>
      </c>
      <c r="F72" s="32">
        <v>300</v>
      </c>
      <c r="G72" s="32">
        <v>300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</row>
    <row r="73" spans="2:12">
      <c r="B73" s="30">
        <v>1233385</v>
      </c>
      <c r="C73" s="32">
        <v>192</v>
      </c>
      <c r="D73" s="32">
        <v>0</v>
      </c>
      <c r="E73" s="32">
        <v>0</v>
      </c>
      <c r="F73" s="32">
        <v>0</v>
      </c>
      <c r="G73" s="32">
        <v>192</v>
      </c>
      <c r="H73" s="32">
        <v>0</v>
      </c>
      <c r="I73" s="32">
        <v>0</v>
      </c>
      <c r="J73" s="32">
        <v>0</v>
      </c>
      <c r="K73" s="32">
        <v>216</v>
      </c>
      <c r="L73" s="32">
        <v>0</v>
      </c>
    </row>
    <row r="74" spans="2:12">
      <c r="B74" s="30">
        <v>1233386</v>
      </c>
      <c r="C74" s="32">
        <v>0</v>
      </c>
      <c r="D74" s="32">
        <v>0</v>
      </c>
      <c r="E74" s="32">
        <v>0</v>
      </c>
      <c r="F74" s="32">
        <v>0</v>
      </c>
      <c r="G74" s="32">
        <v>600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</row>
    <row r="75" spans="2:12">
      <c r="B75" s="30">
        <v>1233387</v>
      </c>
      <c r="C75" s="32">
        <v>0</v>
      </c>
      <c r="D75" s="32">
        <v>864</v>
      </c>
      <c r="E75" s="32">
        <v>864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</row>
    <row r="76" spans="2:12">
      <c r="B76" s="30">
        <v>1233580</v>
      </c>
      <c r="C76" s="32">
        <v>0</v>
      </c>
      <c r="D76" s="32">
        <v>0</v>
      </c>
      <c r="E76" s="32">
        <v>0</v>
      </c>
      <c r="F76" s="32">
        <v>50</v>
      </c>
      <c r="G76" s="32">
        <v>0</v>
      </c>
      <c r="H76" s="32">
        <v>0</v>
      </c>
      <c r="I76" s="32">
        <v>0</v>
      </c>
      <c r="J76" s="32">
        <v>100</v>
      </c>
      <c r="K76" s="32">
        <v>0</v>
      </c>
      <c r="L76" s="32">
        <v>0</v>
      </c>
    </row>
    <row r="77" spans="2:12">
      <c r="B77" s="30">
        <v>1233587</v>
      </c>
      <c r="C77" s="32">
        <v>0</v>
      </c>
      <c r="D77" s="32">
        <v>0</v>
      </c>
      <c r="E77" s="32">
        <v>0</v>
      </c>
      <c r="F77" s="32">
        <v>0</v>
      </c>
      <c r="G77" s="32">
        <v>5</v>
      </c>
      <c r="H77" s="32">
        <v>0</v>
      </c>
      <c r="I77" s="32">
        <v>0</v>
      </c>
      <c r="J77" s="32">
        <v>0</v>
      </c>
      <c r="K77" s="32">
        <v>10</v>
      </c>
      <c r="L77" s="32">
        <v>0</v>
      </c>
    </row>
    <row r="78" spans="2:12">
      <c r="B78" s="30">
        <v>1234110</v>
      </c>
      <c r="C78" s="32">
        <v>0</v>
      </c>
      <c r="D78" s="32">
        <v>0</v>
      </c>
      <c r="E78" s="32">
        <v>0</v>
      </c>
      <c r="F78" s="32">
        <v>270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</row>
    <row r="79" spans="2:12">
      <c r="B79" s="30">
        <v>1234111</v>
      </c>
      <c r="C79" s="32">
        <v>0</v>
      </c>
      <c r="D79" s="32">
        <v>0</v>
      </c>
      <c r="E79" s="32">
        <v>0</v>
      </c>
      <c r="F79" s="32">
        <v>270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</row>
    <row r="80" spans="2:12">
      <c r="B80" s="30">
        <v>1234217</v>
      </c>
      <c r="C80" s="32">
        <v>0</v>
      </c>
      <c r="D80" s="32">
        <v>0</v>
      </c>
      <c r="E80" s="32">
        <v>0</v>
      </c>
      <c r="F80" s="32">
        <v>270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</row>
    <row r="81" spans="2:12">
      <c r="B81" s="30">
        <v>1234222</v>
      </c>
      <c r="C81" s="32">
        <v>61</v>
      </c>
      <c r="D81" s="32">
        <v>0</v>
      </c>
      <c r="E81" s="32">
        <v>0</v>
      </c>
      <c r="F81" s="32">
        <v>0</v>
      </c>
      <c r="G81" s="32">
        <v>777</v>
      </c>
      <c r="H81" s="32">
        <v>0</v>
      </c>
      <c r="I81" s="32">
        <v>0</v>
      </c>
      <c r="J81" s="32">
        <v>0</v>
      </c>
      <c r="K81" s="32">
        <v>868</v>
      </c>
      <c r="L81" s="32">
        <v>0</v>
      </c>
    </row>
    <row r="82" spans="2:12">
      <c r="B82" s="30">
        <v>1234614</v>
      </c>
      <c r="C82" s="32">
        <v>0</v>
      </c>
      <c r="D82" s="32">
        <v>897</v>
      </c>
      <c r="E82" s="32">
        <v>0</v>
      </c>
      <c r="F82" s="32">
        <v>1148</v>
      </c>
      <c r="G82" s="32">
        <v>0</v>
      </c>
      <c r="H82" s="32">
        <v>300</v>
      </c>
      <c r="I82" s="32">
        <v>300</v>
      </c>
      <c r="J82" s="32">
        <v>200</v>
      </c>
      <c r="K82" s="32">
        <v>0</v>
      </c>
      <c r="L82" s="32">
        <v>0</v>
      </c>
    </row>
    <row r="83" spans="2:12">
      <c r="B83" s="30">
        <v>1235097</v>
      </c>
      <c r="C83" s="32">
        <v>0</v>
      </c>
      <c r="D83" s="32">
        <v>300</v>
      </c>
      <c r="E83" s="32">
        <v>500</v>
      </c>
      <c r="F83" s="32">
        <v>500</v>
      </c>
      <c r="G83" s="32">
        <v>300</v>
      </c>
      <c r="H83" s="32">
        <v>500</v>
      </c>
      <c r="I83" s="32">
        <v>300</v>
      </c>
      <c r="J83" s="32">
        <v>300</v>
      </c>
      <c r="K83" s="32">
        <v>300</v>
      </c>
      <c r="L83" s="32">
        <v>0</v>
      </c>
    </row>
    <row r="84" spans="2:12">
      <c r="B84" s="30">
        <v>1235845</v>
      </c>
      <c r="C84" s="32">
        <v>0</v>
      </c>
      <c r="D84" s="32">
        <v>0</v>
      </c>
      <c r="E84" s="32">
        <v>0</v>
      </c>
      <c r="F84" s="32">
        <v>0</v>
      </c>
      <c r="G84" s="32">
        <v>547</v>
      </c>
      <c r="H84" s="32">
        <v>0</v>
      </c>
      <c r="I84" s="32">
        <v>0</v>
      </c>
      <c r="J84" s="32">
        <v>0</v>
      </c>
      <c r="K84" s="32">
        <v>382</v>
      </c>
      <c r="L84" s="32">
        <v>0</v>
      </c>
    </row>
    <row r="85" spans="2:12">
      <c r="B85" s="30">
        <v>1235958</v>
      </c>
      <c r="C85" s="32">
        <v>0</v>
      </c>
      <c r="D85" s="32">
        <v>0</v>
      </c>
      <c r="E85" s="32">
        <v>0</v>
      </c>
      <c r="F85" s="32">
        <v>0</v>
      </c>
      <c r="G85" s="32">
        <v>5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</row>
    <row r="86" spans="2:12">
      <c r="B86" s="30">
        <v>1236387</v>
      </c>
      <c r="C86" s="32">
        <v>0</v>
      </c>
      <c r="D86" s="32">
        <v>0</v>
      </c>
      <c r="E86" s="32">
        <v>510</v>
      </c>
      <c r="F86" s="32">
        <v>300</v>
      </c>
      <c r="G86" s="32">
        <v>0</v>
      </c>
      <c r="H86" s="32">
        <v>0</v>
      </c>
      <c r="I86" s="32">
        <v>500</v>
      </c>
      <c r="J86" s="32">
        <v>0</v>
      </c>
      <c r="K86" s="32">
        <v>0</v>
      </c>
      <c r="L86" s="32">
        <v>0</v>
      </c>
    </row>
    <row r="87" spans="2:12">
      <c r="B87" s="30">
        <v>1236600</v>
      </c>
      <c r="C87" s="32">
        <v>0</v>
      </c>
      <c r="D87" s="32">
        <v>0</v>
      </c>
      <c r="E87" s="32">
        <v>0</v>
      </c>
      <c r="F87" s="32">
        <v>873</v>
      </c>
      <c r="G87" s="32">
        <v>100</v>
      </c>
      <c r="H87" s="32">
        <v>0</v>
      </c>
      <c r="I87" s="32">
        <v>0</v>
      </c>
      <c r="J87" s="32">
        <v>829</v>
      </c>
      <c r="K87" s="32">
        <v>0</v>
      </c>
      <c r="L87" s="32">
        <v>0</v>
      </c>
    </row>
    <row r="88" spans="2:12">
      <c r="B88" s="30">
        <v>1236601</v>
      </c>
      <c r="C88" s="32">
        <v>0</v>
      </c>
      <c r="D88" s="32">
        <v>0</v>
      </c>
      <c r="E88" s="32">
        <v>0</v>
      </c>
      <c r="F88" s="32">
        <v>100</v>
      </c>
      <c r="G88" s="32">
        <v>0</v>
      </c>
      <c r="H88" s="32">
        <v>0</v>
      </c>
      <c r="I88" s="32">
        <v>0</v>
      </c>
      <c r="J88" s="32">
        <v>100</v>
      </c>
      <c r="K88" s="32">
        <v>0</v>
      </c>
      <c r="L88" s="32">
        <v>0</v>
      </c>
    </row>
    <row r="89" spans="2:12">
      <c r="B89" s="30">
        <v>1236930</v>
      </c>
      <c r="C89" s="32">
        <v>2538</v>
      </c>
      <c r="D89" s="32">
        <v>2090</v>
      </c>
      <c r="E89" s="32">
        <v>3160</v>
      </c>
      <c r="F89" s="32">
        <v>2170</v>
      </c>
      <c r="G89" s="32">
        <v>2400</v>
      </c>
      <c r="H89" s="32">
        <v>1550</v>
      </c>
      <c r="I89" s="32">
        <v>3338</v>
      </c>
      <c r="J89" s="32">
        <v>2050</v>
      </c>
      <c r="K89" s="32">
        <v>550</v>
      </c>
      <c r="L89" s="32">
        <v>0</v>
      </c>
    </row>
    <row r="90" spans="2:12">
      <c r="B90" s="30">
        <v>1237210</v>
      </c>
      <c r="C90" s="32">
        <v>0</v>
      </c>
      <c r="D90" s="32">
        <v>160</v>
      </c>
      <c r="E90" s="32">
        <v>160</v>
      </c>
      <c r="F90" s="32">
        <v>0</v>
      </c>
      <c r="G90" s="32">
        <v>0</v>
      </c>
      <c r="H90" s="32">
        <v>0</v>
      </c>
      <c r="I90" s="32">
        <v>160</v>
      </c>
      <c r="J90" s="32">
        <v>0</v>
      </c>
      <c r="K90" s="32">
        <v>0</v>
      </c>
      <c r="L90" s="32">
        <v>0</v>
      </c>
    </row>
    <row r="91" spans="2:12">
      <c r="B91" s="30">
        <v>1237468</v>
      </c>
      <c r="C91" s="32">
        <v>0</v>
      </c>
      <c r="D91" s="32">
        <v>468</v>
      </c>
      <c r="E91" s="32">
        <v>0</v>
      </c>
      <c r="F91" s="32">
        <v>79</v>
      </c>
      <c r="G91" s="32">
        <v>0</v>
      </c>
      <c r="H91" s="32">
        <v>612</v>
      </c>
      <c r="I91" s="32">
        <v>0</v>
      </c>
      <c r="J91" s="32">
        <v>79</v>
      </c>
      <c r="K91" s="32">
        <v>0</v>
      </c>
      <c r="L91" s="32">
        <v>0</v>
      </c>
    </row>
    <row r="92" spans="2:12">
      <c r="B92" s="30">
        <v>1238453</v>
      </c>
      <c r="C92" s="32">
        <v>1402</v>
      </c>
      <c r="D92" s="32">
        <v>0</v>
      </c>
      <c r="E92" s="32">
        <v>0</v>
      </c>
      <c r="F92" s="32">
        <v>175</v>
      </c>
      <c r="G92" s="32">
        <v>0</v>
      </c>
      <c r="H92" s="32">
        <v>0</v>
      </c>
      <c r="I92" s="32">
        <v>0</v>
      </c>
      <c r="J92" s="32">
        <v>122</v>
      </c>
      <c r="K92" s="32">
        <v>0</v>
      </c>
      <c r="L92" s="32">
        <v>0</v>
      </c>
    </row>
    <row r="93" spans="2:12">
      <c r="B93" s="30">
        <v>1238480</v>
      </c>
      <c r="C93" s="32">
        <v>1650</v>
      </c>
      <c r="D93" s="32">
        <v>5390</v>
      </c>
      <c r="E93" s="32">
        <v>6018</v>
      </c>
      <c r="F93" s="32">
        <v>6017</v>
      </c>
      <c r="G93" s="32">
        <v>6330</v>
      </c>
      <c r="H93" s="32">
        <v>3910</v>
      </c>
      <c r="I93" s="32">
        <v>5505</v>
      </c>
      <c r="J93" s="32">
        <v>5176</v>
      </c>
      <c r="K93" s="32">
        <v>5776</v>
      </c>
      <c r="L93" s="32">
        <v>7954</v>
      </c>
    </row>
    <row r="94" spans="2:12">
      <c r="B94" s="30">
        <v>1238605</v>
      </c>
      <c r="C94" s="32">
        <v>0</v>
      </c>
      <c r="D94" s="32">
        <v>0</v>
      </c>
      <c r="E94" s="32">
        <v>0</v>
      </c>
      <c r="F94" s="32">
        <v>900</v>
      </c>
      <c r="G94" s="32">
        <v>0</v>
      </c>
      <c r="H94" s="32">
        <v>0</v>
      </c>
      <c r="I94" s="32">
        <v>0</v>
      </c>
      <c r="J94" s="32">
        <v>150</v>
      </c>
      <c r="K94" s="32">
        <v>0</v>
      </c>
      <c r="L94" s="32">
        <v>0</v>
      </c>
    </row>
    <row r="95" spans="2:12">
      <c r="B95" s="30">
        <v>1240180</v>
      </c>
      <c r="C95" s="32">
        <v>0</v>
      </c>
      <c r="D95" s="32">
        <v>0</v>
      </c>
      <c r="E95" s="32">
        <v>848</v>
      </c>
      <c r="F95" s="32">
        <v>550</v>
      </c>
      <c r="G95" s="32">
        <v>300</v>
      </c>
      <c r="H95" s="32">
        <v>0</v>
      </c>
      <c r="I95" s="32">
        <v>650</v>
      </c>
      <c r="J95" s="32">
        <v>750</v>
      </c>
      <c r="K95" s="32">
        <v>0</v>
      </c>
      <c r="L95" s="32">
        <v>0</v>
      </c>
    </row>
    <row r="96" spans="2:12">
      <c r="B96" s="30">
        <v>1240184</v>
      </c>
      <c r="C96" s="32">
        <v>0</v>
      </c>
      <c r="D96" s="32">
        <v>0</v>
      </c>
      <c r="E96" s="32">
        <v>848</v>
      </c>
      <c r="F96" s="32">
        <v>550</v>
      </c>
      <c r="G96" s="32">
        <v>300</v>
      </c>
      <c r="H96" s="32">
        <v>0</v>
      </c>
      <c r="I96" s="32">
        <v>650</v>
      </c>
      <c r="J96" s="32">
        <v>750</v>
      </c>
      <c r="K96" s="32">
        <v>0</v>
      </c>
      <c r="L96" s="32">
        <v>0</v>
      </c>
    </row>
    <row r="97" spans="2:12">
      <c r="B97" s="30">
        <v>1241343</v>
      </c>
      <c r="C97" s="32">
        <v>20</v>
      </c>
      <c r="D97" s="32">
        <v>0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</row>
    <row r="98" spans="2:12">
      <c r="B98" s="30">
        <v>1241347</v>
      </c>
      <c r="C98" s="32">
        <v>20</v>
      </c>
      <c r="D98" s="32">
        <v>0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0</v>
      </c>
      <c r="L98" s="32">
        <v>0</v>
      </c>
    </row>
    <row r="99" spans="2:12">
      <c r="B99" s="30">
        <v>1241387</v>
      </c>
      <c r="C99" s="32">
        <v>151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</row>
    <row r="100" spans="2:12">
      <c r="B100" s="30">
        <v>1241474</v>
      </c>
      <c r="C100" s="32">
        <v>37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</row>
    <row r="101" spans="2:12">
      <c r="B101" s="30">
        <v>1241480</v>
      </c>
      <c r="C101" s="32">
        <v>26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</row>
  </sheetData>
  <mergeCells count="4">
    <mergeCell ref="A7:A8"/>
    <mergeCell ref="B7:B8"/>
    <mergeCell ref="B41:B42"/>
    <mergeCell ref="A41:A42"/>
  </mergeCells>
  <phoneticPr fontId="1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8AD6-AF69-4901-B3E1-EBBEDD9B06C6}">
  <dimension ref="A1:V83"/>
  <sheetViews>
    <sheetView zoomScaleNormal="100" workbookViewId="0">
      <selection activeCell="V19" sqref="V19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7" width="9.5" style="9" customWidth="1"/>
    <col min="18" max="18" width="9.5" style="9" bestFit="1" customWidth="1"/>
    <col min="19" max="16384" width="9.33203125" style="5"/>
  </cols>
  <sheetData>
    <row r="1" spans="1:22">
      <c r="A1" s="19" t="s">
        <v>0</v>
      </c>
      <c r="B1" s="9" t="s">
        <v>1245</v>
      </c>
      <c r="C1" s="9" t="s">
        <v>1246</v>
      </c>
      <c r="D1" s="9" t="s">
        <v>1247</v>
      </c>
      <c r="E1" s="9" t="s">
        <v>1248</v>
      </c>
      <c r="F1" s="9" t="s">
        <v>1249</v>
      </c>
      <c r="G1" s="9" t="s">
        <v>1250</v>
      </c>
      <c r="H1" s="9" t="s">
        <v>1251</v>
      </c>
      <c r="I1" s="9" t="s">
        <v>1252</v>
      </c>
      <c r="J1" s="9" t="s">
        <v>1253</v>
      </c>
      <c r="K1" s="9" t="s">
        <v>1254</v>
      </c>
      <c r="L1" s="9" t="s">
        <v>1258</v>
      </c>
      <c r="M1" s="9" t="s">
        <v>1259</v>
      </c>
      <c r="N1" s="9" t="s">
        <v>1260</v>
      </c>
      <c r="O1" s="9" t="s">
        <v>1261</v>
      </c>
      <c r="P1" s="9" t="s">
        <v>1262</v>
      </c>
      <c r="Q1" s="9" t="s">
        <v>1263</v>
      </c>
      <c r="R1" s="9" t="s">
        <v>1264</v>
      </c>
    </row>
    <row r="2" spans="1:22">
      <c r="A2" s="19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400</v>
      </c>
      <c r="H2" s="9">
        <v>400</v>
      </c>
      <c r="I2" s="9">
        <v>260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T2" s="78">
        <f>SUM(B2:R2)</f>
        <v>1060</v>
      </c>
      <c r="U2" s="5">
        <f>VLOOKUP(A2,[14]sheet1!$A$2:$T$24,20,0)</f>
        <v>1060</v>
      </c>
      <c r="V2" s="78">
        <f>+T2-U2</f>
        <v>0</v>
      </c>
    </row>
    <row r="3" spans="1:22">
      <c r="A3" s="19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400</v>
      </c>
      <c r="H3" s="9">
        <v>400</v>
      </c>
      <c r="I3" s="9">
        <v>260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T3" s="78">
        <f t="shared" ref="T3:T28" si="0">SUM(B3:R3)</f>
        <v>1060</v>
      </c>
      <c r="U3" s="5">
        <f>VLOOKUP(A3,[14]sheet1!$A$2:$T$24,20,0)</f>
        <v>1060</v>
      </c>
      <c r="V3" s="78">
        <f t="shared" ref="V3:V24" si="1">+T3-U3</f>
        <v>0</v>
      </c>
    </row>
    <row r="4" spans="1:22">
      <c r="A4" s="19">
        <v>1229673</v>
      </c>
      <c r="B4" s="9">
        <v>218</v>
      </c>
      <c r="C4" s="9">
        <v>0</v>
      </c>
      <c r="D4" s="9">
        <v>0</v>
      </c>
      <c r="E4" s="9">
        <v>200</v>
      </c>
      <c r="F4" s="9">
        <v>200</v>
      </c>
      <c r="G4" s="9">
        <v>200</v>
      </c>
      <c r="H4" s="9">
        <v>0</v>
      </c>
      <c r="I4" s="9">
        <v>0</v>
      </c>
      <c r="J4" s="9">
        <v>0</v>
      </c>
      <c r="K4" s="9">
        <v>0</v>
      </c>
      <c r="L4" s="9">
        <v>200</v>
      </c>
      <c r="M4" s="9">
        <v>200</v>
      </c>
      <c r="N4" s="9">
        <v>0</v>
      </c>
      <c r="O4" s="9">
        <v>300</v>
      </c>
      <c r="P4" s="9">
        <v>300</v>
      </c>
      <c r="Q4" s="9">
        <v>0</v>
      </c>
      <c r="R4" s="9">
        <v>0</v>
      </c>
      <c r="T4" s="78">
        <f t="shared" si="0"/>
        <v>1818</v>
      </c>
      <c r="U4" s="5">
        <f>VLOOKUP(A4,[14]sheet1!$A$2:$T$24,20,0)</f>
        <v>1818</v>
      </c>
      <c r="V4" s="78">
        <f t="shared" si="1"/>
        <v>0</v>
      </c>
    </row>
    <row r="5" spans="1:22">
      <c r="A5" s="19">
        <v>1231202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100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T5" s="78">
        <f t="shared" si="0"/>
        <v>100</v>
      </c>
      <c r="U5" s="5">
        <f>VLOOKUP(A5,[14]sheet1!$A$2:$T$24,20,0)</f>
        <v>100</v>
      </c>
      <c r="V5" s="78">
        <f t="shared" si="1"/>
        <v>0</v>
      </c>
    </row>
    <row r="6" spans="1:22">
      <c r="A6" s="19">
        <v>1233492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300</v>
      </c>
      <c r="J6" s="9">
        <v>0</v>
      </c>
      <c r="K6" s="9">
        <v>0</v>
      </c>
      <c r="L6" s="9">
        <v>782</v>
      </c>
      <c r="M6" s="9">
        <v>50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T6" s="78">
        <f t="shared" si="0"/>
        <v>1132</v>
      </c>
      <c r="U6" s="5">
        <f>VLOOKUP(A6,[14]sheet1!$A$2:$T$24,20,0)</f>
        <v>1132</v>
      </c>
      <c r="V6" s="78">
        <f t="shared" si="1"/>
        <v>0</v>
      </c>
    </row>
    <row r="7" spans="1:22">
      <c r="A7" s="19">
        <v>1233498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300</v>
      </c>
      <c r="J7" s="9">
        <v>0</v>
      </c>
      <c r="K7" s="9">
        <v>0</v>
      </c>
      <c r="L7" s="9">
        <v>782</v>
      </c>
      <c r="M7" s="9">
        <v>50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T7" s="78">
        <f t="shared" si="0"/>
        <v>1132</v>
      </c>
      <c r="U7" s="5">
        <f>VLOOKUP(A7,[14]sheet1!$A$2:$T$24,20,0)</f>
        <v>1132</v>
      </c>
      <c r="V7" s="78">
        <f t="shared" si="1"/>
        <v>0</v>
      </c>
    </row>
    <row r="8" spans="1:22">
      <c r="A8" s="19">
        <v>1233623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300</v>
      </c>
      <c r="J8" s="9">
        <v>0</v>
      </c>
      <c r="K8" s="9">
        <v>0</v>
      </c>
      <c r="L8" s="9">
        <v>782</v>
      </c>
      <c r="M8" s="9">
        <v>50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T8" s="78">
        <f t="shared" si="0"/>
        <v>1132</v>
      </c>
      <c r="U8" s="5">
        <f>VLOOKUP(A8,[14]sheet1!$A$2:$T$24,20,0)</f>
        <v>1132</v>
      </c>
      <c r="V8" s="78">
        <f t="shared" si="1"/>
        <v>0</v>
      </c>
    </row>
    <row r="9" spans="1:22">
      <c r="A9" s="19">
        <v>1233877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150</v>
      </c>
      <c r="O9" s="9">
        <v>0</v>
      </c>
      <c r="P9" s="9">
        <v>0</v>
      </c>
      <c r="Q9" s="9">
        <v>0</v>
      </c>
      <c r="R9" s="9">
        <v>0</v>
      </c>
      <c r="T9" s="78">
        <f t="shared" si="0"/>
        <v>150</v>
      </c>
      <c r="U9" s="5">
        <f>VLOOKUP(A9,[14]sheet1!$A$2:$T$24,20,0)</f>
        <v>150</v>
      </c>
      <c r="V9" s="78">
        <f t="shared" si="1"/>
        <v>0</v>
      </c>
    </row>
    <row r="10" spans="1:22">
      <c r="A10" s="19">
        <v>1235623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24</v>
      </c>
      <c r="P10" s="9">
        <v>912</v>
      </c>
      <c r="Q10" s="9">
        <v>0</v>
      </c>
      <c r="R10" s="9">
        <v>0</v>
      </c>
      <c r="T10" s="78">
        <f t="shared" si="0"/>
        <v>936</v>
      </c>
      <c r="U10" s="5">
        <f>VLOOKUP(A10,[14]sheet1!$A$2:$T$24,20,0)</f>
        <v>936</v>
      </c>
      <c r="V10" s="78">
        <f t="shared" si="1"/>
        <v>0</v>
      </c>
    </row>
    <row r="11" spans="1:22">
      <c r="A11" s="19">
        <v>1237088</v>
      </c>
      <c r="B11" s="9">
        <v>586</v>
      </c>
      <c r="C11" s="9">
        <v>0</v>
      </c>
      <c r="D11" s="9">
        <v>0</v>
      </c>
      <c r="E11" s="9">
        <v>0</v>
      </c>
      <c r="F11" s="9">
        <v>552</v>
      </c>
      <c r="G11" s="9">
        <v>404</v>
      </c>
      <c r="H11" s="9">
        <v>0</v>
      </c>
      <c r="I11" s="9">
        <v>0</v>
      </c>
      <c r="J11" s="9">
        <v>0</v>
      </c>
      <c r="K11" s="9">
        <v>0</v>
      </c>
      <c r="L11" s="9">
        <v>866</v>
      </c>
      <c r="M11" s="9">
        <v>826</v>
      </c>
      <c r="N11" s="9">
        <v>406</v>
      </c>
      <c r="O11" s="9">
        <v>706</v>
      </c>
      <c r="P11" s="9">
        <v>550</v>
      </c>
      <c r="Q11" s="9">
        <v>0</v>
      </c>
      <c r="R11" s="9">
        <v>0</v>
      </c>
      <c r="T11" s="78">
        <f t="shared" si="0"/>
        <v>4896</v>
      </c>
      <c r="U11" s="5">
        <f>VLOOKUP(A11,[14]sheet1!$A$2:$T$24,20,0)</f>
        <v>4896</v>
      </c>
      <c r="V11" s="78">
        <f t="shared" si="1"/>
        <v>0</v>
      </c>
    </row>
    <row r="12" spans="1:22">
      <c r="A12" s="19">
        <v>1231898</v>
      </c>
      <c r="B12" s="9">
        <v>0</v>
      </c>
      <c r="C12" s="9">
        <v>0</v>
      </c>
      <c r="D12" s="9">
        <v>0</v>
      </c>
      <c r="E12" s="9">
        <v>230</v>
      </c>
      <c r="F12" s="9">
        <v>250</v>
      </c>
      <c r="G12" s="9">
        <v>240</v>
      </c>
      <c r="H12" s="9">
        <v>0</v>
      </c>
      <c r="I12" s="9">
        <v>384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T12" s="78">
        <f t="shared" si="0"/>
        <v>1104</v>
      </c>
      <c r="U12" s="5">
        <f>VLOOKUP(A12,[14]sheet1!$A$2:$T$24,20,0)</f>
        <v>1104</v>
      </c>
      <c r="V12" s="78">
        <f t="shared" si="1"/>
        <v>0</v>
      </c>
    </row>
    <row r="13" spans="1:22">
      <c r="A13" s="19">
        <v>1237586</v>
      </c>
      <c r="B13" s="9">
        <v>0</v>
      </c>
      <c r="C13" s="9">
        <v>0</v>
      </c>
      <c r="D13" s="9">
        <v>0</v>
      </c>
      <c r="E13" s="9">
        <v>230</v>
      </c>
      <c r="F13" s="9">
        <v>250</v>
      </c>
      <c r="G13" s="9">
        <v>240</v>
      </c>
      <c r="H13" s="9">
        <v>0</v>
      </c>
      <c r="I13" s="9">
        <v>384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T13" s="78">
        <f t="shared" si="0"/>
        <v>1104</v>
      </c>
      <c r="U13" s="5">
        <f>VLOOKUP(A13,[14]sheet1!$A$2:$T$24,20,0)</f>
        <v>1104</v>
      </c>
      <c r="V13" s="78">
        <f t="shared" si="1"/>
        <v>0</v>
      </c>
    </row>
    <row r="14" spans="1:22">
      <c r="A14" s="19">
        <v>1236091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250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T14" s="78">
        <f t="shared" si="0"/>
        <v>250</v>
      </c>
      <c r="U14" s="5">
        <f>VLOOKUP(A14,[14]sheet1!$A$2:$T$24,20,0)</f>
        <v>250</v>
      </c>
      <c r="V14" s="78">
        <f t="shared" si="1"/>
        <v>0</v>
      </c>
    </row>
    <row r="15" spans="1:22">
      <c r="A15" s="19">
        <v>1234905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514</v>
      </c>
      <c r="M15" s="9">
        <v>512</v>
      </c>
      <c r="N15" s="9">
        <v>334</v>
      </c>
      <c r="O15" s="9">
        <v>426</v>
      </c>
      <c r="P15" s="9">
        <v>426</v>
      </c>
      <c r="Q15" s="9">
        <v>0</v>
      </c>
      <c r="R15" s="9">
        <v>0</v>
      </c>
      <c r="T15" s="78">
        <f t="shared" si="0"/>
        <v>2212</v>
      </c>
      <c r="U15" s="5">
        <f>VLOOKUP(A15,[14]sheet1!$A$2:$T$24,20,0)</f>
        <v>2212</v>
      </c>
      <c r="V15" s="78">
        <f t="shared" si="1"/>
        <v>0</v>
      </c>
    </row>
    <row r="16" spans="1:22">
      <c r="A16" s="19">
        <v>1238128</v>
      </c>
      <c r="B16" s="9">
        <v>350</v>
      </c>
      <c r="C16" s="9">
        <v>0</v>
      </c>
      <c r="D16" s="9">
        <v>0</v>
      </c>
      <c r="E16" s="9">
        <v>352</v>
      </c>
      <c r="F16" s="9">
        <v>590</v>
      </c>
      <c r="G16" s="9">
        <v>464</v>
      </c>
      <c r="H16" s="9">
        <v>258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T16" s="78">
        <f t="shared" si="0"/>
        <v>2014</v>
      </c>
      <c r="U16" s="5">
        <f>VLOOKUP(A16,[14]sheet1!$A$2:$T$24,20,0)</f>
        <v>2014</v>
      </c>
      <c r="V16" s="78">
        <f t="shared" si="1"/>
        <v>0</v>
      </c>
    </row>
    <row r="17" spans="1:22">
      <c r="A17" s="19">
        <v>1237748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126</v>
      </c>
      <c r="O17" s="9">
        <v>810</v>
      </c>
      <c r="P17" s="9">
        <v>0</v>
      </c>
      <c r="Q17" s="9">
        <v>0</v>
      </c>
      <c r="R17" s="9">
        <v>0</v>
      </c>
      <c r="T17" s="78">
        <f t="shared" si="0"/>
        <v>936</v>
      </c>
      <c r="U17" s="5">
        <f>VLOOKUP(A17,[14]sheet1!$A$2:$T$24,20,0)</f>
        <v>936</v>
      </c>
      <c r="V17" s="78">
        <f t="shared" si="1"/>
        <v>0</v>
      </c>
    </row>
    <row r="18" spans="1:22">
      <c r="A18" s="19">
        <v>1236962</v>
      </c>
      <c r="B18" s="9">
        <v>224</v>
      </c>
      <c r="C18" s="9">
        <v>0</v>
      </c>
      <c r="D18" s="9">
        <v>0</v>
      </c>
      <c r="E18" s="9">
        <v>200</v>
      </c>
      <c r="F18" s="9">
        <v>0</v>
      </c>
      <c r="G18" s="9">
        <v>0</v>
      </c>
      <c r="H18" s="9">
        <v>124</v>
      </c>
      <c r="I18" s="9">
        <v>150</v>
      </c>
      <c r="J18" s="9">
        <v>0</v>
      </c>
      <c r="K18" s="9">
        <v>0</v>
      </c>
      <c r="L18" s="9">
        <v>0</v>
      </c>
      <c r="M18" s="9">
        <v>200</v>
      </c>
      <c r="N18" s="9">
        <v>222</v>
      </c>
      <c r="O18" s="9">
        <v>200</v>
      </c>
      <c r="P18" s="9">
        <v>200</v>
      </c>
      <c r="Q18" s="9">
        <v>0</v>
      </c>
      <c r="R18" s="9">
        <v>0</v>
      </c>
      <c r="T18" s="78">
        <f t="shared" si="0"/>
        <v>1520</v>
      </c>
      <c r="U18" s="5">
        <f>VLOOKUP(A18,[14]sheet1!$A$2:$T$24,20,0)</f>
        <v>1520</v>
      </c>
      <c r="V18" s="78">
        <f t="shared" si="1"/>
        <v>0</v>
      </c>
    </row>
    <row r="19" spans="1:22">
      <c r="A19" s="19">
        <v>1233761</v>
      </c>
      <c r="B19" s="9">
        <v>0</v>
      </c>
      <c r="C19" s="9">
        <v>0</v>
      </c>
      <c r="D19" s="9">
        <v>0</v>
      </c>
      <c r="E19" s="9">
        <v>150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200</v>
      </c>
      <c r="P19" s="9">
        <v>0</v>
      </c>
      <c r="Q19" s="9">
        <v>0</v>
      </c>
      <c r="R19" s="9">
        <v>0</v>
      </c>
      <c r="T19" s="78">
        <f t="shared" si="0"/>
        <v>350</v>
      </c>
      <c r="U19" s="5">
        <f>VLOOKUP(A19,[14]sheet1!$A$2:$T$24,20,0)</f>
        <v>350</v>
      </c>
      <c r="V19" s="78">
        <f t="shared" si="1"/>
        <v>0</v>
      </c>
    </row>
    <row r="20" spans="1:22">
      <c r="A20" s="19">
        <v>1239651</v>
      </c>
      <c r="B20" s="9">
        <v>0</v>
      </c>
      <c r="C20" s="9">
        <v>0</v>
      </c>
      <c r="D20" s="9">
        <v>0</v>
      </c>
      <c r="E20" s="9">
        <v>0</v>
      </c>
      <c r="F20" s="9">
        <v>400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250</v>
      </c>
      <c r="O20" s="9">
        <v>0</v>
      </c>
      <c r="P20" s="9">
        <v>350</v>
      </c>
      <c r="Q20" s="9">
        <v>0</v>
      </c>
      <c r="R20" s="9">
        <v>0</v>
      </c>
      <c r="T20" s="78">
        <f t="shared" si="0"/>
        <v>1000</v>
      </c>
      <c r="U20" s="5">
        <f>VLOOKUP(A20,[14]sheet1!$A$2:$T$24,20,0)</f>
        <v>1000</v>
      </c>
      <c r="V20" s="78">
        <f t="shared" si="1"/>
        <v>0</v>
      </c>
    </row>
    <row r="21" spans="1:22">
      <c r="A21" s="19">
        <v>1240180</v>
      </c>
      <c r="B21" s="9">
        <v>796</v>
      </c>
      <c r="C21" s="9">
        <v>0</v>
      </c>
      <c r="D21" s="9">
        <v>0</v>
      </c>
      <c r="E21" s="9">
        <v>384</v>
      </c>
      <c r="F21" s="9">
        <v>430</v>
      </c>
      <c r="G21" s="9">
        <v>339</v>
      </c>
      <c r="H21" s="9">
        <v>430</v>
      </c>
      <c r="I21" s="9">
        <v>430</v>
      </c>
      <c r="J21" s="9">
        <v>0</v>
      </c>
      <c r="K21" s="9">
        <v>0</v>
      </c>
      <c r="L21" s="9">
        <v>50</v>
      </c>
      <c r="M21" s="9">
        <v>334</v>
      </c>
      <c r="N21" s="9">
        <v>338</v>
      </c>
      <c r="O21" s="9">
        <v>430</v>
      </c>
      <c r="P21" s="9">
        <v>430</v>
      </c>
      <c r="Q21" s="9">
        <v>0</v>
      </c>
      <c r="R21" s="9">
        <v>0</v>
      </c>
      <c r="T21" s="78">
        <f t="shared" si="0"/>
        <v>4391</v>
      </c>
      <c r="U21" s="5">
        <f>VLOOKUP(A21,[14]sheet1!$A$2:$T$24,20,0)</f>
        <v>4391</v>
      </c>
      <c r="V21" s="78">
        <f t="shared" si="1"/>
        <v>0</v>
      </c>
    </row>
    <row r="22" spans="1:22">
      <c r="A22" s="19">
        <v>1240184</v>
      </c>
      <c r="B22" s="9">
        <v>760</v>
      </c>
      <c r="C22" s="9">
        <v>0</v>
      </c>
      <c r="D22" s="9">
        <v>0</v>
      </c>
      <c r="E22" s="9">
        <v>258</v>
      </c>
      <c r="F22" s="9">
        <v>430</v>
      </c>
      <c r="G22" s="9">
        <v>139</v>
      </c>
      <c r="H22" s="9">
        <v>386</v>
      </c>
      <c r="I22" s="9">
        <v>0</v>
      </c>
      <c r="J22" s="9">
        <v>0</v>
      </c>
      <c r="K22" s="9">
        <v>0</v>
      </c>
      <c r="L22" s="9">
        <v>0</v>
      </c>
      <c r="M22" s="9">
        <v>134</v>
      </c>
      <c r="N22" s="9">
        <v>338</v>
      </c>
      <c r="O22" s="9">
        <v>430</v>
      </c>
      <c r="P22" s="9">
        <v>430</v>
      </c>
      <c r="Q22" s="9">
        <v>0</v>
      </c>
      <c r="R22" s="9">
        <v>0</v>
      </c>
      <c r="T22" s="78">
        <f t="shared" si="0"/>
        <v>3305</v>
      </c>
      <c r="U22" s="5">
        <f>VLOOKUP(A22,[14]sheet1!$A$2:$T$24,20,0)</f>
        <v>3305</v>
      </c>
      <c r="V22" s="78">
        <f t="shared" si="1"/>
        <v>0</v>
      </c>
    </row>
    <row r="23" spans="1:22">
      <c r="A23" s="19">
        <v>1240308</v>
      </c>
      <c r="B23" s="9">
        <v>0</v>
      </c>
      <c r="C23" s="9">
        <v>0</v>
      </c>
      <c r="D23" s="9">
        <v>0</v>
      </c>
      <c r="E23" s="9">
        <v>200</v>
      </c>
      <c r="F23" s="9">
        <v>250</v>
      </c>
      <c r="G23" s="9">
        <v>184</v>
      </c>
      <c r="H23" s="9">
        <v>152</v>
      </c>
      <c r="I23" s="9">
        <v>266</v>
      </c>
      <c r="J23" s="9">
        <v>0</v>
      </c>
      <c r="K23" s="9">
        <v>0</v>
      </c>
      <c r="L23" s="9">
        <v>0</v>
      </c>
      <c r="M23" s="9">
        <v>0</v>
      </c>
      <c r="N23" s="9">
        <v>300</v>
      </c>
      <c r="O23" s="9">
        <v>0</v>
      </c>
      <c r="P23" s="9">
        <v>0</v>
      </c>
      <c r="Q23" s="9">
        <v>0</v>
      </c>
      <c r="R23" s="9">
        <v>0</v>
      </c>
      <c r="T23" s="78">
        <f t="shared" si="0"/>
        <v>1352</v>
      </c>
      <c r="U23" s="5">
        <f>VLOOKUP(A23,[14]sheet1!$A$2:$T$24,20,0)</f>
        <v>1352</v>
      </c>
      <c r="V23" s="78">
        <f t="shared" si="1"/>
        <v>0</v>
      </c>
    </row>
    <row r="24" spans="1:22">
      <c r="A24" s="19">
        <v>1241601</v>
      </c>
      <c r="B24" s="9">
        <v>838</v>
      </c>
      <c r="C24" s="9">
        <v>0</v>
      </c>
      <c r="D24" s="9">
        <v>0</v>
      </c>
      <c r="E24" s="9">
        <v>690</v>
      </c>
      <c r="F24" s="9">
        <v>1600</v>
      </c>
      <c r="G24" s="9">
        <v>678</v>
      </c>
      <c r="H24" s="9">
        <v>1808</v>
      </c>
      <c r="I24" s="9">
        <v>2062</v>
      </c>
      <c r="J24" s="9">
        <v>0</v>
      </c>
      <c r="K24" s="9">
        <v>0</v>
      </c>
      <c r="L24" s="9">
        <v>1272</v>
      </c>
      <c r="M24" s="9">
        <v>800</v>
      </c>
      <c r="N24" s="9">
        <v>600</v>
      </c>
      <c r="O24" s="9">
        <v>0</v>
      </c>
      <c r="P24" s="9">
        <v>750</v>
      </c>
      <c r="Q24" s="9">
        <v>0</v>
      </c>
      <c r="R24" s="9">
        <v>0</v>
      </c>
      <c r="T24" s="78">
        <f t="shared" si="0"/>
        <v>11098</v>
      </c>
      <c r="U24" s="5">
        <f>VLOOKUP(A24,[14]sheet1!$A$2:$T$24,20,0)</f>
        <v>11098</v>
      </c>
      <c r="V24" s="78">
        <f t="shared" si="1"/>
        <v>0</v>
      </c>
    </row>
    <row r="25" spans="1:22">
      <c r="T25" s="78">
        <f t="shared" si="0"/>
        <v>0</v>
      </c>
    </row>
    <row r="26" spans="1:22">
      <c r="B26" s="9">
        <f>SUM(B2:B25)</f>
        <v>3772</v>
      </c>
      <c r="C26" s="9">
        <f t="shared" ref="C26:R26" si="2">SUM(C2:C25)</f>
        <v>0</v>
      </c>
      <c r="D26" s="9">
        <f t="shared" si="2"/>
        <v>0</v>
      </c>
      <c r="E26" s="9">
        <f t="shared" si="2"/>
        <v>2894</v>
      </c>
      <c r="F26" s="9">
        <f t="shared" si="2"/>
        <v>4952</v>
      </c>
      <c r="G26" s="9">
        <f t="shared" si="2"/>
        <v>3688</v>
      </c>
      <c r="H26" s="9">
        <f t="shared" si="2"/>
        <v>4208</v>
      </c>
      <c r="I26" s="9">
        <f t="shared" si="2"/>
        <v>5096</v>
      </c>
      <c r="J26" s="9">
        <f t="shared" si="2"/>
        <v>0</v>
      </c>
      <c r="K26" s="9">
        <f t="shared" si="2"/>
        <v>0</v>
      </c>
      <c r="L26" s="9">
        <f t="shared" si="2"/>
        <v>5248</v>
      </c>
      <c r="M26" s="9">
        <f t="shared" si="2"/>
        <v>3256</v>
      </c>
      <c r="N26" s="9">
        <f t="shared" si="2"/>
        <v>3064</v>
      </c>
      <c r="O26" s="9">
        <f t="shared" si="2"/>
        <v>3526</v>
      </c>
      <c r="P26" s="9">
        <f t="shared" si="2"/>
        <v>4348</v>
      </c>
      <c r="Q26" s="9">
        <f t="shared" si="2"/>
        <v>0</v>
      </c>
      <c r="R26" s="9">
        <f t="shared" si="2"/>
        <v>0</v>
      </c>
      <c r="T26" s="78">
        <f t="shared" si="0"/>
        <v>44052</v>
      </c>
    </row>
    <row r="27" spans="1:22">
      <c r="B27" s="9">
        <v>3772</v>
      </c>
      <c r="C27" s="9">
        <v>0</v>
      </c>
      <c r="D27" s="9">
        <v>0</v>
      </c>
      <c r="E27" s="9">
        <v>2894</v>
      </c>
      <c r="F27" s="9">
        <v>4952</v>
      </c>
      <c r="G27" s="9">
        <v>3688</v>
      </c>
      <c r="H27" s="9">
        <v>4208</v>
      </c>
      <c r="I27" s="9">
        <v>5096</v>
      </c>
      <c r="J27" s="9">
        <v>0</v>
      </c>
      <c r="K27" s="9">
        <v>0</v>
      </c>
      <c r="L27" s="9">
        <v>5248</v>
      </c>
      <c r="M27" s="9">
        <v>3256</v>
      </c>
      <c r="N27" s="9">
        <v>3064</v>
      </c>
      <c r="O27" s="9">
        <v>3526</v>
      </c>
      <c r="P27" s="9">
        <v>4348</v>
      </c>
      <c r="Q27" s="9">
        <v>0</v>
      </c>
      <c r="R27" s="9">
        <v>0</v>
      </c>
      <c r="T27" s="78">
        <f t="shared" si="0"/>
        <v>44052</v>
      </c>
    </row>
    <row r="28" spans="1:22">
      <c r="B28" s="71">
        <f>+B26-B27</f>
        <v>0</v>
      </c>
      <c r="C28" s="71">
        <f t="shared" ref="C28:R28" si="3">+C26-C27</f>
        <v>0</v>
      </c>
      <c r="D28" s="71">
        <f t="shared" si="3"/>
        <v>0</v>
      </c>
      <c r="E28" s="71">
        <f t="shared" si="3"/>
        <v>0</v>
      </c>
      <c r="F28" s="71">
        <f t="shared" si="3"/>
        <v>0</v>
      </c>
      <c r="G28" s="71">
        <f t="shared" si="3"/>
        <v>0</v>
      </c>
      <c r="H28" s="71">
        <f t="shared" si="3"/>
        <v>0</v>
      </c>
      <c r="I28" s="71">
        <f t="shared" si="3"/>
        <v>0</v>
      </c>
      <c r="J28" s="71">
        <f t="shared" si="3"/>
        <v>0</v>
      </c>
      <c r="K28" s="71">
        <f t="shared" si="3"/>
        <v>0</v>
      </c>
      <c r="L28" s="71">
        <f t="shared" si="3"/>
        <v>0</v>
      </c>
      <c r="M28" s="71">
        <f t="shared" si="3"/>
        <v>0</v>
      </c>
      <c r="N28" s="71">
        <f t="shared" si="3"/>
        <v>0</v>
      </c>
      <c r="O28" s="71">
        <f t="shared" si="3"/>
        <v>0</v>
      </c>
      <c r="P28" s="71">
        <f t="shared" si="3"/>
        <v>0</v>
      </c>
      <c r="Q28" s="71">
        <f t="shared" si="3"/>
        <v>0</v>
      </c>
      <c r="R28" s="71">
        <f t="shared" si="3"/>
        <v>0</v>
      </c>
      <c r="T28" s="78">
        <f t="shared" si="0"/>
        <v>0</v>
      </c>
    </row>
    <row r="30" spans="1:22">
      <c r="A30" s="19" t="s">
        <v>0</v>
      </c>
      <c r="B30" s="9" t="s">
        <v>1245</v>
      </c>
      <c r="C30" s="9" t="s">
        <v>1246</v>
      </c>
      <c r="D30" s="9" t="s">
        <v>1247</v>
      </c>
      <c r="E30" s="9" t="s">
        <v>1248</v>
      </c>
      <c r="F30" s="9" t="s">
        <v>1249</v>
      </c>
      <c r="G30" s="9" t="s">
        <v>1250</v>
      </c>
      <c r="H30" s="9" t="s">
        <v>1251</v>
      </c>
      <c r="I30" s="9" t="s">
        <v>1252</v>
      </c>
      <c r="J30" s="9" t="s">
        <v>1253</v>
      </c>
      <c r="K30" s="9" t="s">
        <v>1254</v>
      </c>
      <c r="L30" s="9" t="s">
        <v>1258</v>
      </c>
      <c r="M30" s="9" t="s">
        <v>1259</v>
      </c>
      <c r="N30" s="9" t="s">
        <v>1260</v>
      </c>
      <c r="O30" s="9" t="s">
        <v>1261</v>
      </c>
      <c r="P30" s="9" t="s">
        <v>1262</v>
      </c>
      <c r="Q30" s="9" t="s">
        <v>1263</v>
      </c>
      <c r="R30" s="9" t="s">
        <v>1264</v>
      </c>
    </row>
    <row r="31" spans="1:22">
      <c r="A31" s="19">
        <v>1232846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204</v>
      </c>
      <c r="J31" s="9">
        <v>0</v>
      </c>
      <c r="K31" s="9">
        <v>0</v>
      </c>
      <c r="L31" s="9">
        <v>352</v>
      </c>
      <c r="M31" s="9">
        <v>352</v>
      </c>
      <c r="N31" s="9">
        <v>205</v>
      </c>
      <c r="O31" s="9">
        <v>0</v>
      </c>
      <c r="P31" s="9">
        <v>0</v>
      </c>
      <c r="Q31" s="9">
        <v>0</v>
      </c>
      <c r="R31" s="9">
        <v>0</v>
      </c>
    </row>
    <row r="32" spans="1:22">
      <c r="A32" s="19">
        <v>1232895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204</v>
      </c>
      <c r="J32" s="9">
        <v>0</v>
      </c>
      <c r="K32" s="9">
        <v>0</v>
      </c>
      <c r="L32" s="9">
        <v>352</v>
      </c>
      <c r="M32" s="9">
        <v>352</v>
      </c>
      <c r="N32" s="9">
        <v>205</v>
      </c>
      <c r="O32" s="9">
        <v>0</v>
      </c>
      <c r="P32" s="9">
        <v>0</v>
      </c>
      <c r="Q32" s="9">
        <v>0</v>
      </c>
      <c r="R32" s="9">
        <v>0</v>
      </c>
    </row>
    <row r="33" spans="1:18">
      <c r="A33" s="19">
        <v>1233384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204</v>
      </c>
      <c r="J33" s="9">
        <v>0</v>
      </c>
      <c r="K33" s="9">
        <v>0</v>
      </c>
      <c r="L33" s="9">
        <v>352</v>
      </c>
      <c r="M33" s="9">
        <v>352</v>
      </c>
      <c r="N33" s="9">
        <v>205</v>
      </c>
      <c r="O33" s="9">
        <v>0</v>
      </c>
      <c r="P33" s="9">
        <v>0</v>
      </c>
      <c r="Q33" s="9">
        <v>0</v>
      </c>
      <c r="R33" s="9">
        <v>0</v>
      </c>
    </row>
    <row r="34" spans="1:18">
      <c r="A34" s="19">
        <v>1236110</v>
      </c>
      <c r="B34" s="9">
        <v>0</v>
      </c>
      <c r="C34" s="9">
        <v>0</v>
      </c>
      <c r="D34" s="9">
        <v>0</v>
      </c>
      <c r="E34" s="9">
        <v>0</v>
      </c>
      <c r="F34" s="9">
        <v>120</v>
      </c>
      <c r="G34" s="9">
        <v>30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>
      <c r="A35" s="19">
        <v>1236387</v>
      </c>
      <c r="B35" s="9">
        <v>0</v>
      </c>
      <c r="C35" s="9">
        <v>0</v>
      </c>
      <c r="D35" s="9">
        <v>0</v>
      </c>
      <c r="E35" s="9">
        <v>271</v>
      </c>
      <c r="F35" s="9">
        <v>0</v>
      </c>
      <c r="G35" s="9">
        <v>367</v>
      </c>
      <c r="H35" s="9">
        <v>62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</row>
    <row r="36" spans="1:18">
      <c r="A36" s="19">
        <v>1232775</v>
      </c>
      <c r="B36" s="9">
        <v>225</v>
      </c>
      <c r="C36" s="9">
        <v>0</v>
      </c>
      <c r="D36" s="9">
        <v>0</v>
      </c>
      <c r="E36" s="9">
        <v>210</v>
      </c>
      <c r="F36" s="9">
        <v>209</v>
      </c>
      <c r="G36" s="9">
        <v>242</v>
      </c>
      <c r="H36" s="9">
        <v>192</v>
      </c>
      <c r="I36" s="9">
        <v>324</v>
      </c>
      <c r="J36" s="9">
        <v>0</v>
      </c>
      <c r="K36" s="9">
        <v>0</v>
      </c>
      <c r="L36" s="9">
        <v>242</v>
      </c>
      <c r="M36" s="9">
        <v>245</v>
      </c>
      <c r="N36" s="9">
        <v>242</v>
      </c>
      <c r="O36" s="9">
        <v>134</v>
      </c>
      <c r="P36" s="9">
        <v>0</v>
      </c>
      <c r="Q36" s="9">
        <v>0</v>
      </c>
      <c r="R36" s="9">
        <v>0</v>
      </c>
    </row>
    <row r="37" spans="1:18">
      <c r="A37" s="19">
        <v>1238605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70</v>
      </c>
      <c r="P37" s="9">
        <v>88</v>
      </c>
      <c r="Q37" s="9">
        <v>0</v>
      </c>
      <c r="R37" s="9">
        <v>0</v>
      </c>
    </row>
    <row r="42" spans="1:18">
      <c r="A42" s="19" t="s">
        <v>0</v>
      </c>
      <c r="B42" s="9" t="s">
        <v>1245</v>
      </c>
      <c r="C42" s="9" t="s">
        <v>1246</v>
      </c>
      <c r="D42" s="9" t="s">
        <v>1247</v>
      </c>
      <c r="E42" s="9" t="s">
        <v>1248</v>
      </c>
      <c r="F42" s="9" t="s">
        <v>1249</v>
      </c>
      <c r="G42" s="9" t="s">
        <v>1250</v>
      </c>
      <c r="H42" s="9" t="s">
        <v>1251</v>
      </c>
      <c r="I42" s="9" t="s">
        <v>1252</v>
      </c>
      <c r="J42" s="9" t="s">
        <v>1253</v>
      </c>
      <c r="K42" s="9" t="s">
        <v>1254</v>
      </c>
      <c r="L42" s="9" t="s">
        <v>1258</v>
      </c>
      <c r="M42" s="9" t="s">
        <v>1259</v>
      </c>
      <c r="N42" s="9" t="s">
        <v>1260</v>
      </c>
      <c r="O42" s="9" t="s">
        <v>1261</v>
      </c>
      <c r="P42" s="9" t="s">
        <v>1262</v>
      </c>
      <c r="Q42" s="9" t="s">
        <v>1263</v>
      </c>
      <c r="R42" s="9" t="s">
        <v>1264</v>
      </c>
    </row>
    <row r="43" spans="1:18">
      <c r="A43" s="19">
        <v>1234614</v>
      </c>
      <c r="B43" s="9">
        <v>632</v>
      </c>
      <c r="C43" s="9">
        <v>0</v>
      </c>
      <c r="D43" s="9">
        <v>0</v>
      </c>
      <c r="E43" s="9">
        <v>0</v>
      </c>
      <c r="F43" s="9">
        <v>0</v>
      </c>
      <c r="G43" s="9">
        <v>61</v>
      </c>
      <c r="H43" s="9">
        <v>587</v>
      </c>
      <c r="I43" s="9">
        <v>321</v>
      </c>
      <c r="J43" s="9">
        <v>0</v>
      </c>
      <c r="K43" s="9">
        <v>0</v>
      </c>
      <c r="L43" s="9">
        <v>50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>
      <c r="A44" s="19">
        <v>1221967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220</v>
      </c>
      <c r="J44" s="9">
        <v>0</v>
      </c>
      <c r="K44" s="9">
        <v>0</v>
      </c>
      <c r="L44" s="9">
        <v>56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>
      <c r="A45" s="19">
        <v>1227306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280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600</v>
      </c>
      <c r="N45" s="9">
        <v>500</v>
      </c>
      <c r="O45" s="9">
        <v>0</v>
      </c>
      <c r="P45" s="9">
        <v>0</v>
      </c>
      <c r="Q45" s="9">
        <v>0</v>
      </c>
      <c r="R45" s="9">
        <v>0</v>
      </c>
    </row>
    <row r="46" spans="1:18">
      <c r="A46" s="19">
        <v>1231797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71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>
      <c r="A47" s="19">
        <v>1229776</v>
      </c>
      <c r="B47" s="9">
        <v>5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180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</row>
    <row r="48" spans="1:18">
      <c r="A48" s="19">
        <v>1231090</v>
      </c>
      <c r="B48" s="9">
        <v>5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475</v>
      </c>
      <c r="J48" s="9">
        <v>0</v>
      </c>
      <c r="K48" s="9">
        <v>0</v>
      </c>
      <c r="L48" s="9">
        <v>180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>
      <c r="A49" s="19">
        <v>1232066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18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</row>
    <row r="50" spans="1:18">
      <c r="A50" s="19">
        <v>1229088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250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>
      <c r="A51" s="19">
        <v>1232693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400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</row>
    <row r="52" spans="1:18">
      <c r="A52" s="19">
        <v>1233025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400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</row>
    <row r="53" spans="1:18">
      <c r="A53" s="19">
        <v>1225464</v>
      </c>
      <c r="B53" s="9">
        <v>0</v>
      </c>
      <c r="C53" s="9">
        <v>0</v>
      </c>
      <c r="D53" s="9">
        <v>0</v>
      </c>
      <c r="E53" s="9">
        <v>0</v>
      </c>
      <c r="F53" s="9">
        <v>50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</row>
    <row r="54" spans="1:18">
      <c r="A54" s="19">
        <v>1234222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510</v>
      </c>
      <c r="Q54" s="9">
        <v>0</v>
      </c>
      <c r="R54" s="9">
        <v>0</v>
      </c>
    </row>
    <row r="55" spans="1:18">
      <c r="A55" s="19">
        <v>1232528</v>
      </c>
      <c r="B55" s="9">
        <v>686</v>
      </c>
      <c r="C55" s="9">
        <v>0</v>
      </c>
      <c r="D55" s="9">
        <v>0</v>
      </c>
      <c r="E55" s="9">
        <v>686</v>
      </c>
      <c r="F55" s="9">
        <v>686</v>
      </c>
      <c r="G55" s="9">
        <v>539</v>
      </c>
      <c r="H55" s="9">
        <v>686</v>
      </c>
      <c r="I55" s="9">
        <v>2174</v>
      </c>
      <c r="J55" s="9">
        <v>0</v>
      </c>
      <c r="K55" s="9">
        <v>0</v>
      </c>
      <c r="L55" s="9">
        <v>892</v>
      </c>
      <c r="M55" s="9">
        <v>1303</v>
      </c>
      <c r="N55" s="9">
        <v>1439</v>
      </c>
      <c r="O55" s="9">
        <v>1908</v>
      </c>
      <c r="P55" s="9">
        <v>1908</v>
      </c>
      <c r="Q55" s="9">
        <v>0</v>
      </c>
      <c r="R55" s="9">
        <v>0</v>
      </c>
    </row>
    <row r="56" spans="1:18">
      <c r="A56" s="19">
        <v>1232553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50</v>
      </c>
      <c r="I56" s="9">
        <v>202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</row>
    <row r="57" spans="1:18">
      <c r="A57" s="19">
        <v>1232846</v>
      </c>
      <c r="B57" s="9">
        <v>667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176</v>
      </c>
      <c r="I57" s="9">
        <v>700</v>
      </c>
      <c r="J57" s="9">
        <v>0</v>
      </c>
      <c r="K57" s="9">
        <v>0</v>
      </c>
      <c r="L57" s="9">
        <v>466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</row>
    <row r="58" spans="1:18">
      <c r="A58" s="19">
        <v>1229050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520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</row>
    <row r="59" spans="1:18">
      <c r="A59" s="19">
        <v>1233383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6</v>
      </c>
      <c r="M59" s="9">
        <v>150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</row>
    <row r="60" spans="1:18" s="20" customFormat="1">
      <c r="A60" s="101">
        <v>1220847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1750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</row>
    <row r="61" spans="1:18">
      <c r="A61" s="19">
        <v>1232775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322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</row>
    <row r="62" spans="1:18">
      <c r="A62" s="19">
        <v>1235097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300</v>
      </c>
      <c r="O62" s="9">
        <v>0</v>
      </c>
      <c r="P62" s="9">
        <v>0</v>
      </c>
      <c r="Q62" s="9">
        <v>0</v>
      </c>
      <c r="R62" s="9">
        <v>0</v>
      </c>
    </row>
    <row r="63" spans="1:18">
      <c r="A63" s="19">
        <v>1235958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25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</row>
    <row r="64" spans="1:18">
      <c r="A64" s="19">
        <v>1235845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100</v>
      </c>
      <c r="O64" s="9">
        <v>0</v>
      </c>
      <c r="P64" s="9">
        <v>0</v>
      </c>
      <c r="Q64" s="9">
        <v>0</v>
      </c>
      <c r="R64" s="9">
        <v>0</v>
      </c>
    </row>
    <row r="65" spans="1:18">
      <c r="A65" s="19">
        <v>1236600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533</v>
      </c>
      <c r="M65" s="9">
        <v>533</v>
      </c>
      <c r="N65" s="9">
        <v>64</v>
      </c>
      <c r="O65" s="9">
        <v>0</v>
      </c>
      <c r="P65" s="9">
        <v>0</v>
      </c>
      <c r="Q65" s="9">
        <v>0</v>
      </c>
      <c r="R65" s="9">
        <v>0</v>
      </c>
    </row>
    <row r="66" spans="1:18">
      <c r="A66" s="19">
        <v>1236601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27</v>
      </c>
      <c r="O66" s="9">
        <v>0</v>
      </c>
      <c r="P66" s="9">
        <v>0</v>
      </c>
      <c r="Q66" s="9">
        <v>0</v>
      </c>
      <c r="R66" s="9">
        <v>0</v>
      </c>
    </row>
    <row r="67" spans="1:18">
      <c r="A67" s="19">
        <v>1236619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270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</row>
    <row r="68" spans="1:18">
      <c r="A68" s="19">
        <v>1236930</v>
      </c>
      <c r="B68" s="9">
        <v>724</v>
      </c>
      <c r="C68" s="9">
        <v>0</v>
      </c>
      <c r="D68" s="9">
        <v>0</v>
      </c>
      <c r="E68" s="9">
        <v>817</v>
      </c>
      <c r="F68" s="9">
        <v>865</v>
      </c>
      <c r="G68" s="9">
        <v>74</v>
      </c>
      <c r="H68" s="9">
        <v>497</v>
      </c>
      <c r="I68" s="9">
        <v>1080</v>
      </c>
      <c r="J68" s="9">
        <v>0</v>
      </c>
      <c r="K68" s="9">
        <v>0</v>
      </c>
      <c r="L68" s="9">
        <v>895</v>
      </c>
      <c r="M68" s="9">
        <v>495</v>
      </c>
      <c r="N68" s="9">
        <v>311</v>
      </c>
      <c r="O68" s="9">
        <v>395</v>
      </c>
      <c r="P68" s="9">
        <v>1335</v>
      </c>
      <c r="Q68" s="9">
        <v>0</v>
      </c>
      <c r="R68" s="9">
        <v>0</v>
      </c>
    </row>
    <row r="69" spans="1:18">
      <c r="A69" s="19">
        <v>1237210</v>
      </c>
      <c r="B69" s="9">
        <v>26</v>
      </c>
      <c r="C69" s="9">
        <v>0</v>
      </c>
      <c r="D69" s="9">
        <v>0</v>
      </c>
      <c r="E69" s="9">
        <v>144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375</v>
      </c>
      <c r="Q69" s="9">
        <v>0</v>
      </c>
      <c r="R69" s="9">
        <v>0</v>
      </c>
    </row>
    <row r="70" spans="1:18">
      <c r="A70" s="19">
        <v>1237457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18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</row>
    <row r="71" spans="1:18">
      <c r="A71" s="19">
        <v>1237386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180</v>
      </c>
      <c r="Q71" s="9">
        <v>0</v>
      </c>
      <c r="R71" s="9">
        <v>0</v>
      </c>
    </row>
    <row r="72" spans="1:18">
      <c r="A72" s="19">
        <v>1238480</v>
      </c>
      <c r="B72" s="9">
        <v>721</v>
      </c>
      <c r="C72" s="9">
        <v>0</v>
      </c>
      <c r="D72" s="9">
        <v>0</v>
      </c>
      <c r="E72" s="9">
        <v>1036</v>
      </c>
      <c r="F72" s="9">
        <v>1170</v>
      </c>
      <c r="G72" s="9">
        <v>406</v>
      </c>
      <c r="H72" s="9">
        <v>758</v>
      </c>
      <c r="I72" s="9">
        <v>1230</v>
      </c>
      <c r="J72" s="9">
        <v>0</v>
      </c>
      <c r="K72" s="9">
        <v>0</v>
      </c>
      <c r="L72" s="9">
        <v>599</v>
      </c>
      <c r="M72" s="9">
        <v>346</v>
      </c>
      <c r="N72" s="9">
        <v>248</v>
      </c>
      <c r="O72" s="9">
        <v>0</v>
      </c>
      <c r="P72" s="9">
        <v>0</v>
      </c>
      <c r="Q72" s="9">
        <v>0</v>
      </c>
      <c r="R72" s="9">
        <v>0</v>
      </c>
    </row>
    <row r="73" spans="1:18">
      <c r="A73" s="19">
        <v>1240180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177</v>
      </c>
      <c r="H73" s="9">
        <v>123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400</v>
      </c>
      <c r="P73" s="9">
        <v>0</v>
      </c>
      <c r="Q73" s="9">
        <v>0</v>
      </c>
      <c r="R73" s="9">
        <v>0</v>
      </c>
    </row>
    <row r="74" spans="1:18">
      <c r="A74" s="19">
        <v>1240184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177</v>
      </c>
      <c r="H74" s="9">
        <v>123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400</v>
      </c>
      <c r="P74" s="9">
        <v>0</v>
      </c>
      <c r="Q74" s="9">
        <v>0</v>
      </c>
      <c r="R74" s="9">
        <v>0</v>
      </c>
    </row>
    <row r="75" spans="1:18">
      <c r="A75" s="19">
        <v>1237468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4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</row>
    <row r="76" spans="1:18">
      <c r="A76" s="19">
        <v>1238453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60</v>
      </c>
      <c r="P76" s="9">
        <v>1212</v>
      </c>
      <c r="Q76" s="9">
        <v>0</v>
      </c>
      <c r="R76" s="9">
        <v>0</v>
      </c>
    </row>
    <row r="77" spans="1:18">
      <c r="A77" s="19">
        <v>1216452</v>
      </c>
      <c r="B77" s="9">
        <v>0</v>
      </c>
      <c r="C77" s="9">
        <v>0</v>
      </c>
      <c r="D77" s="9">
        <v>0</v>
      </c>
      <c r="E77" s="9">
        <v>0</v>
      </c>
      <c r="F77" s="9">
        <v>386</v>
      </c>
      <c r="G77" s="9">
        <v>825</v>
      </c>
      <c r="H77" s="9">
        <v>670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2601</v>
      </c>
      <c r="O77" s="9">
        <v>612</v>
      </c>
      <c r="P77" s="9">
        <v>0</v>
      </c>
      <c r="Q77" s="9">
        <v>0</v>
      </c>
      <c r="R77" s="9">
        <v>0</v>
      </c>
    </row>
    <row r="78" spans="1:18">
      <c r="A78" s="19">
        <v>1232894</v>
      </c>
      <c r="B78" s="9">
        <v>667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176</v>
      </c>
      <c r="I78" s="9">
        <v>700</v>
      </c>
      <c r="J78" s="9">
        <v>0</v>
      </c>
      <c r="K78" s="9">
        <v>0</v>
      </c>
      <c r="L78" s="9">
        <v>133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</row>
    <row r="79" spans="1:18">
      <c r="A79" s="19">
        <v>1233386</v>
      </c>
      <c r="B79" s="9">
        <v>303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176</v>
      </c>
      <c r="I79" s="9">
        <v>700</v>
      </c>
      <c r="J79" s="9">
        <v>0</v>
      </c>
      <c r="K79" s="9">
        <v>0</v>
      </c>
      <c r="L79" s="9">
        <v>133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</row>
    <row r="80" spans="1:18">
      <c r="A80" s="19">
        <v>1233387</v>
      </c>
      <c r="B80" s="9">
        <v>268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</row>
    <row r="81" spans="1:18">
      <c r="A81" s="19">
        <v>1233385</v>
      </c>
      <c r="B81" s="9">
        <v>96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</row>
    <row r="82" spans="1:18">
      <c r="A82" s="19">
        <v>1232895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333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</row>
    <row r="83" spans="1:18">
      <c r="A83" s="19">
        <v>1232922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333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</row>
  </sheetData>
  <phoneticPr fontId="1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CF57-02A0-49F7-9C86-AEEF61CB7066}">
  <dimension ref="A1:O79"/>
  <sheetViews>
    <sheetView topLeftCell="A17" zoomScale="160" zoomScaleNormal="160" workbookViewId="0">
      <selection activeCell="F26" sqref="F26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4" width="9.5" style="9" customWidth="1"/>
    <col min="15" max="15" width="9.5" style="9" bestFit="1" customWidth="1"/>
    <col min="16" max="16384" width="9.33203125" style="5"/>
  </cols>
  <sheetData>
    <row r="1" spans="1:15">
      <c r="A1" s="19" t="s">
        <v>0</v>
      </c>
      <c r="B1" s="9" t="s">
        <v>1248</v>
      </c>
      <c r="C1" s="9" t="s">
        <v>1249</v>
      </c>
      <c r="D1" s="9" t="s">
        <v>1250</v>
      </c>
      <c r="E1" s="9" t="s">
        <v>1251</v>
      </c>
      <c r="F1" s="9" t="s">
        <v>1252</v>
      </c>
      <c r="G1" s="9" t="s">
        <v>1253</v>
      </c>
      <c r="H1" s="9" t="s">
        <v>1254</v>
      </c>
      <c r="I1" s="9" t="s">
        <v>1258</v>
      </c>
      <c r="J1" s="9" t="s">
        <v>1259</v>
      </c>
      <c r="K1" s="9" t="s">
        <v>1260</v>
      </c>
      <c r="L1" s="9" t="s">
        <v>1261</v>
      </c>
      <c r="M1" s="9" t="s">
        <v>1262</v>
      </c>
      <c r="N1" s="9" t="s">
        <v>1263</v>
      </c>
      <c r="O1" s="9" t="s">
        <v>1264</v>
      </c>
    </row>
    <row r="2" spans="1:15">
      <c r="A2" s="19">
        <v>1226384</v>
      </c>
      <c r="B2" s="9">
        <v>0</v>
      </c>
      <c r="C2" s="9">
        <v>0</v>
      </c>
      <c r="D2" s="9">
        <v>400</v>
      </c>
      <c r="E2" s="9">
        <v>400</v>
      </c>
      <c r="F2" s="9">
        <v>260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5">
      <c r="A3" s="19">
        <v>1226388</v>
      </c>
      <c r="B3" s="9">
        <v>0</v>
      </c>
      <c r="C3" s="9">
        <v>0</v>
      </c>
      <c r="D3" s="9">
        <v>400</v>
      </c>
      <c r="E3" s="9">
        <v>400</v>
      </c>
      <c r="F3" s="9">
        <v>260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>
      <c r="A4" s="19">
        <v>1229673</v>
      </c>
      <c r="B4" s="9">
        <v>200</v>
      </c>
      <c r="C4" s="9">
        <v>200</v>
      </c>
      <c r="D4" s="9">
        <v>200</v>
      </c>
      <c r="E4" s="9">
        <v>0</v>
      </c>
      <c r="F4" s="9">
        <v>0</v>
      </c>
      <c r="G4" s="9">
        <v>0</v>
      </c>
      <c r="H4" s="9">
        <v>0</v>
      </c>
      <c r="I4" s="9">
        <v>200</v>
      </c>
      <c r="J4" s="9">
        <v>200</v>
      </c>
      <c r="K4" s="9">
        <v>0</v>
      </c>
      <c r="L4" s="9">
        <v>300</v>
      </c>
      <c r="M4" s="9">
        <v>300</v>
      </c>
      <c r="N4" s="9">
        <v>0</v>
      </c>
      <c r="O4" s="9">
        <v>0</v>
      </c>
    </row>
    <row r="5" spans="1:15">
      <c r="A5" s="19">
        <v>1231202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100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>
      <c r="A6" s="19">
        <v>1233492</v>
      </c>
      <c r="B6" s="9">
        <v>0</v>
      </c>
      <c r="C6" s="9">
        <v>0</v>
      </c>
      <c r="D6" s="9">
        <v>0</v>
      </c>
      <c r="E6" s="9">
        <v>0</v>
      </c>
      <c r="F6" s="9">
        <v>300</v>
      </c>
      <c r="G6" s="9">
        <v>0</v>
      </c>
      <c r="H6" s="9">
        <v>0</v>
      </c>
      <c r="I6" s="9">
        <v>782</v>
      </c>
      <c r="J6" s="9">
        <v>50</v>
      </c>
      <c r="K6" s="9">
        <v>0</v>
      </c>
      <c r="L6" s="9">
        <v>0</v>
      </c>
      <c r="M6" s="9">
        <v>0</v>
      </c>
      <c r="N6" s="9">
        <v>0</v>
      </c>
      <c r="O6" s="9">
        <v>0</v>
      </c>
    </row>
    <row r="7" spans="1:15">
      <c r="A7" s="19">
        <v>1233498</v>
      </c>
      <c r="B7" s="9">
        <v>0</v>
      </c>
      <c r="C7" s="9">
        <v>0</v>
      </c>
      <c r="D7" s="9">
        <v>0</v>
      </c>
      <c r="E7" s="9">
        <v>0</v>
      </c>
      <c r="F7" s="9">
        <v>300</v>
      </c>
      <c r="G7" s="9">
        <v>0</v>
      </c>
      <c r="H7" s="9">
        <v>0</v>
      </c>
      <c r="I7" s="9">
        <v>782</v>
      </c>
      <c r="J7" s="9">
        <v>50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>
      <c r="A8" s="19">
        <v>1233623</v>
      </c>
      <c r="B8" s="9">
        <v>0</v>
      </c>
      <c r="C8" s="9">
        <v>0</v>
      </c>
      <c r="D8" s="9">
        <v>0</v>
      </c>
      <c r="E8" s="9">
        <v>0</v>
      </c>
      <c r="F8" s="9">
        <v>300</v>
      </c>
      <c r="G8" s="9">
        <v>0</v>
      </c>
      <c r="H8" s="9">
        <v>0</v>
      </c>
      <c r="I8" s="9">
        <v>782</v>
      </c>
      <c r="J8" s="9">
        <v>50</v>
      </c>
      <c r="K8" s="9">
        <v>0</v>
      </c>
      <c r="L8" s="9">
        <v>0</v>
      </c>
      <c r="M8" s="9">
        <v>0</v>
      </c>
      <c r="N8" s="9">
        <v>0</v>
      </c>
      <c r="O8" s="9">
        <v>0</v>
      </c>
    </row>
    <row r="9" spans="1:15">
      <c r="A9" s="19">
        <v>1233877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150</v>
      </c>
      <c r="L9" s="9">
        <v>0</v>
      </c>
      <c r="M9" s="9">
        <v>0</v>
      </c>
      <c r="N9" s="9">
        <v>0</v>
      </c>
      <c r="O9" s="9">
        <v>0</v>
      </c>
    </row>
    <row r="10" spans="1:15">
      <c r="A10" s="19">
        <v>1235623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24</v>
      </c>
      <c r="M10" s="9">
        <v>912</v>
      </c>
      <c r="N10" s="9">
        <v>0</v>
      </c>
      <c r="O10" s="9">
        <v>0</v>
      </c>
    </row>
    <row r="11" spans="1:15">
      <c r="A11" s="19">
        <v>1237088</v>
      </c>
      <c r="B11" s="9">
        <v>0</v>
      </c>
      <c r="C11" s="9">
        <v>552</v>
      </c>
      <c r="D11" s="9">
        <v>404</v>
      </c>
      <c r="E11" s="9">
        <v>0</v>
      </c>
      <c r="F11" s="9">
        <v>0</v>
      </c>
      <c r="G11" s="9">
        <v>0</v>
      </c>
      <c r="H11" s="9">
        <v>0</v>
      </c>
      <c r="I11" s="9">
        <v>866</v>
      </c>
      <c r="J11" s="9">
        <v>826</v>
      </c>
      <c r="K11" s="9">
        <v>406</v>
      </c>
      <c r="L11" s="9">
        <v>706</v>
      </c>
      <c r="M11" s="9">
        <v>550</v>
      </c>
      <c r="N11" s="9">
        <v>0</v>
      </c>
      <c r="O11" s="9">
        <v>0</v>
      </c>
    </row>
    <row r="12" spans="1:15">
      <c r="A12" s="19">
        <v>1231898</v>
      </c>
      <c r="B12" s="9">
        <v>230</v>
      </c>
      <c r="C12" s="9">
        <v>250</v>
      </c>
      <c r="D12" s="9">
        <v>240</v>
      </c>
      <c r="E12" s="9">
        <v>0</v>
      </c>
      <c r="F12" s="9">
        <v>384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</row>
    <row r="13" spans="1:15">
      <c r="A13" s="19">
        <v>1237586</v>
      </c>
      <c r="B13" s="9">
        <v>230</v>
      </c>
      <c r="C13" s="9">
        <v>250</v>
      </c>
      <c r="D13" s="9">
        <v>240</v>
      </c>
      <c r="E13" s="9">
        <v>0</v>
      </c>
      <c r="F13" s="9">
        <v>384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</row>
    <row r="14" spans="1:15">
      <c r="A14" s="19">
        <v>1236091</v>
      </c>
      <c r="B14" s="9">
        <v>0</v>
      </c>
      <c r="C14" s="9">
        <v>0</v>
      </c>
      <c r="D14" s="9">
        <v>0</v>
      </c>
      <c r="E14" s="9">
        <v>250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</row>
    <row r="15" spans="1:15">
      <c r="A15" s="19">
        <v>1234905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514</v>
      </c>
      <c r="J15" s="9">
        <v>512</v>
      </c>
      <c r="K15" s="9">
        <v>334</v>
      </c>
      <c r="L15" s="9">
        <v>426</v>
      </c>
      <c r="M15" s="9">
        <v>426</v>
      </c>
      <c r="N15" s="9">
        <v>0</v>
      </c>
      <c r="O15" s="9">
        <v>0</v>
      </c>
    </row>
    <row r="16" spans="1:15">
      <c r="A16" s="19">
        <v>1238128</v>
      </c>
      <c r="B16" s="9">
        <v>352</v>
      </c>
      <c r="C16" s="9">
        <v>590</v>
      </c>
      <c r="D16" s="9">
        <v>464</v>
      </c>
      <c r="E16" s="9">
        <v>258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</row>
    <row r="17" spans="1:15">
      <c r="A17" s="19">
        <v>1237748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126</v>
      </c>
      <c r="L17" s="9">
        <v>810</v>
      </c>
      <c r="M17" s="9">
        <v>0</v>
      </c>
      <c r="N17" s="9">
        <v>0</v>
      </c>
      <c r="O17" s="9">
        <v>0</v>
      </c>
    </row>
    <row r="18" spans="1:15">
      <c r="A18" s="19">
        <v>1236962</v>
      </c>
      <c r="B18" s="9">
        <v>200</v>
      </c>
      <c r="C18" s="9">
        <v>0</v>
      </c>
      <c r="D18" s="9">
        <v>0</v>
      </c>
      <c r="E18" s="9">
        <v>124</v>
      </c>
      <c r="F18" s="9">
        <v>150</v>
      </c>
      <c r="G18" s="9">
        <v>0</v>
      </c>
      <c r="H18" s="9">
        <v>0</v>
      </c>
      <c r="I18" s="9">
        <v>0</v>
      </c>
      <c r="J18" s="9">
        <v>200</v>
      </c>
      <c r="K18" s="9">
        <v>222</v>
      </c>
      <c r="L18" s="9">
        <v>200</v>
      </c>
      <c r="M18" s="9">
        <v>200</v>
      </c>
      <c r="N18" s="9">
        <v>0</v>
      </c>
      <c r="O18" s="9">
        <v>0</v>
      </c>
    </row>
    <row r="19" spans="1:15">
      <c r="A19" s="19">
        <v>1233761</v>
      </c>
      <c r="B19" s="9">
        <v>150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200</v>
      </c>
      <c r="M19" s="9">
        <v>0</v>
      </c>
      <c r="N19" s="9">
        <v>0</v>
      </c>
      <c r="O19" s="9">
        <v>0</v>
      </c>
    </row>
    <row r="20" spans="1:15">
      <c r="A20" s="19">
        <v>1239651</v>
      </c>
      <c r="B20" s="9">
        <v>0</v>
      </c>
      <c r="C20" s="9">
        <v>400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250</v>
      </c>
      <c r="L20" s="9">
        <v>0</v>
      </c>
      <c r="M20" s="9">
        <v>350</v>
      </c>
      <c r="N20" s="9">
        <v>0</v>
      </c>
      <c r="O20" s="9">
        <v>0</v>
      </c>
    </row>
    <row r="21" spans="1:15">
      <c r="A21" s="19">
        <v>1240180</v>
      </c>
      <c r="B21" s="9">
        <v>384</v>
      </c>
      <c r="C21" s="9">
        <v>430</v>
      </c>
      <c r="D21" s="9">
        <v>339</v>
      </c>
      <c r="E21" s="9">
        <v>430</v>
      </c>
      <c r="F21" s="9">
        <v>430</v>
      </c>
      <c r="G21" s="9">
        <v>0</v>
      </c>
      <c r="H21" s="9">
        <v>0</v>
      </c>
      <c r="I21" s="9">
        <v>50</v>
      </c>
      <c r="J21" s="9">
        <v>334</v>
      </c>
      <c r="K21" s="9">
        <v>338</v>
      </c>
      <c r="L21" s="9">
        <v>430</v>
      </c>
      <c r="M21" s="9">
        <v>430</v>
      </c>
      <c r="N21" s="9">
        <v>0</v>
      </c>
      <c r="O21" s="9">
        <v>0</v>
      </c>
    </row>
    <row r="22" spans="1:15">
      <c r="A22" s="19">
        <v>1240184</v>
      </c>
      <c r="B22" s="9">
        <v>258</v>
      </c>
      <c r="C22" s="9">
        <v>430</v>
      </c>
      <c r="D22" s="9">
        <v>139</v>
      </c>
      <c r="E22" s="9">
        <v>386</v>
      </c>
      <c r="F22" s="9">
        <v>0</v>
      </c>
      <c r="G22" s="9">
        <v>0</v>
      </c>
      <c r="H22" s="9">
        <v>0</v>
      </c>
      <c r="I22" s="9">
        <v>0</v>
      </c>
      <c r="J22" s="9">
        <v>134</v>
      </c>
      <c r="K22" s="9">
        <v>338</v>
      </c>
      <c r="L22" s="9">
        <v>430</v>
      </c>
      <c r="M22" s="9">
        <v>430</v>
      </c>
      <c r="N22" s="9">
        <v>0</v>
      </c>
      <c r="O22" s="9">
        <v>0</v>
      </c>
    </row>
    <row r="23" spans="1:15">
      <c r="A23" s="19">
        <v>1240308</v>
      </c>
      <c r="B23" s="9">
        <v>200</v>
      </c>
      <c r="C23" s="9">
        <v>250</v>
      </c>
      <c r="D23" s="9">
        <v>184</v>
      </c>
      <c r="E23" s="9">
        <v>152</v>
      </c>
      <c r="F23" s="9">
        <v>266</v>
      </c>
      <c r="G23" s="9">
        <v>0</v>
      </c>
      <c r="H23" s="9">
        <v>0</v>
      </c>
      <c r="I23" s="9">
        <v>0</v>
      </c>
      <c r="J23" s="9">
        <v>0</v>
      </c>
      <c r="K23" s="9">
        <v>300</v>
      </c>
      <c r="L23" s="9">
        <v>0</v>
      </c>
      <c r="M23" s="9">
        <v>0</v>
      </c>
      <c r="N23" s="9">
        <v>0</v>
      </c>
      <c r="O23" s="9">
        <v>0</v>
      </c>
    </row>
    <row r="24" spans="1:15">
      <c r="A24" s="19">
        <v>1241601</v>
      </c>
      <c r="B24" s="9">
        <v>690</v>
      </c>
      <c r="C24" s="9">
        <v>1600</v>
      </c>
      <c r="D24" s="9">
        <v>678</v>
      </c>
      <c r="E24" s="9">
        <v>1808</v>
      </c>
      <c r="F24" s="9">
        <v>2062</v>
      </c>
      <c r="G24" s="9">
        <v>0</v>
      </c>
      <c r="H24" s="9">
        <v>0</v>
      </c>
      <c r="I24" s="9">
        <v>1272</v>
      </c>
      <c r="J24" s="9">
        <v>800</v>
      </c>
      <c r="K24" s="9">
        <v>600</v>
      </c>
      <c r="L24" s="9">
        <v>0</v>
      </c>
      <c r="M24" s="9">
        <v>750</v>
      </c>
      <c r="N24" s="9">
        <v>0</v>
      </c>
      <c r="O24" s="9">
        <v>0</v>
      </c>
    </row>
    <row r="29" spans="1:15">
      <c r="A29" s="19" t="s">
        <v>0</v>
      </c>
      <c r="B29" s="9" t="s">
        <v>1248</v>
      </c>
      <c r="C29" s="9" t="s">
        <v>1249</v>
      </c>
      <c r="D29" s="9" t="s">
        <v>1250</v>
      </c>
      <c r="E29" s="9" t="s">
        <v>1251</v>
      </c>
      <c r="F29" s="9" t="s">
        <v>1252</v>
      </c>
      <c r="G29" s="9" t="s">
        <v>1253</v>
      </c>
      <c r="H29" s="9" t="s">
        <v>1254</v>
      </c>
      <c r="I29" s="9" t="s">
        <v>1258</v>
      </c>
      <c r="J29" s="9" t="s">
        <v>1259</v>
      </c>
      <c r="K29" s="9" t="s">
        <v>1260</v>
      </c>
      <c r="L29" s="9" t="s">
        <v>1261</v>
      </c>
      <c r="M29" s="9" t="s">
        <v>1262</v>
      </c>
      <c r="N29" s="9" t="s">
        <v>1263</v>
      </c>
      <c r="O29" s="9" t="s">
        <v>1264</v>
      </c>
    </row>
    <row r="30" spans="1:15">
      <c r="A30" s="19">
        <v>1232846</v>
      </c>
      <c r="B30" s="9">
        <v>0</v>
      </c>
      <c r="C30" s="9">
        <v>0</v>
      </c>
      <c r="D30" s="9">
        <v>0</v>
      </c>
      <c r="E30" s="9">
        <v>0</v>
      </c>
      <c r="F30" s="9">
        <v>204</v>
      </c>
      <c r="G30" s="9">
        <v>0</v>
      </c>
      <c r="H30" s="9">
        <v>0</v>
      </c>
      <c r="I30" s="9">
        <v>352</v>
      </c>
      <c r="J30" s="9">
        <v>352</v>
      </c>
      <c r="K30" s="9">
        <v>205</v>
      </c>
      <c r="L30" s="9">
        <v>0</v>
      </c>
      <c r="M30" s="9">
        <v>0</v>
      </c>
      <c r="N30" s="9">
        <v>0</v>
      </c>
      <c r="O30" s="9">
        <v>0</v>
      </c>
    </row>
    <row r="31" spans="1:15">
      <c r="A31" s="19">
        <v>1232895</v>
      </c>
      <c r="B31" s="9">
        <v>0</v>
      </c>
      <c r="C31" s="9">
        <v>0</v>
      </c>
      <c r="D31" s="9">
        <v>0</v>
      </c>
      <c r="E31" s="9">
        <v>0</v>
      </c>
      <c r="F31" s="9">
        <v>204</v>
      </c>
      <c r="G31" s="9">
        <v>0</v>
      </c>
      <c r="H31" s="9">
        <v>0</v>
      </c>
      <c r="I31" s="9">
        <v>352</v>
      </c>
      <c r="J31" s="9">
        <v>352</v>
      </c>
      <c r="K31" s="9">
        <v>205</v>
      </c>
      <c r="L31" s="9">
        <v>0</v>
      </c>
      <c r="M31" s="9">
        <v>0</v>
      </c>
      <c r="N31" s="9">
        <v>0</v>
      </c>
      <c r="O31" s="9">
        <v>0</v>
      </c>
    </row>
    <row r="32" spans="1:15">
      <c r="A32" s="19">
        <v>1233384</v>
      </c>
      <c r="B32" s="9">
        <v>0</v>
      </c>
      <c r="C32" s="9">
        <v>0</v>
      </c>
      <c r="D32" s="9">
        <v>0</v>
      </c>
      <c r="E32" s="9">
        <v>0</v>
      </c>
      <c r="F32" s="9">
        <v>204</v>
      </c>
      <c r="G32" s="9">
        <v>0</v>
      </c>
      <c r="H32" s="9">
        <v>0</v>
      </c>
      <c r="I32" s="9">
        <v>352</v>
      </c>
      <c r="J32" s="9">
        <v>352</v>
      </c>
      <c r="K32" s="9">
        <v>205</v>
      </c>
      <c r="L32" s="9">
        <v>0</v>
      </c>
      <c r="M32" s="9">
        <v>0</v>
      </c>
      <c r="N32" s="9">
        <v>0</v>
      </c>
      <c r="O32" s="9">
        <v>0</v>
      </c>
    </row>
    <row r="33" spans="1:15">
      <c r="A33" s="19">
        <v>1236110</v>
      </c>
      <c r="B33" s="9">
        <v>0</v>
      </c>
      <c r="C33" s="9">
        <v>120</v>
      </c>
      <c r="D33" s="9">
        <v>30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>
      <c r="A34" s="19">
        <v>1236387</v>
      </c>
      <c r="B34" s="9">
        <v>271</v>
      </c>
      <c r="C34" s="9">
        <v>0</v>
      </c>
      <c r="D34" s="9">
        <v>367</v>
      </c>
      <c r="E34" s="9">
        <v>62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</row>
    <row r="35" spans="1:15">
      <c r="A35" s="19">
        <v>1232775</v>
      </c>
      <c r="B35" s="9">
        <v>210</v>
      </c>
      <c r="C35" s="9">
        <v>209</v>
      </c>
      <c r="D35" s="9">
        <v>242</v>
      </c>
      <c r="E35" s="9">
        <v>192</v>
      </c>
      <c r="F35" s="9">
        <v>324</v>
      </c>
      <c r="G35" s="9">
        <v>0</v>
      </c>
      <c r="H35" s="9">
        <v>0</v>
      </c>
      <c r="I35" s="9">
        <v>242</v>
      </c>
      <c r="J35" s="9">
        <v>245</v>
      </c>
      <c r="K35" s="9">
        <v>332</v>
      </c>
      <c r="L35" s="9">
        <v>484</v>
      </c>
      <c r="M35" s="9">
        <v>222</v>
      </c>
      <c r="N35" s="9">
        <v>0</v>
      </c>
      <c r="O35" s="9">
        <v>0</v>
      </c>
    </row>
    <row r="40" spans="1:15">
      <c r="A40" s="19" t="s">
        <v>0</v>
      </c>
      <c r="B40" s="9" t="s">
        <v>1248</v>
      </c>
      <c r="C40" s="9" t="s">
        <v>1249</v>
      </c>
      <c r="D40" s="9" t="s">
        <v>1250</v>
      </c>
      <c r="E40" s="9" t="s">
        <v>1251</v>
      </c>
      <c r="F40" s="9" t="s">
        <v>1252</v>
      </c>
      <c r="G40" s="9" t="s">
        <v>1253</v>
      </c>
      <c r="H40" s="9" t="s">
        <v>1254</v>
      </c>
      <c r="I40" s="9" t="s">
        <v>1258</v>
      </c>
      <c r="J40" s="9" t="s">
        <v>1259</v>
      </c>
      <c r="K40" s="9" t="s">
        <v>1260</v>
      </c>
      <c r="L40" s="9" t="s">
        <v>1261</v>
      </c>
      <c r="M40" s="9" t="s">
        <v>1262</v>
      </c>
      <c r="N40" s="9" t="s">
        <v>1263</v>
      </c>
      <c r="O40" s="9" t="s">
        <v>1264</v>
      </c>
    </row>
    <row r="41" spans="1:15">
      <c r="A41" s="19">
        <v>1234614</v>
      </c>
      <c r="B41" s="9">
        <v>0</v>
      </c>
      <c r="C41" s="9">
        <v>0</v>
      </c>
      <c r="D41" s="9">
        <v>61</v>
      </c>
      <c r="E41" s="18">
        <v>587</v>
      </c>
      <c r="F41" s="9">
        <v>321</v>
      </c>
      <c r="G41" s="9">
        <v>0</v>
      </c>
      <c r="H41" s="9">
        <v>0</v>
      </c>
      <c r="I41" s="9">
        <v>50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>
      <c r="A42" s="19">
        <v>1221967</v>
      </c>
      <c r="B42" s="9">
        <v>0</v>
      </c>
      <c r="C42" s="9">
        <v>0</v>
      </c>
      <c r="D42" s="9">
        <v>0</v>
      </c>
      <c r="E42" s="9">
        <v>0</v>
      </c>
      <c r="F42" s="9">
        <v>220</v>
      </c>
      <c r="G42" s="9">
        <v>0</v>
      </c>
      <c r="H42" s="9">
        <v>0</v>
      </c>
      <c r="I42" s="9">
        <v>56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>
      <c r="A43" s="100">
        <v>1227306</v>
      </c>
      <c r="B43" s="9">
        <v>0</v>
      </c>
      <c r="C43" s="9">
        <v>0</v>
      </c>
      <c r="D43" s="9">
        <v>280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600</v>
      </c>
      <c r="K43" s="9">
        <v>500</v>
      </c>
      <c r="L43" s="9">
        <v>0</v>
      </c>
      <c r="M43" s="9">
        <v>0</v>
      </c>
      <c r="N43" s="9">
        <v>0</v>
      </c>
      <c r="O43" s="9">
        <v>0</v>
      </c>
    </row>
    <row r="44" spans="1:15">
      <c r="A44" s="19">
        <v>1231797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71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>
      <c r="A45" s="19">
        <v>1229776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180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>
      <c r="A46" s="19">
        <v>1231090</v>
      </c>
      <c r="B46" s="9">
        <v>0</v>
      </c>
      <c r="C46" s="9">
        <v>0</v>
      </c>
      <c r="D46" s="9">
        <v>0</v>
      </c>
      <c r="E46" s="9">
        <v>0</v>
      </c>
      <c r="F46" s="9">
        <v>475</v>
      </c>
      <c r="G46" s="9">
        <v>0</v>
      </c>
      <c r="H46" s="9">
        <v>0</v>
      </c>
      <c r="I46" s="9">
        <v>180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19">
        <v>1232066</v>
      </c>
      <c r="B47" s="9">
        <v>0</v>
      </c>
      <c r="C47" s="9">
        <v>0</v>
      </c>
      <c r="D47" s="9">
        <v>0</v>
      </c>
      <c r="E47" s="18">
        <v>18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>
      <c r="A48" s="19">
        <v>1229088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250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>
      <c r="A49" s="19">
        <v>1232693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400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>
      <c r="A50" s="19">
        <v>1233025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400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>
      <c r="A51" s="19">
        <v>1225464</v>
      </c>
      <c r="B51" s="9">
        <v>0</v>
      </c>
      <c r="C51" s="9">
        <v>50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>
      <c r="A52" s="19">
        <v>1234222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510</v>
      </c>
      <c r="N52" s="9">
        <v>0</v>
      </c>
      <c r="O52" s="9">
        <v>0</v>
      </c>
    </row>
    <row r="53" spans="1:15">
      <c r="A53" s="19">
        <v>1232528</v>
      </c>
      <c r="B53" s="9">
        <v>686</v>
      </c>
      <c r="C53" s="9">
        <v>686</v>
      </c>
      <c r="D53" s="9">
        <v>539</v>
      </c>
      <c r="E53" s="18">
        <v>686</v>
      </c>
      <c r="F53" s="9">
        <v>2174</v>
      </c>
      <c r="G53" s="9">
        <v>0</v>
      </c>
      <c r="H53" s="9">
        <v>0</v>
      </c>
      <c r="I53" s="9">
        <v>892</v>
      </c>
      <c r="J53" s="9">
        <v>1303</v>
      </c>
      <c r="K53" s="9">
        <v>1439</v>
      </c>
      <c r="L53" s="9">
        <v>1908</v>
      </c>
      <c r="M53" s="9">
        <v>1908</v>
      </c>
      <c r="N53" s="9">
        <v>0</v>
      </c>
      <c r="O53" s="9">
        <v>0</v>
      </c>
    </row>
    <row r="54" spans="1:15">
      <c r="A54" s="19">
        <v>1232553</v>
      </c>
      <c r="B54" s="9">
        <v>0</v>
      </c>
      <c r="C54" s="9">
        <v>0</v>
      </c>
      <c r="D54" s="9">
        <v>0</v>
      </c>
      <c r="E54" s="18">
        <v>50</v>
      </c>
      <c r="F54" s="9">
        <v>202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</row>
    <row r="55" spans="1:15">
      <c r="A55" s="19">
        <v>1232846</v>
      </c>
      <c r="B55" s="9">
        <v>0</v>
      </c>
      <c r="C55" s="9">
        <v>0</v>
      </c>
      <c r="D55" s="9">
        <v>0</v>
      </c>
      <c r="E55" s="9">
        <v>176</v>
      </c>
      <c r="F55" s="18">
        <v>700</v>
      </c>
      <c r="G55" s="9">
        <v>0</v>
      </c>
      <c r="H55" s="9">
        <v>0</v>
      </c>
      <c r="I55" s="9">
        <v>466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</row>
    <row r="56" spans="1:15">
      <c r="A56" s="19">
        <v>1229050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520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1:15">
      <c r="A57" s="19">
        <v>1233383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6</v>
      </c>
      <c r="J57" s="9">
        <v>150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>
      <c r="A58" s="19">
        <v>1220847</v>
      </c>
      <c r="B58" s="9">
        <v>0</v>
      </c>
      <c r="C58" s="9">
        <v>0</v>
      </c>
      <c r="D58" s="9">
        <v>0</v>
      </c>
      <c r="E58" s="9">
        <v>0</v>
      </c>
      <c r="F58" s="9">
        <v>1750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  <row r="59" spans="1:15">
      <c r="A59" s="19">
        <v>1232775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322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>
      <c r="A60" s="19">
        <v>1235097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300</v>
      </c>
      <c r="L60" s="9">
        <v>0</v>
      </c>
      <c r="M60" s="9">
        <v>0</v>
      </c>
      <c r="N60" s="9">
        <v>0</v>
      </c>
      <c r="O60" s="9">
        <v>0</v>
      </c>
    </row>
    <row r="61" spans="1:15">
      <c r="A61" s="19">
        <v>1235958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25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5">
      <c r="A62" s="19">
        <v>1235845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100</v>
      </c>
      <c r="L62" s="9">
        <v>0</v>
      </c>
      <c r="M62" s="9">
        <v>0</v>
      </c>
      <c r="N62" s="9">
        <v>0</v>
      </c>
      <c r="O62" s="9">
        <v>0</v>
      </c>
    </row>
    <row r="63" spans="1:15">
      <c r="A63" s="19">
        <v>1236600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533</v>
      </c>
      <c r="J63" s="9">
        <v>533</v>
      </c>
      <c r="K63" s="9">
        <v>64</v>
      </c>
      <c r="L63" s="9">
        <v>0</v>
      </c>
      <c r="M63" s="9">
        <v>0</v>
      </c>
      <c r="N63" s="9">
        <v>0</v>
      </c>
      <c r="O63" s="9">
        <v>0</v>
      </c>
    </row>
    <row r="64" spans="1:15">
      <c r="A64" s="19">
        <v>1236601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27</v>
      </c>
      <c r="L64" s="9">
        <v>0</v>
      </c>
      <c r="M64" s="9">
        <v>0</v>
      </c>
      <c r="N64" s="9">
        <v>0</v>
      </c>
      <c r="O64" s="9">
        <v>0</v>
      </c>
    </row>
    <row r="65" spans="1:15">
      <c r="A65" s="19">
        <v>1236619</v>
      </c>
      <c r="B65" s="9">
        <v>0</v>
      </c>
      <c r="C65" s="9">
        <v>0</v>
      </c>
      <c r="D65" s="9">
        <v>270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</row>
    <row r="66" spans="1:15">
      <c r="A66" s="19">
        <v>1236930</v>
      </c>
      <c r="B66" s="9">
        <v>817</v>
      </c>
      <c r="C66" s="9">
        <v>865</v>
      </c>
      <c r="D66" s="9">
        <v>74</v>
      </c>
      <c r="E66" s="9">
        <v>497</v>
      </c>
      <c r="F66" s="18">
        <v>1080</v>
      </c>
      <c r="G66" s="9">
        <v>0</v>
      </c>
      <c r="H66" s="9">
        <v>0</v>
      </c>
      <c r="I66" s="9">
        <v>895</v>
      </c>
      <c r="J66" s="9">
        <v>495</v>
      </c>
      <c r="K66" s="9">
        <v>311</v>
      </c>
      <c r="L66" s="9">
        <v>395</v>
      </c>
      <c r="M66" s="9">
        <v>1335</v>
      </c>
      <c r="N66" s="9">
        <v>0</v>
      </c>
      <c r="O66" s="9">
        <v>0</v>
      </c>
    </row>
    <row r="67" spans="1:15">
      <c r="A67" s="19">
        <v>1237210</v>
      </c>
      <c r="B67" s="9">
        <v>144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375</v>
      </c>
      <c r="N67" s="9">
        <v>0</v>
      </c>
      <c r="O67" s="9">
        <v>0</v>
      </c>
    </row>
    <row r="68" spans="1:15">
      <c r="A68" s="19">
        <v>1237457</v>
      </c>
      <c r="B68" s="9">
        <v>0</v>
      </c>
      <c r="C68" s="9">
        <v>0</v>
      </c>
      <c r="D68" s="9">
        <v>0</v>
      </c>
      <c r="E68" s="9">
        <v>0</v>
      </c>
      <c r="F68" s="9">
        <v>18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>
      <c r="A69" s="19">
        <v>1237386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180</v>
      </c>
      <c r="N69" s="9">
        <v>0</v>
      </c>
      <c r="O69" s="9">
        <v>0</v>
      </c>
    </row>
    <row r="70" spans="1:15">
      <c r="A70" s="19">
        <v>1238480</v>
      </c>
      <c r="B70" s="9">
        <v>1036</v>
      </c>
      <c r="C70" s="9">
        <v>1170</v>
      </c>
      <c r="D70" s="9">
        <v>406</v>
      </c>
      <c r="E70" s="18">
        <v>758</v>
      </c>
      <c r="F70" s="9">
        <v>1230</v>
      </c>
      <c r="G70" s="9">
        <v>0</v>
      </c>
      <c r="H70" s="9">
        <v>0</v>
      </c>
      <c r="I70" s="9">
        <v>599</v>
      </c>
      <c r="J70" s="9">
        <v>346</v>
      </c>
      <c r="K70" s="9">
        <v>248</v>
      </c>
      <c r="L70" s="9">
        <v>0</v>
      </c>
      <c r="M70" s="9">
        <v>0</v>
      </c>
      <c r="N70" s="9">
        <v>0</v>
      </c>
      <c r="O70" s="9">
        <v>0</v>
      </c>
    </row>
    <row r="71" spans="1:15">
      <c r="A71" s="19">
        <v>1240180</v>
      </c>
      <c r="B71" s="9">
        <v>0</v>
      </c>
      <c r="C71" s="9">
        <v>0</v>
      </c>
      <c r="D71" s="9">
        <v>177</v>
      </c>
      <c r="E71" s="9">
        <v>123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400</v>
      </c>
      <c r="M71" s="9">
        <v>0</v>
      </c>
      <c r="N71" s="9">
        <v>0</v>
      </c>
      <c r="O71" s="9">
        <v>0</v>
      </c>
    </row>
    <row r="72" spans="1:15">
      <c r="A72" s="19">
        <v>1240184</v>
      </c>
      <c r="B72" s="9">
        <v>0</v>
      </c>
      <c r="C72" s="9">
        <v>0</v>
      </c>
      <c r="D72" s="9">
        <v>177</v>
      </c>
      <c r="E72" s="9">
        <v>123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400</v>
      </c>
      <c r="M72" s="9">
        <v>0</v>
      </c>
      <c r="N72" s="9">
        <v>0</v>
      </c>
      <c r="O72" s="9">
        <v>0</v>
      </c>
    </row>
    <row r="73" spans="1:15">
      <c r="A73" s="19">
        <v>1237468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4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1:15">
      <c r="A74" s="19">
        <v>1238453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60</v>
      </c>
      <c r="M74" s="9">
        <v>1212</v>
      </c>
      <c r="N74" s="9">
        <v>0</v>
      </c>
      <c r="O74" s="9">
        <v>0</v>
      </c>
    </row>
    <row r="75" spans="1:15">
      <c r="A75" s="19">
        <v>1216452</v>
      </c>
      <c r="B75" s="9">
        <v>0</v>
      </c>
      <c r="C75" s="9">
        <v>386</v>
      </c>
      <c r="D75" s="18">
        <v>825</v>
      </c>
      <c r="E75" s="9">
        <v>670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2601</v>
      </c>
      <c r="L75" s="9">
        <v>613</v>
      </c>
      <c r="M75" s="9">
        <v>0</v>
      </c>
      <c r="N75" s="9">
        <v>0</v>
      </c>
      <c r="O75" s="9">
        <v>0</v>
      </c>
    </row>
    <row r="76" spans="1:15">
      <c r="A76" s="19">
        <v>1232894</v>
      </c>
      <c r="B76" s="9">
        <v>0</v>
      </c>
      <c r="C76" s="9">
        <v>0</v>
      </c>
      <c r="D76" s="9">
        <v>0</v>
      </c>
      <c r="E76" s="9">
        <v>176</v>
      </c>
      <c r="F76" s="9">
        <v>700</v>
      </c>
      <c r="G76" s="9">
        <v>0</v>
      </c>
      <c r="H76" s="9">
        <v>0</v>
      </c>
      <c r="I76" s="9">
        <v>133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>
      <c r="A77" s="19">
        <v>1233386</v>
      </c>
      <c r="B77" s="9">
        <v>0</v>
      </c>
      <c r="C77" s="9">
        <v>0</v>
      </c>
      <c r="D77" s="9">
        <v>0</v>
      </c>
      <c r="E77" s="9">
        <v>176</v>
      </c>
      <c r="F77" s="9">
        <v>700</v>
      </c>
      <c r="G77" s="9">
        <v>0</v>
      </c>
      <c r="H77" s="9">
        <v>0</v>
      </c>
      <c r="I77" s="9">
        <v>133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</row>
    <row r="78" spans="1:15">
      <c r="A78" s="19">
        <v>1232895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333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>
      <c r="A79" s="19">
        <v>1232922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333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</row>
  </sheetData>
  <phoneticPr fontId="1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0F02-3415-463C-B0B2-E79317DFF7AD}">
  <dimension ref="A1:AC80"/>
  <sheetViews>
    <sheetView topLeftCell="A41" zoomScale="130" zoomScaleNormal="130" workbookViewId="0">
      <selection activeCell="B40" sqref="B40:U81"/>
    </sheetView>
  </sheetViews>
  <sheetFormatPr defaultColWidth="9.33203125" defaultRowHeight="12"/>
  <cols>
    <col min="1" max="1" width="10.1640625" style="5" bestFit="1" customWidth="1"/>
    <col min="2" max="2" width="9.6640625" style="9" bestFit="1" customWidth="1"/>
    <col min="3" max="18" width="9.6640625" style="9" customWidth="1"/>
    <col min="19" max="19" width="10" style="9" customWidth="1"/>
    <col min="20" max="20" width="9.6640625" style="9" customWidth="1"/>
    <col min="21" max="21" width="9.6640625" style="9" bestFit="1" customWidth="1"/>
    <col min="22" max="29" width="9.33203125" style="9"/>
    <col min="30" max="16384" width="9.33203125" style="5"/>
  </cols>
  <sheetData>
    <row r="1" spans="1:21">
      <c r="A1" s="5" t="s">
        <v>0</v>
      </c>
      <c r="B1" s="9" t="s">
        <v>1249</v>
      </c>
      <c r="C1" s="9" t="s">
        <v>1250</v>
      </c>
      <c r="D1" s="9" t="s">
        <v>1251</v>
      </c>
      <c r="E1" s="9" t="s">
        <v>1252</v>
      </c>
      <c r="F1" s="9" t="s">
        <v>1253</v>
      </c>
      <c r="G1" s="9" t="s">
        <v>1254</v>
      </c>
      <c r="H1" s="9" t="s">
        <v>1258</v>
      </c>
      <c r="I1" s="9" t="s">
        <v>1259</v>
      </c>
      <c r="J1" s="9" t="s">
        <v>1260</v>
      </c>
      <c r="K1" s="9" t="s">
        <v>1261</v>
      </c>
      <c r="L1" s="9" t="s">
        <v>1262</v>
      </c>
      <c r="M1" s="9" t="s">
        <v>1263</v>
      </c>
      <c r="N1" s="9" t="s">
        <v>1264</v>
      </c>
      <c r="O1" s="9" t="s">
        <v>1266</v>
      </c>
      <c r="P1" s="9" t="s">
        <v>1267</v>
      </c>
      <c r="Q1" s="9" t="s">
        <v>1268</v>
      </c>
      <c r="R1" s="9" t="s">
        <v>1269</v>
      </c>
      <c r="S1" s="9" t="s">
        <v>1270</v>
      </c>
      <c r="T1" s="9" t="s">
        <v>1271</v>
      </c>
      <c r="U1" s="9" t="s">
        <v>1272</v>
      </c>
    </row>
    <row r="2" spans="1:21">
      <c r="A2" s="5">
        <v>1226384</v>
      </c>
      <c r="B2" s="9">
        <v>0</v>
      </c>
      <c r="C2" s="9">
        <v>400</v>
      </c>
      <c r="D2" s="9">
        <v>400</v>
      </c>
      <c r="E2" s="9">
        <v>260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>
      <c r="A3" s="5">
        <v>1226388</v>
      </c>
      <c r="B3" s="9">
        <v>0</v>
      </c>
      <c r="C3" s="9">
        <v>400</v>
      </c>
      <c r="D3" s="9">
        <v>400</v>
      </c>
      <c r="E3" s="9">
        <v>260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1:21">
      <c r="A4" s="5">
        <v>1229673</v>
      </c>
      <c r="B4" s="9">
        <v>200</v>
      </c>
      <c r="C4" s="9">
        <v>200</v>
      </c>
      <c r="D4" s="9">
        <v>0</v>
      </c>
      <c r="E4" s="9">
        <v>0</v>
      </c>
      <c r="F4" s="9">
        <v>0</v>
      </c>
      <c r="G4" s="9">
        <v>0</v>
      </c>
      <c r="H4" s="9">
        <v>200</v>
      </c>
      <c r="I4" s="9">
        <v>200</v>
      </c>
      <c r="J4" s="9">
        <v>0</v>
      </c>
      <c r="K4" s="9">
        <v>300</v>
      </c>
      <c r="L4" s="9">
        <v>300</v>
      </c>
      <c r="M4" s="9">
        <v>0</v>
      </c>
      <c r="N4" s="9">
        <v>0</v>
      </c>
      <c r="O4" s="9">
        <v>0</v>
      </c>
      <c r="P4" s="9">
        <v>250</v>
      </c>
      <c r="Q4" s="9">
        <v>270</v>
      </c>
      <c r="R4" s="9">
        <v>250</v>
      </c>
      <c r="S4" s="9">
        <v>0</v>
      </c>
      <c r="T4" s="9">
        <v>0</v>
      </c>
      <c r="U4" s="9">
        <v>0</v>
      </c>
    </row>
    <row r="5" spans="1:21">
      <c r="A5" s="5">
        <v>1231202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100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>
      <c r="A6" s="5">
        <v>1233492</v>
      </c>
      <c r="B6" s="9">
        <v>0</v>
      </c>
      <c r="C6" s="9">
        <v>0</v>
      </c>
      <c r="D6" s="9">
        <v>0</v>
      </c>
      <c r="E6" s="9">
        <v>300</v>
      </c>
      <c r="F6" s="9">
        <v>0</v>
      </c>
      <c r="G6" s="9">
        <v>0</v>
      </c>
      <c r="H6" s="9">
        <v>782</v>
      </c>
      <c r="I6" s="9">
        <v>50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458</v>
      </c>
      <c r="R6" s="9">
        <v>54</v>
      </c>
      <c r="S6" s="9">
        <v>0</v>
      </c>
      <c r="T6" s="9">
        <v>0</v>
      </c>
      <c r="U6" s="9">
        <v>0</v>
      </c>
    </row>
    <row r="7" spans="1:21">
      <c r="A7" s="5">
        <v>1233498</v>
      </c>
      <c r="B7" s="9">
        <v>0</v>
      </c>
      <c r="C7" s="9">
        <v>0</v>
      </c>
      <c r="D7" s="9">
        <v>0</v>
      </c>
      <c r="E7" s="9">
        <v>300</v>
      </c>
      <c r="F7" s="9">
        <v>0</v>
      </c>
      <c r="G7" s="9">
        <v>0</v>
      </c>
      <c r="H7" s="9">
        <v>782</v>
      </c>
      <c r="I7" s="9">
        <v>50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458</v>
      </c>
      <c r="R7" s="9">
        <v>54</v>
      </c>
      <c r="S7" s="9">
        <v>0</v>
      </c>
      <c r="T7" s="9">
        <v>0</v>
      </c>
      <c r="U7" s="9">
        <v>0</v>
      </c>
    </row>
    <row r="8" spans="1:21">
      <c r="A8" s="5">
        <v>1233623</v>
      </c>
      <c r="B8" s="9">
        <v>0</v>
      </c>
      <c r="C8" s="9">
        <v>0</v>
      </c>
      <c r="D8" s="9">
        <v>0</v>
      </c>
      <c r="E8" s="9">
        <v>300</v>
      </c>
      <c r="F8" s="9">
        <v>0</v>
      </c>
      <c r="G8" s="9">
        <v>0</v>
      </c>
      <c r="H8" s="9">
        <v>782</v>
      </c>
      <c r="I8" s="9">
        <v>50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458</v>
      </c>
      <c r="R8" s="9">
        <v>54</v>
      </c>
      <c r="S8" s="9">
        <v>0</v>
      </c>
      <c r="T8" s="9">
        <v>0</v>
      </c>
      <c r="U8" s="9">
        <v>0</v>
      </c>
    </row>
    <row r="9" spans="1:21">
      <c r="A9" s="5">
        <v>1233877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150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>
      <c r="A10" s="5">
        <v>1235623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24</v>
      </c>
      <c r="L10" s="9">
        <v>912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</row>
    <row r="11" spans="1:21">
      <c r="A11" s="5">
        <v>1237088</v>
      </c>
      <c r="B11" s="9">
        <v>552</v>
      </c>
      <c r="C11" s="9">
        <v>404</v>
      </c>
      <c r="D11" s="9">
        <v>0</v>
      </c>
      <c r="E11" s="9">
        <v>0</v>
      </c>
      <c r="F11" s="9">
        <v>0</v>
      </c>
      <c r="G11" s="9">
        <v>0</v>
      </c>
      <c r="H11" s="9">
        <v>866</v>
      </c>
      <c r="I11" s="9">
        <v>826</v>
      </c>
      <c r="J11" s="9">
        <v>406</v>
      </c>
      <c r="K11" s="9">
        <v>706</v>
      </c>
      <c r="L11" s="9">
        <v>550</v>
      </c>
      <c r="M11" s="9">
        <v>0</v>
      </c>
      <c r="N11" s="9">
        <v>0</v>
      </c>
      <c r="O11" s="9">
        <v>0</v>
      </c>
      <c r="P11" s="9">
        <v>0</v>
      </c>
      <c r="Q11" s="9">
        <v>312</v>
      </c>
      <c r="R11" s="9">
        <v>1072</v>
      </c>
      <c r="S11" s="9">
        <v>0</v>
      </c>
      <c r="T11" s="9">
        <v>0</v>
      </c>
      <c r="U11" s="9">
        <v>0</v>
      </c>
    </row>
    <row r="12" spans="1:21">
      <c r="A12" s="5">
        <v>1231898</v>
      </c>
      <c r="B12" s="9">
        <v>250</v>
      </c>
      <c r="C12" s="9">
        <v>240</v>
      </c>
      <c r="D12" s="9">
        <v>0</v>
      </c>
      <c r="E12" s="9">
        <v>384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248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</row>
    <row r="13" spans="1:21">
      <c r="A13" s="5">
        <v>1237586</v>
      </c>
      <c r="B13" s="9">
        <v>250</v>
      </c>
      <c r="C13" s="9">
        <v>240</v>
      </c>
      <c r="D13" s="9">
        <v>0</v>
      </c>
      <c r="E13" s="9">
        <v>384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248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</row>
    <row r="14" spans="1:21">
      <c r="A14" s="5">
        <v>1236091</v>
      </c>
      <c r="B14" s="9">
        <v>0</v>
      </c>
      <c r="C14" s="9">
        <v>0</v>
      </c>
      <c r="D14" s="9">
        <v>250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</row>
    <row r="15" spans="1:21">
      <c r="A15" s="5">
        <v>1234905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514</v>
      </c>
      <c r="I15" s="9">
        <v>512</v>
      </c>
      <c r="J15" s="9">
        <v>334</v>
      </c>
      <c r="K15" s="9">
        <v>426</v>
      </c>
      <c r="L15" s="9">
        <v>626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</row>
    <row r="16" spans="1:21">
      <c r="A16" s="5">
        <v>1238128</v>
      </c>
      <c r="B16" s="9">
        <v>590</v>
      </c>
      <c r="C16" s="9">
        <v>464</v>
      </c>
      <c r="D16" s="9">
        <v>258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846</v>
      </c>
      <c r="M16" s="9">
        <v>0</v>
      </c>
      <c r="N16" s="9">
        <v>0</v>
      </c>
      <c r="O16" s="9">
        <v>0</v>
      </c>
      <c r="P16" s="9">
        <v>1106</v>
      </c>
      <c r="Q16" s="9">
        <v>488</v>
      </c>
      <c r="R16" s="9">
        <v>892</v>
      </c>
      <c r="S16" s="9">
        <v>0</v>
      </c>
      <c r="T16" s="9">
        <v>0</v>
      </c>
      <c r="U16" s="9">
        <v>0</v>
      </c>
    </row>
    <row r="17" spans="1:21">
      <c r="A17" s="5">
        <v>1237748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126</v>
      </c>
      <c r="K17" s="9">
        <v>810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</row>
    <row r="18" spans="1:21">
      <c r="A18" s="5">
        <v>1236962</v>
      </c>
      <c r="B18" s="9">
        <v>0</v>
      </c>
      <c r="C18" s="9">
        <v>0</v>
      </c>
      <c r="D18" s="9">
        <v>124</v>
      </c>
      <c r="E18" s="9">
        <v>150</v>
      </c>
      <c r="F18" s="9">
        <v>0</v>
      </c>
      <c r="G18" s="9">
        <v>0</v>
      </c>
      <c r="H18" s="9">
        <v>0</v>
      </c>
      <c r="I18" s="9">
        <v>200</v>
      </c>
      <c r="J18" s="9">
        <v>222</v>
      </c>
      <c r="K18" s="9">
        <v>200</v>
      </c>
      <c r="L18" s="9">
        <v>200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</row>
    <row r="19" spans="1:21">
      <c r="A19" s="5">
        <v>1233761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200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100</v>
      </c>
      <c r="S19" s="9">
        <v>0</v>
      </c>
      <c r="T19" s="9">
        <v>0</v>
      </c>
      <c r="U19" s="9">
        <v>0</v>
      </c>
    </row>
    <row r="20" spans="1:21">
      <c r="A20" s="5">
        <v>1239651</v>
      </c>
      <c r="B20" s="9">
        <v>400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250</v>
      </c>
      <c r="K20" s="9">
        <v>0</v>
      </c>
      <c r="L20" s="9">
        <v>350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</row>
    <row r="21" spans="1:21">
      <c r="A21" s="5">
        <v>1240180</v>
      </c>
      <c r="B21" s="9">
        <v>430</v>
      </c>
      <c r="C21" s="9">
        <v>339</v>
      </c>
      <c r="D21" s="9">
        <v>430</v>
      </c>
      <c r="E21" s="9">
        <v>430</v>
      </c>
      <c r="F21" s="9">
        <v>0</v>
      </c>
      <c r="G21" s="9">
        <v>0</v>
      </c>
      <c r="H21" s="9">
        <v>50</v>
      </c>
      <c r="I21" s="9">
        <v>334</v>
      </c>
      <c r="J21" s="9">
        <v>338</v>
      </c>
      <c r="K21" s="9">
        <v>430</v>
      </c>
      <c r="L21" s="9">
        <v>598</v>
      </c>
      <c r="M21" s="9">
        <v>0</v>
      </c>
      <c r="N21" s="9">
        <v>0</v>
      </c>
      <c r="O21" s="9">
        <v>0</v>
      </c>
      <c r="P21" s="9">
        <v>410</v>
      </c>
      <c r="Q21" s="9">
        <v>172</v>
      </c>
      <c r="R21" s="9">
        <v>0</v>
      </c>
      <c r="S21" s="9">
        <v>0</v>
      </c>
      <c r="T21" s="9">
        <v>0</v>
      </c>
      <c r="U21" s="9">
        <v>0</v>
      </c>
    </row>
    <row r="22" spans="1:21">
      <c r="A22" s="5">
        <v>1240184</v>
      </c>
      <c r="B22" s="9">
        <v>430</v>
      </c>
      <c r="C22" s="9">
        <v>139</v>
      </c>
      <c r="D22" s="9">
        <v>386</v>
      </c>
      <c r="E22" s="9">
        <v>0</v>
      </c>
      <c r="F22" s="9">
        <v>0</v>
      </c>
      <c r="G22" s="9">
        <v>0</v>
      </c>
      <c r="H22" s="9">
        <v>0</v>
      </c>
      <c r="I22" s="9">
        <v>134</v>
      </c>
      <c r="J22" s="9">
        <v>338</v>
      </c>
      <c r="K22" s="9">
        <v>430</v>
      </c>
      <c r="L22" s="9">
        <v>598</v>
      </c>
      <c r="M22" s="9">
        <v>0</v>
      </c>
      <c r="N22" s="9">
        <v>0</v>
      </c>
      <c r="O22" s="9">
        <v>0</v>
      </c>
      <c r="P22" s="9">
        <v>410</v>
      </c>
      <c r="Q22" s="9">
        <v>172</v>
      </c>
      <c r="R22" s="9">
        <v>0</v>
      </c>
      <c r="S22" s="9">
        <v>0</v>
      </c>
      <c r="T22" s="9">
        <v>0</v>
      </c>
      <c r="U22" s="9">
        <v>0</v>
      </c>
    </row>
    <row r="23" spans="1:21">
      <c r="A23" s="5">
        <v>1240308</v>
      </c>
      <c r="B23" s="9">
        <v>250</v>
      </c>
      <c r="C23" s="9">
        <v>184</v>
      </c>
      <c r="D23" s="9">
        <v>152</v>
      </c>
      <c r="E23" s="9">
        <v>266</v>
      </c>
      <c r="F23" s="9">
        <v>0</v>
      </c>
      <c r="G23" s="9">
        <v>0</v>
      </c>
      <c r="H23" s="9">
        <v>0</v>
      </c>
      <c r="I23" s="9">
        <v>0</v>
      </c>
      <c r="J23" s="9">
        <v>300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</row>
    <row r="24" spans="1:21">
      <c r="A24" s="5">
        <v>1241601</v>
      </c>
      <c r="B24" s="9">
        <v>1600</v>
      </c>
      <c r="C24" s="9">
        <v>678</v>
      </c>
      <c r="D24" s="9">
        <v>1808</v>
      </c>
      <c r="E24" s="9">
        <v>2062</v>
      </c>
      <c r="F24" s="9">
        <v>0</v>
      </c>
      <c r="G24" s="9">
        <v>0</v>
      </c>
      <c r="H24" s="9">
        <v>1272</v>
      </c>
      <c r="I24" s="9">
        <v>800</v>
      </c>
      <c r="J24" s="9">
        <v>600</v>
      </c>
      <c r="K24" s="9">
        <v>0</v>
      </c>
      <c r="L24" s="9">
        <v>1356</v>
      </c>
      <c r="M24" s="9">
        <v>0</v>
      </c>
      <c r="N24" s="9">
        <v>0</v>
      </c>
      <c r="O24" s="9">
        <v>0</v>
      </c>
      <c r="P24" s="9">
        <v>700</v>
      </c>
      <c r="Q24" s="9">
        <v>788</v>
      </c>
      <c r="R24" s="9">
        <v>694</v>
      </c>
      <c r="S24" s="9">
        <v>0</v>
      </c>
      <c r="T24" s="9">
        <v>0</v>
      </c>
      <c r="U24" s="9">
        <v>0</v>
      </c>
    </row>
    <row r="28" spans="1:21">
      <c r="A28" s="5" t="s">
        <v>0</v>
      </c>
      <c r="B28" s="9" t="s">
        <v>1249</v>
      </c>
      <c r="C28" s="9" t="s">
        <v>1250</v>
      </c>
      <c r="D28" s="9" t="s">
        <v>1251</v>
      </c>
      <c r="E28" s="9" t="s">
        <v>1252</v>
      </c>
      <c r="F28" s="9" t="s">
        <v>1253</v>
      </c>
      <c r="G28" s="9" t="s">
        <v>1254</v>
      </c>
      <c r="H28" s="9" t="s">
        <v>1258</v>
      </c>
      <c r="I28" s="9" t="s">
        <v>1259</v>
      </c>
      <c r="J28" s="9" t="s">
        <v>1260</v>
      </c>
      <c r="K28" s="9" t="s">
        <v>1261</v>
      </c>
      <c r="L28" s="9" t="s">
        <v>1262</v>
      </c>
      <c r="M28" s="9" t="s">
        <v>1263</v>
      </c>
      <c r="N28" s="9" t="s">
        <v>1264</v>
      </c>
      <c r="O28" s="9" t="s">
        <v>1266</v>
      </c>
      <c r="P28" s="9" t="s">
        <v>1267</v>
      </c>
      <c r="Q28" s="9" t="s">
        <v>1268</v>
      </c>
      <c r="R28" s="9" t="s">
        <v>1269</v>
      </c>
      <c r="S28" s="9" t="s">
        <v>1270</v>
      </c>
      <c r="T28" s="9" t="s">
        <v>1271</v>
      </c>
      <c r="U28" s="9" t="s">
        <v>1272</v>
      </c>
    </row>
    <row r="29" spans="1:21">
      <c r="A29" s="5">
        <v>1232846</v>
      </c>
      <c r="B29" s="9">
        <v>0</v>
      </c>
      <c r="C29" s="9">
        <v>0</v>
      </c>
      <c r="D29" s="9">
        <v>0</v>
      </c>
      <c r="E29" s="9">
        <v>204</v>
      </c>
      <c r="F29" s="9">
        <v>0</v>
      </c>
      <c r="G29" s="9">
        <v>0</v>
      </c>
      <c r="H29" s="9">
        <v>352</v>
      </c>
      <c r="I29" s="9">
        <v>352</v>
      </c>
      <c r="J29" s="9">
        <v>205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0" spans="1:21">
      <c r="A30" s="5">
        <v>1232895</v>
      </c>
      <c r="B30" s="9">
        <v>0</v>
      </c>
      <c r="C30" s="9">
        <v>0</v>
      </c>
      <c r="D30" s="9">
        <v>0</v>
      </c>
      <c r="E30" s="9">
        <v>204</v>
      </c>
      <c r="F30" s="9">
        <v>0</v>
      </c>
      <c r="G30" s="9">
        <v>0</v>
      </c>
      <c r="H30" s="9">
        <v>352</v>
      </c>
      <c r="I30" s="9">
        <v>352</v>
      </c>
      <c r="J30" s="9">
        <v>205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1" spans="1:21">
      <c r="A31" s="5">
        <v>1233384</v>
      </c>
      <c r="B31" s="9">
        <v>0</v>
      </c>
      <c r="C31" s="9">
        <v>0</v>
      </c>
      <c r="D31" s="9">
        <v>0</v>
      </c>
      <c r="E31" s="9">
        <v>204</v>
      </c>
      <c r="F31" s="9">
        <v>0</v>
      </c>
      <c r="G31" s="9">
        <v>0</v>
      </c>
      <c r="H31" s="9">
        <v>352</v>
      </c>
      <c r="I31" s="9">
        <v>352</v>
      </c>
      <c r="J31" s="9">
        <v>205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</row>
    <row r="32" spans="1:21">
      <c r="A32" s="58">
        <v>1233165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79</v>
      </c>
      <c r="Q32" s="9">
        <v>297</v>
      </c>
      <c r="R32" s="9">
        <v>10</v>
      </c>
      <c r="S32" s="9">
        <v>0</v>
      </c>
      <c r="T32" s="9">
        <v>0</v>
      </c>
      <c r="U32" s="9">
        <v>0</v>
      </c>
    </row>
    <row r="33" spans="1:21">
      <c r="A33" s="5">
        <v>1236110</v>
      </c>
      <c r="B33" s="9">
        <v>120</v>
      </c>
      <c r="C33" s="9">
        <v>30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</row>
    <row r="34" spans="1:21">
      <c r="A34" s="5">
        <v>1236387</v>
      </c>
      <c r="B34" s="9">
        <v>0</v>
      </c>
      <c r="C34" s="9">
        <v>367</v>
      </c>
      <c r="D34" s="9">
        <v>62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</row>
    <row r="35" spans="1:21">
      <c r="A35" s="5">
        <v>1232775</v>
      </c>
      <c r="B35" s="9">
        <v>209</v>
      </c>
      <c r="C35" s="9">
        <v>242</v>
      </c>
      <c r="D35" s="9">
        <v>192</v>
      </c>
      <c r="E35" s="9">
        <v>324</v>
      </c>
      <c r="F35" s="9">
        <v>0</v>
      </c>
      <c r="G35" s="9">
        <v>0</v>
      </c>
      <c r="H35" s="9">
        <v>242</v>
      </c>
      <c r="I35" s="9">
        <v>245</v>
      </c>
      <c r="J35" s="9">
        <v>332</v>
      </c>
      <c r="K35" s="9">
        <v>484</v>
      </c>
      <c r="L35" s="9">
        <v>222</v>
      </c>
      <c r="M35" s="9">
        <v>0</v>
      </c>
      <c r="N35" s="9">
        <v>0</v>
      </c>
      <c r="O35" s="9">
        <v>0</v>
      </c>
      <c r="P35" s="9">
        <v>314</v>
      </c>
      <c r="Q35" s="9">
        <v>0</v>
      </c>
      <c r="R35" s="9">
        <v>225</v>
      </c>
      <c r="S35" s="9">
        <v>0</v>
      </c>
      <c r="T35" s="9">
        <v>0</v>
      </c>
      <c r="U35" s="9">
        <v>0</v>
      </c>
    </row>
    <row r="39" spans="1:21">
      <c r="A39" s="74" t="s">
        <v>0</v>
      </c>
      <c r="B39" s="69" t="s">
        <v>1249</v>
      </c>
      <c r="C39" s="69" t="s">
        <v>1250</v>
      </c>
      <c r="D39" s="69" t="s">
        <v>1251</v>
      </c>
      <c r="E39" s="69" t="s">
        <v>1252</v>
      </c>
      <c r="F39" s="69" t="s">
        <v>1253</v>
      </c>
      <c r="G39" s="70" t="s">
        <v>1254</v>
      </c>
      <c r="H39" s="69" t="s">
        <v>1258</v>
      </c>
      <c r="I39" s="69" t="s">
        <v>1259</v>
      </c>
      <c r="J39" s="69" t="s">
        <v>1260</v>
      </c>
      <c r="K39" s="69" t="s">
        <v>1261</v>
      </c>
      <c r="L39" s="69" t="s">
        <v>1262</v>
      </c>
      <c r="M39" s="69" t="s">
        <v>1263</v>
      </c>
      <c r="N39" s="70" t="s">
        <v>1264</v>
      </c>
      <c r="O39" s="69" t="s">
        <v>1266</v>
      </c>
      <c r="P39" s="69" t="s">
        <v>1267</v>
      </c>
      <c r="Q39" s="69" t="s">
        <v>1268</v>
      </c>
      <c r="R39" s="69" t="s">
        <v>1269</v>
      </c>
      <c r="S39" s="69" t="s">
        <v>1270</v>
      </c>
      <c r="T39" s="69" t="s">
        <v>1271</v>
      </c>
      <c r="U39" s="70" t="s">
        <v>1272</v>
      </c>
    </row>
    <row r="40" spans="1:21">
      <c r="A40" s="30">
        <v>1234614</v>
      </c>
      <c r="B40" s="32">
        <v>0</v>
      </c>
      <c r="C40" s="32">
        <v>61</v>
      </c>
      <c r="D40" s="32">
        <v>587</v>
      </c>
      <c r="E40" s="32">
        <v>0</v>
      </c>
      <c r="F40" s="32">
        <v>0</v>
      </c>
      <c r="G40" s="32">
        <v>0</v>
      </c>
      <c r="H40" s="32">
        <v>371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</row>
    <row r="41" spans="1:21">
      <c r="A41" s="30">
        <v>1221967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276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</row>
    <row r="42" spans="1:21">
      <c r="A42" s="111">
        <v>1227306</v>
      </c>
      <c r="B42" s="32">
        <v>0</v>
      </c>
      <c r="C42" s="32">
        <v>280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600</v>
      </c>
      <c r="L42" s="32">
        <v>500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</row>
    <row r="43" spans="1:21">
      <c r="A43" s="30">
        <v>1225464</v>
      </c>
      <c r="B43" s="32">
        <v>50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756</v>
      </c>
      <c r="T43" s="32">
        <v>0</v>
      </c>
      <c r="U43" s="32">
        <v>0</v>
      </c>
    </row>
    <row r="44" spans="1:21">
      <c r="A44" s="30">
        <v>1231797</v>
      </c>
      <c r="B44" s="32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71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</row>
    <row r="45" spans="1:21">
      <c r="A45" s="30">
        <v>1229776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180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</row>
    <row r="46" spans="1:21">
      <c r="A46" s="30">
        <v>1231090</v>
      </c>
      <c r="B46" s="32">
        <v>0</v>
      </c>
      <c r="C46" s="32">
        <v>0</v>
      </c>
      <c r="D46" s="32">
        <v>0</v>
      </c>
      <c r="E46" s="32">
        <v>357</v>
      </c>
      <c r="F46" s="32">
        <v>0</v>
      </c>
      <c r="G46" s="32">
        <v>0</v>
      </c>
      <c r="H46" s="32">
        <v>15</v>
      </c>
      <c r="I46" s="32">
        <v>0</v>
      </c>
      <c r="J46" s="32">
        <v>0</v>
      </c>
      <c r="K46" s="32">
        <v>0</v>
      </c>
      <c r="L46" s="32">
        <v>180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2150</v>
      </c>
      <c r="T46" s="32">
        <v>0</v>
      </c>
      <c r="U46" s="32">
        <v>0</v>
      </c>
    </row>
    <row r="47" spans="1:21">
      <c r="A47" s="30">
        <v>1232066</v>
      </c>
      <c r="B47" s="32">
        <v>0</v>
      </c>
      <c r="C47" s="32">
        <v>0</v>
      </c>
      <c r="D47" s="32">
        <v>18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756</v>
      </c>
      <c r="T47" s="32">
        <v>0</v>
      </c>
      <c r="U47" s="32">
        <v>0</v>
      </c>
    </row>
    <row r="48" spans="1:21">
      <c r="A48" s="30">
        <v>1229088</v>
      </c>
      <c r="B48" s="32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250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</row>
    <row r="49" spans="1:21">
      <c r="A49" s="30">
        <v>1232693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400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756</v>
      </c>
      <c r="Q49" s="32">
        <v>357</v>
      </c>
      <c r="R49" s="32">
        <v>0</v>
      </c>
      <c r="S49" s="32">
        <v>2289</v>
      </c>
      <c r="T49" s="32">
        <v>0</v>
      </c>
      <c r="U49" s="32">
        <v>0</v>
      </c>
    </row>
    <row r="50" spans="1:21">
      <c r="A50" s="30">
        <v>1233025</v>
      </c>
      <c r="B50" s="32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400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756</v>
      </c>
      <c r="Q50" s="32">
        <v>357</v>
      </c>
      <c r="R50" s="32">
        <v>0</v>
      </c>
      <c r="S50" s="32">
        <v>2289</v>
      </c>
      <c r="T50" s="32">
        <v>0</v>
      </c>
      <c r="U50" s="32">
        <v>0</v>
      </c>
    </row>
    <row r="51" spans="1:21">
      <c r="A51" s="30">
        <v>1234222</v>
      </c>
      <c r="B51" s="32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510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</row>
    <row r="52" spans="1:21">
      <c r="A52" s="30">
        <v>1232528</v>
      </c>
      <c r="B52" s="32">
        <v>686</v>
      </c>
      <c r="C52" s="32">
        <v>539</v>
      </c>
      <c r="D52" s="32">
        <v>686</v>
      </c>
      <c r="E52" s="32">
        <v>673</v>
      </c>
      <c r="F52" s="32">
        <v>0</v>
      </c>
      <c r="G52" s="32">
        <v>0</v>
      </c>
      <c r="H52" s="32">
        <v>892</v>
      </c>
      <c r="I52" s="32">
        <v>1351</v>
      </c>
      <c r="J52" s="32">
        <v>1458</v>
      </c>
      <c r="K52" s="32">
        <v>1893</v>
      </c>
      <c r="L52" s="32">
        <v>1222</v>
      </c>
      <c r="M52" s="32">
        <v>0</v>
      </c>
      <c r="N52" s="32">
        <v>0</v>
      </c>
      <c r="O52" s="32">
        <v>0</v>
      </c>
      <c r="P52" s="32">
        <v>4006</v>
      </c>
      <c r="Q52" s="32">
        <v>1689</v>
      </c>
      <c r="R52" s="32">
        <v>1968</v>
      </c>
      <c r="S52" s="32">
        <v>22251</v>
      </c>
      <c r="T52" s="32">
        <v>0</v>
      </c>
      <c r="U52" s="32">
        <v>0</v>
      </c>
    </row>
    <row r="53" spans="1:21">
      <c r="A53" s="30">
        <v>1232553</v>
      </c>
      <c r="B53" s="32">
        <v>0</v>
      </c>
      <c r="C53" s="32">
        <v>0</v>
      </c>
      <c r="D53" s="32">
        <v>50</v>
      </c>
      <c r="E53" s="32">
        <v>202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</row>
    <row r="54" spans="1:21">
      <c r="A54" s="111">
        <v>1232846</v>
      </c>
      <c r="B54" s="32">
        <v>0</v>
      </c>
      <c r="C54" s="32">
        <v>0</v>
      </c>
      <c r="D54" s="32">
        <v>176</v>
      </c>
      <c r="E54" s="32">
        <v>700</v>
      </c>
      <c r="F54" s="32">
        <v>0</v>
      </c>
      <c r="G54" s="32">
        <v>0</v>
      </c>
      <c r="H54" s="32">
        <v>466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700</v>
      </c>
      <c r="Q54" s="32">
        <v>550</v>
      </c>
      <c r="R54" s="32">
        <v>670</v>
      </c>
      <c r="S54" s="32">
        <v>384</v>
      </c>
      <c r="T54" s="32">
        <v>0</v>
      </c>
      <c r="U54" s="32">
        <v>0</v>
      </c>
    </row>
    <row r="55" spans="1:21">
      <c r="A55" s="30">
        <v>1229050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520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395</v>
      </c>
      <c r="T55" s="32">
        <v>0</v>
      </c>
      <c r="U55" s="32">
        <v>0</v>
      </c>
    </row>
    <row r="56" spans="1:21">
      <c r="A56" s="30">
        <v>1233383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156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</row>
    <row r="57" spans="1:21">
      <c r="A57" s="30">
        <v>1220847</v>
      </c>
      <c r="B57" s="32">
        <v>0</v>
      </c>
      <c r="C57" s="32">
        <v>0</v>
      </c>
      <c r="D57" s="32">
        <v>0</v>
      </c>
      <c r="E57" s="32">
        <v>428</v>
      </c>
      <c r="F57" s="32">
        <v>0</v>
      </c>
      <c r="G57" s="32">
        <v>0</v>
      </c>
      <c r="H57" s="32">
        <v>542</v>
      </c>
      <c r="I57" s="32">
        <v>542</v>
      </c>
      <c r="J57" s="32">
        <v>238</v>
      </c>
      <c r="K57" s="32">
        <v>0</v>
      </c>
      <c r="L57" s="32">
        <v>200</v>
      </c>
      <c r="M57" s="32">
        <v>0</v>
      </c>
      <c r="N57" s="32">
        <v>0</v>
      </c>
      <c r="O57" s="32">
        <v>0</v>
      </c>
      <c r="P57" s="32">
        <v>946</v>
      </c>
      <c r="Q57" s="32">
        <v>0</v>
      </c>
      <c r="R57" s="32">
        <v>0</v>
      </c>
      <c r="S57" s="32">
        <v>3264</v>
      </c>
      <c r="T57" s="32">
        <v>0</v>
      </c>
      <c r="U57" s="32">
        <v>0</v>
      </c>
    </row>
    <row r="58" spans="1:21">
      <c r="A58" s="30">
        <v>1232775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322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302</v>
      </c>
      <c r="T58" s="32">
        <v>0</v>
      </c>
      <c r="U58" s="32">
        <v>0</v>
      </c>
    </row>
    <row r="59" spans="1:21">
      <c r="A59" s="30">
        <v>1235097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300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</row>
    <row r="60" spans="1:21">
      <c r="A60" s="30">
        <v>1235958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25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</row>
    <row r="61" spans="1:21">
      <c r="A61" s="30">
        <v>1235845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100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</row>
    <row r="62" spans="1:21">
      <c r="A62" s="30">
        <v>1236600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533</v>
      </c>
      <c r="I62" s="32">
        <v>533</v>
      </c>
      <c r="J62" s="32">
        <v>64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</row>
    <row r="63" spans="1:21">
      <c r="A63" s="30">
        <v>1236601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27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</row>
    <row r="64" spans="1:21">
      <c r="A64" s="30">
        <v>1236619</v>
      </c>
      <c r="B64" s="32">
        <v>0</v>
      </c>
      <c r="C64" s="32">
        <v>270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</row>
    <row r="65" spans="1:21">
      <c r="A65" s="30">
        <v>1236930</v>
      </c>
      <c r="B65" s="32">
        <v>865</v>
      </c>
      <c r="C65" s="32">
        <v>74</v>
      </c>
      <c r="D65" s="32">
        <v>497</v>
      </c>
      <c r="E65" s="32">
        <v>633</v>
      </c>
      <c r="F65" s="32">
        <v>0</v>
      </c>
      <c r="G65" s="32">
        <v>0</v>
      </c>
      <c r="H65" s="32">
        <v>942</v>
      </c>
      <c r="I65" s="32">
        <v>445</v>
      </c>
      <c r="J65" s="32">
        <v>311</v>
      </c>
      <c r="K65" s="32">
        <v>395</v>
      </c>
      <c r="L65" s="32">
        <v>1173</v>
      </c>
      <c r="M65" s="32">
        <v>0</v>
      </c>
      <c r="N65" s="32">
        <v>0</v>
      </c>
      <c r="O65" s="32">
        <v>0</v>
      </c>
      <c r="P65" s="32">
        <v>617</v>
      </c>
      <c r="Q65" s="32">
        <v>641</v>
      </c>
      <c r="R65" s="32">
        <v>806</v>
      </c>
      <c r="S65" s="32">
        <v>3294</v>
      </c>
      <c r="T65" s="32">
        <v>0</v>
      </c>
      <c r="U65" s="32">
        <v>0</v>
      </c>
    </row>
    <row r="66" spans="1:21">
      <c r="A66" s="30">
        <v>1237468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144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</row>
    <row r="67" spans="1:21">
      <c r="A67" s="30">
        <v>1237210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375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</row>
    <row r="68" spans="1:21">
      <c r="A68" s="30">
        <v>1237457</v>
      </c>
      <c r="B68" s="32">
        <v>0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18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</row>
    <row r="69" spans="1:21">
      <c r="A69" s="30">
        <v>1237386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180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</row>
    <row r="70" spans="1:21">
      <c r="A70" s="30">
        <v>1238480</v>
      </c>
      <c r="B70" s="32">
        <v>1170</v>
      </c>
      <c r="C70" s="32">
        <v>406</v>
      </c>
      <c r="D70" s="32">
        <v>808</v>
      </c>
      <c r="E70" s="32">
        <v>523</v>
      </c>
      <c r="F70" s="32">
        <v>0</v>
      </c>
      <c r="G70" s="32">
        <v>0</v>
      </c>
      <c r="H70" s="32">
        <v>988</v>
      </c>
      <c r="I70" s="32">
        <v>269</v>
      </c>
      <c r="J70" s="32">
        <v>248</v>
      </c>
      <c r="K70" s="32">
        <v>226</v>
      </c>
      <c r="L70" s="32">
        <v>0</v>
      </c>
      <c r="M70" s="32">
        <v>0</v>
      </c>
      <c r="N70" s="32">
        <v>0</v>
      </c>
      <c r="O70" s="32">
        <v>0</v>
      </c>
      <c r="P70" s="32">
        <v>700</v>
      </c>
      <c r="Q70" s="32">
        <v>785</v>
      </c>
      <c r="R70" s="32">
        <v>500</v>
      </c>
      <c r="S70" s="32">
        <v>25400</v>
      </c>
      <c r="T70" s="32">
        <v>0</v>
      </c>
      <c r="U70" s="32">
        <v>0</v>
      </c>
    </row>
    <row r="71" spans="1:21">
      <c r="A71" s="30">
        <v>1240180</v>
      </c>
      <c r="B71" s="32">
        <v>0</v>
      </c>
      <c r="C71" s="32">
        <v>177</v>
      </c>
      <c r="D71" s="32">
        <v>123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400</v>
      </c>
      <c r="L71" s="32">
        <v>0</v>
      </c>
      <c r="M71" s="32">
        <v>0</v>
      </c>
      <c r="N71" s="32">
        <v>0</v>
      </c>
      <c r="O71" s="32">
        <v>0</v>
      </c>
      <c r="P71" s="32">
        <v>100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</row>
    <row r="72" spans="1:21">
      <c r="A72" s="30">
        <v>1240184</v>
      </c>
      <c r="B72" s="32">
        <v>0</v>
      </c>
      <c r="C72" s="32">
        <v>177</v>
      </c>
      <c r="D72" s="32">
        <v>123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400</v>
      </c>
      <c r="L72" s="32">
        <v>0</v>
      </c>
      <c r="M72" s="32">
        <v>0</v>
      </c>
      <c r="N72" s="32">
        <v>0</v>
      </c>
      <c r="O72" s="32">
        <v>0</v>
      </c>
      <c r="P72" s="32">
        <v>100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</row>
    <row r="73" spans="1:21">
      <c r="A73" s="30">
        <v>1238453</v>
      </c>
      <c r="B73" s="32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60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1212</v>
      </c>
      <c r="T73" s="32">
        <v>0</v>
      </c>
      <c r="U73" s="32">
        <v>0</v>
      </c>
    </row>
    <row r="74" spans="1:21">
      <c r="A74" s="30">
        <v>1216452</v>
      </c>
      <c r="B74" s="32">
        <v>386</v>
      </c>
      <c r="C74" s="32">
        <v>825</v>
      </c>
      <c r="D74" s="32">
        <v>670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2601</v>
      </c>
      <c r="K74" s="32">
        <v>613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</row>
    <row r="75" spans="1:21">
      <c r="A75" s="111">
        <v>1232894</v>
      </c>
      <c r="B75" s="32">
        <v>0</v>
      </c>
      <c r="C75" s="32">
        <v>0</v>
      </c>
      <c r="D75" s="32">
        <v>176</v>
      </c>
      <c r="E75" s="32">
        <v>700</v>
      </c>
      <c r="F75" s="32">
        <v>0</v>
      </c>
      <c r="G75" s="32">
        <v>0</v>
      </c>
      <c r="H75" s="32">
        <v>133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700</v>
      </c>
      <c r="Q75" s="32">
        <v>550</v>
      </c>
      <c r="R75" s="32">
        <v>670</v>
      </c>
      <c r="S75" s="32">
        <v>0</v>
      </c>
      <c r="T75" s="32">
        <v>0</v>
      </c>
      <c r="U75" s="32">
        <v>384</v>
      </c>
    </row>
    <row r="76" spans="1:21">
      <c r="A76" s="30">
        <v>1233386</v>
      </c>
      <c r="B76" s="32">
        <v>0</v>
      </c>
      <c r="C76" s="32">
        <v>0</v>
      </c>
      <c r="D76" s="32">
        <v>176</v>
      </c>
      <c r="E76" s="32">
        <v>700</v>
      </c>
      <c r="F76" s="32">
        <v>0</v>
      </c>
      <c r="G76" s="32">
        <v>0</v>
      </c>
      <c r="H76" s="32">
        <v>133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</row>
    <row r="77" spans="1:21">
      <c r="A77" s="111">
        <v>1233387</v>
      </c>
      <c r="B77" s="32">
        <v>0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700</v>
      </c>
      <c r="Q77" s="32">
        <v>550</v>
      </c>
      <c r="R77" s="32">
        <v>478</v>
      </c>
      <c r="S77" s="32">
        <v>0</v>
      </c>
      <c r="T77" s="32">
        <v>0</v>
      </c>
      <c r="U77" s="32">
        <v>0</v>
      </c>
    </row>
    <row r="78" spans="1:21">
      <c r="A78" s="30">
        <v>1233385</v>
      </c>
      <c r="B78" s="32">
        <v>0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192</v>
      </c>
      <c r="S78" s="32">
        <v>0</v>
      </c>
      <c r="T78" s="32">
        <v>0</v>
      </c>
      <c r="U78" s="32">
        <v>384</v>
      </c>
    </row>
    <row r="79" spans="1:21">
      <c r="A79" s="30">
        <v>1232895</v>
      </c>
      <c r="B79" s="32">
        <v>0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333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</row>
    <row r="80" spans="1:21">
      <c r="A80" s="30">
        <v>1232922</v>
      </c>
      <c r="B80" s="32">
        <v>0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333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</row>
  </sheetData>
  <phoneticPr fontId="1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B245-8B62-4443-8038-ECBE0B7CA48E}">
  <sheetPr>
    <tabColor rgb="FFFFFF00"/>
  </sheetPr>
  <dimension ref="A1:S103"/>
  <sheetViews>
    <sheetView topLeftCell="A39" zoomScale="115" zoomScaleNormal="115" workbookViewId="0">
      <selection activeCell="E55" sqref="E55"/>
    </sheetView>
  </sheetViews>
  <sheetFormatPr defaultColWidth="9.33203125" defaultRowHeight="12"/>
  <cols>
    <col min="1" max="1" width="9.33203125" style="5"/>
    <col min="2" max="2" width="10.1640625" style="5" bestFit="1" customWidth="1"/>
    <col min="3" max="12" width="10.6640625" style="9" customWidth="1"/>
    <col min="13" max="13" width="10" style="76" bestFit="1" customWidth="1"/>
    <col min="14" max="14" width="13.1640625" style="9" bestFit="1" customWidth="1"/>
    <col min="15" max="19" width="9.33203125" style="9"/>
    <col min="20" max="16384" width="9.33203125" style="5"/>
  </cols>
  <sheetData>
    <row r="1" spans="1:19" s="80" customFormat="1">
      <c r="A1" s="81"/>
      <c r="B1" s="81" t="s">
        <v>730</v>
      </c>
      <c r="C1" s="9">
        <f>+C2-C3</f>
        <v>1708</v>
      </c>
      <c r="D1" s="9">
        <f t="shared" ref="D1:L1" si="0">+D2-D3</f>
        <v>31042</v>
      </c>
      <c r="E1" s="9">
        <f t="shared" si="0"/>
        <v>11512</v>
      </c>
      <c r="F1" s="9">
        <f t="shared" si="0"/>
        <v>32882</v>
      </c>
      <c r="G1" s="9">
        <f t="shared" si="0"/>
        <v>0</v>
      </c>
      <c r="H1" s="9">
        <f t="shared" si="0"/>
        <v>24082</v>
      </c>
      <c r="I1" s="9">
        <f t="shared" si="0"/>
        <v>11000</v>
      </c>
      <c r="J1" s="9">
        <f t="shared" si="0"/>
        <v>24392</v>
      </c>
      <c r="K1" s="9">
        <f t="shared" si="0"/>
        <v>1200</v>
      </c>
      <c r="L1" s="9">
        <f t="shared" si="0"/>
        <v>2400</v>
      </c>
      <c r="M1" s="277"/>
      <c r="N1" s="194"/>
      <c r="O1" s="194"/>
      <c r="P1" s="194"/>
      <c r="Q1" s="194"/>
      <c r="R1" s="194"/>
    </row>
    <row r="2" spans="1:19" s="80" customFormat="1">
      <c r="A2" s="81"/>
      <c r="B2" s="81" t="s">
        <v>729</v>
      </c>
      <c r="C2" s="9">
        <v>47091</v>
      </c>
      <c r="D2" s="9">
        <v>76754</v>
      </c>
      <c r="E2" s="9">
        <v>59426</v>
      </c>
      <c r="F2" s="9">
        <v>71387</v>
      </c>
      <c r="G2" s="9">
        <v>50048</v>
      </c>
      <c r="H2" s="9">
        <v>80877</v>
      </c>
      <c r="I2" s="9">
        <v>64892</v>
      </c>
      <c r="J2" s="9">
        <v>66701</v>
      </c>
      <c r="K2" s="9">
        <v>16433</v>
      </c>
      <c r="L2" s="9">
        <v>62870</v>
      </c>
      <c r="M2" s="277">
        <v>0</v>
      </c>
      <c r="N2" s="194"/>
      <c r="O2" s="194"/>
      <c r="P2" s="194"/>
      <c r="Q2" s="194"/>
      <c r="R2" s="194"/>
    </row>
    <row r="3" spans="1:19" s="196" customFormat="1">
      <c r="A3" s="195"/>
      <c r="B3" s="195" t="s">
        <v>30</v>
      </c>
      <c r="C3" s="63">
        <f>+C4+C5</f>
        <v>45383</v>
      </c>
      <c r="D3" s="63">
        <f t="shared" ref="D3:L3" si="1">+D4+D5</f>
        <v>45712</v>
      </c>
      <c r="E3" s="63">
        <f t="shared" si="1"/>
        <v>47914</v>
      </c>
      <c r="F3" s="63">
        <f t="shared" si="1"/>
        <v>38505</v>
      </c>
      <c r="G3" s="63">
        <f t="shared" si="1"/>
        <v>50048</v>
      </c>
      <c r="H3" s="63">
        <f t="shared" si="1"/>
        <v>56795</v>
      </c>
      <c r="I3" s="63">
        <f t="shared" si="1"/>
        <v>53892</v>
      </c>
      <c r="J3" s="63">
        <f t="shared" si="1"/>
        <v>42309</v>
      </c>
      <c r="K3" s="63">
        <f t="shared" si="1"/>
        <v>15233</v>
      </c>
      <c r="L3" s="63">
        <f t="shared" si="1"/>
        <v>60470</v>
      </c>
      <c r="M3" s="277"/>
      <c r="N3" s="198"/>
      <c r="O3" s="198"/>
      <c r="P3" s="198"/>
      <c r="Q3" s="198"/>
      <c r="R3" s="198"/>
    </row>
    <row r="4" spans="1:19" s="80" customFormat="1">
      <c r="A4" s="81"/>
      <c r="B4" s="81" t="s">
        <v>31</v>
      </c>
      <c r="C4" s="9">
        <f>SUM(C9:C39)</f>
        <v>28605</v>
      </c>
      <c r="D4" s="9">
        <f t="shared" ref="D4:L4" si="2">SUM(D9:D39)</f>
        <v>31469</v>
      </c>
      <c r="E4" s="9">
        <f t="shared" si="2"/>
        <v>31584</v>
      </c>
      <c r="F4" s="9">
        <f t="shared" si="2"/>
        <v>31289</v>
      </c>
      <c r="G4" s="9">
        <f t="shared" si="2"/>
        <v>39664</v>
      </c>
      <c r="H4" s="9">
        <f t="shared" si="2"/>
        <v>32845</v>
      </c>
      <c r="I4" s="9">
        <f t="shared" si="2"/>
        <v>31775</v>
      </c>
      <c r="J4" s="9">
        <f t="shared" si="2"/>
        <v>25784</v>
      </c>
      <c r="K4" s="9">
        <f t="shared" si="2"/>
        <v>9720</v>
      </c>
      <c r="L4" s="9">
        <f t="shared" si="2"/>
        <v>28474</v>
      </c>
      <c r="M4" s="277"/>
      <c r="N4" s="194"/>
      <c r="O4" s="194"/>
      <c r="P4" s="194"/>
      <c r="Q4" s="194"/>
      <c r="R4" s="194"/>
    </row>
    <row r="5" spans="1:19" s="80" customFormat="1">
      <c r="A5" s="81"/>
      <c r="B5" s="81" t="s">
        <v>27</v>
      </c>
      <c r="C5" s="9">
        <f>SUM(C46:C103)</f>
        <v>16778</v>
      </c>
      <c r="D5" s="9">
        <f t="shared" ref="D5:L5" si="3">SUM(D46:D103)</f>
        <v>14243</v>
      </c>
      <c r="E5" s="9">
        <f t="shared" si="3"/>
        <v>16330</v>
      </c>
      <c r="F5" s="9">
        <f t="shared" si="3"/>
        <v>7216</v>
      </c>
      <c r="G5" s="9">
        <f t="shared" si="3"/>
        <v>10384</v>
      </c>
      <c r="H5" s="9">
        <f t="shared" si="3"/>
        <v>23950</v>
      </c>
      <c r="I5" s="9">
        <f t="shared" si="3"/>
        <v>22117</v>
      </c>
      <c r="J5" s="9">
        <f t="shared" si="3"/>
        <v>16525</v>
      </c>
      <c r="K5" s="9">
        <f t="shared" si="3"/>
        <v>5513</v>
      </c>
      <c r="L5" s="9">
        <f t="shared" si="3"/>
        <v>31996</v>
      </c>
      <c r="M5" s="277"/>
      <c r="N5" s="194"/>
      <c r="O5" s="194"/>
      <c r="P5" s="194"/>
      <c r="Q5" s="194"/>
      <c r="R5" s="194"/>
    </row>
    <row r="6" spans="1:19">
      <c r="M6" s="7"/>
      <c r="N6" s="5"/>
      <c r="O6" s="5"/>
      <c r="P6" s="5"/>
      <c r="Q6" s="5"/>
      <c r="R6" s="5"/>
      <c r="S6" s="5"/>
    </row>
    <row r="7" spans="1:19" s="33" customFormat="1">
      <c r="A7" s="309"/>
      <c r="B7" s="310" t="s">
        <v>0</v>
      </c>
      <c r="C7" s="275" t="s">
        <v>997</v>
      </c>
      <c r="D7" s="275" t="s">
        <v>1045</v>
      </c>
      <c r="E7" s="275" t="s">
        <v>1089</v>
      </c>
      <c r="F7" s="275" t="s">
        <v>1152</v>
      </c>
      <c r="G7" s="275" t="s">
        <v>1212</v>
      </c>
      <c r="H7" s="275" t="s">
        <v>1239</v>
      </c>
      <c r="I7" s="275" t="s">
        <v>1255</v>
      </c>
      <c r="J7" s="275" t="s">
        <v>12</v>
      </c>
      <c r="K7" s="275" t="s">
        <v>13</v>
      </c>
      <c r="L7" s="275" t="s">
        <v>14</v>
      </c>
      <c r="M7" s="278"/>
      <c r="N7" s="276"/>
      <c r="O7" s="276"/>
      <c r="P7" s="276"/>
      <c r="Q7" s="276"/>
      <c r="R7" s="276"/>
      <c r="S7" s="276"/>
    </row>
    <row r="8" spans="1:19" s="33" customFormat="1">
      <c r="A8" s="309"/>
      <c r="B8" s="310"/>
      <c r="C8" s="275" t="s">
        <v>999</v>
      </c>
      <c r="D8" s="275" t="s">
        <v>1046</v>
      </c>
      <c r="E8" s="275" t="s">
        <v>1090</v>
      </c>
      <c r="F8" s="275" t="s">
        <v>1153</v>
      </c>
      <c r="G8" s="275" t="s">
        <v>1213</v>
      </c>
      <c r="H8" s="275" t="s">
        <v>1240</v>
      </c>
      <c r="I8" s="275" t="s">
        <v>1256</v>
      </c>
      <c r="J8" s="275" t="s">
        <v>1257</v>
      </c>
      <c r="K8" s="275" t="s">
        <v>1265</v>
      </c>
      <c r="L8" s="275" t="s">
        <v>1273</v>
      </c>
      <c r="M8" s="278"/>
      <c r="N8" s="276"/>
      <c r="O8" s="276"/>
      <c r="P8" s="276"/>
      <c r="Q8" s="276"/>
      <c r="R8" s="276"/>
      <c r="S8" s="276"/>
    </row>
    <row r="9" spans="1:19">
      <c r="A9" s="29"/>
      <c r="B9" s="30">
        <v>1221154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50</v>
      </c>
      <c r="J9" s="32">
        <v>0</v>
      </c>
      <c r="K9" s="32">
        <v>0</v>
      </c>
      <c r="L9" s="32">
        <v>0</v>
      </c>
      <c r="M9" s="76">
        <v>50</v>
      </c>
    </row>
    <row r="10" spans="1:19">
      <c r="A10" s="29"/>
      <c r="B10" s="30">
        <v>1226384</v>
      </c>
      <c r="C10" s="32">
        <v>1060</v>
      </c>
      <c r="D10" s="32">
        <v>0</v>
      </c>
      <c r="E10" s="32">
        <v>0</v>
      </c>
      <c r="F10" s="32">
        <v>0</v>
      </c>
      <c r="G10" s="32">
        <v>1600</v>
      </c>
      <c r="H10" s="32">
        <v>0</v>
      </c>
      <c r="I10" s="32">
        <v>0</v>
      </c>
      <c r="J10" s="32">
        <v>200</v>
      </c>
      <c r="K10" s="32">
        <v>0</v>
      </c>
      <c r="L10" s="32">
        <v>0</v>
      </c>
      <c r="M10" s="76">
        <v>2860</v>
      </c>
    </row>
    <row r="11" spans="1:19">
      <c r="A11" s="29"/>
      <c r="B11" s="30">
        <v>1226388</v>
      </c>
      <c r="C11" s="32">
        <v>1060</v>
      </c>
      <c r="D11" s="32">
        <v>0</v>
      </c>
      <c r="E11" s="32">
        <v>0</v>
      </c>
      <c r="F11" s="32">
        <v>0</v>
      </c>
      <c r="G11" s="32">
        <v>1600</v>
      </c>
      <c r="H11" s="32">
        <v>0</v>
      </c>
      <c r="I11" s="32">
        <v>0</v>
      </c>
      <c r="J11" s="32">
        <v>200</v>
      </c>
      <c r="K11" s="32">
        <v>0</v>
      </c>
      <c r="L11" s="32">
        <v>0</v>
      </c>
      <c r="M11" s="76">
        <v>2860</v>
      </c>
    </row>
    <row r="12" spans="1:19">
      <c r="A12" s="29"/>
      <c r="B12" s="30">
        <v>1229673</v>
      </c>
      <c r="C12" s="32">
        <v>500</v>
      </c>
      <c r="D12" s="32">
        <v>500</v>
      </c>
      <c r="E12" s="32">
        <v>500</v>
      </c>
      <c r="F12" s="32">
        <v>0</v>
      </c>
      <c r="G12" s="32">
        <v>500</v>
      </c>
      <c r="H12" s="32">
        <v>500</v>
      </c>
      <c r="I12" s="32">
        <v>500</v>
      </c>
      <c r="J12" s="32">
        <v>500</v>
      </c>
      <c r="K12" s="32">
        <v>0</v>
      </c>
      <c r="L12" s="32">
        <v>600</v>
      </c>
      <c r="M12" s="76">
        <v>4100</v>
      </c>
    </row>
    <row r="13" spans="1:19">
      <c r="A13" s="29"/>
      <c r="B13" s="30">
        <v>1230692</v>
      </c>
      <c r="C13" s="32">
        <v>900</v>
      </c>
      <c r="D13" s="32">
        <v>900</v>
      </c>
      <c r="E13" s="32">
        <v>800</v>
      </c>
      <c r="F13" s="32">
        <v>800</v>
      </c>
      <c r="G13" s="32">
        <v>800</v>
      </c>
      <c r="H13" s="32">
        <v>800</v>
      </c>
      <c r="I13" s="32">
        <v>900</v>
      </c>
      <c r="J13" s="32">
        <v>800</v>
      </c>
      <c r="K13" s="32">
        <v>0</v>
      </c>
      <c r="L13" s="32">
        <v>800</v>
      </c>
      <c r="M13" s="76">
        <v>7500</v>
      </c>
    </row>
    <row r="14" spans="1:19">
      <c r="A14" s="29"/>
      <c r="B14" s="30">
        <v>1230696</v>
      </c>
      <c r="C14" s="32">
        <v>0</v>
      </c>
      <c r="D14" s="32">
        <v>0</v>
      </c>
      <c r="E14" s="32">
        <v>200</v>
      </c>
      <c r="F14" s="32">
        <v>0</v>
      </c>
      <c r="G14" s="32">
        <v>200</v>
      </c>
      <c r="H14" s="32">
        <v>200</v>
      </c>
      <c r="I14" s="32">
        <v>0</v>
      </c>
      <c r="J14" s="32">
        <v>0</v>
      </c>
      <c r="K14" s="32">
        <v>0</v>
      </c>
      <c r="L14" s="32">
        <v>100</v>
      </c>
      <c r="M14" s="76">
        <v>700</v>
      </c>
    </row>
    <row r="15" spans="1:19">
      <c r="A15" s="29"/>
      <c r="B15" s="30">
        <v>1230854</v>
      </c>
      <c r="C15" s="32">
        <v>0</v>
      </c>
      <c r="D15" s="32">
        <v>0</v>
      </c>
      <c r="E15" s="32">
        <v>400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200</v>
      </c>
      <c r="M15" s="76">
        <v>600</v>
      </c>
    </row>
    <row r="16" spans="1:19">
      <c r="A16" s="29"/>
      <c r="B16" s="30">
        <v>1231202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100</v>
      </c>
      <c r="J16" s="32">
        <v>0</v>
      </c>
      <c r="K16" s="32">
        <v>0</v>
      </c>
      <c r="L16" s="32">
        <v>0</v>
      </c>
      <c r="M16" s="76">
        <v>100</v>
      </c>
    </row>
    <row r="17" spans="1:13">
      <c r="A17" s="29"/>
      <c r="B17" s="30">
        <v>1231898</v>
      </c>
      <c r="C17" s="32">
        <v>1344</v>
      </c>
      <c r="D17" s="32">
        <v>1792</v>
      </c>
      <c r="E17" s="32">
        <v>1344</v>
      </c>
      <c r="F17" s="32">
        <v>1492</v>
      </c>
      <c r="G17" s="32">
        <v>1344</v>
      </c>
      <c r="H17" s="32">
        <v>1792</v>
      </c>
      <c r="I17" s="32">
        <v>1344</v>
      </c>
      <c r="J17" s="32">
        <v>1344</v>
      </c>
      <c r="K17" s="32">
        <v>0</v>
      </c>
      <c r="L17" s="32">
        <v>2688</v>
      </c>
      <c r="M17" s="76">
        <v>14484</v>
      </c>
    </row>
    <row r="18" spans="1:13">
      <c r="A18" s="29"/>
      <c r="B18" s="30">
        <v>1233492</v>
      </c>
      <c r="C18" s="32">
        <v>500</v>
      </c>
      <c r="D18" s="32">
        <v>500</v>
      </c>
      <c r="E18" s="32">
        <v>500</v>
      </c>
      <c r="F18" s="32">
        <v>500</v>
      </c>
      <c r="G18" s="32">
        <v>500</v>
      </c>
      <c r="H18" s="32">
        <v>500</v>
      </c>
      <c r="I18" s="32">
        <v>500</v>
      </c>
      <c r="J18" s="32">
        <v>0</v>
      </c>
      <c r="K18" s="32">
        <v>0</v>
      </c>
      <c r="L18" s="32">
        <v>500</v>
      </c>
      <c r="M18" s="76">
        <v>4000</v>
      </c>
    </row>
    <row r="19" spans="1:13">
      <c r="A19" s="29"/>
      <c r="B19" s="30">
        <v>1233498</v>
      </c>
      <c r="C19" s="32">
        <v>500</v>
      </c>
      <c r="D19" s="32">
        <v>500</v>
      </c>
      <c r="E19" s="32">
        <v>500</v>
      </c>
      <c r="F19" s="32">
        <v>500</v>
      </c>
      <c r="G19" s="32">
        <v>500</v>
      </c>
      <c r="H19" s="32">
        <v>500</v>
      </c>
      <c r="I19" s="32">
        <v>500</v>
      </c>
      <c r="J19" s="32">
        <v>0</v>
      </c>
      <c r="K19" s="32">
        <v>0</v>
      </c>
      <c r="L19" s="32">
        <v>500</v>
      </c>
      <c r="M19" s="76">
        <v>4000</v>
      </c>
    </row>
    <row r="20" spans="1:13">
      <c r="A20" s="29"/>
      <c r="B20" s="30">
        <v>1233623</v>
      </c>
      <c r="C20" s="32">
        <v>500</v>
      </c>
      <c r="D20" s="32">
        <v>500</v>
      </c>
      <c r="E20" s="32">
        <v>500</v>
      </c>
      <c r="F20" s="32">
        <v>500</v>
      </c>
      <c r="G20" s="32">
        <v>500</v>
      </c>
      <c r="H20" s="32">
        <v>500</v>
      </c>
      <c r="I20" s="32">
        <v>500</v>
      </c>
      <c r="J20" s="32">
        <v>0</v>
      </c>
      <c r="K20" s="32">
        <v>0</v>
      </c>
      <c r="L20" s="32">
        <v>500</v>
      </c>
      <c r="M20" s="76">
        <v>4000</v>
      </c>
    </row>
    <row r="21" spans="1:13">
      <c r="A21" s="29"/>
      <c r="B21" s="30">
        <v>1233761</v>
      </c>
      <c r="C21" s="32">
        <v>0</v>
      </c>
      <c r="D21" s="32">
        <v>200</v>
      </c>
      <c r="E21" s="32">
        <v>150</v>
      </c>
      <c r="F21" s="32">
        <v>200</v>
      </c>
      <c r="G21" s="32">
        <v>0</v>
      </c>
      <c r="H21" s="32">
        <v>100</v>
      </c>
      <c r="I21" s="32">
        <v>150</v>
      </c>
      <c r="J21" s="32">
        <v>100</v>
      </c>
      <c r="K21" s="32">
        <v>0</v>
      </c>
      <c r="L21" s="32">
        <v>0</v>
      </c>
      <c r="M21" s="76">
        <v>900</v>
      </c>
    </row>
    <row r="22" spans="1:13">
      <c r="A22" s="29"/>
      <c r="B22" s="30">
        <v>1234905</v>
      </c>
      <c r="C22" s="32">
        <v>450</v>
      </c>
      <c r="D22" s="32">
        <v>600</v>
      </c>
      <c r="E22" s="32">
        <v>1453</v>
      </c>
      <c r="F22" s="32">
        <v>700</v>
      </c>
      <c r="G22" s="32">
        <v>1050</v>
      </c>
      <c r="H22" s="32">
        <v>800</v>
      </c>
      <c r="I22" s="32">
        <v>1600</v>
      </c>
      <c r="J22" s="32">
        <v>500</v>
      </c>
      <c r="K22" s="32">
        <v>400</v>
      </c>
      <c r="L22" s="32">
        <v>600</v>
      </c>
      <c r="M22" s="76">
        <v>8153</v>
      </c>
    </row>
    <row r="23" spans="1:13">
      <c r="A23" s="29"/>
      <c r="B23" s="30">
        <v>1235623</v>
      </c>
      <c r="C23" s="32">
        <v>0</v>
      </c>
      <c r="D23" s="32">
        <v>0</v>
      </c>
      <c r="E23" s="32">
        <v>0</v>
      </c>
      <c r="F23" s="32">
        <v>1872</v>
      </c>
      <c r="G23" s="32">
        <v>1872</v>
      </c>
      <c r="H23" s="32">
        <v>0</v>
      </c>
      <c r="I23" s="32">
        <v>416</v>
      </c>
      <c r="J23" s="32">
        <v>0</v>
      </c>
      <c r="K23" s="32">
        <v>0</v>
      </c>
      <c r="L23" s="32">
        <v>0</v>
      </c>
      <c r="M23" s="76">
        <v>4160</v>
      </c>
    </row>
    <row r="24" spans="1:13">
      <c r="A24" s="29"/>
      <c r="B24" s="30">
        <v>1236091</v>
      </c>
      <c r="C24" s="32">
        <v>0</v>
      </c>
      <c r="D24" s="32">
        <v>200</v>
      </c>
      <c r="E24" s="32">
        <v>200</v>
      </c>
      <c r="F24" s="32">
        <v>0</v>
      </c>
      <c r="G24" s="32">
        <v>0</v>
      </c>
      <c r="H24" s="32">
        <v>200</v>
      </c>
      <c r="I24" s="32">
        <v>200</v>
      </c>
      <c r="J24" s="32">
        <v>0</v>
      </c>
      <c r="K24" s="32">
        <v>0</v>
      </c>
      <c r="L24" s="32">
        <v>250</v>
      </c>
      <c r="M24" s="76">
        <v>1050</v>
      </c>
    </row>
    <row r="25" spans="1:13">
      <c r="A25" s="29"/>
      <c r="B25" s="30">
        <v>1236488</v>
      </c>
      <c r="C25" s="32">
        <v>700</v>
      </c>
      <c r="D25" s="32">
        <v>700</v>
      </c>
      <c r="E25" s="32">
        <v>700</v>
      </c>
      <c r="F25" s="32">
        <v>600</v>
      </c>
      <c r="G25" s="32">
        <v>700</v>
      </c>
      <c r="H25" s="32">
        <v>700</v>
      </c>
      <c r="I25" s="32">
        <v>800</v>
      </c>
      <c r="J25" s="32">
        <v>700</v>
      </c>
      <c r="K25" s="32">
        <v>700</v>
      </c>
      <c r="L25" s="32">
        <v>600</v>
      </c>
      <c r="M25" s="76">
        <v>6900</v>
      </c>
    </row>
    <row r="26" spans="1:13">
      <c r="A26" s="29"/>
      <c r="B26" s="30">
        <v>1236534</v>
      </c>
      <c r="C26" s="32">
        <v>300</v>
      </c>
      <c r="D26" s="32">
        <v>200</v>
      </c>
      <c r="E26" s="32">
        <v>0</v>
      </c>
      <c r="F26" s="32">
        <v>0</v>
      </c>
      <c r="G26" s="32">
        <v>300</v>
      </c>
      <c r="H26" s="32">
        <v>200</v>
      </c>
      <c r="I26" s="32">
        <v>0</v>
      </c>
      <c r="J26" s="32">
        <v>0</v>
      </c>
      <c r="K26" s="32">
        <v>0</v>
      </c>
      <c r="L26" s="32">
        <v>300</v>
      </c>
      <c r="M26" s="76">
        <v>1300</v>
      </c>
    </row>
    <row r="27" spans="1:13">
      <c r="A27" s="29"/>
      <c r="B27" s="30">
        <v>1236962</v>
      </c>
      <c r="C27" s="32">
        <v>800</v>
      </c>
      <c r="D27" s="32">
        <v>700</v>
      </c>
      <c r="E27" s="32">
        <v>700</v>
      </c>
      <c r="F27" s="32">
        <v>650</v>
      </c>
      <c r="G27" s="32">
        <v>700</v>
      </c>
      <c r="H27" s="32">
        <v>700</v>
      </c>
      <c r="I27" s="32">
        <v>700</v>
      </c>
      <c r="J27" s="32">
        <v>700</v>
      </c>
      <c r="K27" s="32">
        <v>0</v>
      </c>
      <c r="L27" s="32">
        <v>700</v>
      </c>
      <c r="M27" s="76">
        <v>6350</v>
      </c>
    </row>
    <row r="28" spans="1:13">
      <c r="A28" s="29"/>
      <c r="B28" s="30">
        <v>1237088</v>
      </c>
      <c r="C28" s="32">
        <v>2708</v>
      </c>
      <c r="D28" s="32">
        <v>3082</v>
      </c>
      <c r="E28" s="32">
        <v>3092</v>
      </c>
      <c r="F28" s="32">
        <v>2390</v>
      </c>
      <c r="G28" s="32">
        <v>3540</v>
      </c>
      <c r="H28" s="32">
        <v>3640</v>
      </c>
      <c r="I28" s="32">
        <v>3740</v>
      </c>
      <c r="J28" s="32">
        <v>3640</v>
      </c>
      <c r="K28" s="32">
        <v>2296</v>
      </c>
      <c r="L28" s="32">
        <v>0</v>
      </c>
      <c r="M28" s="76">
        <v>28128</v>
      </c>
    </row>
    <row r="29" spans="1:13">
      <c r="A29" s="29"/>
      <c r="B29" s="30">
        <v>1237586</v>
      </c>
      <c r="C29" s="32">
        <v>1344</v>
      </c>
      <c r="D29" s="32">
        <v>1792</v>
      </c>
      <c r="E29" s="32">
        <v>1344</v>
      </c>
      <c r="F29" s="32">
        <v>1492</v>
      </c>
      <c r="G29" s="32">
        <v>1344</v>
      </c>
      <c r="H29" s="32">
        <v>1792</v>
      </c>
      <c r="I29" s="32">
        <v>1344</v>
      </c>
      <c r="J29" s="32">
        <v>1344</v>
      </c>
      <c r="K29" s="32">
        <v>0</v>
      </c>
      <c r="L29" s="32">
        <v>2688</v>
      </c>
      <c r="M29" s="76">
        <v>14484</v>
      </c>
    </row>
    <row r="30" spans="1:13">
      <c r="A30" s="29"/>
      <c r="B30" s="30">
        <v>1237748</v>
      </c>
      <c r="C30" s="32">
        <v>1352</v>
      </c>
      <c r="D30" s="32">
        <v>884</v>
      </c>
      <c r="E30" s="32">
        <v>0</v>
      </c>
      <c r="F30" s="32">
        <v>1192</v>
      </c>
      <c r="G30" s="32">
        <v>0</v>
      </c>
      <c r="H30" s="32">
        <v>520</v>
      </c>
      <c r="I30" s="32">
        <v>0</v>
      </c>
      <c r="J30" s="32">
        <v>1092</v>
      </c>
      <c r="K30" s="32">
        <v>0</v>
      </c>
      <c r="L30" s="32">
        <v>376</v>
      </c>
      <c r="M30" s="76">
        <v>5416</v>
      </c>
    </row>
    <row r="31" spans="1:13">
      <c r="A31" s="29"/>
      <c r="B31" s="30">
        <v>1238128</v>
      </c>
      <c r="C31" s="32">
        <v>6535</v>
      </c>
      <c r="D31" s="32">
        <v>5469</v>
      </c>
      <c r="E31" s="32">
        <v>5501</v>
      </c>
      <c r="F31" s="32">
        <v>6501</v>
      </c>
      <c r="G31" s="32">
        <v>7214</v>
      </c>
      <c r="H31" s="32">
        <v>3811</v>
      </c>
      <c r="I31" s="32">
        <v>3531</v>
      </c>
      <c r="J31" s="32">
        <v>2614</v>
      </c>
      <c r="K31" s="32">
        <v>2124</v>
      </c>
      <c r="L31" s="32">
        <v>3416</v>
      </c>
      <c r="M31" s="76">
        <v>46716</v>
      </c>
    </row>
    <row r="32" spans="1:13">
      <c r="A32" s="29"/>
      <c r="B32" s="30">
        <v>1239651</v>
      </c>
      <c r="C32" s="32">
        <v>300</v>
      </c>
      <c r="D32" s="32">
        <v>300</v>
      </c>
      <c r="E32" s="32">
        <v>400</v>
      </c>
      <c r="F32" s="32">
        <v>300</v>
      </c>
      <c r="G32" s="32">
        <v>300</v>
      </c>
      <c r="H32" s="32">
        <v>300</v>
      </c>
      <c r="I32" s="32">
        <v>550</v>
      </c>
      <c r="J32" s="32">
        <v>300</v>
      </c>
      <c r="K32" s="32">
        <v>0</v>
      </c>
      <c r="L32" s="32">
        <v>306</v>
      </c>
      <c r="M32" s="76">
        <v>3056</v>
      </c>
    </row>
    <row r="33" spans="1:13">
      <c r="A33" s="29"/>
      <c r="B33" s="30">
        <v>1239988</v>
      </c>
      <c r="C33" s="32">
        <v>1652</v>
      </c>
      <c r="D33" s="32">
        <v>2600</v>
      </c>
      <c r="E33" s="32">
        <v>2700</v>
      </c>
      <c r="F33" s="32">
        <v>1700</v>
      </c>
      <c r="G33" s="32">
        <v>1800</v>
      </c>
      <c r="H33" s="32">
        <v>2700</v>
      </c>
      <c r="I33" s="32">
        <v>2700</v>
      </c>
      <c r="J33" s="32">
        <v>2000</v>
      </c>
      <c r="K33" s="32">
        <v>600</v>
      </c>
      <c r="L33" s="32">
        <v>2500</v>
      </c>
      <c r="M33" s="76">
        <v>20952</v>
      </c>
    </row>
    <row r="34" spans="1:13">
      <c r="A34" s="29"/>
      <c r="B34" s="30">
        <v>1240180</v>
      </c>
      <c r="C34" s="32">
        <v>1000</v>
      </c>
      <c r="D34" s="32">
        <v>2400</v>
      </c>
      <c r="E34" s="32">
        <v>2200</v>
      </c>
      <c r="F34" s="32">
        <v>1900</v>
      </c>
      <c r="G34" s="32">
        <v>2300</v>
      </c>
      <c r="H34" s="32">
        <v>2740</v>
      </c>
      <c r="I34" s="32">
        <v>2800</v>
      </c>
      <c r="J34" s="32">
        <v>2450</v>
      </c>
      <c r="K34" s="32">
        <v>600</v>
      </c>
      <c r="L34" s="32">
        <v>2450</v>
      </c>
      <c r="M34" s="76">
        <v>20840</v>
      </c>
    </row>
    <row r="35" spans="1:13">
      <c r="A35" s="29"/>
      <c r="B35" s="30">
        <v>1240184</v>
      </c>
      <c r="C35" s="32">
        <v>1000</v>
      </c>
      <c r="D35" s="32">
        <v>2200</v>
      </c>
      <c r="E35" s="32">
        <v>2200</v>
      </c>
      <c r="F35" s="32">
        <v>1800</v>
      </c>
      <c r="G35" s="32">
        <v>2300</v>
      </c>
      <c r="H35" s="32">
        <v>2300</v>
      </c>
      <c r="I35" s="32">
        <v>2400</v>
      </c>
      <c r="J35" s="32">
        <v>2200</v>
      </c>
      <c r="K35" s="32">
        <v>600</v>
      </c>
      <c r="L35" s="32">
        <v>2200</v>
      </c>
      <c r="M35" s="76">
        <v>19200</v>
      </c>
    </row>
    <row r="36" spans="1:13">
      <c r="A36" s="29"/>
      <c r="B36" s="30">
        <v>1240308</v>
      </c>
      <c r="C36" s="32">
        <v>0</v>
      </c>
      <c r="D36" s="32">
        <v>450</v>
      </c>
      <c r="E36" s="32">
        <v>1100</v>
      </c>
      <c r="F36" s="32">
        <v>500</v>
      </c>
      <c r="G36" s="32">
        <v>0</v>
      </c>
      <c r="H36" s="32">
        <v>750</v>
      </c>
      <c r="I36" s="32">
        <v>850</v>
      </c>
      <c r="J36" s="32">
        <v>200</v>
      </c>
      <c r="K36" s="32">
        <v>0</v>
      </c>
      <c r="L36" s="32">
        <v>300</v>
      </c>
      <c r="M36" s="76">
        <v>4150</v>
      </c>
    </row>
    <row r="37" spans="1:13">
      <c r="A37" s="29"/>
      <c r="B37" s="30">
        <v>1241134</v>
      </c>
      <c r="C37" s="32">
        <v>0</v>
      </c>
      <c r="D37" s="32">
        <v>0</v>
      </c>
      <c r="E37" s="32">
        <v>0</v>
      </c>
      <c r="F37" s="32">
        <v>0</v>
      </c>
      <c r="G37" s="32">
        <v>2100</v>
      </c>
      <c r="H37" s="32">
        <v>1000</v>
      </c>
      <c r="I37" s="32">
        <v>400</v>
      </c>
      <c r="J37" s="32">
        <v>100</v>
      </c>
      <c r="K37" s="32">
        <v>0</v>
      </c>
      <c r="L37" s="32">
        <v>600</v>
      </c>
      <c r="M37" s="76">
        <v>4200</v>
      </c>
    </row>
    <row r="38" spans="1:13">
      <c r="A38" s="29"/>
      <c r="B38" s="30">
        <v>1241601</v>
      </c>
      <c r="C38" s="32">
        <v>4100</v>
      </c>
      <c r="D38" s="32">
        <v>5000</v>
      </c>
      <c r="E38" s="32">
        <v>5100</v>
      </c>
      <c r="F38" s="32">
        <v>4800</v>
      </c>
      <c r="G38" s="32">
        <v>5700</v>
      </c>
      <c r="H38" s="32">
        <v>4900</v>
      </c>
      <c r="I38" s="32">
        <v>4500</v>
      </c>
      <c r="J38" s="32">
        <v>4800</v>
      </c>
      <c r="K38" s="32">
        <v>2400</v>
      </c>
      <c r="L38" s="32">
        <v>4700</v>
      </c>
      <c r="M38" s="76">
        <v>46000</v>
      </c>
    </row>
    <row r="39" spans="1:13">
      <c r="A39" s="29"/>
      <c r="B39" s="30">
        <v>1242242</v>
      </c>
      <c r="C39" s="32">
        <v>0</v>
      </c>
      <c r="D39" s="32">
        <v>0</v>
      </c>
      <c r="E39" s="32">
        <v>0</v>
      </c>
      <c r="F39" s="32">
        <v>900</v>
      </c>
      <c r="G39" s="32">
        <v>900</v>
      </c>
      <c r="H39" s="32">
        <v>900</v>
      </c>
      <c r="I39" s="32">
        <v>700</v>
      </c>
      <c r="J39" s="32">
        <v>0</v>
      </c>
      <c r="K39" s="32">
        <v>0</v>
      </c>
      <c r="L39" s="32">
        <v>600</v>
      </c>
      <c r="M39" s="76">
        <v>4000</v>
      </c>
    </row>
    <row r="40" spans="1:13">
      <c r="M40" s="76">
        <v>0</v>
      </c>
    </row>
    <row r="41" spans="1:13">
      <c r="M41" s="76">
        <v>0</v>
      </c>
    </row>
    <row r="42" spans="1:13">
      <c r="M42" s="76">
        <v>0</v>
      </c>
    </row>
    <row r="43" spans="1:13">
      <c r="M43" s="76">
        <v>0</v>
      </c>
    </row>
    <row r="44" spans="1:13">
      <c r="A44" s="311"/>
      <c r="B44" s="310" t="s">
        <v>0</v>
      </c>
      <c r="C44" s="275" t="s">
        <v>997</v>
      </c>
      <c r="D44" s="275" t="s">
        <v>1045</v>
      </c>
      <c r="E44" s="275" t="s">
        <v>1089</v>
      </c>
      <c r="F44" s="275" t="s">
        <v>1152</v>
      </c>
      <c r="G44" s="275" t="s">
        <v>1212</v>
      </c>
      <c r="H44" s="275" t="s">
        <v>1239</v>
      </c>
      <c r="I44" s="275" t="s">
        <v>1255</v>
      </c>
      <c r="J44" s="275" t="s">
        <v>12</v>
      </c>
      <c r="K44" s="275" t="s">
        <v>13</v>
      </c>
      <c r="L44" s="275" t="s">
        <v>14</v>
      </c>
      <c r="M44" s="76">
        <v>0</v>
      </c>
    </row>
    <row r="45" spans="1:13">
      <c r="A45" s="311"/>
      <c r="B45" s="310"/>
      <c r="C45" s="275" t="s">
        <v>999</v>
      </c>
      <c r="D45" s="275" t="s">
        <v>1046</v>
      </c>
      <c r="E45" s="275" t="s">
        <v>1090</v>
      </c>
      <c r="F45" s="275" t="s">
        <v>1153</v>
      </c>
      <c r="G45" s="275" t="s">
        <v>1213</v>
      </c>
      <c r="H45" s="275" t="s">
        <v>1240</v>
      </c>
      <c r="I45" s="275" t="s">
        <v>1256</v>
      </c>
      <c r="J45" s="275" t="s">
        <v>1257</v>
      </c>
      <c r="K45" s="275" t="s">
        <v>1265</v>
      </c>
      <c r="L45" s="275" t="s">
        <v>1273</v>
      </c>
      <c r="M45" s="76">
        <v>0</v>
      </c>
    </row>
    <row r="46" spans="1:13">
      <c r="A46" s="29"/>
      <c r="B46" s="30">
        <v>1216452</v>
      </c>
      <c r="C46" s="32">
        <v>1062</v>
      </c>
      <c r="D46" s="32">
        <v>288</v>
      </c>
      <c r="E46" s="32">
        <v>1152</v>
      </c>
      <c r="F46" s="32">
        <v>324</v>
      </c>
      <c r="G46" s="32">
        <v>324</v>
      </c>
      <c r="H46" s="32">
        <v>168</v>
      </c>
      <c r="I46" s="32">
        <v>1188</v>
      </c>
      <c r="J46" s="32">
        <v>0</v>
      </c>
      <c r="K46" s="32">
        <v>144</v>
      </c>
      <c r="L46" s="32">
        <v>0</v>
      </c>
      <c r="M46" s="76">
        <v>4650</v>
      </c>
    </row>
    <row r="47" spans="1:13">
      <c r="A47" s="29"/>
      <c r="B47" s="30">
        <v>1220847</v>
      </c>
      <c r="C47" s="32">
        <v>0</v>
      </c>
      <c r="D47" s="32">
        <v>45</v>
      </c>
      <c r="E47" s="32">
        <v>350</v>
      </c>
      <c r="F47" s="32">
        <v>0</v>
      </c>
      <c r="G47" s="32">
        <v>0</v>
      </c>
      <c r="H47" s="32">
        <v>1860</v>
      </c>
      <c r="I47" s="32">
        <v>1000</v>
      </c>
      <c r="J47" s="32">
        <v>0</v>
      </c>
      <c r="K47" s="32">
        <v>0</v>
      </c>
      <c r="L47" s="32">
        <v>630</v>
      </c>
      <c r="M47" s="76">
        <v>3885</v>
      </c>
    </row>
    <row r="48" spans="1:13">
      <c r="A48" s="29"/>
      <c r="B48" s="30">
        <v>1221254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50</v>
      </c>
      <c r="J48" s="32">
        <v>0</v>
      </c>
      <c r="K48" s="32">
        <v>0</v>
      </c>
      <c r="L48" s="32">
        <v>0</v>
      </c>
      <c r="M48" s="76">
        <v>50</v>
      </c>
    </row>
    <row r="49" spans="1:13">
      <c r="A49" s="29"/>
      <c r="B49" s="30">
        <v>1221967</v>
      </c>
      <c r="C49" s="32">
        <v>701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67</v>
      </c>
      <c r="M49" s="76">
        <v>768</v>
      </c>
    </row>
    <row r="50" spans="1:13">
      <c r="A50" s="29"/>
      <c r="B50" s="30">
        <v>1225464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756</v>
      </c>
      <c r="I50" s="32">
        <v>0</v>
      </c>
      <c r="J50" s="32">
        <v>0</v>
      </c>
      <c r="K50" s="32">
        <v>0</v>
      </c>
      <c r="L50" s="32">
        <v>1512</v>
      </c>
      <c r="M50" s="76">
        <v>2268</v>
      </c>
    </row>
    <row r="51" spans="1:13">
      <c r="A51" s="29"/>
      <c r="B51" s="30">
        <v>1227306</v>
      </c>
      <c r="C51" s="32">
        <v>600</v>
      </c>
      <c r="D51" s="32">
        <v>800</v>
      </c>
      <c r="E51" s="32">
        <v>600</v>
      </c>
      <c r="F51" s="32">
        <v>300</v>
      </c>
      <c r="G51" s="32">
        <v>400</v>
      </c>
      <c r="H51" s="32">
        <v>800</v>
      </c>
      <c r="I51" s="32">
        <v>600</v>
      </c>
      <c r="J51" s="32">
        <v>300</v>
      </c>
      <c r="K51" s="32">
        <v>0</v>
      </c>
      <c r="L51" s="32">
        <v>800</v>
      </c>
      <c r="M51" s="76">
        <v>5200</v>
      </c>
    </row>
    <row r="52" spans="1:13">
      <c r="A52" s="29"/>
      <c r="B52" s="30">
        <v>1229050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275</v>
      </c>
      <c r="J52" s="32">
        <v>0</v>
      </c>
      <c r="K52" s="32">
        <v>0</v>
      </c>
      <c r="L52" s="32">
        <v>0</v>
      </c>
      <c r="M52" s="76">
        <v>275</v>
      </c>
    </row>
    <row r="53" spans="1:13">
      <c r="A53" s="29"/>
      <c r="B53" s="30">
        <v>1229088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100</v>
      </c>
      <c r="I53" s="32">
        <v>0</v>
      </c>
      <c r="J53" s="32">
        <v>0</v>
      </c>
      <c r="K53" s="32">
        <v>0</v>
      </c>
      <c r="L53" s="32">
        <v>450</v>
      </c>
      <c r="M53" s="76">
        <v>550</v>
      </c>
    </row>
    <row r="54" spans="1:13">
      <c r="A54" s="29"/>
      <c r="B54" s="30">
        <v>1229776</v>
      </c>
      <c r="C54" s="32">
        <v>90</v>
      </c>
      <c r="D54" s="32">
        <v>0</v>
      </c>
      <c r="E54" s="32">
        <v>350</v>
      </c>
      <c r="F54" s="32">
        <v>0</v>
      </c>
      <c r="G54" s="32">
        <v>0</v>
      </c>
      <c r="H54" s="32">
        <v>90</v>
      </c>
      <c r="I54" s="32">
        <v>0</v>
      </c>
      <c r="J54" s="32">
        <v>0</v>
      </c>
      <c r="K54" s="32">
        <v>0</v>
      </c>
      <c r="L54" s="32">
        <v>0</v>
      </c>
      <c r="M54" s="76">
        <v>530</v>
      </c>
    </row>
    <row r="55" spans="1:13">
      <c r="A55" s="29"/>
      <c r="B55" s="30">
        <v>1230685</v>
      </c>
      <c r="C55" s="32">
        <v>0</v>
      </c>
      <c r="D55" s="32">
        <v>400</v>
      </c>
      <c r="E55" s="32">
        <v>0</v>
      </c>
      <c r="F55" s="32">
        <v>0</v>
      </c>
      <c r="G55" s="32">
        <v>0</v>
      </c>
      <c r="H55" s="32">
        <v>400</v>
      </c>
      <c r="I55" s="32">
        <v>0</v>
      </c>
      <c r="J55" s="32">
        <v>0</v>
      </c>
      <c r="K55" s="32">
        <v>0</v>
      </c>
      <c r="L55" s="32">
        <v>300</v>
      </c>
      <c r="M55" s="76">
        <v>1100</v>
      </c>
    </row>
    <row r="56" spans="1:13">
      <c r="A56" s="29"/>
      <c r="B56" s="30">
        <v>1230791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30</v>
      </c>
      <c r="I56" s="32">
        <v>0</v>
      </c>
      <c r="J56" s="32">
        <v>0</v>
      </c>
      <c r="K56" s="32">
        <v>0</v>
      </c>
      <c r="L56" s="32">
        <v>442</v>
      </c>
      <c r="M56" s="76">
        <v>472</v>
      </c>
    </row>
    <row r="57" spans="1:13">
      <c r="A57" s="29"/>
      <c r="B57" s="30">
        <v>1231011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300</v>
      </c>
      <c r="J57" s="32">
        <v>0</v>
      </c>
      <c r="K57" s="32">
        <v>0</v>
      </c>
      <c r="L57" s="32">
        <v>0</v>
      </c>
      <c r="M57" s="76">
        <v>300</v>
      </c>
    </row>
    <row r="58" spans="1:13">
      <c r="A58" s="29"/>
      <c r="B58" s="30">
        <v>1231090</v>
      </c>
      <c r="C58" s="32">
        <v>90</v>
      </c>
      <c r="D58" s="32">
        <v>0</v>
      </c>
      <c r="E58" s="32">
        <v>453</v>
      </c>
      <c r="F58" s="32">
        <v>955</v>
      </c>
      <c r="G58" s="32">
        <v>0</v>
      </c>
      <c r="H58" s="32">
        <v>90</v>
      </c>
      <c r="I58" s="32">
        <v>0</v>
      </c>
      <c r="J58" s="32">
        <v>955</v>
      </c>
      <c r="K58" s="32">
        <v>0</v>
      </c>
      <c r="L58" s="32">
        <v>300</v>
      </c>
      <c r="M58" s="76">
        <v>2843</v>
      </c>
    </row>
    <row r="59" spans="1:13">
      <c r="A59" s="29"/>
      <c r="B59" s="30">
        <v>1231578</v>
      </c>
      <c r="C59" s="32">
        <v>0</v>
      </c>
      <c r="D59" s="32">
        <v>200</v>
      </c>
      <c r="E59" s="32">
        <v>300</v>
      </c>
      <c r="F59" s="32">
        <v>0</v>
      </c>
      <c r="G59" s="32">
        <v>0</v>
      </c>
      <c r="H59" s="32">
        <v>200</v>
      </c>
      <c r="I59" s="32">
        <v>200</v>
      </c>
      <c r="J59" s="32">
        <v>200</v>
      </c>
      <c r="K59" s="32">
        <v>0</v>
      </c>
      <c r="L59" s="32">
        <v>0</v>
      </c>
      <c r="M59" s="76">
        <v>1100</v>
      </c>
    </row>
    <row r="60" spans="1:13">
      <c r="A60" s="29"/>
      <c r="B60" s="30">
        <v>1231797</v>
      </c>
      <c r="C60" s="32">
        <v>0</v>
      </c>
      <c r="D60" s="32">
        <v>0</v>
      </c>
      <c r="E60" s="32">
        <v>137</v>
      </c>
      <c r="F60" s="32">
        <v>0</v>
      </c>
      <c r="G60" s="32">
        <v>0</v>
      </c>
      <c r="H60" s="32">
        <v>0</v>
      </c>
      <c r="I60" s="32">
        <v>128</v>
      </c>
      <c r="J60" s="32">
        <v>0</v>
      </c>
      <c r="K60" s="32">
        <v>0</v>
      </c>
      <c r="L60" s="32">
        <v>0</v>
      </c>
      <c r="M60" s="76">
        <v>265</v>
      </c>
    </row>
    <row r="61" spans="1:13">
      <c r="A61" s="29"/>
      <c r="B61" s="30">
        <v>1231860</v>
      </c>
      <c r="C61" s="32">
        <v>100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76">
        <v>100</v>
      </c>
    </row>
    <row r="62" spans="1:13">
      <c r="A62" s="29"/>
      <c r="B62" s="30">
        <v>1232066</v>
      </c>
      <c r="C62" s="32">
        <v>0</v>
      </c>
      <c r="D62" s="32">
        <v>0</v>
      </c>
      <c r="E62" s="32">
        <v>0</v>
      </c>
      <c r="F62" s="32">
        <v>288</v>
      </c>
      <c r="G62" s="32">
        <v>0</v>
      </c>
      <c r="H62" s="32">
        <v>0</v>
      </c>
      <c r="I62" s="32">
        <v>0</v>
      </c>
      <c r="J62" s="32">
        <v>288</v>
      </c>
      <c r="K62" s="32">
        <v>0</v>
      </c>
      <c r="L62" s="32">
        <v>0</v>
      </c>
      <c r="M62" s="76">
        <v>576</v>
      </c>
    </row>
    <row r="63" spans="1:13">
      <c r="A63" s="29"/>
      <c r="B63" s="30">
        <v>1232528</v>
      </c>
      <c r="C63" s="32">
        <v>7378</v>
      </c>
      <c r="D63" s="32">
        <v>3976</v>
      </c>
      <c r="E63" s="32">
        <v>0</v>
      </c>
      <c r="F63" s="32">
        <v>0</v>
      </c>
      <c r="G63" s="32">
        <v>1134</v>
      </c>
      <c r="H63" s="32">
        <v>6090</v>
      </c>
      <c r="I63" s="32">
        <v>3000</v>
      </c>
      <c r="J63" s="32">
        <v>5134</v>
      </c>
      <c r="K63" s="32">
        <v>1134</v>
      </c>
      <c r="L63" s="32">
        <v>6392</v>
      </c>
      <c r="M63" s="76">
        <v>34238</v>
      </c>
    </row>
    <row r="64" spans="1:13">
      <c r="A64" s="29"/>
      <c r="B64" s="30">
        <v>1232553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108</v>
      </c>
      <c r="I64" s="32">
        <v>0</v>
      </c>
      <c r="J64" s="32">
        <v>0</v>
      </c>
      <c r="K64" s="32">
        <v>0</v>
      </c>
      <c r="L64" s="32">
        <v>0</v>
      </c>
      <c r="M64" s="76">
        <v>108</v>
      </c>
    </row>
    <row r="65" spans="1:13">
      <c r="A65" s="29"/>
      <c r="B65" s="30">
        <v>1232693</v>
      </c>
      <c r="C65" s="32">
        <v>0</v>
      </c>
      <c r="D65" s="32">
        <v>0</v>
      </c>
      <c r="E65" s="32">
        <v>0</v>
      </c>
      <c r="F65" s="32">
        <v>0</v>
      </c>
      <c r="G65" s="32">
        <v>1037</v>
      </c>
      <c r="H65" s="32">
        <v>1018</v>
      </c>
      <c r="I65" s="32">
        <v>0</v>
      </c>
      <c r="J65" s="32">
        <v>0</v>
      </c>
      <c r="K65" s="32">
        <v>0</v>
      </c>
      <c r="L65" s="32">
        <v>1166</v>
      </c>
      <c r="M65" s="76">
        <v>3221</v>
      </c>
    </row>
    <row r="66" spans="1:13">
      <c r="A66" s="29"/>
      <c r="B66" s="30">
        <v>1232775</v>
      </c>
      <c r="C66" s="32">
        <v>1050</v>
      </c>
      <c r="D66" s="32">
        <v>1650</v>
      </c>
      <c r="E66" s="32">
        <v>1930</v>
      </c>
      <c r="F66" s="32">
        <v>662</v>
      </c>
      <c r="G66" s="32">
        <v>500</v>
      </c>
      <c r="H66" s="32">
        <v>200</v>
      </c>
      <c r="I66" s="32">
        <v>1950</v>
      </c>
      <c r="J66" s="32">
        <v>503</v>
      </c>
      <c r="K66" s="32">
        <v>0</v>
      </c>
      <c r="L66" s="32">
        <v>1415</v>
      </c>
      <c r="M66" s="76">
        <v>9860</v>
      </c>
    </row>
    <row r="67" spans="1:13">
      <c r="A67" s="29"/>
      <c r="B67" s="30">
        <v>1232846</v>
      </c>
      <c r="C67" s="32">
        <v>0</v>
      </c>
      <c r="D67" s="32">
        <v>0</v>
      </c>
      <c r="E67" s="32">
        <v>283</v>
      </c>
      <c r="F67" s="32">
        <v>100</v>
      </c>
      <c r="G67" s="32">
        <v>240</v>
      </c>
      <c r="H67" s="32">
        <v>512</v>
      </c>
      <c r="I67" s="32">
        <v>723</v>
      </c>
      <c r="J67" s="32">
        <v>240</v>
      </c>
      <c r="K67" s="32">
        <v>0</v>
      </c>
      <c r="L67" s="32">
        <v>776</v>
      </c>
      <c r="M67" s="76">
        <v>2874</v>
      </c>
    </row>
    <row r="68" spans="1:13">
      <c r="A68" s="29"/>
      <c r="B68" s="30">
        <v>1232894</v>
      </c>
      <c r="C68" s="32">
        <v>0</v>
      </c>
      <c r="D68" s="32">
        <v>0</v>
      </c>
      <c r="E68" s="32">
        <v>0</v>
      </c>
      <c r="F68" s="32">
        <v>0</v>
      </c>
      <c r="G68" s="32">
        <v>240</v>
      </c>
      <c r="H68" s="32">
        <v>512</v>
      </c>
      <c r="I68" s="32">
        <v>0</v>
      </c>
      <c r="J68" s="32">
        <v>240</v>
      </c>
      <c r="K68" s="32">
        <v>0</v>
      </c>
      <c r="L68" s="32">
        <v>776</v>
      </c>
      <c r="M68" s="76">
        <v>1768</v>
      </c>
    </row>
    <row r="69" spans="1:13">
      <c r="A69" s="29"/>
      <c r="B69" s="30">
        <v>1232895</v>
      </c>
      <c r="C69" s="32">
        <v>0</v>
      </c>
      <c r="D69" s="32">
        <v>0</v>
      </c>
      <c r="E69" s="32">
        <v>283</v>
      </c>
      <c r="F69" s="32">
        <v>100</v>
      </c>
      <c r="G69" s="32">
        <v>0</v>
      </c>
      <c r="H69" s="32">
        <v>0</v>
      </c>
      <c r="I69" s="32">
        <v>723</v>
      </c>
      <c r="J69" s="32">
        <v>0</v>
      </c>
      <c r="K69" s="32">
        <v>0</v>
      </c>
      <c r="L69" s="32">
        <v>0</v>
      </c>
      <c r="M69" s="76">
        <v>1106</v>
      </c>
    </row>
    <row r="70" spans="1:13">
      <c r="A70" s="29"/>
      <c r="B70" s="30">
        <v>1232922</v>
      </c>
      <c r="C70" s="32">
        <v>0</v>
      </c>
      <c r="D70" s="32">
        <v>0</v>
      </c>
      <c r="E70" s="32">
        <v>283</v>
      </c>
      <c r="F70" s="32">
        <v>100</v>
      </c>
      <c r="G70" s="32">
        <v>0</v>
      </c>
      <c r="H70" s="32">
        <v>0</v>
      </c>
      <c r="I70" s="32">
        <v>273</v>
      </c>
      <c r="J70" s="32">
        <v>0</v>
      </c>
      <c r="K70" s="32">
        <v>0</v>
      </c>
      <c r="L70" s="32">
        <v>0</v>
      </c>
      <c r="M70" s="76">
        <v>656</v>
      </c>
    </row>
    <row r="71" spans="1:13">
      <c r="A71" s="29"/>
      <c r="B71" s="30">
        <v>1233025</v>
      </c>
      <c r="C71" s="32">
        <v>0</v>
      </c>
      <c r="D71" s="32">
        <v>0</v>
      </c>
      <c r="E71" s="32">
        <v>0</v>
      </c>
      <c r="F71" s="32">
        <v>0</v>
      </c>
      <c r="G71" s="32">
        <v>1037</v>
      </c>
      <c r="H71" s="32">
        <v>1018</v>
      </c>
      <c r="I71" s="32">
        <v>0</v>
      </c>
      <c r="J71" s="32">
        <v>0</v>
      </c>
      <c r="K71" s="32">
        <v>0</v>
      </c>
      <c r="L71" s="32">
        <v>1166</v>
      </c>
      <c r="M71" s="76">
        <v>3221</v>
      </c>
    </row>
    <row r="72" spans="1:13">
      <c r="A72" s="29"/>
      <c r="B72" s="30">
        <v>1233165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250</v>
      </c>
      <c r="J72" s="32">
        <v>0</v>
      </c>
      <c r="K72" s="32">
        <v>0</v>
      </c>
      <c r="L72" s="32">
        <v>0</v>
      </c>
      <c r="M72" s="76">
        <v>250</v>
      </c>
    </row>
    <row r="73" spans="1:13">
      <c r="A73" s="29"/>
      <c r="B73" s="30">
        <v>1233383</v>
      </c>
      <c r="C73" s="32">
        <v>0</v>
      </c>
      <c r="D73" s="32">
        <v>0</v>
      </c>
      <c r="E73" s="32">
        <v>150</v>
      </c>
      <c r="F73" s="32">
        <v>0</v>
      </c>
      <c r="G73" s="32">
        <v>0</v>
      </c>
      <c r="H73" s="32">
        <v>0</v>
      </c>
      <c r="I73" s="32">
        <v>42</v>
      </c>
      <c r="J73" s="32">
        <v>0</v>
      </c>
      <c r="K73" s="32">
        <v>0</v>
      </c>
      <c r="L73" s="32">
        <v>0</v>
      </c>
      <c r="M73" s="76">
        <v>192</v>
      </c>
    </row>
    <row r="74" spans="1:13">
      <c r="A74" s="29"/>
      <c r="B74" s="30">
        <v>1233384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450</v>
      </c>
      <c r="J74" s="32">
        <v>0</v>
      </c>
      <c r="K74" s="32">
        <v>0</v>
      </c>
      <c r="L74" s="32">
        <v>0</v>
      </c>
      <c r="M74" s="76">
        <v>450</v>
      </c>
    </row>
    <row r="75" spans="1:13">
      <c r="A75" s="29"/>
      <c r="B75" s="30">
        <v>1233385</v>
      </c>
      <c r="C75" s="32">
        <v>0</v>
      </c>
      <c r="D75" s="32">
        <v>0</v>
      </c>
      <c r="E75" s="32">
        <v>0</v>
      </c>
      <c r="F75" s="32">
        <v>0</v>
      </c>
      <c r="G75" s="32">
        <v>240</v>
      </c>
      <c r="H75" s="32">
        <v>0</v>
      </c>
      <c r="I75" s="32">
        <v>0</v>
      </c>
      <c r="J75" s="32">
        <v>240</v>
      </c>
      <c r="K75" s="32">
        <v>0</v>
      </c>
      <c r="L75" s="32">
        <v>0</v>
      </c>
      <c r="M75" s="76">
        <v>480</v>
      </c>
    </row>
    <row r="76" spans="1:13">
      <c r="A76" s="29"/>
      <c r="B76" s="30">
        <v>1233386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512</v>
      </c>
      <c r="I76" s="32">
        <v>0</v>
      </c>
      <c r="J76" s="32">
        <v>0</v>
      </c>
      <c r="K76" s="32">
        <v>0</v>
      </c>
      <c r="L76" s="32">
        <v>353</v>
      </c>
      <c r="M76" s="76">
        <v>865</v>
      </c>
    </row>
    <row r="77" spans="1:13">
      <c r="A77" s="29"/>
      <c r="B77" s="30">
        <v>1233387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423</v>
      </c>
      <c r="M77" s="76">
        <v>423</v>
      </c>
    </row>
    <row r="78" spans="1:13">
      <c r="A78" s="29"/>
      <c r="B78" s="30">
        <v>1233580</v>
      </c>
      <c r="C78" s="32">
        <v>0</v>
      </c>
      <c r="D78" s="32">
        <v>0</v>
      </c>
      <c r="E78" s="32">
        <v>50</v>
      </c>
      <c r="F78" s="32">
        <v>0</v>
      </c>
      <c r="G78" s="32">
        <v>0</v>
      </c>
      <c r="H78" s="32">
        <v>0</v>
      </c>
      <c r="I78" s="32">
        <v>100</v>
      </c>
      <c r="J78" s="32">
        <v>0</v>
      </c>
      <c r="K78" s="32">
        <v>0</v>
      </c>
      <c r="L78" s="32">
        <v>0</v>
      </c>
      <c r="M78" s="76">
        <v>150</v>
      </c>
    </row>
    <row r="79" spans="1:13">
      <c r="A79" s="29"/>
      <c r="B79" s="30">
        <v>1233587</v>
      </c>
      <c r="C79" s="32">
        <v>0</v>
      </c>
      <c r="D79" s="32">
        <v>0</v>
      </c>
      <c r="E79" s="32">
        <v>0</v>
      </c>
      <c r="F79" s="32">
        <v>5</v>
      </c>
      <c r="G79" s="32">
        <v>0</v>
      </c>
      <c r="H79" s="32">
        <v>0</v>
      </c>
      <c r="I79" s="32">
        <v>0</v>
      </c>
      <c r="J79" s="32">
        <v>10</v>
      </c>
      <c r="K79" s="32">
        <v>0</v>
      </c>
      <c r="L79" s="32">
        <v>0</v>
      </c>
      <c r="M79" s="76">
        <v>15</v>
      </c>
    </row>
    <row r="80" spans="1:13">
      <c r="A80" s="29"/>
      <c r="B80" s="30">
        <v>1234110</v>
      </c>
      <c r="C80" s="32">
        <v>0</v>
      </c>
      <c r="D80" s="32">
        <v>0</v>
      </c>
      <c r="E80" s="32">
        <v>270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76">
        <v>270</v>
      </c>
    </row>
    <row r="81" spans="1:13">
      <c r="A81" s="29"/>
      <c r="B81" s="30">
        <v>1234111</v>
      </c>
      <c r="C81" s="32">
        <v>0</v>
      </c>
      <c r="D81" s="32">
        <v>0</v>
      </c>
      <c r="E81" s="32">
        <v>270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76">
        <v>270</v>
      </c>
    </row>
    <row r="82" spans="1:13">
      <c r="A82" s="29"/>
      <c r="B82" s="30">
        <v>1234217</v>
      </c>
      <c r="C82" s="32">
        <v>0</v>
      </c>
      <c r="D82" s="32">
        <v>0</v>
      </c>
      <c r="E82" s="32">
        <v>270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76">
        <v>270</v>
      </c>
    </row>
    <row r="83" spans="1:13">
      <c r="A83" s="29"/>
      <c r="B83" s="30">
        <v>1234222</v>
      </c>
      <c r="C83" s="32">
        <v>52</v>
      </c>
      <c r="D83" s="32">
        <v>0</v>
      </c>
      <c r="E83" s="32">
        <v>0</v>
      </c>
      <c r="F83" s="32">
        <v>777</v>
      </c>
      <c r="G83" s="32">
        <v>0</v>
      </c>
      <c r="H83" s="32">
        <v>0</v>
      </c>
      <c r="I83" s="32">
        <v>0</v>
      </c>
      <c r="J83" s="32">
        <v>868</v>
      </c>
      <c r="K83" s="32">
        <v>0</v>
      </c>
      <c r="L83" s="32">
        <v>0</v>
      </c>
      <c r="M83" s="76">
        <v>1697</v>
      </c>
    </row>
    <row r="84" spans="1:13">
      <c r="A84" s="29"/>
      <c r="B84" s="30">
        <v>1234614</v>
      </c>
      <c r="C84" s="32">
        <v>897</v>
      </c>
      <c r="D84" s="32">
        <v>0</v>
      </c>
      <c r="E84" s="32">
        <v>1148</v>
      </c>
      <c r="F84" s="32">
        <v>0</v>
      </c>
      <c r="G84" s="32">
        <v>300</v>
      </c>
      <c r="H84" s="32">
        <v>300</v>
      </c>
      <c r="I84" s="32">
        <v>200</v>
      </c>
      <c r="J84" s="32">
        <v>0</v>
      </c>
      <c r="K84" s="32">
        <v>0</v>
      </c>
      <c r="L84" s="32">
        <v>400</v>
      </c>
      <c r="M84" s="76">
        <v>3245</v>
      </c>
    </row>
    <row r="85" spans="1:13">
      <c r="A85" s="29"/>
      <c r="B85" s="30">
        <v>1235097</v>
      </c>
      <c r="C85" s="32">
        <v>300</v>
      </c>
      <c r="D85" s="32">
        <v>500</v>
      </c>
      <c r="E85" s="32">
        <v>500</v>
      </c>
      <c r="F85" s="32">
        <v>300</v>
      </c>
      <c r="G85" s="32">
        <v>500</v>
      </c>
      <c r="H85" s="32">
        <v>300</v>
      </c>
      <c r="I85" s="32">
        <v>300</v>
      </c>
      <c r="J85" s="32">
        <v>300</v>
      </c>
      <c r="K85" s="32">
        <v>0</v>
      </c>
      <c r="L85" s="32">
        <v>400</v>
      </c>
      <c r="M85" s="76">
        <v>3400</v>
      </c>
    </row>
    <row r="86" spans="1:13">
      <c r="A86" s="29"/>
      <c r="B86" s="30">
        <v>1235845</v>
      </c>
      <c r="C86" s="32">
        <v>0</v>
      </c>
      <c r="D86" s="32">
        <v>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382</v>
      </c>
      <c r="K86" s="32">
        <v>0</v>
      </c>
      <c r="L86" s="32">
        <v>0</v>
      </c>
      <c r="M86" s="76">
        <v>382</v>
      </c>
    </row>
    <row r="87" spans="1:13">
      <c r="A87" s="29"/>
      <c r="B87" s="30">
        <v>1235958</v>
      </c>
      <c r="C87" s="32">
        <v>0</v>
      </c>
      <c r="D87" s="32">
        <v>0</v>
      </c>
      <c r="E87" s="32">
        <v>0</v>
      </c>
      <c r="F87" s="32">
        <v>5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0</v>
      </c>
      <c r="M87" s="76">
        <v>5</v>
      </c>
    </row>
    <row r="88" spans="1:13">
      <c r="A88" s="29"/>
      <c r="B88" s="30">
        <v>1236387</v>
      </c>
      <c r="C88" s="32">
        <v>0</v>
      </c>
      <c r="D88" s="32">
        <v>510</v>
      </c>
      <c r="E88" s="32">
        <v>300</v>
      </c>
      <c r="F88" s="32">
        <v>0</v>
      </c>
      <c r="G88" s="32">
        <v>0</v>
      </c>
      <c r="H88" s="32">
        <v>500</v>
      </c>
      <c r="I88" s="32">
        <v>0</v>
      </c>
      <c r="J88" s="32">
        <v>0</v>
      </c>
      <c r="K88" s="32">
        <v>0</v>
      </c>
      <c r="L88" s="32">
        <v>0</v>
      </c>
      <c r="M88" s="76">
        <v>1310</v>
      </c>
    </row>
    <row r="89" spans="1:13">
      <c r="A89" s="29"/>
      <c r="B89" s="30">
        <v>1236600</v>
      </c>
      <c r="C89" s="32">
        <v>0</v>
      </c>
      <c r="D89" s="32">
        <v>0</v>
      </c>
      <c r="E89" s="32">
        <v>873</v>
      </c>
      <c r="F89" s="32">
        <v>100</v>
      </c>
      <c r="G89" s="32">
        <v>0</v>
      </c>
      <c r="H89" s="32">
        <v>0</v>
      </c>
      <c r="I89" s="32">
        <v>829</v>
      </c>
      <c r="J89" s="32">
        <v>0</v>
      </c>
      <c r="K89" s="32">
        <v>0</v>
      </c>
      <c r="L89" s="32">
        <v>0</v>
      </c>
      <c r="M89" s="76">
        <v>1802</v>
      </c>
    </row>
    <row r="90" spans="1:13">
      <c r="A90" s="29"/>
      <c r="B90" s="30">
        <v>1236601</v>
      </c>
      <c r="C90" s="32">
        <v>0</v>
      </c>
      <c r="D90" s="32">
        <v>0</v>
      </c>
      <c r="E90" s="32">
        <v>100</v>
      </c>
      <c r="F90" s="32">
        <v>0</v>
      </c>
      <c r="G90" s="32">
        <v>0</v>
      </c>
      <c r="H90" s="32">
        <v>0</v>
      </c>
      <c r="I90" s="32">
        <v>100</v>
      </c>
      <c r="J90" s="32">
        <v>0</v>
      </c>
      <c r="K90" s="32">
        <v>0</v>
      </c>
      <c r="L90" s="32">
        <v>0</v>
      </c>
      <c r="M90" s="76">
        <v>200</v>
      </c>
    </row>
    <row r="91" spans="1:13">
      <c r="A91" s="29"/>
      <c r="B91" s="30">
        <v>1236930</v>
      </c>
      <c r="C91" s="32">
        <v>1540</v>
      </c>
      <c r="D91" s="32">
        <v>1600</v>
      </c>
      <c r="E91" s="32">
        <v>2300</v>
      </c>
      <c r="F91" s="32">
        <v>1500</v>
      </c>
      <c r="G91" s="32">
        <v>1550</v>
      </c>
      <c r="H91" s="32">
        <v>4294</v>
      </c>
      <c r="I91" s="32">
        <v>2050</v>
      </c>
      <c r="J91" s="32">
        <v>550</v>
      </c>
      <c r="K91" s="32">
        <v>0</v>
      </c>
      <c r="L91" s="32">
        <v>4075</v>
      </c>
      <c r="M91" s="76">
        <v>19459</v>
      </c>
    </row>
    <row r="92" spans="1:13">
      <c r="A92" s="29"/>
      <c r="B92" s="30">
        <v>1237210</v>
      </c>
      <c r="C92" s="32">
        <v>160</v>
      </c>
      <c r="D92" s="32">
        <v>160</v>
      </c>
      <c r="E92" s="32">
        <v>0</v>
      </c>
      <c r="F92" s="32">
        <v>0</v>
      </c>
      <c r="G92" s="32">
        <v>0</v>
      </c>
      <c r="H92" s="32">
        <v>160</v>
      </c>
      <c r="I92" s="32">
        <v>0</v>
      </c>
      <c r="J92" s="32">
        <v>0</v>
      </c>
      <c r="K92" s="32">
        <v>0</v>
      </c>
      <c r="L92" s="32">
        <v>0</v>
      </c>
      <c r="M92" s="76">
        <v>480</v>
      </c>
    </row>
    <row r="93" spans="1:13">
      <c r="A93" s="29"/>
      <c r="B93" s="30">
        <v>1237468</v>
      </c>
      <c r="C93" s="32">
        <v>468</v>
      </c>
      <c r="D93" s="32">
        <v>0</v>
      </c>
      <c r="E93" s="32">
        <v>403</v>
      </c>
      <c r="F93" s="32">
        <v>0</v>
      </c>
      <c r="G93" s="32">
        <v>612</v>
      </c>
      <c r="H93" s="32">
        <v>0</v>
      </c>
      <c r="I93" s="32">
        <v>79</v>
      </c>
      <c r="J93" s="32">
        <v>0</v>
      </c>
      <c r="K93" s="32">
        <v>0</v>
      </c>
      <c r="L93" s="32">
        <v>0</v>
      </c>
      <c r="M93" s="76">
        <v>1562</v>
      </c>
    </row>
    <row r="94" spans="1:13">
      <c r="A94" s="29"/>
      <c r="B94" s="30">
        <v>1238453</v>
      </c>
      <c r="C94" s="32">
        <v>190</v>
      </c>
      <c r="D94" s="32">
        <v>0</v>
      </c>
      <c r="E94" s="32">
        <v>175</v>
      </c>
      <c r="F94" s="32">
        <v>0</v>
      </c>
      <c r="G94" s="32">
        <v>0</v>
      </c>
      <c r="H94" s="32">
        <v>0</v>
      </c>
      <c r="I94" s="32">
        <v>122</v>
      </c>
      <c r="J94" s="32">
        <v>0</v>
      </c>
      <c r="K94" s="32">
        <v>0</v>
      </c>
      <c r="L94" s="32">
        <v>0</v>
      </c>
      <c r="M94" s="76">
        <v>487</v>
      </c>
    </row>
    <row r="95" spans="1:13">
      <c r="A95" s="29"/>
      <c r="B95" s="30">
        <v>1238480</v>
      </c>
      <c r="C95" s="32">
        <v>1846</v>
      </c>
      <c r="D95" s="32">
        <v>1300</v>
      </c>
      <c r="E95" s="32">
        <v>1400</v>
      </c>
      <c r="F95" s="32">
        <v>1100</v>
      </c>
      <c r="G95" s="32">
        <v>2270</v>
      </c>
      <c r="H95" s="32">
        <v>2632</v>
      </c>
      <c r="I95" s="32">
        <v>5535</v>
      </c>
      <c r="J95" s="32">
        <v>6315</v>
      </c>
      <c r="K95" s="32">
        <v>4235</v>
      </c>
      <c r="L95" s="32">
        <v>7189</v>
      </c>
      <c r="M95" s="76">
        <v>33822</v>
      </c>
    </row>
    <row r="96" spans="1:13">
      <c r="A96" s="29"/>
      <c r="B96" s="30">
        <v>1238605</v>
      </c>
      <c r="C96" s="32">
        <v>0</v>
      </c>
      <c r="D96" s="32">
        <v>650</v>
      </c>
      <c r="E96" s="32">
        <v>900</v>
      </c>
      <c r="F96" s="32">
        <v>0</v>
      </c>
      <c r="G96" s="32">
        <v>0</v>
      </c>
      <c r="H96" s="32">
        <v>0</v>
      </c>
      <c r="I96" s="32">
        <v>150</v>
      </c>
      <c r="J96" s="32">
        <v>0</v>
      </c>
      <c r="K96" s="32">
        <v>0</v>
      </c>
      <c r="L96" s="32">
        <v>0</v>
      </c>
      <c r="M96" s="76">
        <v>1700</v>
      </c>
    </row>
    <row r="97" spans="1:13">
      <c r="A97" s="29"/>
      <c r="B97" s="30">
        <v>1240180</v>
      </c>
      <c r="C97" s="32">
        <v>0</v>
      </c>
      <c r="D97" s="32">
        <v>1082</v>
      </c>
      <c r="E97" s="32">
        <v>550</v>
      </c>
      <c r="F97" s="32">
        <v>300</v>
      </c>
      <c r="G97" s="32">
        <v>0</v>
      </c>
      <c r="H97" s="32">
        <v>650</v>
      </c>
      <c r="I97" s="32">
        <v>750</v>
      </c>
      <c r="J97" s="32">
        <v>0</v>
      </c>
      <c r="K97" s="32">
        <v>0</v>
      </c>
      <c r="L97" s="32">
        <v>1482</v>
      </c>
      <c r="M97" s="76">
        <v>4814</v>
      </c>
    </row>
    <row r="98" spans="1:13">
      <c r="A98" s="29"/>
      <c r="B98" s="30">
        <v>1240184</v>
      </c>
      <c r="C98" s="32">
        <v>0</v>
      </c>
      <c r="D98" s="32">
        <v>1082</v>
      </c>
      <c r="E98" s="32">
        <v>550</v>
      </c>
      <c r="F98" s="32">
        <v>300</v>
      </c>
      <c r="G98" s="32">
        <v>0</v>
      </c>
      <c r="H98" s="32">
        <v>650</v>
      </c>
      <c r="I98" s="32">
        <v>750</v>
      </c>
      <c r="J98" s="32">
        <v>0</v>
      </c>
      <c r="K98" s="32">
        <v>0</v>
      </c>
      <c r="L98" s="32">
        <v>1482</v>
      </c>
      <c r="M98" s="76">
        <v>4814</v>
      </c>
    </row>
    <row r="99" spans="1:13">
      <c r="A99" s="29"/>
      <c r="B99" s="30">
        <v>1241343</v>
      </c>
      <c r="C99" s="32">
        <v>20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  <c r="M99" s="76">
        <v>20</v>
      </c>
    </row>
    <row r="100" spans="1:13">
      <c r="A100" s="29"/>
      <c r="B100" s="30">
        <v>1241347</v>
      </c>
      <c r="C100" s="32">
        <v>20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76">
        <v>20</v>
      </c>
    </row>
    <row r="101" spans="1:13">
      <c r="A101" s="29"/>
      <c r="B101" s="30">
        <v>1241387</v>
      </c>
      <c r="C101" s="32">
        <v>151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M101" s="76">
        <v>151</v>
      </c>
    </row>
    <row r="102" spans="1:13">
      <c r="A102" s="29"/>
      <c r="B102" s="30">
        <v>1241474</v>
      </c>
      <c r="C102" s="32">
        <v>37</v>
      </c>
      <c r="D102" s="32">
        <v>0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76">
        <v>37</v>
      </c>
    </row>
    <row r="103" spans="1:13">
      <c r="A103" s="29"/>
      <c r="B103" s="30">
        <v>1241480</v>
      </c>
      <c r="C103" s="32">
        <v>26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76">
        <v>26</v>
      </c>
    </row>
  </sheetData>
  <mergeCells count="4">
    <mergeCell ref="A7:A8"/>
    <mergeCell ref="B7:B8"/>
    <mergeCell ref="A44:A45"/>
    <mergeCell ref="B44:B45"/>
  </mergeCells>
  <phoneticPr fontId="11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4048-5278-4509-ACC4-EFFA4647ED54}">
  <dimension ref="A1:W86"/>
  <sheetViews>
    <sheetView zoomScale="115" zoomScaleNormal="115" workbookViewId="0">
      <selection activeCell="N8" sqref="N8"/>
    </sheetView>
  </sheetViews>
  <sheetFormatPr defaultColWidth="9.33203125" defaultRowHeight="12"/>
  <cols>
    <col min="1" max="1" width="10.1640625" style="19" bestFit="1" customWidth="1"/>
    <col min="2" max="2" width="9.6640625" style="9" bestFit="1" customWidth="1"/>
    <col min="3" max="17" width="9.6640625" style="9" customWidth="1"/>
    <col min="18" max="18" width="10.1640625" style="9" customWidth="1"/>
    <col min="19" max="19" width="9.6640625" style="9" customWidth="1"/>
    <col min="20" max="20" width="9.6640625" style="9" bestFit="1" customWidth="1"/>
    <col min="21" max="21" width="9.33203125" style="5"/>
    <col min="22" max="22" width="9.83203125" style="5" bestFit="1" customWidth="1"/>
    <col min="23" max="16384" width="9.33203125" style="5"/>
  </cols>
  <sheetData>
    <row r="1" spans="1:23">
      <c r="A1" s="19" t="s">
        <v>0</v>
      </c>
      <c r="B1" s="9" t="s">
        <v>1250</v>
      </c>
      <c r="C1" s="9" t="s">
        <v>1251</v>
      </c>
      <c r="D1" s="9" t="s">
        <v>1252</v>
      </c>
      <c r="E1" s="9" t="s">
        <v>1253</v>
      </c>
      <c r="F1" s="9" t="s">
        <v>1254</v>
      </c>
      <c r="G1" s="18" t="s">
        <v>1258</v>
      </c>
      <c r="H1" s="9" t="s">
        <v>1259</v>
      </c>
      <c r="I1" s="9" t="s">
        <v>1260</v>
      </c>
      <c r="J1" s="9" t="s">
        <v>1261</v>
      </c>
      <c r="K1" s="9" t="s">
        <v>1262</v>
      </c>
      <c r="L1" s="9" t="s">
        <v>1263</v>
      </c>
      <c r="M1" s="9" t="s">
        <v>1264</v>
      </c>
      <c r="N1" s="9" t="s">
        <v>1266</v>
      </c>
      <c r="O1" s="9" t="s">
        <v>1267</v>
      </c>
      <c r="P1" s="9" t="s">
        <v>1268</v>
      </c>
      <c r="Q1" s="9" t="s">
        <v>1269</v>
      </c>
      <c r="R1" s="9" t="s">
        <v>1270</v>
      </c>
      <c r="S1" s="9" t="s">
        <v>1271</v>
      </c>
      <c r="T1" s="9" t="s">
        <v>1272</v>
      </c>
    </row>
    <row r="2" spans="1:23">
      <c r="A2" s="19">
        <v>1226384</v>
      </c>
      <c r="B2" s="9">
        <v>400</v>
      </c>
      <c r="C2" s="9">
        <v>400</v>
      </c>
      <c r="D2" s="9">
        <v>260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78">
        <v>1060</v>
      </c>
      <c r="V2" s="78">
        <f>VLOOKUP(A2,[15]sheet1!$A$2:$V$24,22,0)</f>
        <v>1060</v>
      </c>
      <c r="W2" s="78">
        <f>+U2-V2</f>
        <v>0</v>
      </c>
    </row>
    <row r="3" spans="1:23">
      <c r="A3" s="19">
        <v>1226388</v>
      </c>
      <c r="B3" s="9">
        <v>400</v>
      </c>
      <c r="C3" s="9">
        <v>400</v>
      </c>
      <c r="D3" s="9">
        <v>260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78">
        <v>1060</v>
      </c>
      <c r="V3" s="78">
        <f>VLOOKUP(A3,[15]sheet1!$A$2:$V$24,22,0)</f>
        <v>1060</v>
      </c>
      <c r="W3" s="78">
        <f t="shared" ref="W3:W25" si="0">+U3-V3</f>
        <v>0</v>
      </c>
    </row>
    <row r="4" spans="1:23">
      <c r="A4" s="19">
        <v>1229673</v>
      </c>
      <c r="B4" s="9">
        <v>200</v>
      </c>
      <c r="C4" s="9">
        <v>0</v>
      </c>
      <c r="D4" s="9">
        <v>0</v>
      </c>
      <c r="E4" s="9">
        <v>0</v>
      </c>
      <c r="F4" s="9">
        <v>0</v>
      </c>
      <c r="G4" s="18">
        <v>400</v>
      </c>
      <c r="H4" s="9">
        <v>0</v>
      </c>
      <c r="I4" s="9">
        <v>0</v>
      </c>
      <c r="J4" s="9">
        <v>300</v>
      </c>
      <c r="K4" s="9">
        <v>300</v>
      </c>
      <c r="L4" s="9">
        <v>0</v>
      </c>
      <c r="M4" s="9">
        <v>0</v>
      </c>
      <c r="N4" s="9">
        <v>0</v>
      </c>
      <c r="O4" s="9">
        <v>250</v>
      </c>
      <c r="P4" s="9">
        <v>270</v>
      </c>
      <c r="Q4" s="9">
        <v>250</v>
      </c>
      <c r="R4" s="9">
        <v>0</v>
      </c>
      <c r="S4" s="9">
        <v>0</v>
      </c>
      <c r="T4" s="9">
        <v>0</v>
      </c>
      <c r="U4" s="78">
        <v>1970</v>
      </c>
      <c r="V4" s="78">
        <f>VLOOKUP(A4,[15]sheet1!$A$2:$V$24,22,0)</f>
        <v>1970</v>
      </c>
      <c r="W4" s="78">
        <f t="shared" si="0"/>
        <v>0</v>
      </c>
    </row>
    <row r="5" spans="1:23">
      <c r="A5" s="19">
        <v>1231202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100</v>
      </c>
      <c r="R5" s="9">
        <v>0</v>
      </c>
      <c r="S5" s="9">
        <v>0</v>
      </c>
      <c r="T5" s="9">
        <v>0</v>
      </c>
      <c r="U5" s="78">
        <v>100</v>
      </c>
      <c r="V5" s="78">
        <f>VLOOKUP(A5,[15]sheet1!$A$2:$V$24,22,0)</f>
        <v>100</v>
      </c>
      <c r="W5" s="78">
        <f t="shared" si="0"/>
        <v>0</v>
      </c>
    </row>
    <row r="6" spans="1:23">
      <c r="A6" s="19">
        <v>1233492</v>
      </c>
      <c r="B6" s="9">
        <v>0</v>
      </c>
      <c r="C6" s="9">
        <v>0</v>
      </c>
      <c r="D6" s="9">
        <v>300</v>
      </c>
      <c r="E6" s="9">
        <v>0</v>
      </c>
      <c r="F6" s="9">
        <v>0</v>
      </c>
      <c r="G6" s="18">
        <v>782</v>
      </c>
      <c r="H6" s="9">
        <v>50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458</v>
      </c>
      <c r="Q6" s="9">
        <v>54</v>
      </c>
      <c r="R6" s="9">
        <v>0</v>
      </c>
      <c r="S6" s="9">
        <v>0</v>
      </c>
      <c r="T6" s="9">
        <v>0</v>
      </c>
      <c r="U6" s="78">
        <v>1644</v>
      </c>
      <c r="V6" s="78">
        <f>VLOOKUP(A6,[15]sheet1!$A$2:$V$24,22,0)</f>
        <v>1644</v>
      </c>
      <c r="W6" s="78">
        <f t="shared" si="0"/>
        <v>0</v>
      </c>
    </row>
    <row r="7" spans="1:23">
      <c r="A7" s="19">
        <v>1233498</v>
      </c>
      <c r="B7" s="9">
        <v>0</v>
      </c>
      <c r="C7" s="9">
        <v>0</v>
      </c>
      <c r="D7" s="9">
        <v>300</v>
      </c>
      <c r="E7" s="9">
        <v>0</v>
      </c>
      <c r="F7" s="9">
        <v>0</v>
      </c>
      <c r="G7" s="18">
        <v>782</v>
      </c>
      <c r="H7" s="9">
        <v>50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458</v>
      </c>
      <c r="Q7" s="9">
        <v>54</v>
      </c>
      <c r="R7" s="9">
        <v>0</v>
      </c>
      <c r="S7" s="9">
        <v>0</v>
      </c>
      <c r="T7" s="9">
        <v>0</v>
      </c>
      <c r="U7" s="78">
        <v>1644</v>
      </c>
      <c r="V7" s="78">
        <f>VLOOKUP(A7,[15]sheet1!$A$2:$V$24,22,0)</f>
        <v>1644</v>
      </c>
      <c r="W7" s="78">
        <f t="shared" si="0"/>
        <v>0</v>
      </c>
    </row>
    <row r="8" spans="1:23">
      <c r="A8" s="19">
        <v>1233623</v>
      </c>
      <c r="B8" s="9">
        <v>0</v>
      </c>
      <c r="C8" s="9">
        <v>0</v>
      </c>
      <c r="D8" s="9">
        <v>300</v>
      </c>
      <c r="E8" s="9">
        <v>0</v>
      </c>
      <c r="F8" s="9">
        <v>0</v>
      </c>
      <c r="G8" s="18">
        <v>782</v>
      </c>
      <c r="H8" s="9">
        <v>50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458</v>
      </c>
      <c r="Q8" s="9">
        <v>54</v>
      </c>
      <c r="R8" s="9">
        <v>0</v>
      </c>
      <c r="S8" s="9">
        <v>0</v>
      </c>
      <c r="T8" s="9">
        <v>0</v>
      </c>
      <c r="U8" s="78">
        <v>1644</v>
      </c>
      <c r="V8" s="78">
        <f>VLOOKUP(A8,[15]sheet1!$A$2:$V$24,22,0)</f>
        <v>1644</v>
      </c>
      <c r="W8" s="78">
        <f t="shared" si="0"/>
        <v>0</v>
      </c>
    </row>
    <row r="9" spans="1:23">
      <c r="A9" s="19">
        <v>1233877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150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78">
        <v>150</v>
      </c>
      <c r="V9" s="78">
        <f>VLOOKUP(A9,[15]sheet1!$A$2:$V$24,22,0)</f>
        <v>150</v>
      </c>
      <c r="W9" s="78">
        <f t="shared" si="0"/>
        <v>0</v>
      </c>
    </row>
    <row r="10" spans="1:23">
      <c r="A10" s="19">
        <v>1235623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24</v>
      </c>
      <c r="K10" s="9">
        <v>912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78">
        <v>936</v>
      </c>
      <c r="V10" s="78">
        <f>VLOOKUP(A10,[15]sheet1!$A$2:$V$24,22,0)</f>
        <v>936</v>
      </c>
      <c r="W10" s="78">
        <f t="shared" si="0"/>
        <v>0</v>
      </c>
    </row>
    <row r="11" spans="1:23">
      <c r="A11" s="19">
        <v>1237088</v>
      </c>
      <c r="B11" s="9">
        <v>404</v>
      </c>
      <c r="C11" s="9">
        <v>0</v>
      </c>
      <c r="D11" s="9">
        <v>0</v>
      </c>
      <c r="E11" s="9">
        <v>0</v>
      </c>
      <c r="F11" s="9">
        <v>0</v>
      </c>
      <c r="G11" s="18">
        <v>1094</v>
      </c>
      <c r="H11" s="9">
        <v>560</v>
      </c>
      <c r="I11" s="9">
        <v>134</v>
      </c>
      <c r="J11" s="9">
        <v>552</v>
      </c>
      <c r="K11" s="9">
        <v>550</v>
      </c>
      <c r="L11" s="9">
        <v>0</v>
      </c>
      <c r="M11" s="9">
        <v>0</v>
      </c>
      <c r="N11" s="9">
        <v>0</v>
      </c>
      <c r="O11" s="9">
        <v>612</v>
      </c>
      <c r="P11" s="9">
        <v>660</v>
      </c>
      <c r="Q11" s="9">
        <v>1072</v>
      </c>
      <c r="R11" s="9">
        <v>0</v>
      </c>
      <c r="S11" s="9">
        <v>0</v>
      </c>
      <c r="T11" s="9">
        <v>0</v>
      </c>
      <c r="U11" s="78">
        <v>5238</v>
      </c>
      <c r="V11" s="78">
        <f>VLOOKUP(A11,[15]sheet1!$A$2:$V$24,22,0)</f>
        <v>5638</v>
      </c>
      <c r="W11" s="78">
        <f t="shared" si="0"/>
        <v>-400</v>
      </c>
    </row>
    <row r="12" spans="1:23">
      <c r="A12" s="19">
        <v>1231898</v>
      </c>
      <c r="B12" s="9">
        <v>240</v>
      </c>
      <c r="C12" s="9">
        <v>0</v>
      </c>
      <c r="D12" s="9">
        <v>384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248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78">
        <v>872</v>
      </c>
      <c r="V12" s="78">
        <f>VLOOKUP(A12,[15]sheet1!$A$2:$V$24,22,0)</f>
        <v>872</v>
      </c>
      <c r="W12" s="78">
        <f t="shared" si="0"/>
        <v>0</v>
      </c>
    </row>
    <row r="13" spans="1:23">
      <c r="A13" s="19">
        <v>1237586</v>
      </c>
      <c r="B13" s="9">
        <v>240</v>
      </c>
      <c r="C13" s="9">
        <v>0</v>
      </c>
      <c r="D13" s="9">
        <v>384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248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78">
        <v>872</v>
      </c>
      <c r="V13" s="78">
        <f>VLOOKUP(A13,[15]sheet1!$A$2:$V$24,22,0)</f>
        <v>872</v>
      </c>
      <c r="W13" s="78">
        <f t="shared" si="0"/>
        <v>0</v>
      </c>
    </row>
    <row r="14" spans="1:23">
      <c r="A14" s="19">
        <v>1236091</v>
      </c>
      <c r="B14" s="9">
        <v>0</v>
      </c>
      <c r="C14" s="9">
        <v>250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78">
        <v>250</v>
      </c>
      <c r="V14" s="78">
        <f>VLOOKUP(A14,[15]sheet1!$A$2:$V$24,22,0)</f>
        <v>250</v>
      </c>
      <c r="W14" s="78">
        <f t="shared" si="0"/>
        <v>0</v>
      </c>
    </row>
    <row r="15" spans="1:23">
      <c r="A15" s="19">
        <v>1234905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18">
        <v>514</v>
      </c>
      <c r="H15" s="9">
        <v>512</v>
      </c>
      <c r="I15" s="9">
        <v>334</v>
      </c>
      <c r="J15" s="9">
        <v>426</v>
      </c>
      <c r="K15" s="9">
        <v>626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78">
        <v>2412</v>
      </c>
      <c r="V15" s="78">
        <f>VLOOKUP(A15,[15]sheet1!$A$2:$V$24,22,0)</f>
        <v>2412</v>
      </c>
      <c r="W15" s="78">
        <f t="shared" si="0"/>
        <v>0</v>
      </c>
    </row>
    <row r="16" spans="1:23">
      <c r="A16" s="19">
        <v>1238128</v>
      </c>
      <c r="B16" s="9">
        <v>464</v>
      </c>
      <c r="C16" s="9">
        <v>258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468</v>
      </c>
      <c r="L16" s="9">
        <v>0</v>
      </c>
      <c r="M16" s="9">
        <v>0</v>
      </c>
      <c r="N16" s="9">
        <v>0</v>
      </c>
      <c r="O16" s="9">
        <v>1028</v>
      </c>
      <c r="P16" s="9">
        <v>488</v>
      </c>
      <c r="Q16" s="9">
        <v>892</v>
      </c>
      <c r="R16" s="9">
        <v>0</v>
      </c>
      <c r="S16" s="9">
        <v>0</v>
      </c>
      <c r="T16" s="9">
        <v>0</v>
      </c>
      <c r="U16" s="78">
        <v>3598</v>
      </c>
      <c r="V16" s="78">
        <f>VLOOKUP(A16,[15]sheet1!$A$2:$V$24,22,0)</f>
        <v>3598</v>
      </c>
      <c r="W16" s="78">
        <f t="shared" si="0"/>
        <v>0</v>
      </c>
    </row>
    <row r="17" spans="1:23">
      <c r="A17" s="19">
        <v>1237748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126</v>
      </c>
      <c r="J17" s="9">
        <v>810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78">
        <v>936</v>
      </c>
      <c r="V17" s="78">
        <f>VLOOKUP(A17,[15]sheet1!$A$2:$V$24,22,0)</f>
        <v>936</v>
      </c>
      <c r="W17" s="78">
        <f t="shared" si="0"/>
        <v>0</v>
      </c>
    </row>
    <row r="18" spans="1:23">
      <c r="A18" s="19">
        <v>1236962</v>
      </c>
      <c r="B18" s="9">
        <v>0</v>
      </c>
      <c r="C18" s="9">
        <v>124</v>
      </c>
      <c r="D18" s="9">
        <v>150</v>
      </c>
      <c r="E18" s="9">
        <v>0</v>
      </c>
      <c r="F18" s="9">
        <v>0</v>
      </c>
      <c r="G18" s="9">
        <v>0</v>
      </c>
      <c r="H18" s="9">
        <v>200</v>
      </c>
      <c r="I18" s="9">
        <v>222</v>
      </c>
      <c r="J18" s="9">
        <v>200</v>
      </c>
      <c r="K18" s="9">
        <v>200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78">
        <v>1096</v>
      </c>
      <c r="V18" s="78">
        <f>VLOOKUP(A18,[15]sheet1!$A$2:$V$24,22,0)</f>
        <v>1096</v>
      </c>
      <c r="W18" s="78">
        <f t="shared" si="0"/>
        <v>0</v>
      </c>
    </row>
    <row r="19" spans="1:23">
      <c r="A19" s="19">
        <v>1233761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100</v>
      </c>
      <c r="R19" s="9">
        <v>0</v>
      </c>
      <c r="S19" s="9">
        <v>0</v>
      </c>
      <c r="T19" s="9">
        <v>0</v>
      </c>
      <c r="U19" s="78">
        <v>100</v>
      </c>
      <c r="V19" s="78">
        <f>VLOOKUP(A19,[15]sheet1!$A$2:$V$24,22,0)</f>
        <v>100</v>
      </c>
      <c r="W19" s="78">
        <f t="shared" si="0"/>
        <v>0</v>
      </c>
    </row>
    <row r="20" spans="1:23">
      <c r="A20" s="19">
        <v>1239651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250</v>
      </c>
      <c r="J20" s="9">
        <v>0</v>
      </c>
      <c r="K20" s="9">
        <v>350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78">
        <v>600</v>
      </c>
      <c r="V20" s="78">
        <f>VLOOKUP(A20,[15]sheet1!$A$2:$V$24,22,0)</f>
        <v>600</v>
      </c>
      <c r="W20" s="78">
        <f t="shared" si="0"/>
        <v>0</v>
      </c>
    </row>
    <row r="21" spans="1:23">
      <c r="A21" s="19">
        <v>1240180</v>
      </c>
      <c r="B21" s="9">
        <v>339</v>
      </c>
      <c r="C21" s="9">
        <v>430</v>
      </c>
      <c r="D21" s="9">
        <v>430</v>
      </c>
      <c r="E21" s="9">
        <v>0</v>
      </c>
      <c r="F21" s="9">
        <v>0</v>
      </c>
      <c r="G21" s="18">
        <v>50</v>
      </c>
      <c r="H21" s="9">
        <v>334</v>
      </c>
      <c r="I21" s="9">
        <v>338</v>
      </c>
      <c r="J21" s="9">
        <v>430</v>
      </c>
      <c r="K21" s="9">
        <v>548</v>
      </c>
      <c r="L21" s="9">
        <v>0</v>
      </c>
      <c r="M21" s="9">
        <v>0</v>
      </c>
      <c r="N21" s="9">
        <v>0</v>
      </c>
      <c r="O21" s="9">
        <v>460</v>
      </c>
      <c r="P21" s="9">
        <v>172</v>
      </c>
      <c r="Q21" s="9">
        <v>0</v>
      </c>
      <c r="R21" s="9">
        <v>0</v>
      </c>
      <c r="S21" s="9">
        <v>0</v>
      </c>
      <c r="T21" s="9">
        <v>0</v>
      </c>
      <c r="U21" s="78">
        <v>3531</v>
      </c>
      <c r="V21" s="78">
        <f>VLOOKUP(A21,[15]sheet1!$A$2:$V$24,22,0)</f>
        <v>3531</v>
      </c>
      <c r="W21" s="78">
        <f t="shared" si="0"/>
        <v>0</v>
      </c>
    </row>
    <row r="22" spans="1:23">
      <c r="A22" s="19">
        <v>1240184</v>
      </c>
      <c r="B22" s="9">
        <v>139</v>
      </c>
      <c r="C22" s="9">
        <v>386</v>
      </c>
      <c r="D22" s="9">
        <v>0</v>
      </c>
      <c r="E22" s="9">
        <v>0</v>
      </c>
      <c r="F22" s="9">
        <v>0</v>
      </c>
      <c r="G22" s="9">
        <v>0</v>
      </c>
      <c r="H22" s="9">
        <v>134</v>
      </c>
      <c r="I22" s="9">
        <v>338</v>
      </c>
      <c r="J22" s="9">
        <v>430</v>
      </c>
      <c r="K22" s="9">
        <v>548</v>
      </c>
      <c r="L22" s="9">
        <v>0</v>
      </c>
      <c r="M22" s="9">
        <v>0</v>
      </c>
      <c r="N22" s="9">
        <v>0</v>
      </c>
      <c r="O22" s="9">
        <v>460</v>
      </c>
      <c r="P22" s="9">
        <v>172</v>
      </c>
      <c r="Q22" s="9">
        <v>0</v>
      </c>
      <c r="R22" s="9">
        <v>0</v>
      </c>
      <c r="S22" s="9">
        <v>0</v>
      </c>
      <c r="T22" s="9">
        <v>0</v>
      </c>
      <c r="U22" s="78">
        <v>2607</v>
      </c>
      <c r="V22" s="78">
        <f>VLOOKUP(A22,[15]sheet1!$A$2:$V$24,22,0)</f>
        <v>2607</v>
      </c>
      <c r="W22" s="78">
        <f t="shared" si="0"/>
        <v>0</v>
      </c>
    </row>
    <row r="23" spans="1:23">
      <c r="A23" s="19">
        <v>1240308</v>
      </c>
      <c r="B23" s="9">
        <v>184</v>
      </c>
      <c r="C23" s="9">
        <v>152</v>
      </c>
      <c r="D23" s="9">
        <v>266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300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78">
        <v>902</v>
      </c>
      <c r="V23" s="78">
        <f>VLOOKUP(A23,[15]sheet1!$A$2:$V$24,22,0)</f>
        <v>902</v>
      </c>
      <c r="W23" s="78">
        <f t="shared" si="0"/>
        <v>0</v>
      </c>
    </row>
    <row r="24" spans="1:23">
      <c r="A24" s="19">
        <v>1241601</v>
      </c>
      <c r="B24" s="9">
        <v>678</v>
      </c>
      <c r="C24" s="9">
        <v>1808</v>
      </c>
      <c r="D24" s="9">
        <v>2062</v>
      </c>
      <c r="E24" s="9">
        <v>0</v>
      </c>
      <c r="F24" s="9">
        <v>0</v>
      </c>
      <c r="G24" s="18">
        <v>1272</v>
      </c>
      <c r="H24" s="9">
        <v>800</v>
      </c>
      <c r="I24" s="9">
        <v>600</v>
      </c>
      <c r="J24" s="9">
        <v>0</v>
      </c>
      <c r="K24" s="9">
        <v>1246</v>
      </c>
      <c r="L24" s="9">
        <v>0</v>
      </c>
      <c r="M24" s="9">
        <v>0</v>
      </c>
      <c r="N24" s="9">
        <v>0</v>
      </c>
      <c r="O24" s="9">
        <v>700</v>
      </c>
      <c r="P24" s="9">
        <v>788</v>
      </c>
      <c r="Q24" s="9">
        <v>694</v>
      </c>
      <c r="R24" s="9">
        <v>0</v>
      </c>
      <c r="S24" s="9">
        <v>0</v>
      </c>
      <c r="T24" s="9">
        <v>0</v>
      </c>
      <c r="U24" s="78">
        <v>10648</v>
      </c>
      <c r="V24" s="78">
        <f>VLOOKUP(A24,[15]sheet1!$A$2:$V$24,22,0)</f>
        <v>10648</v>
      </c>
      <c r="W24" s="78">
        <f t="shared" si="0"/>
        <v>0</v>
      </c>
    </row>
    <row r="25" spans="1:23">
      <c r="U25" s="78">
        <v>0</v>
      </c>
      <c r="W25" s="78">
        <f t="shared" si="0"/>
        <v>0</v>
      </c>
    </row>
    <row r="26" spans="1:23">
      <c r="B26" s="9">
        <f>SUM(B2:B25)</f>
        <v>3688</v>
      </c>
      <c r="C26" s="9">
        <f t="shared" ref="C26:S26" si="1">SUM(C2:C25)</f>
        <v>4208</v>
      </c>
      <c r="D26" s="9">
        <f t="shared" si="1"/>
        <v>5096</v>
      </c>
      <c r="E26" s="9">
        <f t="shared" si="1"/>
        <v>0</v>
      </c>
      <c r="F26" s="9">
        <f t="shared" si="1"/>
        <v>0</v>
      </c>
      <c r="G26" s="9">
        <f t="shared" si="1"/>
        <v>5676</v>
      </c>
      <c r="H26" s="9">
        <f t="shared" si="1"/>
        <v>2690</v>
      </c>
      <c r="I26" s="9">
        <f t="shared" si="1"/>
        <v>2492</v>
      </c>
      <c r="J26" s="9">
        <f t="shared" si="1"/>
        <v>3472</v>
      </c>
      <c r="K26" s="9">
        <f t="shared" si="1"/>
        <v>5748</v>
      </c>
      <c r="L26" s="9">
        <f t="shared" si="1"/>
        <v>0</v>
      </c>
      <c r="M26" s="9">
        <f t="shared" si="1"/>
        <v>0</v>
      </c>
      <c r="N26" s="9">
        <f t="shared" si="1"/>
        <v>0</v>
      </c>
      <c r="O26" s="9">
        <f t="shared" si="1"/>
        <v>4006</v>
      </c>
      <c r="P26" s="9">
        <f t="shared" si="1"/>
        <v>3924</v>
      </c>
      <c r="Q26" s="9">
        <f t="shared" si="1"/>
        <v>3270</v>
      </c>
      <c r="R26" s="9">
        <f t="shared" si="1"/>
        <v>0</v>
      </c>
      <c r="S26" s="9">
        <f t="shared" si="1"/>
        <v>0</v>
      </c>
      <c r="U26" s="78"/>
    </row>
    <row r="27" spans="1:23">
      <c r="B27" s="9">
        <v>3688</v>
      </c>
      <c r="C27" s="9">
        <v>4208</v>
      </c>
      <c r="D27" s="9">
        <v>5096</v>
      </c>
      <c r="E27" s="9">
        <v>0</v>
      </c>
      <c r="F27" s="9">
        <v>0</v>
      </c>
      <c r="G27" s="9">
        <v>5676</v>
      </c>
      <c r="H27" s="9">
        <v>2690</v>
      </c>
      <c r="I27" s="9">
        <v>2492</v>
      </c>
      <c r="J27" s="9">
        <v>3472</v>
      </c>
      <c r="K27" s="9">
        <v>5748</v>
      </c>
      <c r="L27" s="9">
        <v>0</v>
      </c>
      <c r="M27" s="9">
        <v>0</v>
      </c>
      <c r="N27" s="9">
        <v>0</v>
      </c>
      <c r="O27" s="9">
        <v>4006</v>
      </c>
      <c r="P27" s="9">
        <v>3924</v>
      </c>
      <c r="Q27" s="9">
        <v>3270</v>
      </c>
      <c r="R27" s="9">
        <v>0</v>
      </c>
      <c r="S27" s="9">
        <v>0</v>
      </c>
      <c r="T27" s="9">
        <v>0</v>
      </c>
      <c r="U27" s="78"/>
    </row>
    <row r="28" spans="1:23">
      <c r="B28" s="9">
        <f>+B26-B27</f>
        <v>0</v>
      </c>
      <c r="C28" s="9">
        <f t="shared" ref="C28:T28" si="2">+C26-C27</f>
        <v>0</v>
      </c>
      <c r="D28" s="9">
        <f t="shared" si="2"/>
        <v>0</v>
      </c>
      <c r="E28" s="9">
        <f t="shared" si="2"/>
        <v>0</v>
      </c>
      <c r="F28" s="9">
        <f t="shared" si="2"/>
        <v>0</v>
      </c>
      <c r="G28" s="9">
        <f t="shared" si="2"/>
        <v>0</v>
      </c>
      <c r="H28" s="9">
        <f t="shared" si="2"/>
        <v>0</v>
      </c>
      <c r="I28" s="9">
        <f t="shared" si="2"/>
        <v>0</v>
      </c>
      <c r="J28" s="9">
        <f t="shared" si="2"/>
        <v>0</v>
      </c>
      <c r="K28" s="9">
        <f t="shared" si="2"/>
        <v>0</v>
      </c>
      <c r="L28" s="9">
        <f t="shared" si="2"/>
        <v>0</v>
      </c>
      <c r="M28" s="9">
        <f t="shared" si="2"/>
        <v>0</v>
      </c>
      <c r="N28" s="9">
        <f t="shared" si="2"/>
        <v>0</v>
      </c>
      <c r="O28" s="9">
        <f t="shared" si="2"/>
        <v>0</v>
      </c>
      <c r="P28" s="9">
        <f t="shared" si="2"/>
        <v>0</v>
      </c>
      <c r="Q28" s="9">
        <f t="shared" si="2"/>
        <v>0</v>
      </c>
      <c r="R28" s="9">
        <f t="shared" si="2"/>
        <v>0</v>
      </c>
      <c r="S28" s="9">
        <f t="shared" si="2"/>
        <v>0</v>
      </c>
      <c r="T28" s="9">
        <f t="shared" si="2"/>
        <v>0</v>
      </c>
      <c r="U28" s="78"/>
    </row>
    <row r="29" spans="1:23">
      <c r="U29" s="78"/>
    </row>
    <row r="30" spans="1:23">
      <c r="U30" s="78"/>
    </row>
    <row r="33" spans="1:20">
      <c r="A33" s="19" t="s">
        <v>0</v>
      </c>
      <c r="B33" s="9" t="s">
        <v>1250</v>
      </c>
      <c r="C33" s="9" t="s">
        <v>1251</v>
      </c>
      <c r="D33" s="9" t="s">
        <v>1252</v>
      </c>
      <c r="E33" s="9" t="s">
        <v>1253</v>
      </c>
      <c r="F33" s="9" t="s">
        <v>1254</v>
      </c>
      <c r="G33" s="9" t="s">
        <v>1258</v>
      </c>
      <c r="H33" s="9" t="s">
        <v>1259</v>
      </c>
      <c r="I33" s="9" t="s">
        <v>1260</v>
      </c>
      <c r="J33" s="9" t="s">
        <v>1261</v>
      </c>
      <c r="K33" s="9" t="s">
        <v>1262</v>
      </c>
      <c r="L33" s="9" t="s">
        <v>1263</v>
      </c>
      <c r="M33" s="9" t="s">
        <v>1264</v>
      </c>
      <c r="N33" s="9" t="s">
        <v>1266</v>
      </c>
      <c r="O33" s="9" t="s">
        <v>1267</v>
      </c>
      <c r="P33" s="9" t="s">
        <v>1268</v>
      </c>
      <c r="Q33" s="9" t="s">
        <v>1269</v>
      </c>
      <c r="R33" s="9" t="s">
        <v>1270</v>
      </c>
      <c r="S33" s="9" t="s">
        <v>1271</v>
      </c>
      <c r="T33" s="9" t="s">
        <v>1272</v>
      </c>
    </row>
    <row r="34" spans="1:20">
      <c r="A34" s="19">
        <v>1232846</v>
      </c>
      <c r="B34" s="9">
        <v>0</v>
      </c>
      <c r="C34" s="9">
        <v>0</v>
      </c>
      <c r="D34" s="9">
        <v>204</v>
      </c>
      <c r="E34" s="9">
        <v>0</v>
      </c>
      <c r="F34" s="9">
        <v>0</v>
      </c>
      <c r="G34" s="9">
        <v>352</v>
      </c>
      <c r="H34" s="9">
        <v>352</v>
      </c>
      <c r="I34" s="9">
        <v>205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</row>
    <row r="35" spans="1:20">
      <c r="A35" s="19">
        <v>1232895</v>
      </c>
      <c r="B35" s="9">
        <v>0</v>
      </c>
      <c r="C35" s="9">
        <v>0</v>
      </c>
      <c r="D35" s="9">
        <v>204</v>
      </c>
      <c r="E35" s="9">
        <v>0</v>
      </c>
      <c r="F35" s="9">
        <v>0</v>
      </c>
      <c r="G35" s="9">
        <v>352</v>
      </c>
      <c r="H35" s="9">
        <v>352</v>
      </c>
      <c r="I35" s="9">
        <v>205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</row>
    <row r="36" spans="1:20">
      <c r="A36" s="19">
        <v>1233384</v>
      </c>
      <c r="B36" s="9">
        <v>0</v>
      </c>
      <c r="C36" s="9">
        <v>0</v>
      </c>
      <c r="D36" s="9">
        <v>204</v>
      </c>
      <c r="E36" s="9">
        <v>0</v>
      </c>
      <c r="F36" s="9">
        <v>0</v>
      </c>
      <c r="G36" s="9">
        <v>352</v>
      </c>
      <c r="H36" s="9">
        <v>352</v>
      </c>
      <c r="I36" s="9">
        <v>205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</row>
    <row r="37" spans="1:20">
      <c r="A37" s="19">
        <v>1233165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79</v>
      </c>
      <c r="P37" s="9">
        <v>297</v>
      </c>
      <c r="Q37" s="9">
        <v>10</v>
      </c>
      <c r="R37" s="9">
        <v>0</v>
      </c>
      <c r="S37" s="9">
        <v>0</v>
      </c>
      <c r="T37" s="9">
        <v>0</v>
      </c>
    </row>
    <row r="38" spans="1:20">
      <c r="A38" s="19">
        <v>1236110</v>
      </c>
      <c r="B38" s="9">
        <v>30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</row>
    <row r="39" spans="1:20">
      <c r="A39" s="19">
        <v>1236387</v>
      </c>
      <c r="B39" s="9">
        <v>367</v>
      </c>
      <c r="C39" s="9">
        <v>62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</row>
    <row r="40" spans="1:20">
      <c r="A40" s="19">
        <v>1232775</v>
      </c>
      <c r="B40" s="9">
        <v>242</v>
      </c>
      <c r="C40" s="9">
        <v>192</v>
      </c>
      <c r="D40" s="9">
        <v>324</v>
      </c>
      <c r="E40" s="9">
        <v>0</v>
      </c>
      <c r="F40" s="9">
        <v>0</v>
      </c>
      <c r="G40" s="9">
        <v>242</v>
      </c>
      <c r="H40" s="9">
        <v>245</v>
      </c>
      <c r="I40" s="9">
        <v>332</v>
      </c>
      <c r="J40" s="9">
        <v>484</v>
      </c>
      <c r="K40" s="9">
        <v>222</v>
      </c>
      <c r="L40" s="9">
        <v>0</v>
      </c>
      <c r="M40" s="9">
        <v>0</v>
      </c>
      <c r="N40" s="9">
        <v>0</v>
      </c>
      <c r="O40" s="9">
        <v>314</v>
      </c>
      <c r="P40" s="9">
        <v>0</v>
      </c>
      <c r="Q40" s="9">
        <v>225</v>
      </c>
      <c r="R40" s="9">
        <v>0</v>
      </c>
      <c r="S40" s="9">
        <v>0</v>
      </c>
      <c r="T40" s="9">
        <v>0</v>
      </c>
    </row>
    <row r="45" spans="1:20">
      <c r="A45" s="19" t="s">
        <v>0</v>
      </c>
      <c r="B45" s="9" t="s">
        <v>1250</v>
      </c>
      <c r="C45" s="9" t="s">
        <v>1251</v>
      </c>
      <c r="D45" s="9" t="s">
        <v>1252</v>
      </c>
      <c r="E45" s="9" t="s">
        <v>1253</v>
      </c>
      <c r="F45" s="9" t="s">
        <v>1254</v>
      </c>
      <c r="G45" s="9" t="s">
        <v>1258</v>
      </c>
      <c r="H45" s="9" t="s">
        <v>1259</v>
      </c>
      <c r="I45" s="9" t="s">
        <v>1260</v>
      </c>
      <c r="J45" s="9" t="s">
        <v>1261</v>
      </c>
      <c r="K45" s="9" t="s">
        <v>1262</v>
      </c>
      <c r="L45" s="9" t="s">
        <v>1263</v>
      </c>
      <c r="M45" s="9" t="s">
        <v>1264</v>
      </c>
      <c r="N45" s="9" t="s">
        <v>1266</v>
      </c>
      <c r="O45" s="9" t="s">
        <v>1267</v>
      </c>
      <c r="P45" s="9" t="s">
        <v>1268</v>
      </c>
      <c r="Q45" s="9" t="s">
        <v>1269</v>
      </c>
      <c r="R45" s="9" t="s">
        <v>1270</v>
      </c>
      <c r="S45" s="9" t="s">
        <v>1271</v>
      </c>
      <c r="T45" s="9" t="s">
        <v>1272</v>
      </c>
    </row>
    <row r="46" spans="1:20">
      <c r="A46" s="19">
        <v>1234614</v>
      </c>
      <c r="B46" s="9">
        <v>61</v>
      </c>
      <c r="C46" s="9">
        <v>587</v>
      </c>
      <c r="D46" s="9">
        <v>0</v>
      </c>
      <c r="E46" s="9">
        <v>0</v>
      </c>
      <c r="F46" s="9">
        <v>0</v>
      </c>
      <c r="G46" s="9">
        <v>371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0">
      <c r="A47" s="19">
        <v>1227306</v>
      </c>
      <c r="B47" s="9">
        <v>280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97</v>
      </c>
      <c r="K47" s="9">
        <v>487</v>
      </c>
      <c r="L47" s="9">
        <v>0</v>
      </c>
      <c r="M47" s="9">
        <v>0</v>
      </c>
      <c r="N47" s="9">
        <v>0</v>
      </c>
      <c r="O47" s="9">
        <v>16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</row>
    <row r="48" spans="1:20">
      <c r="A48" s="19">
        <v>1225464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4</v>
      </c>
      <c r="P48" s="9">
        <v>0</v>
      </c>
      <c r="Q48" s="9">
        <v>0</v>
      </c>
      <c r="R48" s="9">
        <v>756</v>
      </c>
      <c r="S48" s="9">
        <v>0</v>
      </c>
      <c r="T48" s="9">
        <v>0</v>
      </c>
    </row>
    <row r="49" spans="1:20">
      <c r="A49" s="19">
        <v>1231797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71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</row>
    <row r="50" spans="1:20">
      <c r="A50" s="19">
        <v>1229776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180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</row>
    <row r="51" spans="1:20">
      <c r="A51" s="19">
        <v>1231090</v>
      </c>
      <c r="B51" s="9">
        <v>0</v>
      </c>
      <c r="C51" s="9">
        <v>0</v>
      </c>
      <c r="D51" s="9">
        <v>357</v>
      </c>
      <c r="E51" s="9">
        <v>0</v>
      </c>
      <c r="F51" s="9">
        <v>0</v>
      </c>
      <c r="G51" s="9">
        <v>118</v>
      </c>
      <c r="H51" s="9">
        <v>0</v>
      </c>
      <c r="I51" s="9">
        <v>0</v>
      </c>
      <c r="J51" s="9">
        <v>180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2150</v>
      </c>
      <c r="S51" s="9">
        <v>0</v>
      </c>
      <c r="T51" s="9">
        <v>0</v>
      </c>
    </row>
    <row r="52" spans="1:20">
      <c r="A52" s="19">
        <v>1232066</v>
      </c>
      <c r="B52" s="9">
        <v>0</v>
      </c>
      <c r="C52" s="9">
        <v>18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450</v>
      </c>
      <c r="R52" s="9">
        <v>306</v>
      </c>
      <c r="S52" s="9">
        <v>0</v>
      </c>
      <c r="T52" s="9">
        <v>0</v>
      </c>
    </row>
    <row r="53" spans="1:20">
      <c r="A53" s="19">
        <v>1229088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185</v>
      </c>
      <c r="H53" s="9">
        <v>65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</row>
    <row r="54" spans="1:20">
      <c r="A54" s="19">
        <v>1232693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400</v>
      </c>
      <c r="J54" s="9">
        <v>773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2289</v>
      </c>
      <c r="S54" s="9">
        <v>0</v>
      </c>
      <c r="T54" s="9">
        <v>0</v>
      </c>
    </row>
    <row r="55" spans="1:20">
      <c r="A55" s="19">
        <v>1233025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400</v>
      </c>
      <c r="J55" s="9">
        <v>773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2289</v>
      </c>
      <c r="S55" s="9">
        <v>0</v>
      </c>
      <c r="T55" s="9">
        <v>0</v>
      </c>
    </row>
    <row r="56" spans="1:20">
      <c r="A56" s="19">
        <v>1234222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510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19">
        <v>1232528</v>
      </c>
      <c r="B57" s="9">
        <v>539</v>
      </c>
      <c r="C57" s="9">
        <v>686</v>
      </c>
      <c r="D57" s="9">
        <v>673</v>
      </c>
      <c r="E57" s="9">
        <v>0</v>
      </c>
      <c r="F57" s="9">
        <v>0</v>
      </c>
      <c r="G57" s="9">
        <v>1137</v>
      </c>
      <c r="H57" s="9">
        <v>1295</v>
      </c>
      <c r="I57" s="9">
        <v>1028</v>
      </c>
      <c r="J57" s="9">
        <v>1389</v>
      </c>
      <c r="K57" s="9">
        <v>2842</v>
      </c>
      <c r="L57" s="9">
        <v>0</v>
      </c>
      <c r="M57" s="9">
        <v>0</v>
      </c>
      <c r="N57" s="9">
        <v>0</v>
      </c>
      <c r="O57" s="9">
        <v>2543</v>
      </c>
      <c r="P57" s="9">
        <v>1994</v>
      </c>
      <c r="Q57" s="9">
        <v>2304</v>
      </c>
      <c r="R57" s="9">
        <v>21827</v>
      </c>
      <c r="S57" s="9">
        <v>0</v>
      </c>
      <c r="T57" s="9">
        <v>0</v>
      </c>
    </row>
    <row r="58" spans="1:20">
      <c r="A58" s="19">
        <v>1232553</v>
      </c>
      <c r="B58" s="9">
        <v>0</v>
      </c>
      <c r="C58" s="9">
        <v>50</v>
      </c>
      <c r="D58" s="9">
        <v>202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</row>
    <row r="59" spans="1:20">
      <c r="A59" s="19">
        <v>1232846</v>
      </c>
      <c r="B59" s="9">
        <v>0</v>
      </c>
      <c r="C59" s="9">
        <v>176</v>
      </c>
      <c r="D59" s="9">
        <v>700</v>
      </c>
      <c r="E59" s="9">
        <v>0</v>
      </c>
      <c r="F59" s="9">
        <v>0</v>
      </c>
      <c r="G59" s="9">
        <v>466</v>
      </c>
      <c r="H59" s="9">
        <v>700</v>
      </c>
      <c r="I59" s="9">
        <v>550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478</v>
      </c>
      <c r="P59" s="9">
        <v>0</v>
      </c>
      <c r="Q59" s="9">
        <v>192</v>
      </c>
      <c r="R59" s="9">
        <v>384</v>
      </c>
      <c r="S59" s="9">
        <v>0</v>
      </c>
      <c r="T59" s="9">
        <v>0</v>
      </c>
    </row>
    <row r="60" spans="1:20">
      <c r="A60" s="19">
        <v>1229050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520</v>
      </c>
      <c r="P60" s="9">
        <v>0</v>
      </c>
      <c r="Q60" s="9">
        <v>0</v>
      </c>
      <c r="R60" s="9">
        <v>395</v>
      </c>
      <c r="S60" s="9">
        <v>0</v>
      </c>
      <c r="T60" s="9">
        <v>0</v>
      </c>
    </row>
    <row r="61" spans="1:20">
      <c r="A61" s="19">
        <v>1233383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156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</row>
    <row r="62" spans="1:20">
      <c r="A62" s="19">
        <v>1220847</v>
      </c>
      <c r="B62" s="9">
        <v>0</v>
      </c>
      <c r="C62" s="9">
        <v>0</v>
      </c>
      <c r="D62" s="9">
        <v>428</v>
      </c>
      <c r="E62" s="9">
        <v>0</v>
      </c>
      <c r="F62" s="9">
        <v>0</v>
      </c>
      <c r="G62" s="9">
        <v>542</v>
      </c>
      <c r="H62" s="9">
        <v>542</v>
      </c>
      <c r="I62" s="9">
        <v>238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410</v>
      </c>
      <c r="P62" s="9">
        <v>426</v>
      </c>
      <c r="Q62" s="9">
        <v>39</v>
      </c>
      <c r="R62" s="9">
        <v>3535</v>
      </c>
      <c r="S62" s="9">
        <v>0</v>
      </c>
      <c r="T62" s="9">
        <v>0</v>
      </c>
    </row>
    <row r="63" spans="1:20">
      <c r="A63" s="19">
        <v>1232775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322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392</v>
      </c>
      <c r="S63" s="9">
        <v>0</v>
      </c>
      <c r="T63" s="9">
        <v>0</v>
      </c>
    </row>
    <row r="64" spans="1:20">
      <c r="A64" s="19">
        <v>1235097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268</v>
      </c>
      <c r="I64" s="9">
        <v>32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</row>
    <row r="65" spans="1:20">
      <c r="A65" s="19">
        <v>1235958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25</v>
      </c>
      <c r="Q65" s="9">
        <v>0</v>
      </c>
      <c r="R65" s="9">
        <v>0</v>
      </c>
      <c r="S65" s="9">
        <v>0</v>
      </c>
      <c r="T65" s="9">
        <v>0</v>
      </c>
    </row>
    <row r="66" spans="1:20">
      <c r="A66" s="19">
        <v>1235845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100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</row>
    <row r="67" spans="1:20">
      <c r="A67" s="19">
        <v>1236600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50</v>
      </c>
      <c r="H67" s="9">
        <v>533</v>
      </c>
      <c r="I67" s="9">
        <v>419</v>
      </c>
      <c r="J67" s="9">
        <v>128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</row>
    <row r="68" spans="1:20">
      <c r="A68" s="19">
        <v>1236601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27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</row>
    <row r="69" spans="1:20">
      <c r="A69" s="19">
        <v>1236619</v>
      </c>
      <c r="B69" s="9">
        <v>270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</row>
    <row r="70" spans="1:20">
      <c r="A70" s="19">
        <v>1236930</v>
      </c>
      <c r="B70" s="9">
        <v>74</v>
      </c>
      <c r="C70" s="9">
        <v>497</v>
      </c>
      <c r="D70" s="9">
        <v>633</v>
      </c>
      <c r="E70" s="9">
        <v>0</v>
      </c>
      <c r="F70" s="9">
        <v>0</v>
      </c>
      <c r="G70" s="9">
        <v>628</v>
      </c>
      <c r="H70" s="9">
        <v>392</v>
      </c>
      <c r="I70" s="9">
        <v>311</v>
      </c>
      <c r="J70" s="9">
        <v>395</v>
      </c>
      <c r="K70" s="9">
        <v>738</v>
      </c>
      <c r="L70" s="9">
        <v>0</v>
      </c>
      <c r="M70" s="9">
        <v>0</v>
      </c>
      <c r="N70" s="9">
        <v>0</v>
      </c>
      <c r="O70" s="9">
        <v>437</v>
      </c>
      <c r="P70" s="9">
        <v>750</v>
      </c>
      <c r="Q70" s="9">
        <v>550</v>
      </c>
      <c r="R70" s="9">
        <v>4358</v>
      </c>
      <c r="S70" s="9">
        <v>0</v>
      </c>
      <c r="T70" s="9">
        <v>0</v>
      </c>
    </row>
    <row r="71" spans="1:20">
      <c r="A71" s="19">
        <v>1237468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140</v>
      </c>
      <c r="J71" s="9">
        <v>4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</row>
    <row r="72" spans="1:20">
      <c r="A72" s="19">
        <v>1237210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253</v>
      </c>
      <c r="K72" s="9">
        <v>122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</row>
    <row r="73" spans="1:20">
      <c r="A73" s="19">
        <v>1237457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18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</row>
    <row r="74" spans="1:20">
      <c r="A74" s="19">
        <v>1237386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180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</row>
    <row r="75" spans="1:20">
      <c r="A75" s="19">
        <v>1238480</v>
      </c>
      <c r="B75" s="9">
        <v>406</v>
      </c>
      <c r="C75" s="9">
        <v>808</v>
      </c>
      <c r="D75" s="9">
        <v>500</v>
      </c>
      <c r="E75" s="9">
        <v>0</v>
      </c>
      <c r="F75" s="9">
        <v>0</v>
      </c>
      <c r="G75" s="9">
        <v>347</v>
      </c>
      <c r="H75" s="9">
        <v>365</v>
      </c>
      <c r="I75" s="9">
        <v>267</v>
      </c>
      <c r="J75" s="9">
        <v>236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200</v>
      </c>
      <c r="R75" s="9">
        <v>27864</v>
      </c>
      <c r="S75" s="9">
        <v>0</v>
      </c>
      <c r="T75" s="9">
        <v>0</v>
      </c>
    </row>
    <row r="76" spans="1:20">
      <c r="A76" s="19">
        <v>1240180</v>
      </c>
      <c r="B76" s="9">
        <v>177</v>
      </c>
      <c r="C76" s="9">
        <v>123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500</v>
      </c>
      <c r="S76" s="9">
        <v>0</v>
      </c>
      <c r="T76" s="9">
        <v>0</v>
      </c>
    </row>
    <row r="77" spans="1:20">
      <c r="A77" s="19">
        <v>1240184</v>
      </c>
      <c r="B77" s="9">
        <v>177</v>
      </c>
      <c r="C77" s="9">
        <v>123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500</v>
      </c>
      <c r="S77" s="9">
        <v>0</v>
      </c>
      <c r="T77" s="9">
        <v>0</v>
      </c>
    </row>
    <row r="78" spans="1:20">
      <c r="A78" s="19">
        <v>1238453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1272</v>
      </c>
      <c r="S78" s="9">
        <v>0</v>
      </c>
      <c r="T78" s="9">
        <v>0</v>
      </c>
    </row>
    <row r="79" spans="1:20">
      <c r="A79" s="19">
        <v>1216452</v>
      </c>
      <c r="B79" s="9">
        <v>825</v>
      </c>
      <c r="C79" s="9">
        <v>670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324</v>
      </c>
      <c r="K79" s="9">
        <v>0</v>
      </c>
      <c r="L79" s="9">
        <v>0</v>
      </c>
      <c r="M79" s="9">
        <v>0</v>
      </c>
      <c r="N79" s="9">
        <v>0</v>
      </c>
      <c r="O79" s="9">
        <v>2889</v>
      </c>
      <c r="P79" s="9">
        <v>1</v>
      </c>
      <c r="Q79" s="9">
        <v>0</v>
      </c>
      <c r="R79" s="9">
        <v>0</v>
      </c>
      <c r="S79" s="9">
        <v>0</v>
      </c>
      <c r="T79" s="9">
        <v>0</v>
      </c>
    </row>
    <row r="80" spans="1:20">
      <c r="A80" s="19">
        <v>1215693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4</v>
      </c>
      <c r="Q80" s="9">
        <v>0</v>
      </c>
      <c r="R80" s="9">
        <v>0</v>
      </c>
      <c r="S80" s="9">
        <v>0</v>
      </c>
      <c r="T80" s="9">
        <v>0</v>
      </c>
    </row>
    <row r="81" spans="1:20">
      <c r="A81" s="19">
        <v>1232894</v>
      </c>
      <c r="B81" s="9">
        <v>0</v>
      </c>
      <c r="C81" s="9">
        <v>176</v>
      </c>
      <c r="D81" s="9">
        <v>700</v>
      </c>
      <c r="E81" s="9">
        <v>0</v>
      </c>
      <c r="F81" s="9">
        <v>0</v>
      </c>
      <c r="G81" s="9">
        <v>133</v>
      </c>
      <c r="H81" s="9">
        <v>700</v>
      </c>
      <c r="I81" s="9">
        <v>550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478</v>
      </c>
      <c r="P81" s="9">
        <v>0</v>
      </c>
      <c r="Q81" s="9">
        <v>192</v>
      </c>
      <c r="R81" s="9">
        <v>0</v>
      </c>
      <c r="S81" s="9">
        <v>0</v>
      </c>
      <c r="T81" s="9">
        <v>384</v>
      </c>
    </row>
    <row r="82" spans="1:20">
      <c r="A82" s="19">
        <v>1233386</v>
      </c>
      <c r="B82" s="9">
        <v>0</v>
      </c>
      <c r="C82" s="9">
        <v>176</v>
      </c>
      <c r="D82" s="9">
        <v>700</v>
      </c>
      <c r="E82" s="9">
        <v>0</v>
      </c>
      <c r="F82" s="9">
        <v>0</v>
      </c>
      <c r="G82" s="9">
        <v>133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</row>
    <row r="83" spans="1:20">
      <c r="A83" s="19">
        <v>1233387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700</v>
      </c>
      <c r="I83" s="9">
        <v>550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478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</row>
    <row r="84" spans="1:20">
      <c r="A84" s="19">
        <v>1233385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192</v>
      </c>
      <c r="R84" s="9">
        <v>0</v>
      </c>
      <c r="S84" s="9">
        <v>0</v>
      </c>
      <c r="T84" s="9">
        <v>384</v>
      </c>
    </row>
    <row r="85" spans="1:20">
      <c r="A85" s="19">
        <v>1232895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333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</row>
    <row r="86" spans="1:20">
      <c r="A86" s="19">
        <v>1232922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333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</row>
  </sheetData>
  <autoFilter ref="A1:T24" xr:uid="{A15A4048-5278-4509-ACC4-EFFA4647ED54}"/>
  <phoneticPr fontId="11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B0BD-F7B1-4A85-9A7B-808A91A67B65}">
  <dimension ref="A1:S80"/>
  <sheetViews>
    <sheetView topLeftCell="A42" zoomScale="130" zoomScaleNormal="130" workbookViewId="0">
      <selection activeCell="Q62" sqref="Q62"/>
    </sheetView>
  </sheetViews>
  <sheetFormatPr defaultColWidth="9.33203125" defaultRowHeight="12"/>
  <cols>
    <col min="1" max="1" width="10.1640625" style="19" bestFit="1" customWidth="1"/>
    <col min="2" max="2" width="9.6640625" style="9" bestFit="1" customWidth="1"/>
    <col min="3" max="16" width="9.6640625" style="9" customWidth="1"/>
    <col min="17" max="17" width="10.1640625" style="9" customWidth="1"/>
    <col min="18" max="18" width="9.6640625" style="9" customWidth="1"/>
    <col min="19" max="19" width="9.6640625" style="9" bestFit="1" customWidth="1"/>
    <col min="20" max="16384" width="9.33203125" style="5"/>
  </cols>
  <sheetData>
    <row r="1" spans="1:19">
      <c r="A1" s="19" t="s">
        <v>0</v>
      </c>
      <c r="B1" s="9" t="s">
        <v>1251</v>
      </c>
      <c r="C1" s="9" t="s">
        <v>1252</v>
      </c>
      <c r="D1" s="9" t="s">
        <v>1253</v>
      </c>
      <c r="E1" s="9" t="s">
        <v>1254</v>
      </c>
      <c r="F1" s="9" t="s">
        <v>1258</v>
      </c>
      <c r="G1" s="9" t="s">
        <v>1259</v>
      </c>
      <c r="H1" s="9" t="s">
        <v>1260</v>
      </c>
      <c r="I1" s="9" t="s">
        <v>1261</v>
      </c>
      <c r="J1" s="9" t="s">
        <v>1262</v>
      </c>
      <c r="K1" s="9" t="s">
        <v>1263</v>
      </c>
      <c r="L1" s="9" t="s">
        <v>1264</v>
      </c>
      <c r="M1" s="9" t="s">
        <v>1266</v>
      </c>
      <c r="N1" s="9" t="s">
        <v>1267</v>
      </c>
      <c r="O1" s="9" t="s">
        <v>1268</v>
      </c>
      <c r="P1" s="9" t="s">
        <v>1269</v>
      </c>
      <c r="Q1" s="9" t="s">
        <v>1270</v>
      </c>
      <c r="R1" s="9" t="s">
        <v>1271</v>
      </c>
      <c r="S1" s="9" t="s">
        <v>1272</v>
      </c>
    </row>
    <row r="2" spans="1:19">
      <c r="A2" s="19">
        <v>1226384</v>
      </c>
      <c r="B2" s="9">
        <v>400</v>
      </c>
      <c r="C2" s="9">
        <v>260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</row>
    <row r="3" spans="1:19">
      <c r="A3" s="19">
        <v>1226388</v>
      </c>
      <c r="B3" s="9">
        <v>400</v>
      </c>
      <c r="C3" s="9">
        <v>260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19">
      <c r="A4" s="19">
        <v>1229673</v>
      </c>
      <c r="B4" s="9">
        <v>0</v>
      </c>
      <c r="C4" s="9">
        <v>0</v>
      </c>
      <c r="D4" s="9">
        <v>0</v>
      </c>
      <c r="E4" s="9">
        <v>0</v>
      </c>
      <c r="F4" s="9">
        <v>400</v>
      </c>
      <c r="G4" s="9">
        <v>0</v>
      </c>
      <c r="H4" s="9">
        <v>0</v>
      </c>
      <c r="I4" s="9">
        <v>300</v>
      </c>
      <c r="J4" s="9">
        <v>300</v>
      </c>
      <c r="K4" s="9">
        <v>0</v>
      </c>
      <c r="L4" s="9">
        <v>0</v>
      </c>
      <c r="M4" s="9">
        <v>0</v>
      </c>
      <c r="N4" s="9">
        <v>250</v>
      </c>
      <c r="O4" s="9">
        <v>270</v>
      </c>
      <c r="P4" s="9">
        <v>250</v>
      </c>
      <c r="Q4" s="9">
        <v>0</v>
      </c>
      <c r="R4" s="9">
        <v>0</v>
      </c>
      <c r="S4" s="9">
        <v>0</v>
      </c>
    </row>
    <row r="5" spans="1:19">
      <c r="A5" s="19">
        <v>1231202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100</v>
      </c>
      <c r="Q5" s="9">
        <v>0</v>
      </c>
      <c r="R5" s="9">
        <v>0</v>
      </c>
      <c r="S5" s="9">
        <v>0</v>
      </c>
    </row>
    <row r="6" spans="1:19">
      <c r="A6" s="19">
        <v>1233492</v>
      </c>
      <c r="B6" s="9">
        <v>0</v>
      </c>
      <c r="C6" s="9">
        <v>300</v>
      </c>
      <c r="D6" s="9">
        <v>0</v>
      </c>
      <c r="E6" s="9">
        <v>0</v>
      </c>
      <c r="F6" s="9">
        <v>782</v>
      </c>
      <c r="G6" s="9">
        <v>50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458</v>
      </c>
      <c r="P6" s="9">
        <v>54</v>
      </c>
      <c r="Q6" s="9">
        <v>0</v>
      </c>
      <c r="R6" s="9">
        <v>0</v>
      </c>
      <c r="S6" s="9">
        <v>0</v>
      </c>
    </row>
    <row r="7" spans="1:19">
      <c r="A7" s="19">
        <v>1233498</v>
      </c>
      <c r="B7" s="9">
        <v>0</v>
      </c>
      <c r="C7" s="9">
        <v>300</v>
      </c>
      <c r="D7" s="9">
        <v>0</v>
      </c>
      <c r="E7" s="9">
        <v>0</v>
      </c>
      <c r="F7" s="9">
        <v>782</v>
      </c>
      <c r="G7" s="9">
        <v>50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458</v>
      </c>
      <c r="P7" s="9">
        <v>54</v>
      </c>
      <c r="Q7" s="9">
        <v>0</v>
      </c>
      <c r="R7" s="9">
        <v>0</v>
      </c>
      <c r="S7" s="9">
        <v>0</v>
      </c>
    </row>
    <row r="8" spans="1:19">
      <c r="A8" s="19">
        <v>1233623</v>
      </c>
      <c r="B8" s="9">
        <v>0</v>
      </c>
      <c r="C8" s="9">
        <v>300</v>
      </c>
      <c r="D8" s="9">
        <v>0</v>
      </c>
      <c r="E8" s="9">
        <v>0</v>
      </c>
      <c r="F8" s="9">
        <v>782</v>
      </c>
      <c r="G8" s="9">
        <v>50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458</v>
      </c>
      <c r="P8" s="9">
        <v>54</v>
      </c>
      <c r="Q8" s="9">
        <v>0</v>
      </c>
      <c r="R8" s="9">
        <v>0</v>
      </c>
      <c r="S8" s="9">
        <v>0</v>
      </c>
    </row>
    <row r="9" spans="1:19">
      <c r="A9" s="19">
        <v>1233877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150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>
      <c r="A10" s="19">
        <v>1235623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24</v>
      </c>
      <c r="J10" s="9">
        <v>912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</row>
    <row r="11" spans="1:19">
      <c r="A11" s="19">
        <v>1237088</v>
      </c>
      <c r="B11" s="9">
        <v>0</v>
      </c>
      <c r="C11" s="9">
        <v>0</v>
      </c>
      <c r="D11" s="9">
        <v>0</v>
      </c>
      <c r="E11" s="9">
        <v>0</v>
      </c>
      <c r="F11" s="9">
        <v>1094</v>
      </c>
      <c r="G11" s="9">
        <v>560</v>
      </c>
      <c r="H11" s="9">
        <v>134</v>
      </c>
      <c r="I11" s="9">
        <v>552</v>
      </c>
      <c r="J11" s="9">
        <v>550</v>
      </c>
      <c r="K11" s="9">
        <v>0</v>
      </c>
      <c r="L11" s="9">
        <v>0</v>
      </c>
      <c r="M11" s="9">
        <v>0</v>
      </c>
      <c r="N11" s="9">
        <v>612</v>
      </c>
      <c r="O11" s="9">
        <v>660</v>
      </c>
      <c r="P11" s="9">
        <v>1072</v>
      </c>
      <c r="Q11" s="9">
        <v>0</v>
      </c>
      <c r="R11" s="9">
        <v>0</v>
      </c>
      <c r="S11" s="9">
        <v>0</v>
      </c>
    </row>
    <row r="12" spans="1:19">
      <c r="A12" s="19">
        <v>1231898</v>
      </c>
      <c r="B12" s="9">
        <v>0</v>
      </c>
      <c r="C12" s="9">
        <v>384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248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</row>
    <row r="13" spans="1:19">
      <c r="A13" s="19">
        <v>1237586</v>
      </c>
      <c r="B13" s="9">
        <v>0</v>
      </c>
      <c r="C13" s="9">
        <v>384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248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</row>
    <row r="14" spans="1:19">
      <c r="A14" s="19">
        <v>1236091</v>
      </c>
      <c r="B14" s="9">
        <v>250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</row>
    <row r="15" spans="1:19">
      <c r="A15" s="19">
        <v>1234905</v>
      </c>
      <c r="B15" s="9">
        <v>0</v>
      </c>
      <c r="C15" s="9">
        <v>0</v>
      </c>
      <c r="D15" s="9">
        <v>0</v>
      </c>
      <c r="E15" s="9">
        <v>0</v>
      </c>
      <c r="F15" s="9">
        <v>514</v>
      </c>
      <c r="G15" s="9">
        <v>512</v>
      </c>
      <c r="H15" s="9">
        <v>334</v>
      </c>
      <c r="I15" s="9">
        <v>426</v>
      </c>
      <c r="J15" s="9">
        <v>626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6" spans="1:19">
      <c r="A16" s="19">
        <v>1238128</v>
      </c>
      <c r="B16" s="9">
        <v>258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468</v>
      </c>
      <c r="K16" s="9">
        <v>0</v>
      </c>
      <c r="L16" s="9">
        <v>0</v>
      </c>
      <c r="M16" s="9">
        <v>0</v>
      </c>
      <c r="N16" s="9">
        <v>1028</v>
      </c>
      <c r="O16" s="9">
        <v>488</v>
      </c>
      <c r="P16" s="9">
        <v>892</v>
      </c>
      <c r="Q16" s="9">
        <v>0</v>
      </c>
      <c r="R16" s="9">
        <v>0</v>
      </c>
      <c r="S16" s="9">
        <v>0</v>
      </c>
    </row>
    <row r="17" spans="1:19">
      <c r="A17" s="19">
        <v>1237748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126</v>
      </c>
      <c r="I17" s="9">
        <v>810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</row>
    <row r="18" spans="1:19">
      <c r="A18" s="19">
        <v>1236962</v>
      </c>
      <c r="B18" s="9">
        <v>124</v>
      </c>
      <c r="C18" s="9">
        <v>150</v>
      </c>
      <c r="D18" s="9">
        <v>0</v>
      </c>
      <c r="E18" s="9">
        <v>0</v>
      </c>
      <c r="F18" s="9">
        <v>0</v>
      </c>
      <c r="G18" s="9">
        <v>200</v>
      </c>
      <c r="H18" s="9">
        <v>222</v>
      </c>
      <c r="I18" s="9">
        <v>200</v>
      </c>
      <c r="J18" s="9">
        <v>200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</row>
    <row r="19" spans="1:19">
      <c r="A19" s="19">
        <v>1233761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100</v>
      </c>
      <c r="Q19" s="9">
        <v>0</v>
      </c>
      <c r="R19" s="9">
        <v>0</v>
      </c>
      <c r="S19" s="9">
        <v>0</v>
      </c>
    </row>
    <row r="20" spans="1:19">
      <c r="A20" s="19">
        <v>1239651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250</v>
      </c>
      <c r="I20" s="9">
        <v>0</v>
      </c>
      <c r="J20" s="9">
        <v>350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</row>
    <row r="21" spans="1:19">
      <c r="A21" s="19">
        <v>1240180</v>
      </c>
      <c r="B21" s="9">
        <v>430</v>
      </c>
      <c r="C21" s="9">
        <v>430</v>
      </c>
      <c r="D21" s="9">
        <v>0</v>
      </c>
      <c r="E21" s="9">
        <v>0</v>
      </c>
      <c r="F21" s="9">
        <v>50</v>
      </c>
      <c r="G21" s="9">
        <v>334</v>
      </c>
      <c r="H21" s="9">
        <v>338</v>
      </c>
      <c r="I21" s="9">
        <v>430</v>
      </c>
      <c r="J21" s="9">
        <v>548</v>
      </c>
      <c r="K21" s="9">
        <v>0</v>
      </c>
      <c r="L21" s="9">
        <v>0</v>
      </c>
      <c r="M21" s="9">
        <v>0</v>
      </c>
      <c r="N21" s="9">
        <v>460</v>
      </c>
      <c r="O21" s="9">
        <v>172</v>
      </c>
      <c r="P21" s="9">
        <v>0</v>
      </c>
      <c r="Q21" s="9">
        <v>0</v>
      </c>
      <c r="R21" s="9">
        <v>0</v>
      </c>
      <c r="S21" s="9">
        <v>0</v>
      </c>
    </row>
    <row r="22" spans="1:19">
      <c r="A22" s="19">
        <v>1240184</v>
      </c>
      <c r="B22" s="9">
        <v>386</v>
      </c>
      <c r="C22" s="9">
        <v>0</v>
      </c>
      <c r="D22" s="9">
        <v>0</v>
      </c>
      <c r="E22" s="9">
        <v>0</v>
      </c>
      <c r="F22" s="9">
        <v>0</v>
      </c>
      <c r="G22" s="9">
        <v>134</v>
      </c>
      <c r="H22" s="9">
        <v>338</v>
      </c>
      <c r="I22" s="9">
        <v>430</v>
      </c>
      <c r="J22" s="9">
        <v>548</v>
      </c>
      <c r="K22" s="9">
        <v>0</v>
      </c>
      <c r="L22" s="9">
        <v>0</v>
      </c>
      <c r="M22" s="9">
        <v>0</v>
      </c>
      <c r="N22" s="9">
        <v>460</v>
      </c>
      <c r="O22" s="9">
        <v>172</v>
      </c>
      <c r="P22" s="9">
        <v>0</v>
      </c>
      <c r="Q22" s="9">
        <v>0</v>
      </c>
      <c r="R22" s="9">
        <v>0</v>
      </c>
      <c r="S22" s="9">
        <v>0</v>
      </c>
    </row>
    <row r="23" spans="1:19">
      <c r="A23" s="19">
        <v>1240308</v>
      </c>
      <c r="B23" s="9">
        <v>152</v>
      </c>
      <c r="C23" s="9">
        <v>266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300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</row>
    <row r="24" spans="1:19">
      <c r="A24" s="19">
        <v>1241601</v>
      </c>
      <c r="B24" s="9">
        <v>1808</v>
      </c>
      <c r="C24" s="9">
        <v>2062</v>
      </c>
      <c r="D24" s="9">
        <v>0</v>
      </c>
      <c r="E24" s="9">
        <v>0</v>
      </c>
      <c r="F24" s="9">
        <v>1272</v>
      </c>
      <c r="G24" s="9">
        <v>800</v>
      </c>
      <c r="H24" s="9">
        <v>600</v>
      </c>
      <c r="I24" s="9">
        <v>0</v>
      </c>
      <c r="J24" s="9">
        <v>1246</v>
      </c>
      <c r="K24" s="9">
        <v>0</v>
      </c>
      <c r="L24" s="9">
        <v>0</v>
      </c>
      <c r="M24" s="9">
        <v>0</v>
      </c>
      <c r="N24" s="9">
        <v>700</v>
      </c>
      <c r="O24" s="9">
        <v>788</v>
      </c>
      <c r="P24" s="9">
        <v>694</v>
      </c>
      <c r="Q24" s="9">
        <v>0</v>
      </c>
      <c r="R24" s="9">
        <v>0</v>
      </c>
      <c r="S24" s="9">
        <v>0</v>
      </c>
    </row>
    <row r="29" spans="1:19">
      <c r="A29" s="19" t="s">
        <v>0</v>
      </c>
      <c r="B29" s="9" t="s">
        <v>1251</v>
      </c>
      <c r="C29" s="9" t="s">
        <v>1252</v>
      </c>
      <c r="D29" s="9" t="s">
        <v>1253</v>
      </c>
      <c r="E29" s="9" t="s">
        <v>1254</v>
      </c>
      <c r="F29" s="9" t="s">
        <v>1258</v>
      </c>
      <c r="G29" s="9" t="s">
        <v>1259</v>
      </c>
      <c r="H29" s="9" t="s">
        <v>1260</v>
      </c>
      <c r="I29" s="9" t="s">
        <v>1261</v>
      </c>
      <c r="J29" s="9" t="s">
        <v>1262</v>
      </c>
      <c r="K29" s="9" t="s">
        <v>1263</v>
      </c>
      <c r="L29" s="9" t="s">
        <v>1264</v>
      </c>
      <c r="M29" s="9" t="s">
        <v>1266</v>
      </c>
      <c r="N29" s="9" t="s">
        <v>1267</v>
      </c>
      <c r="O29" s="9" t="s">
        <v>1268</v>
      </c>
      <c r="P29" s="9" t="s">
        <v>1269</v>
      </c>
      <c r="Q29" s="9" t="s">
        <v>1270</v>
      </c>
      <c r="R29" s="9" t="s">
        <v>1271</v>
      </c>
      <c r="S29" s="9" t="s">
        <v>1272</v>
      </c>
    </row>
    <row r="30" spans="1:19">
      <c r="A30" s="19">
        <v>1232846</v>
      </c>
      <c r="B30" s="9">
        <v>0</v>
      </c>
      <c r="C30" s="9">
        <v>204</v>
      </c>
      <c r="D30" s="9">
        <v>0</v>
      </c>
      <c r="E30" s="9">
        <v>0</v>
      </c>
      <c r="F30" s="9">
        <v>352</v>
      </c>
      <c r="G30" s="9">
        <v>352</v>
      </c>
      <c r="H30" s="9">
        <v>205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1" spans="1:19">
      <c r="A31" s="19">
        <v>1232895</v>
      </c>
      <c r="B31" s="9">
        <v>0</v>
      </c>
      <c r="C31" s="9">
        <v>204</v>
      </c>
      <c r="D31" s="9">
        <v>0</v>
      </c>
      <c r="E31" s="9">
        <v>0</v>
      </c>
      <c r="F31" s="9">
        <v>352</v>
      </c>
      <c r="G31" s="9">
        <v>352</v>
      </c>
      <c r="H31" s="9">
        <v>205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1:19">
      <c r="A32" s="19">
        <v>1233384</v>
      </c>
      <c r="B32" s="9">
        <v>0</v>
      </c>
      <c r="C32" s="9">
        <v>204</v>
      </c>
      <c r="D32" s="9">
        <v>0</v>
      </c>
      <c r="E32" s="9">
        <v>0</v>
      </c>
      <c r="F32" s="9">
        <v>352</v>
      </c>
      <c r="G32" s="9">
        <v>352</v>
      </c>
      <c r="H32" s="9">
        <v>205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</row>
    <row r="33" spans="1:19">
      <c r="A33" s="19">
        <v>1233165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79</v>
      </c>
      <c r="O33" s="9">
        <v>297</v>
      </c>
      <c r="P33" s="9">
        <v>10</v>
      </c>
      <c r="Q33" s="9">
        <v>0</v>
      </c>
      <c r="R33" s="9">
        <v>0</v>
      </c>
      <c r="S33" s="9">
        <v>0</v>
      </c>
    </row>
    <row r="34" spans="1:19">
      <c r="A34" s="19">
        <v>1236387</v>
      </c>
      <c r="B34" s="9">
        <v>62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</row>
    <row r="35" spans="1:19">
      <c r="A35" s="19">
        <v>1232775</v>
      </c>
      <c r="B35" s="9">
        <v>192</v>
      </c>
      <c r="C35" s="9">
        <v>324</v>
      </c>
      <c r="D35" s="9">
        <v>0</v>
      </c>
      <c r="E35" s="9">
        <v>0</v>
      </c>
      <c r="F35" s="9">
        <v>242</v>
      </c>
      <c r="G35" s="9">
        <v>245</v>
      </c>
      <c r="H35" s="9">
        <v>332</v>
      </c>
      <c r="I35" s="9">
        <v>484</v>
      </c>
      <c r="J35" s="9">
        <v>222</v>
      </c>
      <c r="K35" s="9">
        <v>0</v>
      </c>
      <c r="L35" s="9">
        <v>0</v>
      </c>
      <c r="M35" s="9">
        <v>0</v>
      </c>
      <c r="N35" s="9">
        <v>314</v>
      </c>
      <c r="O35" s="9">
        <v>0</v>
      </c>
      <c r="P35" s="9">
        <v>225</v>
      </c>
      <c r="Q35" s="9">
        <v>0</v>
      </c>
      <c r="R35" s="9">
        <v>0</v>
      </c>
      <c r="S35" s="9">
        <v>0</v>
      </c>
    </row>
    <row r="39" spans="1:19">
      <c r="A39" s="19" t="s">
        <v>0</v>
      </c>
      <c r="B39" s="9" t="s">
        <v>1251</v>
      </c>
      <c r="C39" s="9" t="s">
        <v>1252</v>
      </c>
      <c r="D39" s="9" t="s">
        <v>1253</v>
      </c>
      <c r="E39" s="9" t="s">
        <v>1254</v>
      </c>
      <c r="F39" s="9" t="s">
        <v>1258</v>
      </c>
      <c r="G39" s="9" t="s">
        <v>1259</v>
      </c>
      <c r="H39" s="9" t="s">
        <v>1260</v>
      </c>
      <c r="I39" s="9" t="s">
        <v>1261</v>
      </c>
      <c r="J39" s="9" t="s">
        <v>1262</v>
      </c>
      <c r="K39" s="9" t="s">
        <v>1263</v>
      </c>
      <c r="L39" s="9" t="s">
        <v>1264</v>
      </c>
      <c r="M39" s="9" t="s">
        <v>1266</v>
      </c>
      <c r="N39" s="9" t="s">
        <v>1267</v>
      </c>
      <c r="O39" s="9" t="s">
        <v>1268</v>
      </c>
      <c r="P39" s="9" t="s">
        <v>1269</v>
      </c>
      <c r="Q39" s="9" t="s">
        <v>1270</v>
      </c>
      <c r="R39" s="9" t="s">
        <v>1271</v>
      </c>
      <c r="S39" s="9" t="s">
        <v>1272</v>
      </c>
    </row>
    <row r="40" spans="1:19">
      <c r="A40" s="19">
        <v>1234614</v>
      </c>
      <c r="B40" s="9">
        <v>587</v>
      </c>
      <c r="C40" s="9">
        <v>0</v>
      </c>
      <c r="D40" s="9">
        <v>0</v>
      </c>
      <c r="E40" s="9">
        <v>0</v>
      </c>
      <c r="F40" s="98">
        <v>371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19">
        <v>1221967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165</v>
      </c>
      <c r="I41" s="9">
        <v>111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19">
        <v>1227306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97</v>
      </c>
      <c r="J42" s="9">
        <v>487</v>
      </c>
      <c r="K42" s="9">
        <v>0</v>
      </c>
      <c r="L42" s="9">
        <v>0</v>
      </c>
      <c r="M42" s="9">
        <v>0</v>
      </c>
      <c r="N42" s="9">
        <v>16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19">
        <v>1225464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4</v>
      </c>
      <c r="Q43" s="9">
        <v>756</v>
      </c>
      <c r="R43" s="9">
        <v>0</v>
      </c>
      <c r="S43" s="9">
        <v>0</v>
      </c>
    </row>
    <row r="44" spans="1:19">
      <c r="A44" s="19">
        <v>1231797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18">
        <v>71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1:19">
      <c r="A45" s="19">
        <v>1229776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14</v>
      </c>
      <c r="J45" s="9">
        <v>166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19">
        <v>1231090</v>
      </c>
      <c r="B46" s="9">
        <v>0</v>
      </c>
      <c r="C46" s="9">
        <v>360</v>
      </c>
      <c r="D46" s="9">
        <v>0</v>
      </c>
      <c r="E46" s="9">
        <v>0</v>
      </c>
      <c r="F46" s="9">
        <v>115</v>
      </c>
      <c r="G46" s="9">
        <v>0</v>
      </c>
      <c r="H46" s="9">
        <v>0</v>
      </c>
      <c r="I46" s="9">
        <v>14</v>
      </c>
      <c r="J46" s="9">
        <v>166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2150</v>
      </c>
      <c r="R46" s="9">
        <v>0</v>
      </c>
      <c r="S46" s="9">
        <v>0</v>
      </c>
    </row>
    <row r="47" spans="1:19">
      <c r="A47" s="19">
        <v>1232066</v>
      </c>
      <c r="B47" s="9">
        <v>18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756</v>
      </c>
      <c r="R47" s="9">
        <v>0</v>
      </c>
      <c r="S47" s="9">
        <v>0</v>
      </c>
    </row>
    <row r="48" spans="1:19">
      <c r="A48" s="19">
        <v>1229088</v>
      </c>
      <c r="B48" s="9">
        <v>0</v>
      </c>
      <c r="C48" s="9">
        <v>0</v>
      </c>
      <c r="D48" s="9">
        <v>0</v>
      </c>
      <c r="E48" s="9">
        <v>0</v>
      </c>
      <c r="F48" s="9">
        <v>172</v>
      </c>
      <c r="G48" s="18">
        <v>78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</row>
    <row r="49" spans="1:19">
      <c r="A49" s="19">
        <v>1232693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8">
        <v>179</v>
      </c>
      <c r="H49" s="9">
        <v>777</v>
      </c>
      <c r="I49" s="9">
        <v>217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2289</v>
      </c>
      <c r="R49" s="9">
        <v>0</v>
      </c>
      <c r="S49" s="9">
        <v>0</v>
      </c>
    </row>
    <row r="50" spans="1:19">
      <c r="A50" s="19">
        <v>1233025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8">
        <v>179</v>
      </c>
      <c r="H50" s="9">
        <v>777</v>
      </c>
      <c r="I50" s="9">
        <v>217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2289</v>
      </c>
      <c r="R50" s="9">
        <v>0</v>
      </c>
      <c r="S50" s="9">
        <v>0</v>
      </c>
    </row>
    <row r="51" spans="1:19">
      <c r="A51" s="19">
        <v>1234222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510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19">
        <v>1232528</v>
      </c>
      <c r="B52" s="9">
        <v>686</v>
      </c>
      <c r="C52" s="9">
        <v>673</v>
      </c>
      <c r="D52" s="9">
        <v>0</v>
      </c>
      <c r="E52" s="9">
        <v>0</v>
      </c>
      <c r="F52" s="9">
        <v>1086</v>
      </c>
      <c r="G52" s="18">
        <v>1295</v>
      </c>
      <c r="H52" s="9">
        <v>1028</v>
      </c>
      <c r="I52" s="9">
        <v>1419</v>
      </c>
      <c r="J52" s="9">
        <v>2842</v>
      </c>
      <c r="K52" s="9">
        <v>0</v>
      </c>
      <c r="L52" s="9">
        <v>0</v>
      </c>
      <c r="M52" s="9">
        <v>0</v>
      </c>
      <c r="N52" s="9">
        <v>2594</v>
      </c>
      <c r="O52" s="9">
        <v>1994</v>
      </c>
      <c r="P52" s="9">
        <v>2554</v>
      </c>
      <c r="Q52" s="9">
        <v>21547</v>
      </c>
      <c r="R52" s="9">
        <v>0</v>
      </c>
      <c r="S52" s="9">
        <v>0</v>
      </c>
    </row>
    <row r="53" spans="1:19">
      <c r="A53" s="19">
        <v>1232553</v>
      </c>
      <c r="B53" s="9">
        <v>50</v>
      </c>
      <c r="C53" s="9">
        <v>202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100">
        <v>1232846</v>
      </c>
      <c r="B54" s="9">
        <v>176</v>
      </c>
      <c r="C54" s="9">
        <v>700</v>
      </c>
      <c r="D54" s="9">
        <v>0</v>
      </c>
      <c r="E54" s="9">
        <v>0</v>
      </c>
      <c r="F54" s="9">
        <v>466</v>
      </c>
      <c r="G54" s="9">
        <v>0</v>
      </c>
      <c r="H54" s="9">
        <v>0</v>
      </c>
      <c r="I54" s="9">
        <v>3</v>
      </c>
      <c r="J54" s="9">
        <v>715</v>
      </c>
      <c r="K54" s="9">
        <v>0</v>
      </c>
      <c r="L54" s="9">
        <v>0</v>
      </c>
      <c r="M54" s="9">
        <v>0</v>
      </c>
      <c r="N54" s="9">
        <v>715</v>
      </c>
      <c r="O54" s="9">
        <v>295</v>
      </c>
      <c r="P54" s="9">
        <v>0</v>
      </c>
      <c r="Q54" s="9">
        <v>576</v>
      </c>
      <c r="R54" s="9">
        <v>0</v>
      </c>
      <c r="S54" s="9">
        <v>0</v>
      </c>
    </row>
    <row r="55" spans="1:19">
      <c r="A55" s="19">
        <v>1229050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462</v>
      </c>
      <c r="O55" s="9">
        <v>58</v>
      </c>
      <c r="P55" s="9">
        <v>0</v>
      </c>
      <c r="Q55" s="9">
        <v>395</v>
      </c>
      <c r="R55" s="9">
        <v>0</v>
      </c>
      <c r="S55" s="9">
        <v>0</v>
      </c>
    </row>
    <row r="56" spans="1:19">
      <c r="A56" s="19">
        <v>1233383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156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19">
      <c r="A57" s="19">
        <v>1220847</v>
      </c>
      <c r="B57" s="9">
        <v>0</v>
      </c>
      <c r="C57" s="9">
        <v>428</v>
      </c>
      <c r="D57" s="9">
        <v>0</v>
      </c>
      <c r="E57" s="9">
        <v>0</v>
      </c>
      <c r="F57" s="9">
        <v>542</v>
      </c>
      <c r="G57" s="18">
        <v>542</v>
      </c>
      <c r="H57" s="9">
        <v>238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410</v>
      </c>
      <c r="O57" s="9">
        <v>426</v>
      </c>
      <c r="P57" s="9">
        <v>39</v>
      </c>
      <c r="Q57" s="9">
        <v>3535</v>
      </c>
      <c r="R57" s="9">
        <v>0</v>
      </c>
      <c r="S57" s="9">
        <v>0</v>
      </c>
    </row>
    <row r="58" spans="1:19">
      <c r="A58" s="19">
        <v>1232775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18">
        <v>322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392</v>
      </c>
      <c r="R58" s="9">
        <v>0</v>
      </c>
      <c r="S58" s="9">
        <v>0</v>
      </c>
    </row>
    <row r="59" spans="1:19">
      <c r="A59" s="19">
        <v>1235097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268</v>
      </c>
      <c r="H59" s="18">
        <v>32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</row>
    <row r="60" spans="1:19">
      <c r="A60" s="19">
        <v>1235958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25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</row>
    <row r="61" spans="1:19">
      <c r="A61" s="19">
        <v>1235845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100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19">
        <v>1236600</v>
      </c>
      <c r="B62" s="9">
        <v>0</v>
      </c>
      <c r="C62" s="9">
        <v>0</v>
      </c>
      <c r="D62" s="9">
        <v>0</v>
      </c>
      <c r="E62" s="9">
        <v>0</v>
      </c>
      <c r="F62" s="9">
        <v>50</v>
      </c>
      <c r="G62" s="18">
        <v>533</v>
      </c>
      <c r="H62" s="9">
        <v>419</v>
      </c>
      <c r="I62" s="9">
        <v>128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 spans="1:19">
      <c r="A63" s="19">
        <v>1236601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27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>
      <c r="A64" s="19">
        <v>1236930</v>
      </c>
      <c r="B64" s="9">
        <v>497</v>
      </c>
      <c r="C64" s="9">
        <v>633</v>
      </c>
      <c r="D64" s="9">
        <v>0</v>
      </c>
      <c r="E64" s="9">
        <v>0</v>
      </c>
      <c r="F64" s="9">
        <v>628</v>
      </c>
      <c r="G64" s="9">
        <v>392</v>
      </c>
      <c r="H64" s="18">
        <v>311</v>
      </c>
      <c r="I64" s="9">
        <v>395</v>
      </c>
      <c r="J64" s="9">
        <v>701</v>
      </c>
      <c r="K64" s="9">
        <v>0</v>
      </c>
      <c r="L64" s="9">
        <v>0</v>
      </c>
      <c r="M64" s="9">
        <v>0</v>
      </c>
      <c r="N64" s="9">
        <v>421</v>
      </c>
      <c r="O64" s="9">
        <v>489</v>
      </c>
      <c r="P64" s="9">
        <v>661</v>
      </c>
      <c r="Q64" s="9">
        <v>4561</v>
      </c>
      <c r="R64" s="9">
        <v>0</v>
      </c>
      <c r="S64" s="9">
        <v>0</v>
      </c>
    </row>
    <row r="65" spans="1:19">
      <c r="A65" s="19">
        <v>1237468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144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1:19">
      <c r="A66" s="19">
        <v>1237210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253</v>
      </c>
      <c r="J66" s="9">
        <v>122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>
      <c r="A67" s="19">
        <v>1237457</v>
      </c>
      <c r="B67" s="9">
        <v>0</v>
      </c>
      <c r="C67" s="9">
        <v>0</v>
      </c>
      <c r="D67" s="9">
        <v>0</v>
      </c>
      <c r="E67" s="9">
        <v>0</v>
      </c>
      <c r="F67" s="9">
        <v>18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>
      <c r="A68" s="19">
        <v>1237386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180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 s="104" customFormat="1">
      <c r="A69" s="103">
        <v>1238480</v>
      </c>
      <c r="B69" s="98">
        <v>801</v>
      </c>
      <c r="C69" s="98">
        <v>498</v>
      </c>
      <c r="D69" s="98">
        <v>0</v>
      </c>
      <c r="E69" s="98">
        <v>0</v>
      </c>
      <c r="F69" s="98">
        <v>347</v>
      </c>
      <c r="G69" s="98">
        <v>365</v>
      </c>
      <c r="H69" s="98">
        <v>267</v>
      </c>
      <c r="I69" s="98">
        <v>236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200</v>
      </c>
      <c r="Q69" s="98">
        <v>27873</v>
      </c>
      <c r="R69" s="98">
        <v>0</v>
      </c>
      <c r="S69" s="98">
        <v>0</v>
      </c>
    </row>
    <row r="70" spans="1:19">
      <c r="A70" s="19">
        <v>1240180</v>
      </c>
      <c r="B70" s="9">
        <v>123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500</v>
      </c>
      <c r="R70" s="9">
        <v>0</v>
      </c>
      <c r="S70" s="9">
        <v>0</v>
      </c>
    </row>
    <row r="71" spans="1:19">
      <c r="A71" s="19">
        <v>1240184</v>
      </c>
      <c r="B71" s="9">
        <v>123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500</v>
      </c>
      <c r="R71" s="9">
        <v>0</v>
      </c>
      <c r="S71" s="9">
        <v>0</v>
      </c>
    </row>
    <row r="72" spans="1:19">
      <c r="A72" s="19">
        <v>1238453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1272</v>
      </c>
      <c r="R72" s="9">
        <v>0</v>
      </c>
      <c r="S72" s="9">
        <v>0</v>
      </c>
    </row>
    <row r="73" spans="1:19">
      <c r="A73" s="19">
        <v>1216452</v>
      </c>
      <c r="B73" s="9">
        <v>670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324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1</v>
      </c>
      <c r="Q73" s="9">
        <v>0</v>
      </c>
      <c r="R73" s="9">
        <v>0</v>
      </c>
      <c r="S73" s="9">
        <v>2889</v>
      </c>
    </row>
    <row r="74" spans="1:19">
      <c r="A74" s="19">
        <v>1215693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4</v>
      </c>
      <c r="Q74" s="9">
        <v>0</v>
      </c>
      <c r="R74" s="9">
        <v>0</v>
      </c>
      <c r="S74" s="9">
        <v>0</v>
      </c>
    </row>
    <row r="75" spans="1:19">
      <c r="A75" s="19">
        <v>1232894</v>
      </c>
      <c r="B75" s="9">
        <v>176</v>
      </c>
      <c r="C75" s="9">
        <v>700</v>
      </c>
      <c r="D75" s="9">
        <v>0</v>
      </c>
      <c r="E75" s="9">
        <v>0</v>
      </c>
      <c r="F75" s="18">
        <v>133</v>
      </c>
      <c r="G75" s="9">
        <v>0</v>
      </c>
      <c r="H75" s="9">
        <v>0</v>
      </c>
      <c r="I75" s="9">
        <v>3</v>
      </c>
      <c r="J75" s="9">
        <v>715</v>
      </c>
      <c r="K75" s="9">
        <v>0</v>
      </c>
      <c r="L75" s="9">
        <v>0</v>
      </c>
      <c r="M75" s="9">
        <v>0</v>
      </c>
      <c r="N75" s="9">
        <v>715</v>
      </c>
      <c r="O75" s="9">
        <v>295</v>
      </c>
      <c r="P75" s="9">
        <v>0</v>
      </c>
      <c r="Q75" s="9">
        <v>0</v>
      </c>
      <c r="R75" s="9">
        <v>0</v>
      </c>
      <c r="S75" s="9">
        <v>576</v>
      </c>
    </row>
    <row r="76" spans="1:19">
      <c r="A76" s="19">
        <v>1233386</v>
      </c>
      <c r="B76" s="9">
        <v>176</v>
      </c>
      <c r="C76" s="9">
        <v>700</v>
      </c>
      <c r="D76" s="9">
        <v>0</v>
      </c>
      <c r="E76" s="9">
        <v>0</v>
      </c>
      <c r="F76" s="18">
        <v>133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</row>
    <row r="77" spans="1:19">
      <c r="A77" s="19">
        <v>1233387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3</v>
      </c>
      <c r="J77" s="9">
        <v>715</v>
      </c>
      <c r="K77" s="9">
        <v>0</v>
      </c>
      <c r="L77" s="9">
        <v>0</v>
      </c>
      <c r="M77" s="9">
        <v>0</v>
      </c>
      <c r="N77" s="9">
        <v>715</v>
      </c>
      <c r="O77" s="9">
        <v>295</v>
      </c>
      <c r="P77" s="9">
        <v>0</v>
      </c>
      <c r="Q77" s="9">
        <v>0</v>
      </c>
      <c r="R77" s="9">
        <v>0</v>
      </c>
      <c r="S77" s="9">
        <v>0</v>
      </c>
    </row>
    <row r="78" spans="1:19">
      <c r="A78" s="19">
        <v>1233385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576</v>
      </c>
    </row>
    <row r="79" spans="1:19">
      <c r="A79" s="19">
        <v>1232895</v>
      </c>
      <c r="B79" s="9">
        <v>0</v>
      </c>
      <c r="C79" s="9">
        <v>0</v>
      </c>
      <c r="D79" s="9">
        <v>0</v>
      </c>
      <c r="E79" s="9">
        <v>0</v>
      </c>
      <c r="F79" s="18">
        <v>333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</row>
    <row r="80" spans="1:19">
      <c r="A80" s="19">
        <v>1232922</v>
      </c>
      <c r="B80" s="9">
        <v>0</v>
      </c>
      <c r="C80" s="9">
        <v>0</v>
      </c>
      <c r="D80" s="9">
        <v>0</v>
      </c>
      <c r="E80" s="9">
        <v>0</v>
      </c>
      <c r="F80" s="18">
        <v>333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</row>
  </sheetData>
  <phoneticPr fontId="11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6BE4-52BD-4B4D-9CF0-AFF3CD8B193A}">
  <dimension ref="A1:R78"/>
  <sheetViews>
    <sheetView zoomScale="115" zoomScaleNormal="115" workbookViewId="0">
      <selection activeCell="O9" sqref="O9"/>
    </sheetView>
  </sheetViews>
  <sheetFormatPr defaultRowHeight="12"/>
  <cols>
    <col min="1" max="1" width="10.1640625" style="5" bestFit="1" customWidth="1"/>
    <col min="2" max="2" width="9.6640625" style="9" bestFit="1" customWidth="1"/>
    <col min="3" max="15" width="9.6640625" style="9" customWidth="1"/>
    <col min="16" max="16" width="10.1640625" style="9" customWidth="1"/>
    <col min="17" max="17" width="9.6640625" style="9" customWidth="1"/>
    <col min="18" max="18" width="9.6640625" style="9" bestFit="1" customWidth="1"/>
  </cols>
  <sheetData>
    <row r="1" spans="1:18">
      <c r="A1" s="5" t="s">
        <v>0</v>
      </c>
      <c r="B1" s="9" t="s">
        <v>1252</v>
      </c>
      <c r="C1" s="9" t="s">
        <v>1253</v>
      </c>
      <c r="D1" s="9" t="s">
        <v>1254</v>
      </c>
      <c r="E1" s="9" t="s">
        <v>1258</v>
      </c>
      <c r="F1" s="9" t="s">
        <v>1259</v>
      </c>
      <c r="G1" s="9" t="s">
        <v>1260</v>
      </c>
      <c r="H1" s="9" t="s">
        <v>1261</v>
      </c>
      <c r="I1" s="9" t="s">
        <v>1262</v>
      </c>
      <c r="J1" s="9" t="s">
        <v>1263</v>
      </c>
      <c r="K1" s="9" t="s">
        <v>1264</v>
      </c>
      <c r="L1" s="9" t="s">
        <v>1266</v>
      </c>
      <c r="M1" s="9" t="s">
        <v>1267</v>
      </c>
      <c r="N1" s="9" t="s">
        <v>1268</v>
      </c>
      <c r="O1" s="9" t="s">
        <v>1269</v>
      </c>
      <c r="P1" s="9" t="s">
        <v>1270</v>
      </c>
      <c r="Q1" s="9" t="s">
        <v>1271</v>
      </c>
      <c r="R1" s="9" t="s">
        <v>1272</v>
      </c>
    </row>
    <row r="2" spans="1:18">
      <c r="A2" s="5">
        <v>1226384</v>
      </c>
      <c r="B2" s="9">
        <v>260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</row>
    <row r="3" spans="1:18">
      <c r="A3" s="5">
        <v>1226388</v>
      </c>
      <c r="B3" s="9">
        <v>260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</row>
    <row r="4" spans="1:18">
      <c r="A4" s="5">
        <v>1229673</v>
      </c>
      <c r="B4" s="9">
        <v>0</v>
      </c>
      <c r="C4" s="9">
        <v>0</v>
      </c>
      <c r="D4" s="9">
        <v>0</v>
      </c>
      <c r="E4" s="9">
        <v>400</v>
      </c>
      <c r="F4" s="9">
        <v>0</v>
      </c>
      <c r="G4" s="9">
        <v>0</v>
      </c>
      <c r="H4" s="9">
        <v>300</v>
      </c>
      <c r="I4" s="9">
        <v>300</v>
      </c>
      <c r="J4" s="9">
        <v>0</v>
      </c>
      <c r="K4" s="9">
        <v>0</v>
      </c>
      <c r="L4" s="9">
        <v>0</v>
      </c>
      <c r="M4" s="9">
        <v>250</v>
      </c>
      <c r="N4" s="9">
        <v>270</v>
      </c>
      <c r="O4" s="9">
        <v>250</v>
      </c>
      <c r="P4" s="9">
        <v>0</v>
      </c>
      <c r="Q4" s="9">
        <v>0</v>
      </c>
      <c r="R4" s="9">
        <v>0</v>
      </c>
    </row>
    <row r="5" spans="1:18">
      <c r="A5" s="5">
        <v>1231202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100</v>
      </c>
      <c r="P5" s="9">
        <v>0</v>
      </c>
      <c r="Q5" s="9">
        <v>0</v>
      </c>
      <c r="R5" s="9">
        <v>0</v>
      </c>
    </row>
    <row r="6" spans="1:18">
      <c r="A6" s="5">
        <v>1233492</v>
      </c>
      <c r="B6" s="9">
        <v>300</v>
      </c>
      <c r="C6" s="9">
        <v>0</v>
      </c>
      <c r="D6" s="9">
        <v>0</v>
      </c>
      <c r="E6" s="9">
        <v>782</v>
      </c>
      <c r="F6" s="9">
        <v>50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458</v>
      </c>
      <c r="O6" s="9">
        <v>54</v>
      </c>
      <c r="P6" s="9">
        <v>0</v>
      </c>
      <c r="Q6" s="9">
        <v>0</v>
      </c>
      <c r="R6" s="9">
        <v>0</v>
      </c>
    </row>
    <row r="7" spans="1:18">
      <c r="A7" s="5">
        <v>1233498</v>
      </c>
      <c r="B7" s="9">
        <v>300</v>
      </c>
      <c r="C7" s="9">
        <v>0</v>
      </c>
      <c r="D7" s="9">
        <v>0</v>
      </c>
      <c r="E7" s="9">
        <v>782</v>
      </c>
      <c r="F7" s="9">
        <v>50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458</v>
      </c>
      <c r="O7" s="9">
        <v>54</v>
      </c>
      <c r="P7" s="9">
        <v>0</v>
      </c>
      <c r="Q7" s="9">
        <v>0</v>
      </c>
      <c r="R7" s="9">
        <v>0</v>
      </c>
    </row>
    <row r="8" spans="1:18">
      <c r="A8" s="5">
        <v>1233623</v>
      </c>
      <c r="B8" s="9">
        <v>300</v>
      </c>
      <c r="C8" s="9">
        <v>0</v>
      </c>
      <c r="D8" s="9">
        <v>0</v>
      </c>
      <c r="E8" s="9">
        <v>782</v>
      </c>
      <c r="F8" s="9">
        <v>50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458</v>
      </c>
      <c r="O8" s="9">
        <v>54</v>
      </c>
      <c r="P8" s="9">
        <v>0</v>
      </c>
      <c r="Q8" s="9">
        <v>0</v>
      </c>
      <c r="R8" s="9">
        <v>0</v>
      </c>
    </row>
    <row r="9" spans="1:18">
      <c r="A9" s="5">
        <v>1233877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150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</row>
    <row r="10" spans="1:18">
      <c r="A10" s="5">
        <v>1235623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24</v>
      </c>
      <c r="I10" s="9">
        <v>912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>
      <c r="A11" s="5">
        <v>1237088</v>
      </c>
      <c r="B11" s="9">
        <v>0</v>
      </c>
      <c r="C11" s="9">
        <v>0</v>
      </c>
      <c r="D11" s="9">
        <v>0</v>
      </c>
      <c r="E11" s="9">
        <v>1094</v>
      </c>
      <c r="F11" s="9">
        <v>560</v>
      </c>
      <c r="G11" s="9">
        <v>134</v>
      </c>
      <c r="H11" s="9">
        <v>552</v>
      </c>
      <c r="I11" s="9">
        <v>550</v>
      </c>
      <c r="J11" s="9">
        <v>0</v>
      </c>
      <c r="K11" s="9">
        <v>0</v>
      </c>
      <c r="L11" s="9">
        <v>0</v>
      </c>
      <c r="M11" s="9">
        <v>612</v>
      </c>
      <c r="N11" s="9">
        <v>660</v>
      </c>
      <c r="O11" s="9">
        <v>1072</v>
      </c>
      <c r="P11" s="9">
        <v>0</v>
      </c>
      <c r="Q11" s="9">
        <v>0</v>
      </c>
      <c r="R11" s="9">
        <v>0</v>
      </c>
    </row>
    <row r="12" spans="1:18">
      <c r="A12" s="5">
        <v>1231898</v>
      </c>
      <c r="B12" s="9">
        <v>384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248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>
      <c r="A13" s="5">
        <v>1237586</v>
      </c>
      <c r="B13" s="9">
        <v>384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248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18">
      <c r="A14" s="5">
        <v>1234905</v>
      </c>
      <c r="B14" s="9">
        <v>0</v>
      </c>
      <c r="C14" s="9">
        <v>0</v>
      </c>
      <c r="D14" s="9">
        <v>0</v>
      </c>
      <c r="E14" s="9">
        <v>514</v>
      </c>
      <c r="F14" s="9">
        <v>512</v>
      </c>
      <c r="G14" s="9">
        <v>334</v>
      </c>
      <c r="H14" s="9">
        <v>426</v>
      </c>
      <c r="I14" s="9">
        <v>626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18">
      <c r="A15" s="5">
        <v>1238128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468</v>
      </c>
      <c r="J15" s="9">
        <v>0</v>
      </c>
      <c r="K15" s="9">
        <v>0</v>
      </c>
      <c r="L15" s="9">
        <v>0</v>
      </c>
      <c r="M15" s="9">
        <v>1028</v>
      </c>
      <c r="N15" s="9">
        <v>488</v>
      </c>
      <c r="O15" s="9">
        <v>892</v>
      </c>
      <c r="P15" s="9">
        <v>0</v>
      </c>
      <c r="Q15" s="9">
        <v>0</v>
      </c>
      <c r="R15" s="9">
        <v>0</v>
      </c>
    </row>
    <row r="16" spans="1:18">
      <c r="A16" s="5">
        <v>1237748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126</v>
      </c>
      <c r="H16" s="9">
        <v>810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</row>
    <row r="17" spans="1:18">
      <c r="A17" s="5">
        <v>1236962</v>
      </c>
      <c r="B17" s="9">
        <v>150</v>
      </c>
      <c r="C17" s="9">
        <v>0</v>
      </c>
      <c r="D17" s="9">
        <v>0</v>
      </c>
      <c r="E17" s="9">
        <v>0</v>
      </c>
      <c r="F17" s="9">
        <v>200</v>
      </c>
      <c r="G17" s="9">
        <v>222</v>
      </c>
      <c r="H17" s="9">
        <v>200</v>
      </c>
      <c r="I17" s="9">
        <v>200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</row>
    <row r="18" spans="1:18">
      <c r="A18" s="5">
        <v>1233761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100</v>
      </c>
      <c r="P18" s="9">
        <v>0</v>
      </c>
      <c r="Q18" s="9">
        <v>0</v>
      </c>
      <c r="R18" s="9">
        <v>0</v>
      </c>
    </row>
    <row r="19" spans="1:18">
      <c r="A19" s="5">
        <v>1239651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250</v>
      </c>
      <c r="H19" s="9">
        <v>0</v>
      </c>
      <c r="I19" s="9">
        <v>350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</row>
    <row r="20" spans="1:18">
      <c r="A20" s="5">
        <v>1240180</v>
      </c>
      <c r="B20" s="9">
        <v>430</v>
      </c>
      <c r="C20" s="9">
        <v>0</v>
      </c>
      <c r="D20" s="9">
        <v>0</v>
      </c>
      <c r="E20" s="9">
        <v>50</v>
      </c>
      <c r="F20" s="9">
        <v>334</v>
      </c>
      <c r="G20" s="9">
        <v>338</v>
      </c>
      <c r="H20" s="9">
        <v>430</v>
      </c>
      <c r="I20" s="9">
        <v>548</v>
      </c>
      <c r="J20" s="9">
        <v>0</v>
      </c>
      <c r="K20" s="9">
        <v>0</v>
      </c>
      <c r="L20" s="9">
        <v>0</v>
      </c>
      <c r="M20" s="9">
        <v>460</v>
      </c>
      <c r="N20" s="9">
        <v>172</v>
      </c>
      <c r="O20" s="9">
        <v>0</v>
      </c>
      <c r="P20" s="9">
        <v>0</v>
      </c>
      <c r="Q20" s="9">
        <v>0</v>
      </c>
      <c r="R20" s="9">
        <v>0</v>
      </c>
    </row>
    <row r="21" spans="1:18">
      <c r="A21" s="5">
        <v>1240184</v>
      </c>
      <c r="B21" s="9">
        <v>0</v>
      </c>
      <c r="C21" s="9">
        <v>0</v>
      </c>
      <c r="D21" s="9">
        <v>0</v>
      </c>
      <c r="E21" s="9">
        <v>0</v>
      </c>
      <c r="F21" s="9">
        <v>134</v>
      </c>
      <c r="G21" s="9">
        <v>338</v>
      </c>
      <c r="H21" s="9">
        <v>430</v>
      </c>
      <c r="I21" s="9">
        <v>548</v>
      </c>
      <c r="J21" s="9">
        <v>0</v>
      </c>
      <c r="K21" s="9">
        <v>0</v>
      </c>
      <c r="L21" s="9">
        <v>0</v>
      </c>
      <c r="M21" s="9">
        <v>460</v>
      </c>
      <c r="N21" s="9">
        <v>172</v>
      </c>
      <c r="O21" s="9">
        <v>0</v>
      </c>
      <c r="P21" s="9">
        <v>0</v>
      </c>
      <c r="Q21" s="9">
        <v>0</v>
      </c>
      <c r="R21" s="9">
        <v>0</v>
      </c>
    </row>
    <row r="22" spans="1:18">
      <c r="A22" s="5">
        <v>1240308</v>
      </c>
      <c r="B22" s="9">
        <v>266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300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>
      <c r="A23" s="5">
        <v>1241601</v>
      </c>
      <c r="B23" s="9">
        <v>2062</v>
      </c>
      <c r="C23" s="9">
        <v>0</v>
      </c>
      <c r="D23" s="9">
        <v>0</v>
      </c>
      <c r="E23" s="9">
        <v>1272</v>
      </c>
      <c r="F23" s="9">
        <v>800</v>
      </c>
      <c r="G23" s="9">
        <v>600</v>
      </c>
      <c r="H23" s="9">
        <v>0</v>
      </c>
      <c r="I23" s="9">
        <v>1246</v>
      </c>
      <c r="J23" s="9">
        <v>0</v>
      </c>
      <c r="K23" s="9">
        <v>0</v>
      </c>
      <c r="L23" s="9">
        <v>0</v>
      </c>
      <c r="M23" s="9">
        <v>700</v>
      </c>
      <c r="N23" s="9">
        <v>788</v>
      </c>
      <c r="O23" s="9">
        <v>694</v>
      </c>
      <c r="P23" s="9">
        <v>0</v>
      </c>
      <c r="Q23" s="9">
        <v>0</v>
      </c>
      <c r="R23" s="9">
        <v>0</v>
      </c>
    </row>
    <row r="28" spans="1:18">
      <c r="A28" s="5" t="s">
        <v>0</v>
      </c>
      <c r="B28" s="9" t="s">
        <v>1252</v>
      </c>
      <c r="C28" s="9" t="s">
        <v>1253</v>
      </c>
      <c r="D28" s="9" t="s">
        <v>1254</v>
      </c>
      <c r="E28" s="9" t="s">
        <v>1258</v>
      </c>
      <c r="F28" s="9" t="s">
        <v>1259</v>
      </c>
      <c r="G28" s="9" t="s">
        <v>1260</v>
      </c>
      <c r="H28" s="9" t="s">
        <v>1261</v>
      </c>
      <c r="I28" s="9" t="s">
        <v>1262</v>
      </c>
      <c r="J28" s="9" t="s">
        <v>1263</v>
      </c>
      <c r="K28" s="9" t="s">
        <v>1264</v>
      </c>
      <c r="L28" s="9" t="s">
        <v>1266</v>
      </c>
      <c r="M28" s="9" t="s">
        <v>1267</v>
      </c>
      <c r="N28" s="9" t="s">
        <v>1268</v>
      </c>
      <c r="O28" s="9" t="s">
        <v>1269</v>
      </c>
      <c r="P28" s="9" t="s">
        <v>1270</v>
      </c>
      <c r="Q28" s="9" t="s">
        <v>1271</v>
      </c>
      <c r="R28" s="9" t="s">
        <v>1272</v>
      </c>
    </row>
    <row r="29" spans="1:18">
      <c r="A29" s="5">
        <v>1232846</v>
      </c>
      <c r="B29" s="9">
        <v>204</v>
      </c>
      <c r="C29" s="9">
        <v>0</v>
      </c>
      <c r="D29" s="9">
        <v>0</v>
      </c>
      <c r="E29" s="9">
        <v>352</v>
      </c>
      <c r="F29" s="9">
        <v>352</v>
      </c>
      <c r="G29" s="9">
        <v>205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</row>
    <row r="30" spans="1:18">
      <c r="A30" s="5">
        <v>1232895</v>
      </c>
      <c r="B30" s="9">
        <v>204</v>
      </c>
      <c r="C30" s="9">
        <v>0</v>
      </c>
      <c r="D30" s="9">
        <v>0</v>
      </c>
      <c r="E30" s="9">
        <v>352</v>
      </c>
      <c r="F30" s="9">
        <v>352</v>
      </c>
      <c r="G30" s="9">
        <v>205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>
      <c r="A31" s="5">
        <v>1233384</v>
      </c>
      <c r="B31" s="9">
        <v>204</v>
      </c>
      <c r="C31" s="9">
        <v>0</v>
      </c>
      <c r="D31" s="9">
        <v>0</v>
      </c>
      <c r="E31" s="9">
        <v>352</v>
      </c>
      <c r="F31" s="9">
        <v>352</v>
      </c>
      <c r="G31" s="9">
        <v>205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</row>
    <row r="32" spans="1:18">
      <c r="A32" s="5">
        <v>1233165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79</v>
      </c>
      <c r="N32" s="9">
        <v>297</v>
      </c>
      <c r="O32" s="9">
        <v>10</v>
      </c>
      <c r="P32" s="9">
        <v>0</v>
      </c>
      <c r="Q32" s="9">
        <v>0</v>
      </c>
      <c r="R32" s="9">
        <v>0</v>
      </c>
    </row>
    <row r="33" spans="1:18">
      <c r="A33" s="5">
        <v>1232775</v>
      </c>
      <c r="B33" s="9">
        <v>324</v>
      </c>
      <c r="C33" s="9">
        <v>0</v>
      </c>
      <c r="D33" s="9">
        <v>0</v>
      </c>
      <c r="E33" s="9">
        <v>242</v>
      </c>
      <c r="F33" s="9">
        <v>245</v>
      </c>
      <c r="G33" s="9">
        <v>332</v>
      </c>
      <c r="H33" s="9">
        <v>484</v>
      </c>
      <c r="I33" s="9">
        <v>222</v>
      </c>
      <c r="J33" s="9">
        <v>0</v>
      </c>
      <c r="K33" s="9">
        <v>0</v>
      </c>
      <c r="L33" s="9">
        <v>0</v>
      </c>
      <c r="M33" s="9">
        <v>314</v>
      </c>
      <c r="N33" s="9">
        <v>0</v>
      </c>
      <c r="O33" s="9">
        <v>225</v>
      </c>
      <c r="P33" s="9">
        <v>0</v>
      </c>
      <c r="Q33" s="9">
        <v>0</v>
      </c>
      <c r="R33" s="9">
        <v>0</v>
      </c>
    </row>
    <row r="37" spans="1:18">
      <c r="A37" s="74" t="s">
        <v>0</v>
      </c>
      <c r="B37" s="69" t="s">
        <v>1252</v>
      </c>
      <c r="C37" s="69" t="s">
        <v>1253</v>
      </c>
      <c r="D37" s="70" t="s">
        <v>1254</v>
      </c>
      <c r="E37" s="69" t="s">
        <v>1258</v>
      </c>
      <c r="F37" s="69" t="s">
        <v>1259</v>
      </c>
      <c r="G37" s="69" t="s">
        <v>1260</v>
      </c>
      <c r="H37" s="69" t="s">
        <v>1261</v>
      </c>
      <c r="I37" s="69" t="s">
        <v>1262</v>
      </c>
      <c r="J37" s="69" t="s">
        <v>1263</v>
      </c>
      <c r="K37" s="70" t="s">
        <v>1264</v>
      </c>
      <c r="L37" s="69" t="s">
        <v>1266</v>
      </c>
      <c r="M37" s="69" t="s">
        <v>1267</v>
      </c>
      <c r="N37" s="69" t="s">
        <v>1268</v>
      </c>
      <c r="O37" s="69" t="s">
        <v>1269</v>
      </c>
      <c r="P37" s="69" t="s">
        <v>1270</v>
      </c>
      <c r="Q37" s="69" t="s">
        <v>1271</v>
      </c>
      <c r="R37" s="70" t="s">
        <v>1272</v>
      </c>
    </row>
    <row r="38" spans="1:18">
      <c r="A38" s="30">
        <v>1234614</v>
      </c>
      <c r="B38" s="32">
        <v>0</v>
      </c>
      <c r="C38" s="32">
        <v>0</v>
      </c>
      <c r="D38" s="32">
        <v>0</v>
      </c>
      <c r="E38" s="32">
        <v>371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</row>
    <row r="39" spans="1:18">
      <c r="A39" s="30">
        <v>1221967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17">
        <v>165</v>
      </c>
      <c r="H39" s="32">
        <v>111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</row>
    <row r="40" spans="1:18">
      <c r="A40" s="30">
        <v>1227306</v>
      </c>
      <c r="B40" s="32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17">
        <v>97</v>
      </c>
      <c r="I40" s="32">
        <v>487</v>
      </c>
      <c r="J40" s="32">
        <v>0</v>
      </c>
      <c r="K40" s="32">
        <v>0</v>
      </c>
      <c r="L40" s="32">
        <v>0</v>
      </c>
      <c r="M40" s="32">
        <v>16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</row>
    <row r="41" spans="1:18">
      <c r="A41" s="30">
        <v>1225464</v>
      </c>
      <c r="B41" s="32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4</v>
      </c>
      <c r="P41" s="32">
        <v>756</v>
      </c>
      <c r="Q41" s="32">
        <v>0</v>
      </c>
      <c r="R41" s="32">
        <v>0</v>
      </c>
    </row>
    <row r="42" spans="1:18">
      <c r="A42" s="30">
        <v>1231797</v>
      </c>
      <c r="B42" s="32">
        <v>0</v>
      </c>
      <c r="C42" s="32">
        <v>0</v>
      </c>
      <c r="D42" s="32">
        <v>0</v>
      </c>
      <c r="E42" s="32">
        <v>0</v>
      </c>
      <c r="F42" s="32">
        <v>71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</row>
    <row r="43" spans="1:18" s="279" customFormat="1">
      <c r="A43" s="66">
        <v>1229776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14</v>
      </c>
      <c r="I43" s="61">
        <v>166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</row>
    <row r="44" spans="1:18">
      <c r="A44" s="30">
        <v>1231090</v>
      </c>
      <c r="B44" s="32">
        <v>360</v>
      </c>
      <c r="C44" s="32">
        <v>0</v>
      </c>
      <c r="D44" s="32">
        <v>0</v>
      </c>
      <c r="E44" s="32">
        <v>115</v>
      </c>
      <c r="F44" s="32">
        <v>0</v>
      </c>
      <c r="G44" s="32">
        <v>0</v>
      </c>
      <c r="H44" s="32">
        <v>14</v>
      </c>
      <c r="I44" s="32">
        <v>166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2150</v>
      </c>
      <c r="Q44" s="32">
        <v>0</v>
      </c>
      <c r="R44" s="32">
        <v>0</v>
      </c>
    </row>
    <row r="45" spans="1:18">
      <c r="A45" s="30">
        <v>1232066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756</v>
      </c>
      <c r="Q45" s="32">
        <v>0</v>
      </c>
      <c r="R45" s="32">
        <v>0</v>
      </c>
    </row>
    <row r="46" spans="1:18">
      <c r="A46" s="30">
        <v>1229088</v>
      </c>
      <c r="B46" s="32">
        <v>0</v>
      </c>
      <c r="C46" s="32">
        <v>0</v>
      </c>
      <c r="D46" s="32">
        <v>0</v>
      </c>
      <c r="E46" s="32">
        <v>172</v>
      </c>
      <c r="F46" s="32">
        <v>78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</row>
    <row r="47" spans="1:18">
      <c r="A47" s="30">
        <v>1232693</v>
      </c>
      <c r="B47" s="32">
        <v>0</v>
      </c>
      <c r="C47" s="32">
        <v>0</v>
      </c>
      <c r="D47" s="32">
        <v>0</v>
      </c>
      <c r="E47" s="32">
        <v>0</v>
      </c>
      <c r="F47" s="32">
        <v>179</v>
      </c>
      <c r="G47" s="17">
        <v>777</v>
      </c>
      <c r="H47" s="32">
        <v>217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2289</v>
      </c>
      <c r="Q47" s="32">
        <v>0</v>
      </c>
      <c r="R47" s="32">
        <v>0</v>
      </c>
    </row>
    <row r="48" spans="1:18">
      <c r="A48" s="30">
        <v>1233025</v>
      </c>
      <c r="B48" s="32">
        <v>0</v>
      </c>
      <c r="C48" s="32">
        <v>0</v>
      </c>
      <c r="D48" s="32">
        <v>0</v>
      </c>
      <c r="E48" s="32">
        <v>0</v>
      </c>
      <c r="F48" s="32">
        <v>179</v>
      </c>
      <c r="G48" s="17">
        <v>777</v>
      </c>
      <c r="H48" s="32">
        <v>217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2289</v>
      </c>
      <c r="Q48" s="32">
        <v>0</v>
      </c>
      <c r="R48" s="32">
        <v>0</v>
      </c>
    </row>
    <row r="49" spans="1:18">
      <c r="A49" s="30">
        <v>1234222</v>
      </c>
      <c r="B49" s="32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510</v>
      </c>
      <c r="O49" s="32">
        <v>0</v>
      </c>
      <c r="P49" s="32">
        <v>0</v>
      </c>
      <c r="Q49" s="32">
        <v>0</v>
      </c>
      <c r="R49" s="32">
        <v>0</v>
      </c>
    </row>
    <row r="50" spans="1:18">
      <c r="A50" s="30">
        <v>1232528</v>
      </c>
      <c r="B50" s="32">
        <v>673</v>
      </c>
      <c r="C50" s="32">
        <v>0</v>
      </c>
      <c r="D50" s="32">
        <v>0</v>
      </c>
      <c r="E50" s="32">
        <v>1086</v>
      </c>
      <c r="F50" s="32">
        <v>1295</v>
      </c>
      <c r="G50" s="17">
        <v>1028</v>
      </c>
      <c r="H50" s="32">
        <v>1419</v>
      </c>
      <c r="I50" s="32">
        <v>2848</v>
      </c>
      <c r="J50" s="32">
        <v>0</v>
      </c>
      <c r="K50" s="32">
        <v>0</v>
      </c>
      <c r="L50" s="32">
        <v>0</v>
      </c>
      <c r="M50" s="32">
        <v>2548</v>
      </c>
      <c r="N50" s="32">
        <v>1994</v>
      </c>
      <c r="O50" s="32">
        <v>2548</v>
      </c>
      <c r="P50" s="32">
        <v>23353</v>
      </c>
      <c r="Q50" s="32">
        <v>0</v>
      </c>
      <c r="R50" s="32">
        <v>0</v>
      </c>
    </row>
    <row r="51" spans="1:18">
      <c r="A51" s="30">
        <v>1232553</v>
      </c>
      <c r="B51" s="32">
        <v>202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</row>
    <row r="52" spans="1:18">
      <c r="A52" s="30">
        <v>1232846</v>
      </c>
      <c r="B52" s="32">
        <v>700</v>
      </c>
      <c r="C52" s="32">
        <v>0</v>
      </c>
      <c r="D52" s="32">
        <v>0</v>
      </c>
      <c r="E52" s="32">
        <v>466</v>
      </c>
      <c r="F52" s="32">
        <v>0</v>
      </c>
      <c r="G52" s="32">
        <v>0</v>
      </c>
      <c r="H52" s="17">
        <v>3</v>
      </c>
      <c r="I52" s="32">
        <v>715</v>
      </c>
      <c r="J52" s="32">
        <v>0</v>
      </c>
      <c r="K52" s="32">
        <v>0</v>
      </c>
      <c r="L52" s="32">
        <v>0</v>
      </c>
      <c r="M52" s="32">
        <v>715</v>
      </c>
      <c r="N52" s="32">
        <v>295</v>
      </c>
      <c r="O52" s="32">
        <v>0</v>
      </c>
      <c r="P52" s="32">
        <v>576</v>
      </c>
      <c r="Q52" s="32">
        <v>0</v>
      </c>
      <c r="R52" s="32">
        <v>0</v>
      </c>
    </row>
    <row r="53" spans="1:18">
      <c r="A53" s="30">
        <v>1229050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462</v>
      </c>
      <c r="N53" s="32">
        <v>58</v>
      </c>
      <c r="O53" s="32">
        <v>0</v>
      </c>
      <c r="P53" s="32">
        <v>395</v>
      </c>
      <c r="Q53" s="32">
        <v>0</v>
      </c>
      <c r="R53" s="32">
        <v>0</v>
      </c>
    </row>
    <row r="54" spans="1:18">
      <c r="A54" s="30">
        <v>1233383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156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</row>
    <row r="55" spans="1:18">
      <c r="A55" s="30">
        <v>1220847</v>
      </c>
      <c r="B55" s="32">
        <v>428</v>
      </c>
      <c r="C55" s="32">
        <v>0</v>
      </c>
      <c r="D55" s="32">
        <v>0</v>
      </c>
      <c r="E55" s="32">
        <v>542</v>
      </c>
      <c r="F55" s="32">
        <v>542</v>
      </c>
      <c r="G55" s="17">
        <v>238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410</v>
      </c>
      <c r="N55" s="32">
        <v>426</v>
      </c>
      <c r="O55" s="32">
        <v>39</v>
      </c>
      <c r="P55" s="32">
        <v>3535</v>
      </c>
      <c r="Q55" s="32">
        <v>0</v>
      </c>
      <c r="R55" s="32">
        <v>0</v>
      </c>
    </row>
    <row r="56" spans="1:18">
      <c r="A56" s="30">
        <v>1232775</v>
      </c>
      <c r="B56" s="32">
        <v>0</v>
      </c>
      <c r="C56" s="32">
        <v>0</v>
      </c>
      <c r="D56" s="32">
        <v>0</v>
      </c>
      <c r="E56" s="32">
        <v>0</v>
      </c>
      <c r="F56" s="32">
        <v>322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392</v>
      </c>
      <c r="Q56" s="32">
        <v>0</v>
      </c>
      <c r="R56" s="32">
        <v>0</v>
      </c>
    </row>
    <row r="57" spans="1:18">
      <c r="A57" s="30">
        <v>1235097</v>
      </c>
      <c r="B57" s="32">
        <v>0</v>
      </c>
      <c r="C57" s="32">
        <v>0</v>
      </c>
      <c r="D57" s="32">
        <v>0</v>
      </c>
      <c r="E57" s="32">
        <v>0</v>
      </c>
      <c r="F57" s="32">
        <v>268</v>
      </c>
      <c r="G57" s="32">
        <v>32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</row>
    <row r="58" spans="1:18">
      <c r="A58" s="30">
        <v>1235958</v>
      </c>
      <c r="B58" s="32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25</v>
      </c>
      <c r="O58" s="32">
        <v>0</v>
      </c>
      <c r="P58" s="32">
        <v>0</v>
      </c>
      <c r="Q58" s="32">
        <v>0</v>
      </c>
      <c r="R58" s="32">
        <v>0</v>
      </c>
    </row>
    <row r="59" spans="1:18">
      <c r="A59" s="30">
        <v>1235845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100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</row>
    <row r="60" spans="1:18">
      <c r="A60" s="30">
        <v>1236600</v>
      </c>
      <c r="B60" s="32">
        <v>0</v>
      </c>
      <c r="C60" s="32">
        <v>0</v>
      </c>
      <c r="D60" s="32">
        <v>0</v>
      </c>
      <c r="E60" s="32">
        <v>50</v>
      </c>
      <c r="F60" s="32">
        <v>533</v>
      </c>
      <c r="G60" s="17">
        <v>419</v>
      </c>
      <c r="H60" s="32">
        <v>128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</row>
    <row r="61" spans="1:18">
      <c r="A61" s="30">
        <v>1236601</v>
      </c>
      <c r="B61" s="32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27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</row>
    <row r="62" spans="1:18">
      <c r="A62" s="30">
        <v>1236930</v>
      </c>
      <c r="B62" s="32">
        <v>633</v>
      </c>
      <c r="C62" s="32">
        <v>0</v>
      </c>
      <c r="D62" s="32">
        <v>0</v>
      </c>
      <c r="E62" s="32">
        <v>628</v>
      </c>
      <c r="F62" s="32">
        <v>392</v>
      </c>
      <c r="G62" s="32">
        <v>311</v>
      </c>
      <c r="H62" s="17">
        <v>395</v>
      </c>
      <c r="I62" s="32">
        <v>701</v>
      </c>
      <c r="J62" s="32">
        <v>0</v>
      </c>
      <c r="K62" s="32">
        <v>0</v>
      </c>
      <c r="L62" s="32">
        <v>0</v>
      </c>
      <c r="M62" s="32">
        <v>421</v>
      </c>
      <c r="N62" s="32">
        <v>730</v>
      </c>
      <c r="O62" s="32">
        <v>420</v>
      </c>
      <c r="P62" s="32">
        <v>4561</v>
      </c>
      <c r="Q62" s="32">
        <v>0</v>
      </c>
      <c r="R62" s="32">
        <v>0</v>
      </c>
    </row>
    <row r="63" spans="1:18">
      <c r="A63" s="30">
        <v>1237468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144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</row>
    <row r="64" spans="1:18">
      <c r="A64" s="30">
        <v>1237210</v>
      </c>
      <c r="B64" s="32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348</v>
      </c>
      <c r="I64" s="32">
        <v>27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</row>
    <row r="65" spans="1:18">
      <c r="A65" s="30">
        <v>1237457</v>
      </c>
      <c r="B65" s="32">
        <v>0</v>
      </c>
      <c r="C65" s="32">
        <v>0</v>
      </c>
      <c r="D65" s="32">
        <v>0</v>
      </c>
      <c r="E65" s="32">
        <v>18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</row>
    <row r="66" spans="1:18">
      <c r="A66" s="30">
        <v>1237386</v>
      </c>
      <c r="B66" s="32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17">
        <v>180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</row>
    <row r="67" spans="1:18">
      <c r="A67" s="30">
        <v>1238480</v>
      </c>
      <c r="B67" s="32">
        <v>498</v>
      </c>
      <c r="C67" s="32">
        <v>0</v>
      </c>
      <c r="D67" s="32">
        <v>0</v>
      </c>
      <c r="E67" s="32">
        <v>347</v>
      </c>
      <c r="F67" s="32">
        <v>365</v>
      </c>
      <c r="G67" s="17">
        <v>267</v>
      </c>
      <c r="H67" s="32">
        <v>236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200</v>
      </c>
      <c r="P67" s="32">
        <v>27774</v>
      </c>
      <c r="Q67" s="32">
        <v>0</v>
      </c>
      <c r="R67" s="32">
        <v>0</v>
      </c>
    </row>
    <row r="68" spans="1:18">
      <c r="A68" s="30">
        <v>1240180</v>
      </c>
      <c r="B68" s="32">
        <v>0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500</v>
      </c>
      <c r="Q68" s="32">
        <v>0</v>
      </c>
      <c r="R68" s="32">
        <v>0</v>
      </c>
    </row>
    <row r="69" spans="1:18">
      <c r="A69" s="30">
        <v>1240184</v>
      </c>
      <c r="B69" s="32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500</v>
      </c>
      <c r="Q69" s="32">
        <v>0</v>
      </c>
      <c r="R69" s="32">
        <v>0</v>
      </c>
    </row>
    <row r="70" spans="1:18">
      <c r="A70" s="30">
        <v>1238453</v>
      </c>
      <c r="B70" s="32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1272</v>
      </c>
      <c r="Q70" s="32">
        <v>0</v>
      </c>
      <c r="R70" s="32">
        <v>0</v>
      </c>
    </row>
    <row r="71" spans="1:18">
      <c r="A71" s="30">
        <v>1216452</v>
      </c>
      <c r="B71" s="32">
        <v>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324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1</v>
      </c>
      <c r="P71" s="32">
        <v>0</v>
      </c>
      <c r="Q71" s="32">
        <v>0</v>
      </c>
      <c r="R71" s="32">
        <v>2889</v>
      </c>
    </row>
    <row r="72" spans="1:18">
      <c r="A72" s="30">
        <v>1215693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4</v>
      </c>
      <c r="P72" s="32">
        <v>0</v>
      </c>
      <c r="Q72" s="32">
        <v>0</v>
      </c>
      <c r="R72" s="32">
        <v>0</v>
      </c>
    </row>
    <row r="73" spans="1:18">
      <c r="A73" s="30">
        <v>1232894</v>
      </c>
      <c r="B73" s="32">
        <v>700</v>
      </c>
      <c r="C73" s="32">
        <v>0</v>
      </c>
      <c r="D73" s="32">
        <v>0</v>
      </c>
      <c r="E73" s="32">
        <v>133</v>
      </c>
      <c r="F73" s="32">
        <v>0</v>
      </c>
      <c r="G73" s="32">
        <v>0</v>
      </c>
      <c r="H73" s="32">
        <v>3</v>
      </c>
      <c r="I73" s="32">
        <v>715</v>
      </c>
      <c r="J73" s="32">
        <v>0</v>
      </c>
      <c r="K73" s="32">
        <v>0</v>
      </c>
      <c r="L73" s="32">
        <v>0</v>
      </c>
      <c r="M73" s="32">
        <v>715</v>
      </c>
      <c r="N73" s="32">
        <v>295</v>
      </c>
      <c r="O73" s="32">
        <v>0</v>
      </c>
      <c r="P73" s="32">
        <v>0</v>
      </c>
      <c r="Q73" s="32">
        <v>0</v>
      </c>
      <c r="R73" s="32">
        <v>576</v>
      </c>
    </row>
    <row r="74" spans="1:18">
      <c r="A74" s="30">
        <v>1233386</v>
      </c>
      <c r="B74" s="32">
        <v>700</v>
      </c>
      <c r="C74" s="32">
        <v>0</v>
      </c>
      <c r="D74" s="32">
        <v>0</v>
      </c>
      <c r="E74" s="32">
        <v>133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</row>
    <row r="75" spans="1:18">
      <c r="A75" s="30">
        <v>1233387</v>
      </c>
      <c r="B75" s="32">
        <v>0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3</v>
      </c>
      <c r="I75" s="32">
        <v>715</v>
      </c>
      <c r="J75" s="32">
        <v>0</v>
      </c>
      <c r="K75" s="32">
        <v>0</v>
      </c>
      <c r="L75" s="32">
        <v>0</v>
      </c>
      <c r="M75" s="32">
        <v>715</v>
      </c>
      <c r="N75" s="32">
        <v>295</v>
      </c>
      <c r="O75" s="32">
        <v>0</v>
      </c>
      <c r="P75" s="32">
        <v>0</v>
      </c>
      <c r="Q75" s="32">
        <v>0</v>
      </c>
      <c r="R75" s="32">
        <v>0</v>
      </c>
    </row>
    <row r="76" spans="1:18">
      <c r="A76" s="30">
        <v>1233385</v>
      </c>
      <c r="B76" s="32">
        <v>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576</v>
      </c>
    </row>
    <row r="77" spans="1:18">
      <c r="A77" s="30">
        <v>1232895</v>
      </c>
      <c r="B77" s="32">
        <v>0</v>
      </c>
      <c r="C77" s="32">
        <v>0</v>
      </c>
      <c r="D77" s="32">
        <v>0</v>
      </c>
      <c r="E77" s="32">
        <v>333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</row>
    <row r="78" spans="1:18">
      <c r="A78" s="30">
        <v>1232922</v>
      </c>
      <c r="B78" s="32">
        <v>0</v>
      </c>
      <c r="C78" s="32">
        <v>0</v>
      </c>
      <c r="D78" s="32">
        <v>0</v>
      </c>
      <c r="E78" s="32">
        <v>333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</row>
  </sheetData>
  <phoneticPr fontId="11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C9C3-FB38-4D06-A747-00F8FED7F1AD}">
  <dimension ref="A1:Q75"/>
  <sheetViews>
    <sheetView zoomScale="130" zoomScaleNormal="130" workbookViewId="0">
      <selection activeCell="K15" sqref="K15"/>
    </sheetView>
  </sheetViews>
  <sheetFormatPr defaultColWidth="9.33203125" defaultRowHeight="12"/>
  <cols>
    <col min="1" max="1" width="10.1640625" style="5" bestFit="1" customWidth="1"/>
    <col min="2" max="2" width="9.6640625" style="9" bestFit="1" customWidth="1"/>
    <col min="3" max="12" width="9.6640625" style="9" customWidth="1"/>
    <col min="13" max="13" width="10" style="9" customWidth="1"/>
    <col min="14" max="14" width="9.6640625" style="9" customWidth="1"/>
    <col min="15" max="15" width="9.6640625" style="9" bestFit="1" customWidth="1"/>
    <col min="16" max="16" width="9.33203125" style="9"/>
    <col min="17" max="16384" width="9.33203125" style="5"/>
  </cols>
  <sheetData>
    <row r="1" spans="1:17">
      <c r="A1" s="5" t="s">
        <v>0</v>
      </c>
      <c r="B1" s="9" t="s">
        <v>1258</v>
      </c>
      <c r="C1" s="9" t="s">
        <v>1259</v>
      </c>
      <c r="D1" s="9" t="s">
        <v>1260</v>
      </c>
      <c r="E1" s="9" t="s">
        <v>1261</v>
      </c>
      <c r="F1" s="9" t="s">
        <v>1262</v>
      </c>
      <c r="G1" s="9" t="s">
        <v>1263</v>
      </c>
      <c r="H1" s="9" t="s">
        <v>1264</v>
      </c>
      <c r="I1" s="9" t="s">
        <v>1266</v>
      </c>
      <c r="J1" s="9" t="s">
        <v>1267</v>
      </c>
      <c r="K1" s="9" t="s">
        <v>1268</v>
      </c>
      <c r="L1" s="9" t="s">
        <v>1269</v>
      </c>
      <c r="M1" s="9" t="s">
        <v>1270</v>
      </c>
      <c r="N1" s="9" t="s">
        <v>1271</v>
      </c>
      <c r="O1" s="9" t="s">
        <v>1272</v>
      </c>
    </row>
    <row r="2" spans="1:17">
      <c r="A2" s="5">
        <v>1229673</v>
      </c>
      <c r="B2" s="9">
        <v>400</v>
      </c>
      <c r="C2" s="9">
        <v>0</v>
      </c>
      <c r="D2" s="9">
        <v>0</v>
      </c>
      <c r="E2" s="9">
        <v>300</v>
      </c>
      <c r="F2" s="9">
        <v>300</v>
      </c>
      <c r="G2" s="9">
        <v>0</v>
      </c>
      <c r="H2" s="9">
        <v>0</v>
      </c>
      <c r="I2" s="9">
        <v>0</v>
      </c>
      <c r="J2" s="9">
        <v>250</v>
      </c>
      <c r="K2" s="9">
        <v>270</v>
      </c>
      <c r="L2" s="9">
        <v>250</v>
      </c>
      <c r="M2" s="9">
        <v>0</v>
      </c>
      <c r="N2" s="9">
        <v>0</v>
      </c>
      <c r="O2" s="9">
        <v>0</v>
      </c>
      <c r="Q2" s="78">
        <f>SUM(B2:O2)</f>
        <v>1770</v>
      </c>
    </row>
    <row r="3" spans="1:17">
      <c r="A3" s="5">
        <v>1231202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100</v>
      </c>
      <c r="M3" s="9">
        <v>0</v>
      </c>
      <c r="N3" s="9">
        <v>0</v>
      </c>
      <c r="O3" s="9">
        <v>0</v>
      </c>
      <c r="Q3" s="78">
        <f t="shared" ref="Q3:Q21" si="0">SUM(B3:O3)</f>
        <v>100</v>
      </c>
    </row>
    <row r="4" spans="1:17">
      <c r="A4" s="5">
        <v>1233492</v>
      </c>
      <c r="B4" s="9">
        <v>782</v>
      </c>
      <c r="C4" s="9">
        <v>50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394</v>
      </c>
      <c r="L4" s="9">
        <v>118</v>
      </c>
      <c r="M4" s="9">
        <v>0</v>
      </c>
      <c r="N4" s="9">
        <v>0</v>
      </c>
      <c r="O4" s="9">
        <v>0</v>
      </c>
      <c r="Q4" s="78">
        <f t="shared" si="0"/>
        <v>1344</v>
      </c>
    </row>
    <row r="5" spans="1:17">
      <c r="A5" s="5">
        <v>1233498</v>
      </c>
      <c r="B5" s="9">
        <v>782</v>
      </c>
      <c r="C5" s="9">
        <v>50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394</v>
      </c>
      <c r="L5" s="9">
        <v>118</v>
      </c>
      <c r="M5" s="9">
        <v>0</v>
      </c>
      <c r="N5" s="9">
        <v>0</v>
      </c>
      <c r="O5" s="9">
        <v>0</v>
      </c>
      <c r="Q5" s="78">
        <f t="shared" si="0"/>
        <v>1344</v>
      </c>
    </row>
    <row r="6" spans="1:17">
      <c r="A6" s="5">
        <v>1233623</v>
      </c>
      <c r="B6" s="9">
        <v>782</v>
      </c>
      <c r="C6" s="9">
        <v>50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394</v>
      </c>
      <c r="L6" s="9">
        <v>118</v>
      </c>
      <c r="M6" s="9">
        <v>0</v>
      </c>
      <c r="N6" s="9">
        <v>0</v>
      </c>
      <c r="O6" s="9">
        <v>0</v>
      </c>
      <c r="Q6" s="78">
        <f t="shared" si="0"/>
        <v>1344</v>
      </c>
    </row>
    <row r="7" spans="1:17">
      <c r="A7" s="5">
        <v>1233877</v>
      </c>
      <c r="B7" s="9">
        <v>0</v>
      </c>
      <c r="C7" s="9">
        <v>0</v>
      </c>
      <c r="D7" s="9">
        <v>150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Q7" s="78">
        <f t="shared" si="0"/>
        <v>150</v>
      </c>
    </row>
    <row r="8" spans="1:17" s="58" customFormat="1">
      <c r="A8" s="58">
        <v>1235623</v>
      </c>
      <c r="B8" s="18">
        <v>0</v>
      </c>
      <c r="C8" s="18">
        <v>0</v>
      </c>
      <c r="D8" s="18">
        <v>0</v>
      </c>
      <c r="E8" s="18">
        <v>118</v>
      </c>
      <c r="F8" s="18">
        <v>818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/>
      <c r="Q8" s="254">
        <f t="shared" si="0"/>
        <v>936</v>
      </c>
    </row>
    <row r="9" spans="1:17" s="58" customFormat="1">
      <c r="A9" s="58">
        <v>1237088</v>
      </c>
      <c r="B9" s="18">
        <v>1094</v>
      </c>
      <c r="C9" s="18">
        <v>560</v>
      </c>
      <c r="D9" s="18">
        <v>414</v>
      </c>
      <c r="E9" s="18">
        <v>552</v>
      </c>
      <c r="F9" s="18">
        <v>338</v>
      </c>
      <c r="G9" s="18">
        <v>0</v>
      </c>
      <c r="H9" s="18">
        <v>0</v>
      </c>
      <c r="I9" s="18">
        <v>0</v>
      </c>
      <c r="J9" s="18">
        <v>612</v>
      </c>
      <c r="K9" s="18">
        <v>660</v>
      </c>
      <c r="L9" s="18">
        <v>1072</v>
      </c>
      <c r="M9" s="18">
        <v>0</v>
      </c>
      <c r="N9" s="18">
        <v>0</v>
      </c>
      <c r="O9" s="18">
        <v>0</v>
      </c>
      <c r="P9" s="18"/>
      <c r="Q9" s="254">
        <f t="shared" si="0"/>
        <v>5302</v>
      </c>
    </row>
    <row r="10" spans="1:17">
      <c r="A10" s="5">
        <v>1231898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248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Q10" s="78">
        <f t="shared" si="0"/>
        <v>248</v>
      </c>
    </row>
    <row r="11" spans="1:17">
      <c r="A11" s="5">
        <v>1237586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248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Q11" s="78">
        <f t="shared" si="0"/>
        <v>248</v>
      </c>
    </row>
    <row r="12" spans="1:17">
      <c r="A12" s="5">
        <v>1234905</v>
      </c>
      <c r="B12" s="9">
        <v>514</v>
      </c>
      <c r="C12" s="9">
        <v>512</v>
      </c>
      <c r="D12" s="9">
        <v>334</v>
      </c>
      <c r="E12" s="9">
        <v>426</v>
      </c>
      <c r="F12" s="9">
        <v>626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Q12" s="78">
        <f t="shared" si="0"/>
        <v>2412</v>
      </c>
    </row>
    <row r="13" spans="1:17">
      <c r="A13" s="5">
        <v>1238128</v>
      </c>
      <c r="B13" s="9">
        <v>0</v>
      </c>
      <c r="C13" s="9">
        <v>0</v>
      </c>
      <c r="D13" s="9">
        <v>0</v>
      </c>
      <c r="E13" s="9">
        <v>0</v>
      </c>
      <c r="F13" s="9">
        <v>526</v>
      </c>
      <c r="G13" s="9">
        <v>0</v>
      </c>
      <c r="H13" s="9">
        <v>0</v>
      </c>
      <c r="I13" s="9">
        <v>0</v>
      </c>
      <c r="J13" s="9">
        <v>1028</v>
      </c>
      <c r="K13" s="9">
        <v>526</v>
      </c>
      <c r="L13" s="9">
        <v>892</v>
      </c>
      <c r="M13" s="9">
        <v>0</v>
      </c>
      <c r="N13" s="9">
        <v>0</v>
      </c>
      <c r="O13" s="9">
        <v>0</v>
      </c>
      <c r="Q13" s="78">
        <f t="shared" si="0"/>
        <v>2972</v>
      </c>
    </row>
    <row r="14" spans="1:17">
      <c r="A14" s="5">
        <v>1237748</v>
      </c>
      <c r="B14" s="9">
        <v>0</v>
      </c>
      <c r="C14" s="9">
        <v>0</v>
      </c>
      <c r="D14" s="9">
        <v>208</v>
      </c>
      <c r="E14" s="9">
        <v>728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Q14" s="78">
        <f t="shared" si="0"/>
        <v>936</v>
      </c>
    </row>
    <row r="15" spans="1:17" s="58" customFormat="1">
      <c r="A15" s="58">
        <v>1236962</v>
      </c>
      <c r="B15" s="18">
        <v>0</v>
      </c>
      <c r="C15" s="18">
        <v>200</v>
      </c>
      <c r="D15" s="18">
        <v>422</v>
      </c>
      <c r="E15" s="18">
        <v>200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/>
      <c r="Q15" s="254">
        <f t="shared" si="0"/>
        <v>822</v>
      </c>
    </row>
    <row r="16" spans="1:17">
      <c r="A16" s="5">
        <v>1233761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100</v>
      </c>
      <c r="M16" s="9">
        <v>0</v>
      </c>
      <c r="N16" s="9">
        <v>0</v>
      </c>
      <c r="O16" s="9">
        <v>0</v>
      </c>
      <c r="Q16" s="78">
        <f t="shared" si="0"/>
        <v>100</v>
      </c>
    </row>
    <row r="17" spans="1:17">
      <c r="A17" s="5">
        <v>1239651</v>
      </c>
      <c r="B17" s="9">
        <v>0</v>
      </c>
      <c r="C17" s="9">
        <v>0</v>
      </c>
      <c r="D17" s="9">
        <v>250</v>
      </c>
      <c r="E17" s="9">
        <v>0</v>
      </c>
      <c r="F17" s="9">
        <v>350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Q17" s="78">
        <f t="shared" si="0"/>
        <v>600</v>
      </c>
    </row>
    <row r="18" spans="1:17">
      <c r="A18" s="5">
        <v>1240180</v>
      </c>
      <c r="B18" s="9">
        <v>50</v>
      </c>
      <c r="C18" s="9">
        <v>334</v>
      </c>
      <c r="D18" s="9">
        <v>338</v>
      </c>
      <c r="E18" s="9">
        <v>430</v>
      </c>
      <c r="F18" s="9">
        <v>548</v>
      </c>
      <c r="G18" s="9">
        <v>0</v>
      </c>
      <c r="H18" s="9">
        <v>0</v>
      </c>
      <c r="I18" s="9">
        <v>0</v>
      </c>
      <c r="J18" s="9">
        <v>460</v>
      </c>
      <c r="K18" s="9">
        <v>172</v>
      </c>
      <c r="L18" s="9">
        <v>0</v>
      </c>
      <c r="M18" s="9">
        <v>0</v>
      </c>
      <c r="N18" s="9">
        <v>0</v>
      </c>
      <c r="O18" s="9">
        <v>0</v>
      </c>
      <c r="Q18" s="78">
        <f t="shared" si="0"/>
        <v>2332</v>
      </c>
    </row>
    <row r="19" spans="1:17">
      <c r="A19" s="5">
        <v>1240184</v>
      </c>
      <c r="B19" s="9">
        <v>0</v>
      </c>
      <c r="C19" s="9">
        <v>134</v>
      </c>
      <c r="D19" s="9">
        <v>338</v>
      </c>
      <c r="E19" s="9">
        <v>430</v>
      </c>
      <c r="F19" s="9">
        <v>548</v>
      </c>
      <c r="G19" s="9">
        <v>0</v>
      </c>
      <c r="H19" s="9">
        <v>0</v>
      </c>
      <c r="I19" s="9">
        <v>0</v>
      </c>
      <c r="J19" s="9">
        <v>460</v>
      </c>
      <c r="K19" s="9">
        <v>172</v>
      </c>
      <c r="L19" s="9">
        <v>0</v>
      </c>
      <c r="M19" s="9">
        <v>0</v>
      </c>
      <c r="N19" s="9">
        <v>0</v>
      </c>
      <c r="O19" s="9">
        <v>0</v>
      </c>
      <c r="Q19" s="78">
        <f t="shared" si="0"/>
        <v>2082</v>
      </c>
    </row>
    <row r="20" spans="1:17">
      <c r="A20" s="5">
        <v>1241601</v>
      </c>
      <c r="B20" s="9">
        <v>1272</v>
      </c>
      <c r="C20" s="9">
        <v>800</v>
      </c>
      <c r="D20" s="9">
        <v>600</v>
      </c>
      <c r="E20" s="9">
        <v>0</v>
      </c>
      <c r="F20" s="9">
        <v>1246</v>
      </c>
      <c r="G20" s="9">
        <v>0</v>
      </c>
      <c r="H20" s="9">
        <v>0</v>
      </c>
      <c r="I20" s="9">
        <v>0</v>
      </c>
      <c r="J20" s="9">
        <v>700</v>
      </c>
      <c r="K20" s="9">
        <v>788</v>
      </c>
      <c r="L20" s="9">
        <v>694</v>
      </c>
      <c r="M20" s="9">
        <v>0</v>
      </c>
      <c r="N20" s="9">
        <v>0</v>
      </c>
      <c r="O20" s="9">
        <v>0</v>
      </c>
      <c r="Q20" s="78">
        <f t="shared" si="0"/>
        <v>6100</v>
      </c>
    </row>
    <row r="21" spans="1:17">
      <c r="A21" s="5">
        <v>1240308</v>
      </c>
      <c r="B21" s="9">
        <v>0</v>
      </c>
      <c r="C21" s="9">
        <v>0</v>
      </c>
      <c r="D21" s="9">
        <v>0</v>
      </c>
      <c r="E21" s="9">
        <v>300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Q21" s="78">
        <f t="shared" si="0"/>
        <v>300</v>
      </c>
    </row>
    <row r="22" spans="1:17">
      <c r="B22" s="9">
        <f>SUM(B2:B21)</f>
        <v>5676</v>
      </c>
      <c r="C22" s="9">
        <f t="shared" ref="C22:O22" si="1">SUM(C2:C21)</f>
        <v>2690</v>
      </c>
      <c r="D22" s="9">
        <f t="shared" si="1"/>
        <v>3054</v>
      </c>
      <c r="E22" s="9">
        <f t="shared" si="1"/>
        <v>3484</v>
      </c>
      <c r="F22" s="9">
        <f t="shared" si="1"/>
        <v>5300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4006</v>
      </c>
      <c r="K22" s="9">
        <f t="shared" si="1"/>
        <v>3770</v>
      </c>
      <c r="L22" s="9">
        <f t="shared" si="1"/>
        <v>3462</v>
      </c>
      <c r="M22" s="9">
        <f t="shared" si="1"/>
        <v>0</v>
      </c>
      <c r="N22" s="9">
        <f t="shared" si="1"/>
        <v>0</v>
      </c>
      <c r="O22" s="9">
        <f t="shared" si="1"/>
        <v>0</v>
      </c>
    </row>
    <row r="23" spans="1:17">
      <c r="B23" s="9">
        <v>5676</v>
      </c>
      <c r="C23" s="9">
        <v>2690</v>
      </c>
      <c r="D23" s="9">
        <v>3054</v>
      </c>
      <c r="E23" s="9">
        <v>3484</v>
      </c>
      <c r="F23" s="9">
        <v>5300</v>
      </c>
      <c r="G23" s="9">
        <v>0</v>
      </c>
      <c r="H23" s="9">
        <v>0</v>
      </c>
      <c r="I23" s="9">
        <v>0</v>
      </c>
      <c r="J23" s="9">
        <v>4006</v>
      </c>
      <c r="K23" s="9">
        <v>3770</v>
      </c>
      <c r="L23" s="9">
        <v>3462</v>
      </c>
      <c r="M23" s="9">
        <v>0</v>
      </c>
      <c r="N23" s="9">
        <v>0</v>
      </c>
      <c r="O23" s="9">
        <v>0</v>
      </c>
    </row>
    <row r="24" spans="1:17">
      <c r="B24" s="9">
        <f>+B22-B23</f>
        <v>0</v>
      </c>
      <c r="C24" s="9">
        <f t="shared" ref="C24:O24" si="2">+C22-C23</f>
        <v>0</v>
      </c>
      <c r="D24" s="9">
        <f t="shared" si="2"/>
        <v>0</v>
      </c>
      <c r="E24" s="9">
        <f t="shared" si="2"/>
        <v>0</v>
      </c>
      <c r="F24" s="9">
        <f t="shared" si="2"/>
        <v>0</v>
      </c>
      <c r="G24" s="9">
        <f t="shared" si="2"/>
        <v>0</v>
      </c>
      <c r="H24" s="9">
        <f t="shared" si="2"/>
        <v>0</v>
      </c>
      <c r="I24" s="9">
        <f t="shared" si="2"/>
        <v>0</v>
      </c>
      <c r="J24" s="9">
        <f t="shared" si="2"/>
        <v>0</v>
      </c>
      <c r="K24" s="9">
        <f t="shared" si="2"/>
        <v>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0</v>
      </c>
    </row>
    <row r="26" spans="1:17">
      <c r="A26" s="5" t="s">
        <v>0</v>
      </c>
      <c r="B26" s="9" t="s">
        <v>1258</v>
      </c>
      <c r="C26" s="9" t="s">
        <v>1259</v>
      </c>
      <c r="D26" s="9" t="s">
        <v>1260</v>
      </c>
      <c r="E26" s="9" t="s">
        <v>1261</v>
      </c>
      <c r="F26" s="9" t="s">
        <v>1262</v>
      </c>
      <c r="G26" s="9" t="s">
        <v>1263</v>
      </c>
      <c r="H26" s="9" t="s">
        <v>1264</v>
      </c>
      <c r="I26" s="9" t="s">
        <v>1266</v>
      </c>
      <c r="J26" s="9" t="s">
        <v>1267</v>
      </c>
      <c r="K26" s="9" t="s">
        <v>1268</v>
      </c>
      <c r="L26" s="9" t="s">
        <v>1269</v>
      </c>
      <c r="M26" s="9" t="s">
        <v>1270</v>
      </c>
      <c r="N26" s="9" t="s">
        <v>1271</v>
      </c>
      <c r="O26" s="9" t="s">
        <v>1272</v>
      </c>
    </row>
    <row r="27" spans="1:17">
      <c r="A27" s="5">
        <v>1232846</v>
      </c>
      <c r="B27" s="9">
        <v>352</v>
      </c>
      <c r="C27" s="9">
        <v>352</v>
      </c>
      <c r="D27" s="9">
        <v>205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1:17">
      <c r="A28" s="5">
        <v>1232895</v>
      </c>
      <c r="B28" s="9">
        <v>352</v>
      </c>
      <c r="C28" s="9">
        <v>352</v>
      </c>
      <c r="D28" s="9">
        <v>205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7">
      <c r="A29" s="5">
        <v>1233384</v>
      </c>
      <c r="B29" s="9">
        <v>352</v>
      </c>
      <c r="C29" s="9">
        <v>352</v>
      </c>
      <c r="D29" s="9">
        <v>205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7">
      <c r="A30" s="5">
        <v>1233165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79</v>
      </c>
      <c r="K30" s="9">
        <v>297</v>
      </c>
      <c r="L30" s="9">
        <v>10</v>
      </c>
      <c r="M30" s="9">
        <v>0</v>
      </c>
      <c r="N30" s="9">
        <v>0</v>
      </c>
      <c r="O30" s="9">
        <v>0</v>
      </c>
    </row>
    <row r="31" spans="1:17">
      <c r="A31" s="5">
        <v>1232775</v>
      </c>
      <c r="B31" s="9">
        <v>242</v>
      </c>
      <c r="C31" s="9">
        <v>245</v>
      </c>
      <c r="D31" s="9">
        <v>332</v>
      </c>
      <c r="E31" s="9">
        <v>484</v>
      </c>
      <c r="F31" s="9">
        <v>222</v>
      </c>
      <c r="G31" s="9">
        <v>0</v>
      </c>
      <c r="H31" s="9">
        <v>0</v>
      </c>
      <c r="I31" s="9">
        <v>0</v>
      </c>
      <c r="J31" s="9">
        <v>314</v>
      </c>
      <c r="K31" s="9">
        <v>0</v>
      </c>
      <c r="L31" s="9">
        <v>225</v>
      </c>
      <c r="M31" s="9">
        <v>0</v>
      </c>
      <c r="N31" s="9">
        <v>0</v>
      </c>
      <c r="O31" s="9">
        <v>0</v>
      </c>
    </row>
    <row r="35" spans="1:15">
      <c r="A35" s="5" t="s">
        <v>0</v>
      </c>
      <c r="B35" s="9" t="s">
        <v>1258</v>
      </c>
      <c r="C35" s="9" t="s">
        <v>1259</v>
      </c>
      <c r="D35" s="9" t="s">
        <v>1260</v>
      </c>
      <c r="E35" s="9" t="s">
        <v>1261</v>
      </c>
      <c r="F35" s="9" t="s">
        <v>1262</v>
      </c>
      <c r="G35" s="9" t="s">
        <v>1263</v>
      </c>
      <c r="H35" s="9" t="s">
        <v>1264</v>
      </c>
      <c r="I35" s="9" t="s">
        <v>1266</v>
      </c>
      <c r="J35" s="9" t="s">
        <v>1267</v>
      </c>
      <c r="K35" s="9" t="s">
        <v>1268</v>
      </c>
      <c r="L35" s="9" t="s">
        <v>1269</v>
      </c>
      <c r="M35" s="9" t="s">
        <v>1270</v>
      </c>
      <c r="N35" s="9" t="s">
        <v>1271</v>
      </c>
      <c r="O35" s="9" t="s">
        <v>1272</v>
      </c>
    </row>
    <row r="36" spans="1:15">
      <c r="A36" s="5">
        <v>1221967</v>
      </c>
      <c r="B36" s="9">
        <v>0</v>
      </c>
      <c r="C36" s="9">
        <v>0</v>
      </c>
      <c r="D36" s="9">
        <v>165</v>
      </c>
      <c r="E36" s="18">
        <v>111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>
      <c r="A37" s="5">
        <v>1234614</v>
      </c>
      <c r="B37" s="9">
        <v>371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>
      <c r="A38" s="5">
        <v>1227306</v>
      </c>
      <c r="B38" s="9">
        <v>0</v>
      </c>
      <c r="C38" s="9">
        <v>0</v>
      </c>
      <c r="D38" s="9">
        <v>0</v>
      </c>
      <c r="E38" s="9">
        <v>97</v>
      </c>
      <c r="F38" s="18">
        <v>487</v>
      </c>
      <c r="G38" s="9">
        <v>0</v>
      </c>
      <c r="H38" s="9">
        <v>0</v>
      </c>
      <c r="I38" s="9">
        <v>0</v>
      </c>
      <c r="J38" s="9">
        <v>16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>
      <c r="A39" s="5">
        <v>1225464</v>
      </c>
      <c r="B39" s="9">
        <v>0</v>
      </c>
      <c r="C39" s="9">
        <v>0</v>
      </c>
      <c r="D39" s="9">
        <v>0</v>
      </c>
      <c r="E39" s="9">
        <v>0</v>
      </c>
      <c r="F39" s="9" t="s">
        <v>718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4</v>
      </c>
      <c r="M39" s="9">
        <v>756</v>
      </c>
      <c r="N39" s="9">
        <v>0</v>
      </c>
      <c r="O39" s="9">
        <v>0</v>
      </c>
    </row>
    <row r="40" spans="1:15">
      <c r="A40" s="5">
        <v>1231797</v>
      </c>
      <c r="B40" s="9">
        <v>0</v>
      </c>
      <c r="C40" s="9">
        <v>71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>
      <c r="A41" s="5">
        <v>1229776</v>
      </c>
      <c r="B41" s="9">
        <v>0</v>
      </c>
      <c r="C41" s="9">
        <v>0</v>
      </c>
      <c r="D41" s="9">
        <v>0</v>
      </c>
      <c r="E41" s="18">
        <v>14</v>
      </c>
      <c r="F41" s="9">
        <v>166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>
      <c r="A42" s="5">
        <v>1231090</v>
      </c>
      <c r="B42" s="9">
        <v>115</v>
      </c>
      <c r="C42" s="9">
        <v>0</v>
      </c>
      <c r="D42" s="9">
        <v>0</v>
      </c>
      <c r="E42" s="18">
        <v>14</v>
      </c>
      <c r="F42" s="9">
        <v>166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2150</v>
      </c>
      <c r="N42" s="9">
        <v>0</v>
      </c>
      <c r="O42" s="9">
        <v>0</v>
      </c>
    </row>
    <row r="43" spans="1:15">
      <c r="A43" s="5">
        <v>1232066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756</v>
      </c>
      <c r="N43" s="9">
        <v>0</v>
      </c>
      <c r="O43" s="9">
        <v>0</v>
      </c>
    </row>
    <row r="44" spans="1:15">
      <c r="A44" s="5">
        <v>1229088</v>
      </c>
      <c r="B44" s="9">
        <v>172</v>
      </c>
      <c r="C44" s="9">
        <v>78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>
      <c r="A45" s="5">
        <v>1232693</v>
      </c>
      <c r="B45" s="9">
        <v>0</v>
      </c>
      <c r="C45" s="9">
        <v>179</v>
      </c>
      <c r="D45" s="9">
        <v>777</v>
      </c>
      <c r="E45" s="18">
        <v>217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2289</v>
      </c>
      <c r="N45" s="9">
        <v>0</v>
      </c>
      <c r="O45" s="9">
        <v>0</v>
      </c>
    </row>
    <row r="46" spans="1:15">
      <c r="A46" s="5">
        <v>1233025</v>
      </c>
      <c r="B46" s="9">
        <v>0</v>
      </c>
      <c r="C46" s="9">
        <v>179</v>
      </c>
      <c r="D46" s="9">
        <v>777</v>
      </c>
      <c r="E46" s="18">
        <v>217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2289</v>
      </c>
      <c r="N46" s="9">
        <v>0</v>
      </c>
      <c r="O46" s="9">
        <v>0</v>
      </c>
    </row>
    <row r="47" spans="1:15">
      <c r="A47" s="5">
        <v>1234222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510</v>
      </c>
      <c r="L47" s="9">
        <v>0</v>
      </c>
      <c r="M47" s="9">
        <v>0</v>
      </c>
      <c r="N47" s="9">
        <v>0</v>
      </c>
      <c r="O47" s="9">
        <v>0</v>
      </c>
    </row>
    <row r="48" spans="1:15">
      <c r="A48" s="5">
        <v>1232528</v>
      </c>
      <c r="B48" s="9">
        <v>1086</v>
      </c>
      <c r="C48" s="9">
        <v>1295</v>
      </c>
      <c r="D48" s="9">
        <v>1028</v>
      </c>
      <c r="E48" s="18">
        <v>1419</v>
      </c>
      <c r="F48" s="9">
        <v>2848</v>
      </c>
      <c r="G48" s="9">
        <v>0</v>
      </c>
      <c r="H48" s="9">
        <v>0</v>
      </c>
      <c r="I48" s="9">
        <v>0</v>
      </c>
      <c r="J48" s="9">
        <v>2548</v>
      </c>
      <c r="K48" s="9">
        <v>1994</v>
      </c>
      <c r="L48" s="9">
        <v>2548</v>
      </c>
      <c r="M48" s="9">
        <v>23353</v>
      </c>
      <c r="N48" s="9">
        <v>0</v>
      </c>
      <c r="O48" s="9">
        <v>0</v>
      </c>
    </row>
    <row r="49" spans="1:15">
      <c r="A49" s="5">
        <v>1232846</v>
      </c>
      <c r="B49" s="9">
        <v>466</v>
      </c>
      <c r="C49" s="9">
        <v>0</v>
      </c>
      <c r="D49" s="9">
        <v>0</v>
      </c>
      <c r="E49" s="9">
        <v>3</v>
      </c>
      <c r="F49" s="18">
        <v>715</v>
      </c>
      <c r="G49" s="9">
        <v>0</v>
      </c>
      <c r="H49" s="9">
        <v>0</v>
      </c>
      <c r="I49" s="9">
        <v>0</v>
      </c>
      <c r="J49" s="9">
        <v>715</v>
      </c>
      <c r="K49" s="9">
        <v>295</v>
      </c>
      <c r="L49" s="9">
        <v>0</v>
      </c>
      <c r="M49" s="9">
        <v>576</v>
      </c>
      <c r="N49" s="9">
        <v>0</v>
      </c>
      <c r="O49" s="9">
        <v>0</v>
      </c>
    </row>
    <row r="50" spans="1:15">
      <c r="A50" s="5">
        <v>1229050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462</v>
      </c>
      <c r="K50" s="9">
        <v>58</v>
      </c>
      <c r="L50" s="9">
        <v>0</v>
      </c>
      <c r="M50" s="9">
        <v>395</v>
      </c>
      <c r="N50" s="9">
        <v>0</v>
      </c>
      <c r="O50" s="9">
        <v>0</v>
      </c>
    </row>
    <row r="51" spans="1:15">
      <c r="A51" s="5">
        <v>1233383</v>
      </c>
      <c r="B51" s="9">
        <v>0</v>
      </c>
      <c r="C51" s="9">
        <v>0</v>
      </c>
      <c r="D51" s="9">
        <v>0</v>
      </c>
      <c r="E51" s="18">
        <v>156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>
      <c r="A52" s="5">
        <v>1220847</v>
      </c>
      <c r="B52" s="9">
        <v>542</v>
      </c>
      <c r="C52" s="9">
        <v>542</v>
      </c>
      <c r="D52" s="9">
        <v>238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410</v>
      </c>
      <c r="K52" s="9">
        <v>426</v>
      </c>
      <c r="L52" s="9">
        <v>39</v>
      </c>
      <c r="M52" s="9">
        <v>3535</v>
      </c>
      <c r="N52" s="9">
        <v>0</v>
      </c>
      <c r="O52" s="9">
        <v>0</v>
      </c>
    </row>
    <row r="53" spans="1:15">
      <c r="A53" s="5">
        <v>1232775</v>
      </c>
      <c r="B53" s="9">
        <v>0</v>
      </c>
      <c r="C53" s="9">
        <v>322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392</v>
      </c>
      <c r="N53" s="9">
        <v>0</v>
      </c>
      <c r="O53" s="9">
        <v>0</v>
      </c>
    </row>
    <row r="54" spans="1:15">
      <c r="A54" s="5">
        <v>1235097</v>
      </c>
      <c r="B54" s="9">
        <v>0</v>
      </c>
      <c r="C54" s="9">
        <v>268</v>
      </c>
      <c r="D54" s="9">
        <v>32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</row>
    <row r="55" spans="1:15">
      <c r="A55" s="5">
        <v>1235958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25</v>
      </c>
      <c r="L55" s="9">
        <v>0</v>
      </c>
      <c r="M55" s="9">
        <v>0</v>
      </c>
      <c r="N55" s="9">
        <v>0</v>
      </c>
      <c r="O55" s="9">
        <v>0</v>
      </c>
    </row>
    <row r="56" spans="1:15">
      <c r="A56" s="5">
        <v>1235845</v>
      </c>
      <c r="B56" s="9">
        <v>0</v>
      </c>
      <c r="C56" s="9">
        <v>0</v>
      </c>
      <c r="D56" s="9">
        <v>0</v>
      </c>
      <c r="E56" s="9">
        <v>0</v>
      </c>
      <c r="F56" s="9">
        <v>100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1:15">
      <c r="A57" s="5">
        <v>1236600</v>
      </c>
      <c r="B57" s="9">
        <v>50</v>
      </c>
      <c r="C57" s="9">
        <v>533</v>
      </c>
      <c r="D57" s="9">
        <v>419</v>
      </c>
      <c r="E57" s="18">
        <v>128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>
      <c r="A58" s="5">
        <v>1236601</v>
      </c>
      <c r="B58" s="9">
        <v>0</v>
      </c>
      <c r="C58" s="9">
        <v>0</v>
      </c>
      <c r="D58" s="9">
        <v>0</v>
      </c>
      <c r="E58" s="18">
        <v>27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  <row r="59" spans="1:15">
      <c r="A59" s="5">
        <v>1236930</v>
      </c>
      <c r="B59" s="9">
        <v>628</v>
      </c>
      <c r="C59" s="9">
        <v>392</v>
      </c>
      <c r="D59" s="9">
        <v>311</v>
      </c>
      <c r="E59" s="9">
        <v>395</v>
      </c>
      <c r="F59" s="18">
        <v>701</v>
      </c>
      <c r="G59" s="9">
        <v>0</v>
      </c>
      <c r="H59" s="9">
        <v>0</v>
      </c>
      <c r="I59" s="9">
        <v>0</v>
      </c>
      <c r="J59" s="9">
        <v>421</v>
      </c>
      <c r="K59" s="9">
        <v>730</v>
      </c>
      <c r="L59" s="9">
        <v>420</v>
      </c>
      <c r="M59" s="9">
        <v>4561</v>
      </c>
      <c r="N59" s="9">
        <v>0</v>
      </c>
      <c r="O59" s="9">
        <v>0</v>
      </c>
    </row>
    <row r="60" spans="1:15">
      <c r="A60" s="5">
        <v>1237468</v>
      </c>
      <c r="B60" s="9">
        <v>0</v>
      </c>
      <c r="C60" s="9">
        <v>0</v>
      </c>
      <c r="D60" s="9">
        <v>0</v>
      </c>
      <c r="E60" s="18">
        <v>144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</row>
    <row r="61" spans="1:15">
      <c r="A61" s="5">
        <v>1237210</v>
      </c>
      <c r="B61" s="9">
        <v>0</v>
      </c>
      <c r="C61" s="9">
        <v>0</v>
      </c>
      <c r="D61" s="9">
        <v>0</v>
      </c>
      <c r="E61" s="18">
        <v>348</v>
      </c>
      <c r="F61" s="9">
        <v>27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5">
      <c r="A62" s="5">
        <v>1237457</v>
      </c>
      <c r="B62" s="9">
        <v>18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</row>
    <row r="63" spans="1:15">
      <c r="A63" s="5">
        <v>1237386</v>
      </c>
      <c r="B63" s="9">
        <v>0</v>
      </c>
      <c r="C63" s="9">
        <v>0</v>
      </c>
      <c r="D63" s="9">
        <v>0</v>
      </c>
      <c r="E63" s="9">
        <v>180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>
      <c r="A64" s="5">
        <v>1238480</v>
      </c>
      <c r="B64" s="9">
        <v>347</v>
      </c>
      <c r="C64" s="9">
        <v>365</v>
      </c>
      <c r="D64" s="9">
        <v>267</v>
      </c>
      <c r="E64" s="18">
        <v>236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200</v>
      </c>
      <c r="M64" s="9">
        <v>27774</v>
      </c>
      <c r="N64" s="9">
        <v>0</v>
      </c>
      <c r="O64" s="9">
        <v>0</v>
      </c>
    </row>
    <row r="65" spans="1:15">
      <c r="A65" s="5">
        <v>1240180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500</v>
      </c>
      <c r="N65" s="9">
        <v>0</v>
      </c>
      <c r="O65" s="9">
        <v>0</v>
      </c>
    </row>
    <row r="66" spans="1:15">
      <c r="A66" s="5">
        <v>1240184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500</v>
      </c>
      <c r="N66" s="9">
        <v>0</v>
      </c>
      <c r="O66" s="9">
        <v>0</v>
      </c>
    </row>
    <row r="67" spans="1:15">
      <c r="A67" s="5">
        <v>1238453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1272</v>
      </c>
      <c r="N67" s="9">
        <v>0</v>
      </c>
      <c r="O67" s="9">
        <v>0</v>
      </c>
    </row>
    <row r="68" spans="1:15">
      <c r="A68" s="5">
        <v>1216452</v>
      </c>
      <c r="B68" s="9">
        <v>0</v>
      </c>
      <c r="C68" s="9">
        <v>0</v>
      </c>
      <c r="D68" s="9">
        <v>0</v>
      </c>
      <c r="E68" s="9">
        <v>324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1</v>
      </c>
      <c r="M68" s="9">
        <v>0</v>
      </c>
      <c r="N68" s="9">
        <v>0</v>
      </c>
      <c r="O68" s="9">
        <v>2889</v>
      </c>
    </row>
    <row r="69" spans="1:15">
      <c r="A69" s="5">
        <v>1215693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4</v>
      </c>
      <c r="M69" s="9">
        <v>0</v>
      </c>
      <c r="N69" s="9">
        <v>0</v>
      </c>
      <c r="O69" s="9">
        <v>0</v>
      </c>
    </row>
    <row r="70" spans="1:15">
      <c r="A70" s="5">
        <v>1232894</v>
      </c>
      <c r="B70" s="9">
        <v>133</v>
      </c>
      <c r="C70" s="9">
        <v>0</v>
      </c>
      <c r="D70" s="9">
        <v>0</v>
      </c>
      <c r="E70" s="9">
        <v>3</v>
      </c>
      <c r="F70" s="9">
        <v>715</v>
      </c>
      <c r="G70" s="9">
        <v>0</v>
      </c>
      <c r="H70" s="9">
        <v>0</v>
      </c>
      <c r="I70" s="9">
        <v>0</v>
      </c>
      <c r="J70" s="9">
        <v>715</v>
      </c>
      <c r="K70" s="9">
        <v>295</v>
      </c>
      <c r="L70" s="9">
        <v>0</v>
      </c>
      <c r="M70" s="9">
        <v>0</v>
      </c>
      <c r="N70" s="9">
        <v>0</v>
      </c>
      <c r="O70" s="9">
        <v>576</v>
      </c>
    </row>
    <row r="71" spans="1:15">
      <c r="A71" s="5">
        <v>1233386</v>
      </c>
      <c r="B71" s="9">
        <v>133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</row>
    <row r="72" spans="1:15">
      <c r="A72" s="5">
        <v>1233387</v>
      </c>
      <c r="B72" s="9">
        <v>0</v>
      </c>
      <c r="C72" s="9">
        <v>0</v>
      </c>
      <c r="D72" s="9">
        <v>0</v>
      </c>
      <c r="E72" s="9">
        <v>3</v>
      </c>
      <c r="F72" s="9">
        <v>715</v>
      </c>
      <c r="G72" s="9">
        <v>0</v>
      </c>
      <c r="H72" s="9">
        <v>0</v>
      </c>
      <c r="I72" s="9">
        <v>0</v>
      </c>
      <c r="J72" s="9">
        <v>715</v>
      </c>
      <c r="K72" s="9">
        <v>295</v>
      </c>
      <c r="L72" s="9">
        <v>0</v>
      </c>
      <c r="M72" s="9">
        <v>0</v>
      </c>
      <c r="N72" s="9">
        <v>0</v>
      </c>
      <c r="O72" s="9">
        <v>0</v>
      </c>
    </row>
    <row r="73" spans="1:15">
      <c r="A73" s="5">
        <v>1233385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576</v>
      </c>
    </row>
    <row r="74" spans="1:15">
      <c r="A74" s="5">
        <v>1232895</v>
      </c>
      <c r="B74" s="9">
        <v>333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</row>
    <row r="75" spans="1:15">
      <c r="A75" s="5">
        <v>1232922</v>
      </c>
      <c r="B75" s="9">
        <v>333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</sheetData>
  <phoneticPr fontId="11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374B-AE3E-499F-8F00-4100FF9425DC}">
  <dimension ref="A1:AA84"/>
  <sheetViews>
    <sheetView zoomScale="115" zoomScaleNormal="115" workbookViewId="0">
      <selection activeCell="P12" sqref="P12"/>
    </sheetView>
  </sheetViews>
  <sheetFormatPr defaultColWidth="9.33203125" defaultRowHeight="12"/>
  <cols>
    <col min="1" max="1" width="10.1640625" style="19" bestFit="1" customWidth="1"/>
    <col min="2" max="2" width="9.6640625" style="9" bestFit="1" customWidth="1"/>
    <col min="3" max="18" width="9.6640625" style="9" customWidth="1"/>
    <col min="19" max="19" width="10.1640625" style="9" customWidth="1"/>
    <col min="20" max="20" width="9.6640625" style="9" customWidth="1"/>
    <col min="21" max="21" width="9.6640625" style="9" bestFit="1" customWidth="1"/>
    <col min="22" max="27" width="9.33203125" style="9"/>
    <col min="28" max="16384" width="9.33203125" style="5"/>
  </cols>
  <sheetData>
    <row r="1" spans="1:25">
      <c r="A1" s="19" t="s">
        <v>0</v>
      </c>
      <c r="B1" s="9" t="s">
        <v>1259</v>
      </c>
      <c r="C1" s="9" t="s">
        <v>1260</v>
      </c>
      <c r="D1" s="9" t="s">
        <v>1261</v>
      </c>
      <c r="E1" s="9" t="s">
        <v>1262</v>
      </c>
      <c r="F1" s="9" t="s">
        <v>1263</v>
      </c>
      <c r="G1" s="9" t="s">
        <v>1264</v>
      </c>
      <c r="H1" s="9" t="s">
        <v>1266</v>
      </c>
      <c r="I1" s="9" t="s">
        <v>1267</v>
      </c>
      <c r="J1" s="9" t="s">
        <v>1268</v>
      </c>
      <c r="K1" s="9" t="s">
        <v>1269</v>
      </c>
      <c r="L1" s="9" t="s">
        <v>1270</v>
      </c>
      <c r="M1" s="9" t="s">
        <v>1271</v>
      </c>
      <c r="N1" s="9" t="s">
        <v>1272</v>
      </c>
      <c r="O1" s="9" t="s">
        <v>1274</v>
      </c>
      <c r="P1" s="9" t="s">
        <v>1275</v>
      </c>
      <c r="Q1" s="9" t="s">
        <v>1276</v>
      </c>
      <c r="R1" s="9" t="s">
        <v>1277</v>
      </c>
      <c r="S1" s="9" t="s">
        <v>1278</v>
      </c>
      <c r="T1" s="9" t="s">
        <v>1279</v>
      </c>
      <c r="U1" s="9" t="s">
        <v>1280</v>
      </c>
    </row>
    <row r="2" spans="1:25">
      <c r="A2" s="19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160</v>
      </c>
      <c r="P2" s="9">
        <v>350</v>
      </c>
      <c r="Q2" s="9">
        <v>0</v>
      </c>
      <c r="R2" s="9">
        <v>250</v>
      </c>
      <c r="S2" s="9">
        <v>300</v>
      </c>
      <c r="T2" s="9">
        <v>0</v>
      </c>
      <c r="U2" s="9">
        <v>0</v>
      </c>
      <c r="W2" s="9">
        <f>SUM(B2:U2)</f>
        <v>1060</v>
      </c>
      <c r="X2" s="9">
        <f>VLOOKUP(A2,[16]sheet1!$A$2:$X$24,24,0)</f>
        <v>1060</v>
      </c>
      <c r="Y2" s="9">
        <f>+W2-X2</f>
        <v>0</v>
      </c>
    </row>
    <row r="3" spans="1:25">
      <c r="A3" s="19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160</v>
      </c>
      <c r="P3" s="9">
        <v>350</v>
      </c>
      <c r="Q3" s="9">
        <v>0</v>
      </c>
      <c r="R3" s="9">
        <v>250</v>
      </c>
      <c r="S3" s="9">
        <v>300</v>
      </c>
      <c r="T3" s="9">
        <v>0</v>
      </c>
      <c r="U3" s="9">
        <v>0</v>
      </c>
      <c r="W3" s="9">
        <f t="shared" ref="W3:W24" si="0">SUM(B3:U3)</f>
        <v>1060</v>
      </c>
      <c r="X3" s="9">
        <f>VLOOKUP(A3,[16]sheet1!$A$2:$X$24,24,0)</f>
        <v>1060</v>
      </c>
      <c r="Y3" s="9">
        <f t="shared" ref="Y3:Y24" si="1">+W3-X3</f>
        <v>0</v>
      </c>
    </row>
    <row r="4" spans="1:25">
      <c r="A4" s="19">
        <v>1229673</v>
      </c>
      <c r="B4" s="9">
        <v>0</v>
      </c>
      <c r="C4" s="9">
        <v>0</v>
      </c>
      <c r="D4" s="9">
        <v>300</v>
      </c>
      <c r="E4" s="18">
        <v>300</v>
      </c>
      <c r="F4" s="9">
        <v>0</v>
      </c>
      <c r="G4" s="9">
        <v>0</v>
      </c>
      <c r="H4" s="9">
        <v>0</v>
      </c>
      <c r="I4" s="9">
        <v>300</v>
      </c>
      <c r="J4" s="9">
        <v>300</v>
      </c>
      <c r="K4" s="9">
        <v>300</v>
      </c>
      <c r="L4" s="9">
        <v>0</v>
      </c>
      <c r="M4" s="9">
        <v>0</v>
      </c>
      <c r="N4" s="9">
        <v>0</v>
      </c>
      <c r="O4" s="9">
        <v>190</v>
      </c>
      <c r="P4" s="9">
        <v>110</v>
      </c>
      <c r="Q4" s="9">
        <v>0</v>
      </c>
      <c r="R4" s="9">
        <v>200</v>
      </c>
      <c r="S4" s="9">
        <v>0</v>
      </c>
      <c r="T4" s="9">
        <v>0</v>
      </c>
      <c r="U4" s="9">
        <v>0</v>
      </c>
      <c r="W4" s="9">
        <f t="shared" si="0"/>
        <v>2000</v>
      </c>
      <c r="X4" s="9">
        <f>VLOOKUP(A4,[16]sheet1!$A$2:$X$24,24,0)</f>
        <v>2000</v>
      </c>
      <c r="Y4" s="9">
        <f t="shared" si="1"/>
        <v>0</v>
      </c>
    </row>
    <row r="5" spans="1:25">
      <c r="A5" s="19">
        <v>1231202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50</v>
      </c>
      <c r="J5" s="9">
        <v>50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W5" s="9">
        <f t="shared" si="0"/>
        <v>100</v>
      </c>
      <c r="X5" s="9">
        <f>VLOOKUP(A5,[16]sheet1!$A$2:$X$24,24,0)</f>
        <v>100</v>
      </c>
      <c r="Y5" s="9">
        <f t="shared" si="1"/>
        <v>0</v>
      </c>
    </row>
    <row r="6" spans="1:25">
      <c r="A6" s="19">
        <v>1233492</v>
      </c>
      <c r="B6" s="9">
        <v>50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290</v>
      </c>
      <c r="K6" s="9">
        <v>222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W6" s="9">
        <f t="shared" si="0"/>
        <v>562</v>
      </c>
      <c r="X6" s="9">
        <f>VLOOKUP(A6,[16]sheet1!$A$2:$X$24,24,0)</f>
        <v>562</v>
      </c>
      <c r="Y6" s="9">
        <f t="shared" si="1"/>
        <v>0</v>
      </c>
    </row>
    <row r="7" spans="1:25">
      <c r="A7" s="19">
        <v>1233498</v>
      </c>
      <c r="B7" s="9">
        <v>50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290</v>
      </c>
      <c r="K7" s="9">
        <v>222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W7" s="9">
        <f t="shared" si="0"/>
        <v>562</v>
      </c>
      <c r="X7" s="9">
        <f>VLOOKUP(A7,[16]sheet1!$A$2:$X$24,24,0)</f>
        <v>562</v>
      </c>
      <c r="Y7" s="9">
        <f t="shared" si="1"/>
        <v>0</v>
      </c>
    </row>
    <row r="8" spans="1:25">
      <c r="A8" s="19">
        <v>1233623</v>
      </c>
      <c r="B8" s="9">
        <v>50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290</v>
      </c>
      <c r="K8" s="9">
        <v>222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W8" s="9">
        <f t="shared" si="0"/>
        <v>562</v>
      </c>
      <c r="X8" s="9">
        <f>VLOOKUP(A8,[16]sheet1!$A$2:$X$24,24,0)</f>
        <v>562</v>
      </c>
      <c r="Y8" s="9">
        <f t="shared" si="1"/>
        <v>0</v>
      </c>
    </row>
    <row r="9" spans="1:25">
      <c r="A9" s="100">
        <v>1233877</v>
      </c>
      <c r="B9" s="9">
        <v>0</v>
      </c>
      <c r="C9" s="9">
        <v>150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W9" s="9">
        <f t="shared" si="0"/>
        <v>150</v>
      </c>
      <c r="X9" s="9">
        <f>VLOOKUP(A9,[16]sheet1!$A$2:$X$24,24,0)</f>
        <v>150</v>
      </c>
      <c r="Y9" s="9">
        <f t="shared" si="1"/>
        <v>0</v>
      </c>
    </row>
    <row r="10" spans="1:25">
      <c r="A10" s="19">
        <v>1235623</v>
      </c>
      <c r="B10" s="9">
        <v>0</v>
      </c>
      <c r="C10" s="9">
        <v>0</v>
      </c>
      <c r="D10" s="9">
        <v>118</v>
      </c>
      <c r="E10" s="18">
        <v>818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W10" s="9">
        <f t="shared" si="0"/>
        <v>936</v>
      </c>
      <c r="X10" s="9">
        <f>VLOOKUP(A10,[16]sheet1!$A$2:$X$24,24,0)</f>
        <v>936</v>
      </c>
      <c r="Y10" s="9">
        <f t="shared" si="1"/>
        <v>0</v>
      </c>
    </row>
    <row r="11" spans="1:25">
      <c r="A11" s="19">
        <v>1237088</v>
      </c>
      <c r="B11" s="9">
        <v>560</v>
      </c>
      <c r="C11" s="9">
        <v>414</v>
      </c>
      <c r="D11" s="9">
        <v>552</v>
      </c>
      <c r="E11" s="18">
        <v>338</v>
      </c>
      <c r="F11" s="9">
        <v>0</v>
      </c>
      <c r="G11" s="9">
        <v>0</v>
      </c>
      <c r="H11" s="9">
        <v>0</v>
      </c>
      <c r="I11" s="9">
        <v>612</v>
      </c>
      <c r="J11" s="9">
        <v>660</v>
      </c>
      <c r="K11" s="9">
        <v>1360</v>
      </c>
      <c r="L11" s="9">
        <v>0</v>
      </c>
      <c r="M11" s="9">
        <v>0</v>
      </c>
      <c r="N11" s="9">
        <v>0</v>
      </c>
      <c r="O11" s="9">
        <v>200</v>
      </c>
      <c r="P11" s="9">
        <v>762</v>
      </c>
      <c r="Q11" s="9">
        <v>0</v>
      </c>
      <c r="R11" s="9">
        <v>716</v>
      </c>
      <c r="S11" s="9">
        <v>866</v>
      </c>
      <c r="T11" s="9">
        <v>0</v>
      </c>
      <c r="U11" s="9">
        <v>0</v>
      </c>
      <c r="W11" s="9">
        <f t="shared" si="0"/>
        <v>7040</v>
      </c>
      <c r="X11" s="9">
        <f>VLOOKUP(A11,[16]sheet1!$A$2:$X$24,24,0)</f>
        <v>7040</v>
      </c>
      <c r="Y11" s="9">
        <f t="shared" si="1"/>
        <v>0</v>
      </c>
    </row>
    <row r="12" spans="1:25">
      <c r="A12" s="19">
        <v>1237748</v>
      </c>
      <c r="B12" s="9">
        <v>0</v>
      </c>
      <c r="C12" s="9">
        <v>208</v>
      </c>
      <c r="D12" s="9">
        <v>728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630</v>
      </c>
      <c r="P12" s="9">
        <v>840</v>
      </c>
      <c r="Q12" s="9">
        <v>0</v>
      </c>
      <c r="R12" s="9">
        <v>90</v>
      </c>
      <c r="S12" s="9">
        <v>0</v>
      </c>
      <c r="T12" s="9">
        <v>0</v>
      </c>
      <c r="U12" s="9">
        <v>0</v>
      </c>
      <c r="V12" s="9">
        <v>0</v>
      </c>
      <c r="W12" s="9">
        <f t="shared" si="0"/>
        <v>2496</v>
      </c>
      <c r="X12" s="9">
        <f>VLOOKUP(A12,[16]sheet1!$A$2:$X$24,24,0)</f>
        <v>2496</v>
      </c>
      <c r="Y12" s="9">
        <f t="shared" si="1"/>
        <v>0</v>
      </c>
    </row>
    <row r="13" spans="1:25">
      <c r="A13" s="19">
        <v>1231898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612</v>
      </c>
      <c r="J13" s="9">
        <v>380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W13" s="9">
        <f t="shared" si="0"/>
        <v>992</v>
      </c>
      <c r="X13" s="9">
        <f>VLOOKUP(A13,[16]sheet1!$A$2:$X$24,24,0)</f>
        <v>992</v>
      </c>
      <c r="Y13" s="9">
        <f t="shared" si="1"/>
        <v>0</v>
      </c>
    </row>
    <row r="14" spans="1:25">
      <c r="A14" s="19">
        <v>1237586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612</v>
      </c>
      <c r="J14" s="9">
        <v>380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W14" s="9">
        <f t="shared" si="0"/>
        <v>992</v>
      </c>
      <c r="X14" s="9">
        <f>VLOOKUP(A14,[16]sheet1!$A$2:$X$24,24,0)</f>
        <v>992</v>
      </c>
      <c r="Y14" s="9">
        <f t="shared" si="1"/>
        <v>0</v>
      </c>
    </row>
    <row r="15" spans="1:25">
      <c r="A15" s="19">
        <v>1234905</v>
      </c>
      <c r="B15" s="9">
        <v>512</v>
      </c>
      <c r="C15" s="9">
        <v>334</v>
      </c>
      <c r="D15" s="9">
        <v>426</v>
      </c>
      <c r="E15" s="18">
        <v>626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W15" s="9">
        <f t="shared" si="0"/>
        <v>1898</v>
      </c>
      <c r="X15" s="9">
        <f>VLOOKUP(A15,[16]sheet1!$A$2:$X$24,24,0)</f>
        <v>1898</v>
      </c>
      <c r="Y15" s="9">
        <f t="shared" si="1"/>
        <v>0</v>
      </c>
    </row>
    <row r="16" spans="1:25">
      <c r="A16" s="19">
        <v>1238128</v>
      </c>
      <c r="B16" s="9">
        <v>0</v>
      </c>
      <c r="C16" s="9">
        <v>0</v>
      </c>
      <c r="D16" s="9">
        <v>0</v>
      </c>
      <c r="E16" s="18">
        <v>526</v>
      </c>
      <c r="F16" s="9">
        <v>0</v>
      </c>
      <c r="G16" s="9">
        <v>0</v>
      </c>
      <c r="H16" s="9">
        <v>0</v>
      </c>
      <c r="I16" s="9">
        <v>986</v>
      </c>
      <c r="J16" s="9">
        <v>526</v>
      </c>
      <c r="K16" s="9">
        <v>432</v>
      </c>
      <c r="L16" s="9">
        <v>0</v>
      </c>
      <c r="M16" s="9">
        <v>0</v>
      </c>
      <c r="N16" s="9">
        <v>0</v>
      </c>
      <c r="O16" s="9">
        <v>1180</v>
      </c>
      <c r="P16" s="9">
        <v>1180</v>
      </c>
      <c r="Q16" s="9">
        <v>0</v>
      </c>
      <c r="R16" s="9">
        <v>1684</v>
      </c>
      <c r="S16" s="9">
        <v>2940</v>
      </c>
      <c r="T16" s="9">
        <v>0</v>
      </c>
      <c r="U16" s="9">
        <v>0</v>
      </c>
      <c r="W16" s="9">
        <f t="shared" si="0"/>
        <v>9454</v>
      </c>
      <c r="X16" s="9">
        <f>VLOOKUP(A16,[16]sheet1!$A$2:$X$24,24,0)</f>
        <v>9454</v>
      </c>
      <c r="Y16" s="9">
        <f t="shared" si="1"/>
        <v>0</v>
      </c>
    </row>
    <row r="17" spans="1:25">
      <c r="A17" s="19">
        <v>1236962</v>
      </c>
      <c r="B17" s="9">
        <v>200</v>
      </c>
      <c r="C17" s="9">
        <v>422</v>
      </c>
      <c r="D17" s="9">
        <v>200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W17" s="9">
        <f t="shared" si="0"/>
        <v>822</v>
      </c>
      <c r="X17" s="9">
        <f>VLOOKUP(A17,[16]sheet1!$A$2:$X$24,24,0)</f>
        <v>822</v>
      </c>
      <c r="Y17" s="9">
        <f t="shared" si="1"/>
        <v>0</v>
      </c>
    </row>
    <row r="18" spans="1:25">
      <c r="A18" s="19">
        <v>1233761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100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W18" s="9">
        <f t="shared" si="0"/>
        <v>100</v>
      </c>
      <c r="X18" s="9">
        <f>VLOOKUP(A18,[16]sheet1!$A$2:$X$24,24,0)</f>
        <v>100</v>
      </c>
      <c r="Y18" s="9">
        <f t="shared" si="1"/>
        <v>0</v>
      </c>
    </row>
    <row r="19" spans="1:25">
      <c r="A19" s="19">
        <v>1239651</v>
      </c>
      <c r="B19" s="9">
        <v>0</v>
      </c>
      <c r="C19" s="9">
        <v>250</v>
      </c>
      <c r="D19" s="9">
        <v>0</v>
      </c>
      <c r="E19" s="18">
        <v>350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300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W19" s="9">
        <f t="shared" si="0"/>
        <v>900</v>
      </c>
      <c r="X19" s="9">
        <f>VLOOKUP(A19,[16]sheet1!$A$2:$X$24,24,0)</f>
        <v>900</v>
      </c>
      <c r="Y19" s="9">
        <f t="shared" si="1"/>
        <v>0</v>
      </c>
    </row>
    <row r="20" spans="1:25">
      <c r="A20" s="19">
        <v>1240180</v>
      </c>
      <c r="B20" s="9">
        <v>334</v>
      </c>
      <c r="C20" s="9">
        <v>338</v>
      </c>
      <c r="D20" s="9">
        <v>430</v>
      </c>
      <c r="E20" s="18">
        <v>548</v>
      </c>
      <c r="F20" s="9">
        <v>0</v>
      </c>
      <c r="G20" s="9">
        <v>0</v>
      </c>
      <c r="H20" s="9">
        <v>0</v>
      </c>
      <c r="I20" s="9">
        <v>460</v>
      </c>
      <c r="J20" s="9">
        <v>172</v>
      </c>
      <c r="K20" s="9">
        <v>154</v>
      </c>
      <c r="L20" s="9">
        <v>0</v>
      </c>
      <c r="M20" s="9">
        <v>0</v>
      </c>
      <c r="N20" s="9">
        <v>0</v>
      </c>
      <c r="O20" s="9">
        <v>430</v>
      </c>
      <c r="P20" s="9">
        <v>430</v>
      </c>
      <c r="Q20" s="9">
        <v>0</v>
      </c>
      <c r="R20" s="9">
        <v>430</v>
      </c>
      <c r="S20" s="9">
        <v>150</v>
      </c>
      <c r="T20" s="9">
        <v>0</v>
      </c>
      <c r="U20" s="9">
        <v>0</v>
      </c>
      <c r="W20" s="9">
        <f t="shared" si="0"/>
        <v>3876</v>
      </c>
      <c r="X20" s="9">
        <f>VLOOKUP(A20,[16]sheet1!$A$2:$X$24,24,0)</f>
        <v>3876</v>
      </c>
      <c r="Y20" s="9">
        <f t="shared" si="1"/>
        <v>0</v>
      </c>
    </row>
    <row r="21" spans="1:25">
      <c r="A21" s="19">
        <v>1240184</v>
      </c>
      <c r="B21" s="9">
        <v>134</v>
      </c>
      <c r="C21" s="9">
        <v>338</v>
      </c>
      <c r="D21" s="9">
        <v>430</v>
      </c>
      <c r="E21" s="18">
        <v>548</v>
      </c>
      <c r="F21" s="9">
        <v>0</v>
      </c>
      <c r="G21" s="9">
        <v>0</v>
      </c>
      <c r="H21" s="9">
        <v>0</v>
      </c>
      <c r="I21" s="9">
        <v>460</v>
      </c>
      <c r="J21" s="9">
        <v>172</v>
      </c>
      <c r="K21" s="9">
        <v>154</v>
      </c>
      <c r="L21" s="9">
        <v>0</v>
      </c>
      <c r="M21" s="9">
        <v>0</v>
      </c>
      <c r="N21" s="9">
        <v>0</v>
      </c>
      <c r="O21" s="9">
        <v>430</v>
      </c>
      <c r="P21" s="9">
        <v>430</v>
      </c>
      <c r="Q21" s="9">
        <v>0</v>
      </c>
      <c r="R21" s="9">
        <v>430</v>
      </c>
      <c r="S21" s="9">
        <v>150</v>
      </c>
      <c r="T21" s="9">
        <v>0</v>
      </c>
      <c r="U21" s="9">
        <v>0</v>
      </c>
      <c r="W21" s="9">
        <f t="shared" si="0"/>
        <v>3676</v>
      </c>
      <c r="X21" s="9">
        <f>VLOOKUP(A21,[16]sheet1!$A$2:$X$24,24,0)</f>
        <v>3676</v>
      </c>
      <c r="Y21" s="9">
        <f t="shared" si="1"/>
        <v>0</v>
      </c>
    </row>
    <row r="22" spans="1:25">
      <c r="A22" s="19">
        <v>1241601</v>
      </c>
      <c r="B22" s="9">
        <v>800</v>
      </c>
      <c r="C22" s="9">
        <v>600</v>
      </c>
      <c r="D22" s="9">
        <v>0</v>
      </c>
      <c r="E22" s="18">
        <v>1246</v>
      </c>
      <c r="F22" s="9">
        <v>0</v>
      </c>
      <c r="G22" s="9">
        <v>0</v>
      </c>
      <c r="H22" s="9">
        <v>0</v>
      </c>
      <c r="I22" s="9">
        <v>700</v>
      </c>
      <c r="J22" s="9">
        <v>788</v>
      </c>
      <c r="K22" s="9">
        <v>658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W22" s="9">
        <f t="shared" si="0"/>
        <v>4792</v>
      </c>
      <c r="X22" s="9">
        <f>VLOOKUP(A22,[16]sheet1!$A$2:$X$24,24,0)</f>
        <v>4792</v>
      </c>
      <c r="Y22" s="9">
        <f t="shared" si="1"/>
        <v>0</v>
      </c>
    </row>
    <row r="23" spans="1:25">
      <c r="A23" s="19">
        <v>1240308</v>
      </c>
      <c r="B23" s="9">
        <v>0</v>
      </c>
      <c r="C23" s="9">
        <v>0</v>
      </c>
      <c r="D23" s="9">
        <v>300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W23" s="9">
        <f t="shared" si="0"/>
        <v>300</v>
      </c>
      <c r="X23" s="9">
        <f>VLOOKUP(A23,[16]sheet1!$A$2:$X$24,24,0)</f>
        <v>300</v>
      </c>
      <c r="Y23" s="9">
        <f t="shared" si="1"/>
        <v>0</v>
      </c>
    </row>
    <row r="24" spans="1:25">
      <c r="A24" s="100">
        <v>1242242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52</v>
      </c>
      <c r="T24" s="9">
        <v>0</v>
      </c>
      <c r="U24" s="9">
        <v>0</v>
      </c>
      <c r="W24" s="9">
        <f t="shared" si="0"/>
        <v>52</v>
      </c>
      <c r="X24" s="9">
        <f>VLOOKUP(A24,[16]sheet1!$A$2:$X$24,24,0)</f>
        <v>52</v>
      </c>
      <c r="Y24" s="9">
        <f t="shared" si="1"/>
        <v>0</v>
      </c>
    </row>
    <row r="26" spans="1:25">
      <c r="B26" s="9">
        <f>SUM(B2:B25)</f>
        <v>2690</v>
      </c>
      <c r="C26" s="9">
        <f t="shared" ref="C26:U26" si="2">SUM(C2:C25)</f>
        <v>3054</v>
      </c>
      <c r="D26" s="9">
        <f t="shared" si="2"/>
        <v>3484</v>
      </c>
      <c r="E26" s="9">
        <f t="shared" si="2"/>
        <v>5300</v>
      </c>
      <c r="F26" s="9">
        <f t="shared" si="2"/>
        <v>0</v>
      </c>
      <c r="G26" s="9">
        <f t="shared" si="2"/>
        <v>0</v>
      </c>
      <c r="H26" s="9">
        <f t="shared" si="2"/>
        <v>0</v>
      </c>
      <c r="I26" s="9">
        <f t="shared" si="2"/>
        <v>4792</v>
      </c>
      <c r="J26" s="9">
        <f t="shared" si="2"/>
        <v>4298</v>
      </c>
      <c r="K26" s="9">
        <f t="shared" si="2"/>
        <v>3824</v>
      </c>
      <c r="L26" s="9">
        <f t="shared" si="2"/>
        <v>0</v>
      </c>
      <c r="M26" s="9">
        <f t="shared" si="2"/>
        <v>0</v>
      </c>
      <c r="N26" s="9">
        <f t="shared" si="2"/>
        <v>0</v>
      </c>
      <c r="O26" s="9">
        <f t="shared" si="2"/>
        <v>3680</v>
      </c>
      <c r="P26" s="9">
        <f t="shared" si="2"/>
        <v>4452</v>
      </c>
      <c r="Q26" s="9">
        <f t="shared" si="2"/>
        <v>0</v>
      </c>
      <c r="R26" s="9">
        <f t="shared" si="2"/>
        <v>4050</v>
      </c>
      <c r="S26" s="9">
        <f t="shared" si="2"/>
        <v>4758</v>
      </c>
      <c r="T26" s="9">
        <f t="shared" si="2"/>
        <v>0</v>
      </c>
      <c r="U26" s="9">
        <f t="shared" si="2"/>
        <v>0</v>
      </c>
    </row>
    <row r="27" spans="1:25">
      <c r="B27" s="9">
        <v>2690</v>
      </c>
      <c r="C27" s="9">
        <v>3054</v>
      </c>
      <c r="D27" s="9">
        <v>3484</v>
      </c>
      <c r="E27" s="9">
        <v>5300</v>
      </c>
      <c r="F27" s="9">
        <v>0</v>
      </c>
      <c r="G27" s="9">
        <v>0</v>
      </c>
      <c r="H27" s="9">
        <v>0</v>
      </c>
      <c r="I27" s="9">
        <v>4792</v>
      </c>
      <c r="J27" s="9">
        <v>4298</v>
      </c>
      <c r="K27" s="9">
        <v>3824</v>
      </c>
      <c r="L27" s="9">
        <v>0</v>
      </c>
      <c r="M27" s="9">
        <v>0</v>
      </c>
      <c r="N27" s="9">
        <v>0</v>
      </c>
      <c r="O27" s="9">
        <v>3680</v>
      </c>
      <c r="P27" s="9">
        <v>4452</v>
      </c>
      <c r="Q27" s="9">
        <v>0</v>
      </c>
      <c r="R27" s="9">
        <v>4050</v>
      </c>
      <c r="S27" s="9">
        <v>4758</v>
      </c>
      <c r="T27" s="9">
        <v>0</v>
      </c>
      <c r="U27" s="9">
        <v>0</v>
      </c>
      <c r="V27" s="9">
        <v>0</v>
      </c>
    </row>
    <row r="28" spans="1:25">
      <c r="B28" s="9">
        <f>+B26-B27</f>
        <v>0</v>
      </c>
      <c r="C28" s="9">
        <f t="shared" ref="C28:U28" si="3">+C26-C27</f>
        <v>0</v>
      </c>
      <c r="D28" s="9">
        <f t="shared" si="3"/>
        <v>0</v>
      </c>
      <c r="E28" s="9">
        <f t="shared" si="3"/>
        <v>0</v>
      </c>
      <c r="F28" s="9">
        <f t="shared" si="3"/>
        <v>0</v>
      </c>
      <c r="G28" s="9">
        <f t="shared" si="3"/>
        <v>0</v>
      </c>
      <c r="H28" s="9">
        <f t="shared" si="3"/>
        <v>0</v>
      </c>
      <c r="I28" s="9">
        <f t="shared" si="3"/>
        <v>0</v>
      </c>
      <c r="J28" s="9">
        <f t="shared" si="3"/>
        <v>0</v>
      </c>
      <c r="K28" s="9">
        <f t="shared" si="3"/>
        <v>0</v>
      </c>
      <c r="L28" s="9">
        <f t="shared" si="3"/>
        <v>0</v>
      </c>
      <c r="M28" s="9">
        <f t="shared" si="3"/>
        <v>0</v>
      </c>
      <c r="N28" s="9">
        <f t="shared" si="3"/>
        <v>0</v>
      </c>
      <c r="O28" s="9">
        <f t="shared" si="3"/>
        <v>0</v>
      </c>
      <c r="P28" s="9">
        <f t="shared" si="3"/>
        <v>0</v>
      </c>
      <c r="Q28" s="9">
        <f t="shared" si="3"/>
        <v>0</v>
      </c>
      <c r="R28" s="9">
        <f t="shared" si="3"/>
        <v>0</v>
      </c>
      <c r="S28" s="9">
        <f t="shared" si="3"/>
        <v>0</v>
      </c>
      <c r="T28" s="9">
        <f t="shared" si="3"/>
        <v>0</v>
      </c>
      <c r="U28" s="9">
        <f t="shared" si="3"/>
        <v>0</v>
      </c>
    </row>
    <row r="32" spans="1:25">
      <c r="A32" s="19" t="s">
        <v>0</v>
      </c>
      <c r="B32" s="9" t="s">
        <v>1259</v>
      </c>
      <c r="C32" s="9" t="s">
        <v>1260</v>
      </c>
      <c r="D32" s="9" t="s">
        <v>1261</v>
      </c>
      <c r="E32" s="9" t="s">
        <v>1262</v>
      </c>
      <c r="F32" s="9" t="s">
        <v>1263</v>
      </c>
      <c r="G32" s="9" t="s">
        <v>1264</v>
      </c>
      <c r="H32" s="9" t="s">
        <v>1266</v>
      </c>
      <c r="I32" s="9" t="s">
        <v>1267</v>
      </c>
      <c r="J32" s="9" t="s">
        <v>1268</v>
      </c>
      <c r="K32" s="9" t="s">
        <v>1269</v>
      </c>
      <c r="L32" s="9" t="s">
        <v>1270</v>
      </c>
      <c r="M32" s="9" t="s">
        <v>1271</v>
      </c>
      <c r="N32" s="9" t="s">
        <v>1272</v>
      </c>
      <c r="O32" s="9" t="s">
        <v>1274</v>
      </c>
      <c r="P32" s="9" t="s">
        <v>1275</v>
      </c>
      <c r="Q32" s="9" t="s">
        <v>1276</v>
      </c>
      <c r="R32" s="9" t="s">
        <v>1277</v>
      </c>
      <c r="S32" s="9" t="s">
        <v>1278</v>
      </c>
      <c r="T32" s="9" t="s">
        <v>1279</v>
      </c>
      <c r="U32" s="9" t="s">
        <v>1280</v>
      </c>
    </row>
    <row r="33" spans="1:21">
      <c r="A33" s="19">
        <v>1237608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190</v>
      </c>
      <c r="Q33" s="9">
        <v>0</v>
      </c>
      <c r="R33" s="9">
        <v>180</v>
      </c>
      <c r="S33" s="9">
        <v>180</v>
      </c>
      <c r="T33" s="9">
        <v>0</v>
      </c>
      <c r="U33" s="9">
        <v>0</v>
      </c>
    </row>
    <row r="34" spans="1:21">
      <c r="A34" s="19">
        <v>1232846</v>
      </c>
      <c r="B34" s="98">
        <v>352</v>
      </c>
      <c r="C34" s="98">
        <v>205</v>
      </c>
      <c r="D34" s="98">
        <v>0</v>
      </c>
      <c r="E34" s="98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</row>
    <row r="35" spans="1:21">
      <c r="A35" s="19">
        <v>1232895</v>
      </c>
      <c r="B35" s="98">
        <v>352</v>
      </c>
      <c r="C35" s="98">
        <v>205</v>
      </c>
      <c r="D35" s="98">
        <v>0</v>
      </c>
      <c r="E35" s="98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>
      <c r="A36" s="19">
        <v>1233384</v>
      </c>
      <c r="B36" s="98">
        <v>352</v>
      </c>
      <c r="C36" s="98">
        <v>205</v>
      </c>
      <c r="D36" s="98">
        <v>0</v>
      </c>
      <c r="E36" s="98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19">
        <v>1233165</v>
      </c>
      <c r="B37" s="98">
        <v>0</v>
      </c>
      <c r="C37" s="98">
        <v>0</v>
      </c>
      <c r="D37" s="98">
        <v>0</v>
      </c>
      <c r="E37" s="98">
        <v>0</v>
      </c>
      <c r="F37" s="9">
        <v>0</v>
      </c>
      <c r="G37" s="9">
        <v>0</v>
      </c>
      <c r="H37" s="9">
        <v>0</v>
      </c>
      <c r="I37" s="9">
        <v>79</v>
      </c>
      <c r="J37" s="9">
        <v>297</v>
      </c>
      <c r="K37" s="9">
        <v>10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38" spans="1:21">
      <c r="A38" s="19">
        <v>1232775</v>
      </c>
      <c r="B38" s="98">
        <v>245</v>
      </c>
      <c r="C38" s="98">
        <v>332</v>
      </c>
      <c r="D38" s="98">
        <v>484</v>
      </c>
      <c r="E38" s="98">
        <v>222</v>
      </c>
      <c r="F38" s="9">
        <v>0</v>
      </c>
      <c r="G38" s="9">
        <v>0</v>
      </c>
      <c r="H38" s="9">
        <v>0</v>
      </c>
      <c r="I38" s="9">
        <v>314</v>
      </c>
      <c r="J38" s="9">
        <v>0</v>
      </c>
      <c r="K38" s="9">
        <v>225</v>
      </c>
      <c r="L38" s="9">
        <v>0</v>
      </c>
      <c r="M38" s="9">
        <v>0</v>
      </c>
      <c r="N38" s="9">
        <v>0</v>
      </c>
      <c r="O38" s="9">
        <v>254</v>
      </c>
      <c r="P38" s="9">
        <v>415</v>
      </c>
      <c r="Q38" s="9">
        <v>0</v>
      </c>
      <c r="R38" s="9">
        <v>330</v>
      </c>
      <c r="S38" s="9">
        <v>242</v>
      </c>
      <c r="T38" s="9">
        <v>0</v>
      </c>
      <c r="U38" s="9">
        <v>0</v>
      </c>
    </row>
    <row r="39" spans="1:21">
      <c r="A39" s="19">
        <v>1238605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107</v>
      </c>
      <c r="S39" s="9">
        <v>191</v>
      </c>
      <c r="T39" s="9">
        <v>0</v>
      </c>
      <c r="U39" s="9">
        <v>0</v>
      </c>
    </row>
    <row r="42" spans="1:21">
      <c r="A42" s="19" t="s">
        <v>0</v>
      </c>
      <c r="B42" s="9" t="s">
        <v>1259</v>
      </c>
      <c r="C42" s="9" t="s">
        <v>1260</v>
      </c>
      <c r="D42" s="9" t="s">
        <v>1261</v>
      </c>
      <c r="E42" s="9" t="s">
        <v>1262</v>
      </c>
      <c r="F42" s="9" t="s">
        <v>1263</v>
      </c>
      <c r="G42" s="9" t="s">
        <v>1264</v>
      </c>
      <c r="H42" s="9" t="s">
        <v>1266</v>
      </c>
      <c r="I42" s="9" t="s">
        <v>1267</v>
      </c>
      <c r="J42" s="9" t="s">
        <v>1268</v>
      </c>
      <c r="K42" s="9" t="s">
        <v>1269</v>
      </c>
      <c r="L42" s="9" t="s">
        <v>1270</v>
      </c>
      <c r="M42" s="9" t="s">
        <v>1271</v>
      </c>
      <c r="N42" s="9" t="s">
        <v>1272</v>
      </c>
      <c r="O42" s="9" t="s">
        <v>1274</v>
      </c>
      <c r="P42" s="9" t="s">
        <v>1275</v>
      </c>
      <c r="Q42" s="9" t="s">
        <v>1276</v>
      </c>
      <c r="R42" s="9" t="s">
        <v>1277</v>
      </c>
      <c r="S42" s="9" t="s">
        <v>1278</v>
      </c>
      <c r="T42" s="9" t="s">
        <v>1279</v>
      </c>
      <c r="U42" s="9" t="s">
        <v>1280</v>
      </c>
    </row>
    <row r="43" spans="1:21">
      <c r="A43" s="19">
        <v>1234614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173</v>
      </c>
      <c r="Q43" s="9">
        <v>0</v>
      </c>
      <c r="R43" s="9">
        <v>400</v>
      </c>
      <c r="S43" s="9">
        <v>324</v>
      </c>
      <c r="T43" s="9">
        <v>0</v>
      </c>
      <c r="U43" s="9">
        <v>0</v>
      </c>
    </row>
    <row r="44" spans="1:21">
      <c r="A44" s="19">
        <v>1221967</v>
      </c>
      <c r="B44" s="9">
        <v>0</v>
      </c>
      <c r="C44" s="9">
        <v>165</v>
      </c>
      <c r="D44" s="9">
        <v>111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19">
        <v>1227306</v>
      </c>
      <c r="B45" s="9">
        <v>0</v>
      </c>
      <c r="C45" s="9">
        <v>0</v>
      </c>
      <c r="D45" s="9">
        <v>97</v>
      </c>
      <c r="E45" s="9">
        <v>487</v>
      </c>
      <c r="F45" s="9">
        <v>0</v>
      </c>
      <c r="G45" s="9">
        <v>0</v>
      </c>
      <c r="H45" s="9">
        <v>0</v>
      </c>
      <c r="I45" s="9">
        <v>16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100</v>
      </c>
      <c r="S45" s="9">
        <v>300</v>
      </c>
      <c r="T45" s="9">
        <v>0</v>
      </c>
      <c r="U45" s="9">
        <v>0</v>
      </c>
    </row>
    <row r="46" spans="1:21">
      <c r="A46" s="19">
        <v>1225464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760</v>
      </c>
      <c r="T46" s="9">
        <v>0</v>
      </c>
      <c r="U46" s="9">
        <v>0</v>
      </c>
    </row>
    <row r="47" spans="1:21">
      <c r="A47" s="19">
        <v>1231797</v>
      </c>
      <c r="B47" s="9">
        <v>71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19">
        <v>1229776</v>
      </c>
      <c r="B48" s="9">
        <v>0</v>
      </c>
      <c r="C48" s="9">
        <v>0</v>
      </c>
      <c r="D48" s="9">
        <v>14</v>
      </c>
      <c r="E48" s="9">
        <v>166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90</v>
      </c>
      <c r="T48" s="9">
        <v>0</v>
      </c>
      <c r="U48" s="9">
        <v>0</v>
      </c>
    </row>
    <row r="49" spans="1:21">
      <c r="A49" s="19">
        <v>1231090</v>
      </c>
      <c r="B49" s="9">
        <v>0</v>
      </c>
      <c r="C49" s="9">
        <v>0</v>
      </c>
      <c r="D49" s="9">
        <v>14</v>
      </c>
      <c r="E49" s="9">
        <v>166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410</v>
      </c>
      <c r="S49" s="9">
        <v>1830</v>
      </c>
      <c r="T49" s="9">
        <v>0</v>
      </c>
      <c r="U49" s="9">
        <v>0</v>
      </c>
    </row>
    <row r="50" spans="1:21">
      <c r="A50" s="19">
        <v>1232066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756</v>
      </c>
      <c r="T50" s="9">
        <v>0</v>
      </c>
      <c r="U50" s="9">
        <v>0</v>
      </c>
    </row>
    <row r="51" spans="1:21">
      <c r="A51" s="19">
        <v>1229088</v>
      </c>
      <c r="B51" s="9">
        <v>78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19">
        <v>1231860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100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19">
        <v>1232693</v>
      </c>
      <c r="B53" s="9">
        <v>179</v>
      </c>
      <c r="C53" s="9">
        <v>777</v>
      </c>
      <c r="D53" s="9">
        <v>217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2289</v>
      </c>
      <c r="T53" s="9">
        <v>0</v>
      </c>
      <c r="U53" s="9">
        <v>0</v>
      </c>
    </row>
    <row r="54" spans="1:21">
      <c r="A54" s="19">
        <v>1233025</v>
      </c>
      <c r="B54" s="9">
        <v>179</v>
      </c>
      <c r="C54" s="9">
        <v>777</v>
      </c>
      <c r="D54" s="9">
        <v>217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2289</v>
      </c>
      <c r="T54" s="9">
        <v>0</v>
      </c>
      <c r="U54" s="9">
        <v>0</v>
      </c>
    </row>
    <row r="55" spans="1:21">
      <c r="A55" s="19">
        <v>1234222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510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60</v>
      </c>
      <c r="T55" s="9">
        <v>0</v>
      </c>
      <c r="U55" s="9">
        <v>0</v>
      </c>
    </row>
    <row r="56" spans="1:21">
      <c r="A56" s="19">
        <v>1232528</v>
      </c>
      <c r="B56" s="9">
        <v>1295</v>
      </c>
      <c r="C56" s="9">
        <v>1028</v>
      </c>
      <c r="D56" s="9">
        <v>1385</v>
      </c>
      <c r="E56" s="9">
        <v>2848</v>
      </c>
      <c r="F56" s="9">
        <v>0</v>
      </c>
      <c r="G56" s="9">
        <v>0</v>
      </c>
      <c r="H56" s="9">
        <v>0</v>
      </c>
      <c r="I56" s="9">
        <v>2554</v>
      </c>
      <c r="J56" s="9">
        <v>2014</v>
      </c>
      <c r="K56" s="9">
        <v>2548</v>
      </c>
      <c r="L56" s="9">
        <v>0</v>
      </c>
      <c r="M56" s="9">
        <v>0</v>
      </c>
      <c r="N56" s="9">
        <v>0</v>
      </c>
      <c r="O56" s="9">
        <v>1883</v>
      </c>
      <c r="P56" s="9">
        <v>2248</v>
      </c>
      <c r="Q56" s="9">
        <v>0</v>
      </c>
      <c r="R56" s="9">
        <v>1186</v>
      </c>
      <c r="S56" s="9">
        <v>17951</v>
      </c>
      <c r="T56" s="9">
        <v>0</v>
      </c>
      <c r="U56" s="9">
        <v>0</v>
      </c>
    </row>
    <row r="57" spans="1:21">
      <c r="A57" s="19">
        <v>1232846</v>
      </c>
      <c r="B57" s="9">
        <v>0</v>
      </c>
      <c r="C57" s="9">
        <v>0</v>
      </c>
      <c r="D57" s="9">
        <v>3</v>
      </c>
      <c r="E57" s="9">
        <v>715</v>
      </c>
      <c r="F57" s="9">
        <v>0</v>
      </c>
      <c r="G57" s="9">
        <v>0</v>
      </c>
      <c r="H57" s="9">
        <v>0</v>
      </c>
      <c r="I57" s="9">
        <v>715</v>
      </c>
      <c r="J57" s="9">
        <v>295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576</v>
      </c>
      <c r="T57" s="9">
        <v>0</v>
      </c>
      <c r="U57" s="9">
        <v>0</v>
      </c>
    </row>
    <row r="58" spans="1:21">
      <c r="A58" s="19">
        <v>1229050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462</v>
      </c>
      <c r="J58" s="9">
        <v>58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395</v>
      </c>
      <c r="T58" s="9">
        <v>0</v>
      </c>
      <c r="U58" s="9">
        <v>0</v>
      </c>
    </row>
    <row r="59" spans="1:21">
      <c r="A59" s="19">
        <v>1233383</v>
      </c>
      <c r="B59" s="9">
        <v>0</v>
      </c>
      <c r="C59" s="9">
        <v>0</v>
      </c>
      <c r="D59" s="9">
        <v>156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>
      <c r="A60" s="19">
        <v>1220847</v>
      </c>
      <c r="B60" s="9">
        <v>542</v>
      </c>
      <c r="C60" s="9">
        <v>238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219</v>
      </c>
      <c r="J60" s="9">
        <v>426</v>
      </c>
      <c r="K60" s="9">
        <v>230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571</v>
      </c>
      <c r="S60" s="9">
        <v>2964</v>
      </c>
      <c r="T60" s="9">
        <v>0</v>
      </c>
      <c r="U60" s="9">
        <v>0</v>
      </c>
    </row>
    <row r="61" spans="1:21">
      <c r="A61" s="19">
        <v>1232775</v>
      </c>
      <c r="B61" s="9">
        <v>322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392</v>
      </c>
      <c r="T61" s="9">
        <v>0</v>
      </c>
      <c r="U61" s="9">
        <v>0</v>
      </c>
    </row>
    <row r="62" spans="1:21">
      <c r="A62" s="19">
        <v>1235097</v>
      </c>
      <c r="B62" s="9">
        <v>268</v>
      </c>
      <c r="C62" s="9">
        <v>32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100</v>
      </c>
      <c r="P62" s="9">
        <v>200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19">
        <v>1235958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25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19">
        <v>1235845</v>
      </c>
      <c r="B64" s="9">
        <v>0</v>
      </c>
      <c r="C64" s="9">
        <v>0</v>
      </c>
      <c r="D64" s="9">
        <v>0</v>
      </c>
      <c r="E64" s="9">
        <v>100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>
      <c r="A65" s="19">
        <v>1236600</v>
      </c>
      <c r="B65" s="9">
        <v>533</v>
      </c>
      <c r="C65" s="9">
        <v>419</v>
      </c>
      <c r="D65" s="9">
        <v>128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19">
        <v>1236601</v>
      </c>
      <c r="B66" s="9">
        <v>0</v>
      </c>
      <c r="C66" s="9">
        <v>0</v>
      </c>
      <c r="D66" s="9">
        <v>27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</row>
    <row r="67" spans="1:21">
      <c r="A67" s="19">
        <v>1236930</v>
      </c>
      <c r="B67" s="9">
        <v>392</v>
      </c>
      <c r="C67" s="9">
        <v>311</v>
      </c>
      <c r="D67" s="9">
        <v>395</v>
      </c>
      <c r="E67" s="9">
        <v>701</v>
      </c>
      <c r="F67" s="9">
        <v>0</v>
      </c>
      <c r="G67" s="9">
        <v>0</v>
      </c>
      <c r="H67" s="9">
        <v>0</v>
      </c>
      <c r="I67" s="9">
        <v>421</v>
      </c>
      <c r="J67" s="9">
        <v>530</v>
      </c>
      <c r="K67" s="9">
        <v>720</v>
      </c>
      <c r="L67" s="9">
        <v>0</v>
      </c>
      <c r="M67" s="9">
        <v>0</v>
      </c>
      <c r="N67" s="9">
        <v>0</v>
      </c>
      <c r="O67" s="9">
        <v>669</v>
      </c>
      <c r="P67" s="9">
        <v>420</v>
      </c>
      <c r="Q67" s="9">
        <v>0</v>
      </c>
      <c r="R67" s="9">
        <v>420</v>
      </c>
      <c r="S67" s="9">
        <v>4538</v>
      </c>
      <c r="T67" s="9">
        <v>0</v>
      </c>
      <c r="U67" s="9">
        <v>0</v>
      </c>
    </row>
    <row r="68" spans="1:21">
      <c r="A68" s="19">
        <v>1237468</v>
      </c>
      <c r="B68" s="9">
        <v>0</v>
      </c>
      <c r="C68" s="9">
        <v>0</v>
      </c>
      <c r="D68" s="9">
        <v>144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498</v>
      </c>
      <c r="T68" s="9">
        <v>0</v>
      </c>
      <c r="U68" s="9">
        <v>0</v>
      </c>
    </row>
    <row r="69" spans="1:21">
      <c r="A69" s="19">
        <v>1237210</v>
      </c>
      <c r="B69" s="9">
        <v>0</v>
      </c>
      <c r="C69" s="9">
        <v>0</v>
      </c>
      <c r="D69" s="9">
        <v>348</v>
      </c>
      <c r="E69" s="9">
        <v>27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19">
        <v>1237386</v>
      </c>
      <c r="B70" s="9">
        <v>0</v>
      </c>
      <c r="C70" s="9">
        <v>0</v>
      </c>
      <c r="D70" s="9">
        <v>180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</row>
    <row r="71" spans="1:21">
      <c r="A71" s="19">
        <v>1238480</v>
      </c>
      <c r="B71" s="9">
        <v>365</v>
      </c>
      <c r="C71" s="9">
        <v>267</v>
      </c>
      <c r="D71" s="9">
        <v>236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200</v>
      </c>
      <c r="L71" s="9">
        <v>0</v>
      </c>
      <c r="M71" s="9">
        <v>0</v>
      </c>
      <c r="N71" s="9">
        <v>0</v>
      </c>
      <c r="O71" s="9">
        <v>390</v>
      </c>
      <c r="P71" s="9">
        <v>550</v>
      </c>
      <c r="Q71" s="9">
        <v>0</v>
      </c>
      <c r="R71" s="9">
        <v>80</v>
      </c>
      <c r="S71" s="9">
        <v>27156</v>
      </c>
      <c r="T71" s="9">
        <v>0</v>
      </c>
      <c r="U71" s="9">
        <v>0</v>
      </c>
    </row>
    <row r="72" spans="1:21">
      <c r="A72" s="19">
        <v>1240180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500</v>
      </c>
      <c r="T72" s="9">
        <v>0</v>
      </c>
      <c r="U72" s="9">
        <v>0</v>
      </c>
    </row>
    <row r="73" spans="1:21">
      <c r="A73" s="19">
        <v>1240184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500</v>
      </c>
      <c r="T73" s="9">
        <v>0</v>
      </c>
      <c r="U73" s="9">
        <v>0</v>
      </c>
    </row>
    <row r="74" spans="1:21">
      <c r="A74" s="19">
        <v>1241343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36</v>
      </c>
      <c r="S74" s="9">
        <v>0</v>
      </c>
      <c r="T74" s="9">
        <v>0</v>
      </c>
      <c r="U74" s="9">
        <v>0</v>
      </c>
    </row>
    <row r="75" spans="1:21">
      <c r="A75" s="19">
        <v>1241347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36</v>
      </c>
      <c r="S75" s="9">
        <v>0</v>
      </c>
      <c r="T75" s="9">
        <v>0</v>
      </c>
      <c r="U75" s="9">
        <v>0</v>
      </c>
    </row>
    <row r="76" spans="1:21">
      <c r="A76" s="19">
        <v>1241480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72</v>
      </c>
      <c r="T76" s="9">
        <v>0</v>
      </c>
      <c r="U76" s="9">
        <v>0</v>
      </c>
    </row>
    <row r="77" spans="1:21">
      <c r="A77" s="19">
        <v>1241474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23</v>
      </c>
      <c r="T77" s="9">
        <v>0</v>
      </c>
      <c r="U77" s="9">
        <v>0</v>
      </c>
    </row>
    <row r="78" spans="1:21">
      <c r="A78" s="19">
        <v>1241387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107</v>
      </c>
      <c r="S78" s="9">
        <v>0</v>
      </c>
      <c r="T78" s="9">
        <v>0</v>
      </c>
      <c r="U78" s="9">
        <v>0</v>
      </c>
    </row>
    <row r="79" spans="1:21">
      <c r="A79" s="19">
        <v>1238453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1272</v>
      </c>
      <c r="T79" s="9">
        <v>0</v>
      </c>
      <c r="U79" s="9">
        <v>0</v>
      </c>
    </row>
    <row r="80" spans="1:21">
      <c r="A80" s="19">
        <v>1216452</v>
      </c>
      <c r="B80" s="9">
        <v>0</v>
      </c>
      <c r="C80" s="9">
        <v>0</v>
      </c>
      <c r="D80" s="9">
        <v>324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1080</v>
      </c>
      <c r="S80" s="9">
        <v>1050</v>
      </c>
      <c r="T80" s="9">
        <v>0</v>
      </c>
      <c r="U80" s="9">
        <v>1723</v>
      </c>
    </row>
    <row r="81" spans="1:21">
      <c r="A81" s="19">
        <v>1215693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4</v>
      </c>
    </row>
    <row r="82" spans="1:21">
      <c r="A82" s="19">
        <v>1232894</v>
      </c>
      <c r="B82" s="9">
        <v>0</v>
      </c>
      <c r="C82" s="9">
        <v>0</v>
      </c>
      <c r="D82" s="9">
        <v>3</v>
      </c>
      <c r="E82" s="9">
        <v>715</v>
      </c>
      <c r="F82" s="9">
        <v>0</v>
      </c>
      <c r="G82" s="9">
        <v>0</v>
      </c>
      <c r="H82" s="9">
        <v>0</v>
      </c>
      <c r="I82" s="9">
        <v>715</v>
      </c>
      <c r="J82" s="9">
        <v>295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576</v>
      </c>
    </row>
    <row r="83" spans="1:21">
      <c r="A83" s="19">
        <v>1233387</v>
      </c>
      <c r="B83" s="9">
        <v>0</v>
      </c>
      <c r="C83" s="9">
        <v>0</v>
      </c>
      <c r="D83" s="9">
        <v>3</v>
      </c>
      <c r="E83" s="9">
        <v>715</v>
      </c>
      <c r="F83" s="9">
        <v>0</v>
      </c>
      <c r="G83" s="9">
        <v>0</v>
      </c>
      <c r="H83" s="9">
        <v>0</v>
      </c>
      <c r="I83" s="9">
        <v>715</v>
      </c>
      <c r="J83" s="9">
        <v>295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</row>
    <row r="84" spans="1:21">
      <c r="A84" s="19">
        <v>1233385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576</v>
      </c>
    </row>
  </sheetData>
  <autoFilter ref="A1:U24" xr:uid="{DC27374B-AE3E-499F-8F00-4100FF9425DC}"/>
  <phoneticPr fontId="11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E2A4-DB6D-46BD-ABEB-66AD519C8DDB}">
  <dimension ref="A1:X81"/>
  <sheetViews>
    <sheetView topLeftCell="A48" zoomScale="115" zoomScaleNormal="115" workbookViewId="0">
      <selection activeCell="M65" sqref="M65"/>
    </sheetView>
  </sheetViews>
  <sheetFormatPr defaultColWidth="9.33203125" defaultRowHeight="12"/>
  <cols>
    <col min="1" max="1" width="10.1640625" style="5" bestFit="1" customWidth="1"/>
    <col min="2" max="2" width="9.6640625" style="9" bestFit="1" customWidth="1"/>
    <col min="3" max="17" width="9.6640625" style="9" customWidth="1"/>
    <col min="18" max="18" width="10.1640625" style="9" customWidth="1"/>
    <col min="19" max="19" width="9.6640625" style="9" customWidth="1"/>
    <col min="20" max="20" width="9.6640625" style="9" bestFit="1" customWidth="1"/>
    <col min="21" max="16384" width="9.33203125" style="5"/>
  </cols>
  <sheetData>
    <row r="1" spans="1:24">
      <c r="A1" s="74" t="s">
        <v>0</v>
      </c>
      <c r="B1" s="9" t="s">
        <v>1260</v>
      </c>
      <c r="C1" s="69" t="s">
        <v>1261</v>
      </c>
      <c r="D1" s="69" t="s">
        <v>1262</v>
      </c>
      <c r="E1" s="69" t="s">
        <v>1263</v>
      </c>
      <c r="F1" s="70" t="s">
        <v>1264</v>
      </c>
      <c r="G1" s="69" t="s">
        <v>1266</v>
      </c>
      <c r="H1" s="69" t="s">
        <v>1267</v>
      </c>
      <c r="I1" s="69" t="s">
        <v>1268</v>
      </c>
      <c r="J1" s="69" t="s">
        <v>1269</v>
      </c>
      <c r="K1" s="69" t="s">
        <v>1270</v>
      </c>
      <c r="L1" s="69" t="s">
        <v>1271</v>
      </c>
      <c r="M1" s="70" t="s">
        <v>1272</v>
      </c>
      <c r="N1" s="69" t="s">
        <v>1274</v>
      </c>
      <c r="O1" s="69" t="s">
        <v>1275</v>
      </c>
      <c r="P1" s="69" t="s">
        <v>1276</v>
      </c>
      <c r="Q1" s="69" t="s">
        <v>1277</v>
      </c>
      <c r="R1" s="69" t="s">
        <v>1278</v>
      </c>
      <c r="S1" s="69" t="s">
        <v>1279</v>
      </c>
      <c r="T1" s="70" t="s">
        <v>1280</v>
      </c>
    </row>
    <row r="2" spans="1:24">
      <c r="A2" s="30">
        <v>1226384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160</v>
      </c>
      <c r="O2" s="32">
        <v>350</v>
      </c>
      <c r="P2" s="32">
        <v>0</v>
      </c>
      <c r="Q2" s="32">
        <v>250</v>
      </c>
      <c r="R2" s="32">
        <v>300</v>
      </c>
      <c r="S2" s="32">
        <v>0</v>
      </c>
      <c r="T2" s="32">
        <v>0</v>
      </c>
      <c r="V2" s="78">
        <f>SUM(B2:T2)</f>
        <v>1060</v>
      </c>
      <c r="W2" s="5">
        <f>VLOOKUP(A2,[17]sheet1!$A$2:$V$24,22,0)</f>
        <v>1060</v>
      </c>
      <c r="X2" s="78">
        <f>+V2-W2</f>
        <v>0</v>
      </c>
    </row>
    <row r="3" spans="1:24">
      <c r="A3" s="30">
        <v>1226388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160</v>
      </c>
      <c r="O3" s="32">
        <v>350</v>
      </c>
      <c r="P3" s="32">
        <v>0</v>
      </c>
      <c r="Q3" s="32">
        <v>250</v>
      </c>
      <c r="R3" s="32">
        <v>300</v>
      </c>
      <c r="S3" s="32">
        <v>0</v>
      </c>
      <c r="T3" s="32">
        <v>0</v>
      </c>
      <c r="V3" s="78">
        <f t="shared" ref="V3:V24" si="0">SUM(B3:T3)</f>
        <v>1060</v>
      </c>
      <c r="W3" s="5">
        <f>VLOOKUP(A3,[17]sheet1!$A$2:$V$24,22,0)</f>
        <v>1060</v>
      </c>
      <c r="X3" s="78">
        <f t="shared" ref="X3:X24" si="1">+V3-W3</f>
        <v>0</v>
      </c>
    </row>
    <row r="4" spans="1:24">
      <c r="A4" s="30">
        <v>1229673</v>
      </c>
      <c r="B4" s="32">
        <v>0</v>
      </c>
      <c r="C4" s="32">
        <v>300</v>
      </c>
      <c r="D4" s="32">
        <v>300</v>
      </c>
      <c r="E4" s="32">
        <v>0</v>
      </c>
      <c r="F4" s="32">
        <v>0</v>
      </c>
      <c r="G4" s="32">
        <v>0</v>
      </c>
      <c r="H4" s="32">
        <v>300</v>
      </c>
      <c r="I4" s="32">
        <v>300</v>
      </c>
      <c r="J4" s="32">
        <v>300</v>
      </c>
      <c r="K4" s="32">
        <v>0</v>
      </c>
      <c r="L4" s="32">
        <v>0</v>
      </c>
      <c r="M4" s="32">
        <v>0</v>
      </c>
      <c r="N4" s="32">
        <v>190</v>
      </c>
      <c r="O4" s="32">
        <v>110</v>
      </c>
      <c r="P4" s="32">
        <v>0</v>
      </c>
      <c r="Q4" s="32">
        <v>200</v>
      </c>
      <c r="R4" s="32">
        <v>0</v>
      </c>
      <c r="S4" s="32">
        <v>0</v>
      </c>
      <c r="T4" s="32">
        <v>0</v>
      </c>
      <c r="V4" s="78">
        <f t="shared" si="0"/>
        <v>2000</v>
      </c>
      <c r="W4" s="5">
        <f>VLOOKUP(A4,[17]sheet1!$A$2:$V$24,22,0)</f>
        <v>2000</v>
      </c>
      <c r="X4" s="78">
        <f t="shared" si="1"/>
        <v>0</v>
      </c>
    </row>
    <row r="5" spans="1:24">
      <c r="A5" s="30">
        <v>1231202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50</v>
      </c>
      <c r="I5" s="32">
        <v>50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V5" s="78">
        <f t="shared" si="0"/>
        <v>100</v>
      </c>
      <c r="W5" s="5">
        <f>VLOOKUP(A5,[17]sheet1!$A$2:$V$24,22,0)</f>
        <v>100</v>
      </c>
      <c r="X5" s="78">
        <f t="shared" si="1"/>
        <v>0</v>
      </c>
    </row>
    <row r="6" spans="1:24">
      <c r="A6" s="30">
        <v>1233492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290</v>
      </c>
      <c r="J6" s="32">
        <v>222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V6" s="78">
        <f t="shared" si="0"/>
        <v>512</v>
      </c>
      <c r="W6" s="5">
        <f>VLOOKUP(A6,[17]sheet1!$A$2:$V$24,22,0)</f>
        <v>512</v>
      </c>
      <c r="X6" s="78">
        <f t="shared" si="1"/>
        <v>0</v>
      </c>
    </row>
    <row r="7" spans="1:24">
      <c r="A7" s="30">
        <v>1233498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290</v>
      </c>
      <c r="J7" s="32">
        <v>222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V7" s="78">
        <f t="shared" si="0"/>
        <v>512</v>
      </c>
      <c r="W7" s="5">
        <f>VLOOKUP(A7,[17]sheet1!$A$2:$V$24,22,0)</f>
        <v>512</v>
      </c>
      <c r="X7" s="78">
        <f t="shared" si="1"/>
        <v>0</v>
      </c>
    </row>
    <row r="8" spans="1:24">
      <c r="A8" s="30">
        <v>1233623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290</v>
      </c>
      <c r="J8" s="32">
        <v>222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V8" s="78">
        <f t="shared" si="0"/>
        <v>512</v>
      </c>
      <c r="W8" s="5">
        <f>VLOOKUP(A8,[17]sheet1!$A$2:$V$24,22,0)</f>
        <v>512</v>
      </c>
      <c r="X8" s="78">
        <f t="shared" si="1"/>
        <v>0</v>
      </c>
    </row>
    <row r="9" spans="1:24">
      <c r="A9" s="30">
        <v>1233877</v>
      </c>
      <c r="B9" s="32">
        <v>150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V9" s="78">
        <f t="shared" si="0"/>
        <v>150</v>
      </c>
      <c r="W9" s="5">
        <f>VLOOKUP(A9,[17]sheet1!$A$2:$V$24,22,0)</f>
        <v>150</v>
      </c>
      <c r="X9" s="78">
        <f t="shared" si="1"/>
        <v>0</v>
      </c>
    </row>
    <row r="10" spans="1:24">
      <c r="A10" s="30">
        <v>1235623</v>
      </c>
      <c r="B10" s="32">
        <v>0</v>
      </c>
      <c r="C10" s="32">
        <v>118</v>
      </c>
      <c r="D10" s="32">
        <v>818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V10" s="78">
        <f t="shared" si="0"/>
        <v>936</v>
      </c>
      <c r="W10" s="5">
        <f>VLOOKUP(A10,[17]sheet1!$A$2:$V$24,22,0)</f>
        <v>936</v>
      </c>
      <c r="X10" s="78">
        <f t="shared" si="1"/>
        <v>0</v>
      </c>
    </row>
    <row r="11" spans="1:24">
      <c r="A11" s="30">
        <v>1237088</v>
      </c>
      <c r="B11" s="32">
        <v>414</v>
      </c>
      <c r="C11" s="32">
        <v>552</v>
      </c>
      <c r="D11" s="32">
        <v>338</v>
      </c>
      <c r="E11" s="32">
        <v>0</v>
      </c>
      <c r="F11" s="32">
        <v>0</v>
      </c>
      <c r="G11" s="32">
        <v>0</v>
      </c>
      <c r="H11" s="32">
        <v>1062</v>
      </c>
      <c r="I11" s="32">
        <v>762</v>
      </c>
      <c r="J11" s="32">
        <v>1360</v>
      </c>
      <c r="K11" s="32">
        <v>0</v>
      </c>
      <c r="L11" s="32">
        <v>0</v>
      </c>
      <c r="M11" s="32">
        <v>0</v>
      </c>
      <c r="N11" s="32">
        <v>200</v>
      </c>
      <c r="O11" s="32">
        <v>762</v>
      </c>
      <c r="P11" s="32">
        <v>0</v>
      </c>
      <c r="Q11" s="32">
        <v>716</v>
      </c>
      <c r="R11" s="32">
        <v>866</v>
      </c>
      <c r="S11" s="32">
        <v>0</v>
      </c>
      <c r="T11" s="32">
        <v>0</v>
      </c>
      <c r="V11" s="78">
        <f t="shared" si="0"/>
        <v>7032</v>
      </c>
      <c r="W11" s="5">
        <f>VLOOKUP(A11,[17]sheet1!$A$2:$V$24,22,0)</f>
        <v>7032</v>
      </c>
      <c r="X11" s="78">
        <f t="shared" si="1"/>
        <v>0</v>
      </c>
    </row>
    <row r="12" spans="1:24">
      <c r="A12" s="30">
        <v>1237748</v>
      </c>
      <c r="B12" s="32">
        <v>208</v>
      </c>
      <c r="C12" s="32">
        <v>728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630</v>
      </c>
      <c r="O12" s="32">
        <v>840</v>
      </c>
      <c r="P12" s="32">
        <v>0</v>
      </c>
      <c r="Q12" s="32">
        <v>90</v>
      </c>
      <c r="R12" s="32">
        <v>0</v>
      </c>
      <c r="S12" s="32">
        <v>0</v>
      </c>
      <c r="T12" s="32">
        <v>0</v>
      </c>
      <c r="V12" s="78">
        <f t="shared" si="0"/>
        <v>2496</v>
      </c>
      <c r="W12" s="5">
        <f>VLOOKUP(A12,[17]sheet1!$A$2:$V$24,22,0)</f>
        <v>2496</v>
      </c>
      <c r="X12" s="78">
        <f t="shared" si="1"/>
        <v>0</v>
      </c>
    </row>
    <row r="13" spans="1:24">
      <c r="A13" s="30">
        <v>1231898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248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V13" s="78">
        <f t="shared" si="0"/>
        <v>248</v>
      </c>
      <c r="W13" s="5">
        <f>VLOOKUP(A13,[17]sheet1!$A$2:$V$24,22,0)</f>
        <v>248</v>
      </c>
      <c r="X13" s="78">
        <f t="shared" si="1"/>
        <v>0</v>
      </c>
    </row>
    <row r="14" spans="1:24">
      <c r="A14" s="30">
        <v>1237586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248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V14" s="78">
        <f t="shared" si="0"/>
        <v>248</v>
      </c>
      <c r="W14" s="5">
        <f>VLOOKUP(A14,[17]sheet1!$A$2:$V$24,22,0)</f>
        <v>248</v>
      </c>
      <c r="X14" s="78">
        <f t="shared" si="1"/>
        <v>0</v>
      </c>
    </row>
    <row r="15" spans="1:24">
      <c r="A15" s="30">
        <v>1234905</v>
      </c>
      <c r="B15" s="32">
        <v>334</v>
      </c>
      <c r="C15" s="32">
        <v>426</v>
      </c>
      <c r="D15" s="32">
        <v>626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V15" s="78">
        <f t="shared" si="0"/>
        <v>1386</v>
      </c>
      <c r="W15" s="5">
        <f>VLOOKUP(A15,[17]sheet1!$A$2:$V$24,22,0)</f>
        <v>1386</v>
      </c>
      <c r="X15" s="78">
        <f t="shared" si="1"/>
        <v>0</v>
      </c>
    </row>
    <row r="16" spans="1:24">
      <c r="A16" s="30">
        <v>1238128</v>
      </c>
      <c r="B16" s="32">
        <v>0</v>
      </c>
      <c r="C16" s="32">
        <v>0</v>
      </c>
      <c r="D16" s="32">
        <v>526</v>
      </c>
      <c r="E16" s="32">
        <v>0</v>
      </c>
      <c r="F16" s="32">
        <v>0</v>
      </c>
      <c r="G16" s="32">
        <v>0</v>
      </c>
      <c r="H16" s="32">
        <v>986</v>
      </c>
      <c r="I16" s="32">
        <v>526</v>
      </c>
      <c r="J16" s="32">
        <v>432</v>
      </c>
      <c r="K16" s="32">
        <v>0</v>
      </c>
      <c r="L16" s="32">
        <v>0</v>
      </c>
      <c r="M16" s="32">
        <v>0</v>
      </c>
      <c r="N16" s="32">
        <v>1690</v>
      </c>
      <c r="O16" s="32">
        <v>1770</v>
      </c>
      <c r="P16" s="32">
        <v>0</v>
      </c>
      <c r="Q16" s="32">
        <v>2274</v>
      </c>
      <c r="R16" s="32">
        <v>3342</v>
      </c>
      <c r="S16" s="32">
        <v>0</v>
      </c>
      <c r="T16" s="32">
        <v>0</v>
      </c>
      <c r="V16" s="78">
        <f t="shared" si="0"/>
        <v>11546</v>
      </c>
      <c r="W16" s="5">
        <f>VLOOKUP(A16,[17]sheet1!$A$2:$V$24,22,0)</f>
        <v>11546</v>
      </c>
      <c r="X16" s="78">
        <f t="shared" si="1"/>
        <v>0</v>
      </c>
    </row>
    <row r="17" spans="1:24">
      <c r="A17" s="30">
        <v>1236962</v>
      </c>
      <c r="B17" s="32">
        <v>422</v>
      </c>
      <c r="C17" s="32">
        <v>200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V17" s="78">
        <f t="shared" si="0"/>
        <v>622</v>
      </c>
      <c r="W17" s="5">
        <f>VLOOKUP(A17,[17]sheet1!$A$2:$V$24,22,0)</f>
        <v>622</v>
      </c>
      <c r="X17" s="78">
        <f t="shared" si="1"/>
        <v>0</v>
      </c>
    </row>
    <row r="18" spans="1:24">
      <c r="A18" s="30">
        <v>1233761</v>
      </c>
      <c r="B18" s="32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100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V18" s="78">
        <f t="shared" si="0"/>
        <v>100</v>
      </c>
      <c r="W18" s="5">
        <f>VLOOKUP(A18,[17]sheet1!$A$2:$V$24,22,0)</f>
        <v>100</v>
      </c>
      <c r="X18" s="78">
        <f t="shared" si="1"/>
        <v>0</v>
      </c>
    </row>
    <row r="19" spans="1:24">
      <c r="A19" s="30">
        <v>1239651</v>
      </c>
      <c r="B19" s="32">
        <v>250</v>
      </c>
      <c r="C19" s="32">
        <v>0</v>
      </c>
      <c r="D19" s="32">
        <v>350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300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V19" s="78">
        <f t="shared" si="0"/>
        <v>900</v>
      </c>
      <c r="W19" s="5">
        <f>VLOOKUP(A19,[17]sheet1!$A$2:$V$24,22,0)</f>
        <v>900</v>
      </c>
      <c r="X19" s="78">
        <f t="shared" si="1"/>
        <v>0</v>
      </c>
    </row>
    <row r="20" spans="1:24">
      <c r="A20" s="30">
        <v>1240180</v>
      </c>
      <c r="B20" s="32">
        <v>338</v>
      </c>
      <c r="C20" s="32">
        <v>430</v>
      </c>
      <c r="D20" s="32">
        <v>548</v>
      </c>
      <c r="E20" s="32">
        <v>0</v>
      </c>
      <c r="F20" s="32">
        <v>0</v>
      </c>
      <c r="G20" s="32">
        <v>0</v>
      </c>
      <c r="H20" s="32">
        <v>460</v>
      </c>
      <c r="I20" s="32">
        <v>172</v>
      </c>
      <c r="J20" s="32">
        <v>154</v>
      </c>
      <c r="K20" s="32">
        <v>0</v>
      </c>
      <c r="L20" s="32">
        <v>0</v>
      </c>
      <c r="M20" s="32">
        <v>0</v>
      </c>
      <c r="N20" s="32">
        <v>50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V20" s="78">
        <f t="shared" si="0"/>
        <v>2152</v>
      </c>
      <c r="W20" s="5">
        <f>VLOOKUP(A20,[17]sheet1!$A$2:$V$24,22,0)</f>
        <v>2152</v>
      </c>
      <c r="X20" s="78">
        <f t="shared" si="1"/>
        <v>0</v>
      </c>
    </row>
    <row r="21" spans="1:24">
      <c r="A21" s="30">
        <v>1240184</v>
      </c>
      <c r="B21" s="32">
        <v>338</v>
      </c>
      <c r="C21" s="32">
        <v>430</v>
      </c>
      <c r="D21" s="32">
        <v>548</v>
      </c>
      <c r="E21" s="32">
        <v>0</v>
      </c>
      <c r="F21" s="32">
        <v>0</v>
      </c>
      <c r="G21" s="32">
        <v>0</v>
      </c>
      <c r="H21" s="32">
        <v>460</v>
      </c>
      <c r="I21" s="32">
        <v>172</v>
      </c>
      <c r="J21" s="32">
        <v>154</v>
      </c>
      <c r="K21" s="32">
        <v>0</v>
      </c>
      <c r="L21" s="32">
        <v>0</v>
      </c>
      <c r="M21" s="32">
        <v>0</v>
      </c>
      <c r="N21" s="32">
        <v>50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V21" s="78">
        <f t="shared" si="0"/>
        <v>2152</v>
      </c>
      <c r="W21" s="5">
        <f>VLOOKUP(A21,[17]sheet1!$A$2:$V$24,22,0)</f>
        <v>2152</v>
      </c>
      <c r="X21" s="78">
        <f t="shared" si="1"/>
        <v>0</v>
      </c>
    </row>
    <row r="22" spans="1:24">
      <c r="A22" s="30">
        <v>1241601</v>
      </c>
      <c r="B22" s="32">
        <v>600</v>
      </c>
      <c r="C22" s="32">
        <v>0</v>
      </c>
      <c r="D22" s="32">
        <v>1246</v>
      </c>
      <c r="E22" s="32">
        <v>0</v>
      </c>
      <c r="F22" s="32">
        <v>0</v>
      </c>
      <c r="G22" s="32">
        <v>0</v>
      </c>
      <c r="H22" s="32">
        <v>700</v>
      </c>
      <c r="I22" s="32">
        <v>788</v>
      </c>
      <c r="J22" s="32">
        <v>658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V22" s="78">
        <f t="shared" si="0"/>
        <v>3992</v>
      </c>
      <c r="W22" s="5">
        <f>VLOOKUP(A22,[17]sheet1!$A$2:$V$24,22,0)</f>
        <v>3992</v>
      </c>
      <c r="X22" s="78">
        <f t="shared" si="1"/>
        <v>0</v>
      </c>
    </row>
    <row r="23" spans="1:24">
      <c r="A23" s="30">
        <v>1240308</v>
      </c>
      <c r="B23" s="32">
        <v>0</v>
      </c>
      <c r="C23" s="32">
        <v>300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V23" s="78">
        <f t="shared" si="0"/>
        <v>300</v>
      </c>
      <c r="W23" s="5">
        <f>VLOOKUP(A23,[17]sheet1!$A$2:$V$24,22,0)</f>
        <v>300</v>
      </c>
      <c r="X23" s="78">
        <f t="shared" si="1"/>
        <v>0</v>
      </c>
    </row>
    <row r="24" spans="1:24">
      <c r="A24" s="30">
        <v>1242242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52</v>
      </c>
      <c r="S24" s="32">
        <v>0</v>
      </c>
      <c r="T24" s="32">
        <v>0</v>
      </c>
      <c r="V24" s="78">
        <f t="shared" si="0"/>
        <v>52</v>
      </c>
      <c r="W24" s="5">
        <f>VLOOKUP(A24,[17]sheet1!$A$2:$V$24,22,0)</f>
        <v>52</v>
      </c>
      <c r="X24" s="78">
        <f t="shared" si="1"/>
        <v>0</v>
      </c>
    </row>
    <row r="25" spans="1:24">
      <c r="V25" s="78"/>
    </row>
    <row r="26" spans="1:24">
      <c r="B26" s="9">
        <f>SUM(B2:B25)</f>
        <v>3054</v>
      </c>
      <c r="C26" s="9">
        <f t="shared" ref="C26:T26" si="2">SUM(C2:C25)</f>
        <v>3484</v>
      </c>
      <c r="D26" s="9">
        <f t="shared" si="2"/>
        <v>5300</v>
      </c>
      <c r="E26" s="9">
        <f t="shared" si="2"/>
        <v>0</v>
      </c>
      <c r="F26" s="9">
        <f t="shared" si="2"/>
        <v>0</v>
      </c>
      <c r="G26" s="9">
        <f t="shared" si="2"/>
        <v>0</v>
      </c>
      <c r="H26" s="9">
        <f t="shared" si="2"/>
        <v>4018</v>
      </c>
      <c r="I26" s="9">
        <f t="shared" si="2"/>
        <v>4136</v>
      </c>
      <c r="J26" s="9">
        <f t="shared" si="2"/>
        <v>3824</v>
      </c>
      <c r="K26" s="9">
        <f t="shared" si="2"/>
        <v>0</v>
      </c>
      <c r="L26" s="9">
        <f t="shared" si="2"/>
        <v>0</v>
      </c>
      <c r="M26" s="9">
        <f t="shared" si="2"/>
        <v>0</v>
      </c>
      <c r="N26" s="9">
        <f t="shared" si="2"/>
        <v>3430</v>
      </c>
      <c r="O26" s="9">
        <f t="shared" si="2"/>
        <v>4182</v>
      </c>
      <c r="P26" s="9">
        <f t="shared" si="2"/>
        <v>0</v>
      </c>
      <c r="Q26" s="9">
        <f t="shared" si="2"/>
        <v>3780</v>
      </c>
      <c r="R26" s="9">
        <f t="shared" si="2"/>
        <v>4860</v>
      </c>
      <c r="S26" s="9">
        <f t="shared" si="2"/>
        <v>0</v>
      </c>
      <c r="T26" s="9">
        <f t="shared" si="2"/>
        <v>0</v>
      </c>
    </row>
    <row r="27" spans="1:24">
      <c r="B27" s="9">
        <v>3054</v>
      </c>
      <c r="C27" s="9">
        <v>3484</v>
      </c>
      <c r="D27" s="9">
        <v>5300</v>
      </c>
      <c r="E27" s="9">
        <v>0</v>
      </c>
      <c r="F27" s="9">
        <v>0</v>
      </c>
      <c r="G27" s="9">
        <v>0</v>
      </c>
      <c r="H27" s="9">
        <v>4018</v>
      </c>
      <c r="I27" s="9">
        <v>4136</v>
      </c>
      <c r="J27" s="9">
        <v>3824</v>
      </c>
      <c r="K27" s="9">
        <v>0</v>
      </c>
      <c r="L27" s="9">
        <v>0</v>
      </c>
      <c r="M27" s="9">
        <v>0</v>
      </c>
      <c r="N27" s="9">
        <v>3430</v>
      </c>
      <c r="O27" s="9">
        <v>4182</v>
      </c>
      <c r="P27" s="9">
        <v>0</v>
      </c>
      <c r="Q27" s="9">
        <v>3780</v>
      </c>
      <c r="R27" s="9">
        <v>4860</v>
      </c>
      <c r="S27" s="9">
        <v>0</v>
      </c>
      <c r="T27" s="9">
        <v>0</v>
      </c>
      <c r="U27" s="9"/>
      <c r="V27" s="9"/>
    </row>
    <row r="28" spans="1:24">
      <c r="B28" s="9">
        <f>+B26-B27</f>
        <v>0</v>
      </c>
      <c r="C28" s="9">
        <f t="shared" ref="C28:T28" si="3">+C26-C27</f>
        <v>0</v>
      </c>
      <c r="D28" s="9">
        <f t="shared" si="3"/>
        <v>0</v>
      </c>
      <c r="E28" s="9">
        <f t="shared" si="3"/>
        <v>0</v>
      </c>
      <c r="F28" s="9">
        <f t="shared" si="3"/>
        <v>0</v>
      </c>
      <c r="G28" s="9">
        <f t="shared" si="3"/>
        <v>0</v>
      </c>
      <c r="H28" s="9">
        <f t="shared" si="3"/>
        <v>0</v>
      </c>
      <c r="I28" s="9">
        <f t="shared" si="3"/>
        <v>0</v>
      </c>
      <c r="J28" s="9">
        <f t="shared" si="3"/>
        <v>0</v>
      </c>
      <c r="K28" s="9">
        <f t="shared" si="3"/>
        <v>0</v>
      </c>
      <c r="L28" s="9">
        <f t="shared" si="3"/>
        <v>0</v>
      </c>
      <c r="M28" s="9">
        <f t="shared" si="3"/>
        <v>0</v>
      </c>
      <c r="N28" s="9">
        <f t="shared" si="3"/>
        <v>0</v>
      </c>
      <c r="O28" s="9">
        <f t="shared" si="3"/>
        <v>0</v>
      </c>
      <c r="P28" s="9">
        <f t="shared" si="3"/>
        <v>0</v>
      </c>
      <c r="Q28" s="9">
        <f t="shared" si="3"/>
        <v>0</v>
      </c>
      <c r="R28" s="9">
        <f t="shared" si="3"/>
        <v>0</v>
      </c>
      <c r="S28" s="9">
        <f t="shared" si="3"/>
        <v>0</v>
      </c>
      <c r="T28" s="9">
        <f t="shared" si="3"/>
        <v>0</v>
      </c>
    </row>
    <row r="30" spans="1:24">
      <c r="A30" s="5" t="s">
        <v>0</v>
      </c>
      <c r="B30" s="9" t="s">
        <v>1260</v>
      </c>
      <c r="C30" s="9" t="s">
        <v>1261</v>
      </c>
      <c r="D30" s="9" t="s">
        <v>1262</v>
      </c>
      <c r="E30" s="9" t="s">
        <v>1263</v>
      </c>
      <c r="F30" s="9" t="s">
        <v>1264</v>
      </c>
      <c r="G30" s="9" t="s">
        <v>1266</v>
      </c>
      <c r="H30" s="9" t="s">
        <v>1267</v>
      </c>
      <c r="I30" s="9" t="s">
        <v>1268</v>
      </c>
      <c r="J30" s="9" t="s">
        <v>1269</v>
      </c>
      <c r="K30" s="9" t="s">
        <v>1270</v>
      </c>
      <c r="L30" s="9" t="s">
        <v>1271</v>
      </c>
      <c r="M30" s="9" t="s">
        <v>1272</v>
      </c>
      <c r="N30" s="9" t="s">
        <v>1274</v>
      </c>
      <c r="O30" s="9" t="s">
        <v>1275</v>
      </c>
      <c r="P30" s="9" t="s">
        <v>1276</v>
      </c>
      <c r="Q30" s="9" t="s">
        <v>1277</v>
      </c>
      <c r="R30" s="9" t="s">
        <v>1278</v>
      </c>
      <c r="S30" s="9" t="s">
        <v>1279</v>
      </c>
      <c r="T30" s="9" t="s">
        <v>1280</v>
      </c>
    </row>
    <row r="31" spans="1:24">
      <c r="A31" s="5">
        <v>1237608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190</v>
      </c>
      <c r="P31" s="9">
        <v>0</v>
      </c>
      <c r="Q31" s="9">
        <v>180</v>
      </c>
      <c r="R31" s="9">
        <v>180</v>
      </c>
      <c r="S31" s="9">
        <v>0</v>
      </c>
      <c r="T31" s="9">
        <v>0</v>
      </c>
    </row>
    <row r="32" spans="1:24">
      <c r="A32" s="5">
        <v>1232846</v>
      </c>
      <c r="B32" s="9">
        <v>205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</row>
    <row r="33" spans="1:20">
      <c r="A33" s="5">
        <v>1232895</v>
      </c>
      <c r="B33" s="9">
        <v>205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</row>
    <row r="34" spans="1:20">
      <c r="A34" s="5">
        <v>1233384</v>
      </c>
      <c r="B34" s="9">
        <v>205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</row>
    <row r="35" spans="1:20">
      <c r="A35" s="5">
        <v>1233165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79</v>
      </c>
      <c r="I35" s="9">
        <v>297</v>
      </c>
      <c r="J35" s="9">
        <v>10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</row>
    <row r="36" spans="1:20">
      <c r="A36" s="5">
        <v>1232775</v>
      </c>
      <c r="B36" s="9">
        <v>332</v>
      </c>
      <c r="C36" s="9">
        <v>484</v>
      </c>
      <c r="D36" s="9">
        <v>222</v>
      </c>
      <c r="E36" s="9">
        <v>0</v>
      </c>
      <c r="F36" s="9">
        <v>0</v>
      </c>
      <c r="G36" s="9">
        <v>0</v>
      </c>
      <c r="H36" s="9">
        <v>314</v>
      </c>
      <c r="I36" s="9">
        <v>0</v>
      </c>
      <c r="J36" s="9">
        <v>225</v>
      </c>
      <c r="K36" s="9">
        <v>0</v>
      </c>
      <c r="L36" s="9">
        <v>0</v>
      </c>
      <c r="M36" s="9">
        <v>0</v>
      </c>
      <c r="N36" s="9">
        <v>254</v>
      </c>
      <c r="O36" s="9">
        <v>415</v>
      </c>
      <c r="P36" s="9">
        <v>0</v>
      </c>
      <c r="Q36" s="9">
        <v>330</v>
      </c>
      <c r="R36" s="9">
        <v>242</v>
      </c>
      <c r="S36" s="9">
        <v>0</v>
      </c>
      <c r="T36" s="9">
        <v>0</v>
      </c>
    </row>
    <row r="37" spans="1:20">
      <c r="A37" s="5">
        <v>1238605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107</v>
      </c>
      <c r="R37" s="9">
        <v>191</v>
      </c>
      <c r="S37" s="9">
        <v>0</v>
      </c>
      <c r="T37" s="9">
        <v>0</v>
      </c>
    </row>
    <row r="41" spans="1:20">
      <c r="A41" s="5" t="s">
        <v>0</v>
      </c>
      <c r="B41" s="9" t="s">
        <v>1260</v>
      </c>
      <c r="C41" s="9" t="s">
        <v>1261</v>
      </c>
      <c r="D41" s="9" t="s">
        <v>1262</v>
      </c>
      <c r="E41" s="9" t="s">
        <v>1263</v>
      </c>
      <c r="F41" s="9" t="s">
        <v>1264</v>
      </c>
      <c r="G41" s="9" t="s">
        <v>1266</v>
      </c>
      <c r="H41" s="9" t="s">
        <v>1267</v>
      </c>
      <c r="I41" s="9" t="s">
        <v>1268</v>
      </c>
      <c r="J41" s="9" t="s">
        <v>1269</v>
      </c>
      <c r="K41" s="9" t="s">
        <v>1270</v>
      </c>
      <c r="L41" s="9" t="s">
        <v>1271</v>
      </c>
      <c r="M41" s="9" t="s">
        <v>1272</v>
      </c>
      <c r="N41" s="9" t="s">
        <v>1274</v>
      </c>
      <c r="O41" s="9" t="s">
        <v>1275</v>
      </c>
      <c r="P41" s="9" t="s">
        <v>1276</v>
      </c>
      <c r="Q41" s="9" t="s">
        <v>1277</v>
      </c>
      <c r="R41" s="9" t="s">
        <v>1278</v>
      </c>
      <c r="S41" s="9" t="s">
        <v>1279</v>
      </c>
      <c r="T41" s="9" t="s">
        <v>1280</v>
      </c>
    </row>
    <row r="42" spans="1:20">
      <c r="A42" s="5">
        <v>1234614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324</v>
      </c>
      <c r="S42" s="9">
        <v>0</v>
      </c>
      <c r="T42" s="9">
        <v>0</v>
      </c>
    </row>
    <row r="43" spans="1:20">
      <c r="A43" s="5">
        <v>1221967</v>
      </c>
      <c r="B43" s="9">
        <v>165</v>
      </c>
      <c r="C43" s="9">
        <v>111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</row>
    <row r="44" spans="1:20">
      <c r="A44" s="5">
        <v>1227306</v>
      </c>
      <c r="B44" s="9">
        <v>0</v>
      </c>
      <c r="C44" s="9">
        <v>97</v>
      </c>
      <c r="D44" s="9">
        <v>487</v>
      </c>
      <c r="E44" s="9">
        <v>0</v>
      </c>
      <c r="F44" s="9">
        <v>0</v>
      </c>
      <c r="G44" s="9">
        <v>0</v>
      </c>
      <c r="H44" s="9">
        <v>16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220</v>
      </c>
      <c r="R44" s="9">
        <v>80</v>
      </c>
      <c r="S44" s="9">
        <v>0</v>
      </c>
      <c r="T44" s="9">
        <v>0</v>
      </c>
    </row>
    <row r="45" spans="1:20">
      <c r="A45" s="5">
        <v>1225464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760</v>
      </c>
      <c r="S45" s="9">
        <v>0</v>
      </c>
      <c r="T45" s="9">
        <v>0</v>
      </c>
    </row>
    <row r="46" spans="1:20">
      <c r="A46" s="5">
        <v>1229776</v>
      </c>
      <c r="B46" s="9">
        <v>0</v>
      </c>
      <c r="C46" s="9">
        <v>14</v>
      </c>
      <c r="D46" s="9">
        <v>166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90</v>
      </c>
      <c r="S46" s="9">
        <v>0</v>
      </c>
      <c r="T46" s="9">
        <v>0</v>
      </c>
    </row>
    <row r="47" spans="1:20">
      <c r="A47" s="5">
        <v>1231090</v>
      </c>
      <c r="B47" s="9">
        <v>0</v>
      </c>
      <c r="C47" s="9">
        <v>14</v>
      </c>
      <c r="D47" s="9">
        <v>166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410</v>
      </c>
      <c r="R47" s="9">
        <v>1830</v>
      </c>
      <c r="S47" s="9">
        <v>0</v>
      </c>
      <c r="T47" s="9">
        <v>0</v>
      </c>
    </row>
    <row r="48" spans="1:20">
      <c r="A48" s="5">
        <v>1232066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756</v>
      </c>
      <c r="S48" s="9">
        <v>0</v>
      </c>
      <c r="T48" s="9">
        <v>0</v>
      </c>
    </row>
    <row r="49" spans="1:20">
      <c r="A49" s="5">
        <v>1231860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100</v>
      </c>
      <c r="S49" s="9">
        <v>0</v>
      </c>
      <c r="T49" s="9">
        <v>0</v>
      </c>
    </row>
    <row r="50" spans="1:20">
      <c r="A50" s="5">
        <v>1232693</v>
      </c>
      <c r="B50" s="9">
        <v>777</v>
      </c>
      <c r="C50" s="9">
        <v>217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2289</v>
      </c>
      <c r="S50" s="9">
        <v>0</v>
      </c>
      <c r="T50" s="9">
        <v>0</v>
      </c>
    </row>
    <row r="51" spans="1:20">
      <c r="A51" s="5">
        <v>1233025</v>
      </c>
      <c r="B51" s="9">
        <v>777</v>
      </c>
      <c r="C51" s="9">
        <v>217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2289</v>
      </c>
      <c r="S51" s="9">
        <v>0</v>
      </c>
      <c r="T51" s="9">
        <v>0</v>
      </c>
    </row>
    <row r="52" spans="1:20">
      <c r="A52" s="5">
        <v>1234222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264</v>
      </c>
      <c r="J52" s="9">
        <v>246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60</v>
      </c>
      <c r="S52" s="9">
        <v>0</v>
      </c>
      <c r="T52" s="9">
        <v>0</v>
      </c>
    </row>
    <row r="53" spans="1:20">
      <c r="A53" s="5">
        <v>1232528</v>
      </c>
      <c r="B53" s="9">
        <v>1028</v>
      </c>
      <c r="C53" s="9">
        <v>1419</v>
      </c>
      <c r="D53" s="9">
        <v>2848</v>
      </c>
      <c r="E53" s="9">
        <v>0</v>
      </c>
      <c r="F53" s="9">
        <v>0</v>
      </c>
      <c r="G53" s="9">
        <v>0</v>
      </c>
      <c r="H53" s="18">
        <v>2554</v>
      </c>
      <c r="I53" s="9">
        <v>2001</v>
      </c>
      <c r="J53" s="9">
        <v>2548</v>
      </c>
      <c r="K53" s="9">
        <v>0</v>
      </c>
      <c r="L53" s="9">
        <v>0</v>
      </c>
      <c r="M53" s="9">
        <v>0</v>
      </c>
      <c r="N53" s="9">
        <v>1896</v>
      </c>
      <c r="O53" s="9">
        <v>1868</v>
      </c>
      <c r="P53" s="9">
        <v>0</v>
      </c>
      <c r="Q53" s="9">
        <v>1266</v>
      </c>
      <c r="R53" s="9">
        <v>18251</v>
      </c>
      <c r="S53" s="9">
        <v>0</v>
      </c>
      <c r="T53" s="9">
        <v>0</v>
      </c>
    </row>
    <row r="54" spans="1:20">
      <c r="A54" s="5">
        <v>1232846</v>
      </c>
      <c r="B54" s="9">
        <v>0</v>
      </c>
      <c r="C54" s="9">
        <v>3</v>
      </c>
      <c r="D54" s="9">
        <v>715</v>
      </c>
      <c r="E54" s="9">
        <v>0</v>
      </c>
      <c r="F54" s="9">
        <v>0</v>
      </c>
      <c r="G54" s="9">
        <v>0</v>
      </c>
      <c r="H54" s="9">
        <v>715</v>
      </c>
      <c r="I54" s="18">
        <v>295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576</v>
      </c>
      <c r="S54" s="9">
        <v>0</v>
      </c>
      <c r="T54" s="9">
        <v>0</v>
      </c>
    </row>
    <row r="55" spans="1:20">
      <c r="A55" s="5">
        <v>1229050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420</v>
      </c>
      <c r="I55" s="18">
        <v>100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395</v>
      </c>
      <c r="S55" s="9">
        <v>0</v>
      </c>
      <c r="T55" s="9">
        <v>0</v>
      </c>
    </row>
    <row r="56" spans="1:20">
      <c r="A56" s="5">
        <v>1233383</v>
      </c>
      <c r="B56" s="9">
        <v>0</v>
      </c>
      <c r="C56" s="9">
        <v>156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5">
        <v>1220847</v>
      </c>
      <c r="B57" s="9">
        <v>238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18">
        <v>266</v>
      </c>
      <c r="I57" s="9">
        <v>426</v>
      </c>
      <c r="J57" s="9">
        <v>183</v>
      </c>
      <c r="K57" s="9">
        <v>0</v>
      </c>
      <c r="L57" s="9">
        <v>0</v>
      </c>
      <c r="M57" s="9">
        <v>0</v>
      </c>
      <c r="N57" s="9">
        <v>195</v>
      </c>
      <c r="O57" s="9">
        <v>542</v>
      </c>
      <c r="P57" s="9">
        <v>0</v>
      </c>
      <c r="Q57" s="9">
        <v>138</v>
      </c>
      <c r="R57" s="9">
        <v>2660</v>
      </c>
      <c r="S57" s="9">
        <v>0</v>
      </c>
      <c r="T57" s="9">
        <v>0</v>
      </c>
    </row>
    <row r="58" spans="1:20">
      <c r="A58" s="5">
        <v>1232775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392</v>
      </c>
      <c r="S58" s="9">
        <v>0</v>
      </c>
      <c r="T58" s="9">
        <v>0</v>
      </c>
    </row>
    <row r="59" spans="1:20">
      <c r="A59" s="5">
        <v>1235097</v>
      </c>
      <c r="B59" s="9">
        <v>32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276</v>
      </c>
      <c r="O59" s="9">
        <v>24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</row>
    <row r="60" spans="1:20">
      <c r="A60" s="5">
        <v>1235958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25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</row>
    <row r="61" spans="1:20">
      <c r="A61" s="5">
        <v>1235845</v>
      </c>
      <c r="B61" s="9">
        <v>0</v>
      </c>
      <c r="C61" s="9">
        <v>0</v>
      </c>
      <c r="D61" s="9">
        <v>100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</row>
    <row r="62" spans="1:20">
      <c r="A62" s="5">
        <v>1236600</v>
      </c>
      <c r="B62" s="9">
        <v>419</v>
      </c>
      <c r="C62" s="9">
        <v>128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</row>
    <row r="63" spans="1:20">
      <c r="A63" s="5">
        <v>1236601</v>
      </c>
      <c r="B63" s="9">
        <v>0</v>
      </c>
      <c r="C63" s="9">
        <v>27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</row>
    <row r="64" spans="1:20">
      <c r="A64" s="5">
        <v>1236930</v>
      </c>
      <c r="B64" s="9">
        <v>311</v>
      </c>
      <c r="C64" s="9">
        <v>395</v>
      </c>
      <c r="D64" s="9">
        <v>701</v>
      </c>
      <c r="E64" s="9">
        <v>0</v>
      </c>
      <c r="F64" s="9">
        <v>0</v>
      </c>
      <c r="G64" s="9">
        <v>0</v>
      </c>
      <c r="H64" s="9">
        <v>421</v>
      </c>
      <c r="I64" s="18">
        <v>484</v>
      </c>
      <c r="J64" s="9">
        <v>694</v>
      </c>
      <c r="K64" s="9">
        <v>0</v>
      </c>
      <c r="L64" s="9">
        <v>0</v>
      </c>
      <c r="M64" s="9">
        <v>0</v>
      </c>
      <c r="N64" s="9">
        <v>449</v>
      </c>
      <c r="O64" s="9">
        <v>420</v>
      </c>
      <c r="P64" s="9">
        <v>0</v>
      </c>
      <c r="Q64" s="9">
        <v>485</v>
      </c>
      <c r="R64" s="9">
        <v>5196</v>
      </c>
      <c r="S64" s="9">
        <v>0</v>
      </c>
      <c r="T64" s="9">
        <v>0</v>
      </c>
    </row>
    <row r="65" spans="1:20">
      <c r="A65" s="5">
        <v>1237468</v>
      </c>
      <c r="B65" s="9">
        <v>0</v>
      </c>
      <c r="C65" s="9">
        <v>144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498</v>
      </c>
      <c r="S65" s="9">
        <v>0</v>
      </c>
      <c r="T65" s="9">
        <v>0</v>
      </c>
    </row>
    <row r="66" spans="1:20">
      <c r="A66" s="5">
        <v>1237210</v>
      </c>
      <c r="B66" s="9">
        <v>0</v>
      </c>
      <c r="C66" s="9">
        <v>348</v>
      </c>
      <c r="D66" s="9">
        <v>27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</row>
    <row r="67" spans="1:20">
      <c r="A67" s="5">
        <v>1237386</v>
      </c>
      <c r="B67" s="9">
        <v>0</v>
      </c>
      <c r="C67" s="9">
        <v>180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</row>
    <row r="68" spans="1:20">
      <c r="A68" s="5">
        <v>1238480</v>
      </c>
      <c r="B68" s="9">
        <v>267</v>
      </c>
      <c r="C68" s="9">
        <v>236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200</v>
      </c>
      <c r="K68" s="9">
        <v>0</v>
      </c>
      <c r="L68" s="9">
        <v>0</v>
      </c>
      <c r="M68" s="9">
        <v>0</v>
      </c>
      <c r="N68" s="9">
        <v>220</v>
      </c>
      <c r="O68" s="9">
        <v>0</v>
      </c>
      <c r="P68" s="9">
        <v>0</v>
      </c>
      <c r="Q68" s="9">
        <v>350</v>
      </c>
      <c r="R68" s="9">
        <v>27606</v>
      </c>
      <c r="S68" s="9">
        <v>0</v>
      </c>
      <c r="T68" s="9">
        <v>0</v>
      </c>
    </row>
    <row r="69" spans="1:20">
      <c r="A69" s="5">
        <v>1240180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500</v>
      </c>
      <c r="S69" s="9">
        <v>0</v>
      </c>
      <c r="T69" s="9">
        <v>0</v>
      </c>
    </row>
    <row r="70" spans="1:20">
      <c r="A70" s="5">
        <v>1240184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500</v>
      </c>
      <c r="S70" s="9">
        <v>0</v>
      </c>
      <c r="T70" s="9">
        <v>0</v>
      </c>
    </row>
    <row r="71" spans="1:20">
      <c r="A71" s="5">
        <v>1241343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36</v>
      </c>
      <c r="R71" s="9">
        <v>0</v>
      </c>
      <c r="S71" s="9">
        <v>0</v>
      </c>
      <c r="T71" s="9">
        <v>0</v>
      </c>
    </row>
    <row r="72" spans="1:20">
      <c r="A72" s="5">
        <v>1241347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36</v>
      </c>
      <c r="R72" s="9">
        <v>0</v>
      </c>
      <c r="S72" s="9">
        <v>0</v>
      </c>
      <c r="T72" s="9">
        <v>0</v>
      </c>
    </row>
    <row r="73" spans="1:20">
      <c r="A73" s="5">
        <v>1241480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119</v>
      </c>
      <c r="S73" s="9">
        <v>0</v>
      </c>
      <c r="T73" s="9">
        <v>0</v>
      </c>
    </row>
    <row r="74" spans="1:20">
      <c r="A74" s="5">
        <v>1241474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23</v>
      </c>
      <c r="R74" s="9">
        <v>81</v>
      </c>
      <c r="S74" s="9">
        <v>0</v>
      </c>
      <c r="T74" s="9">
        <v>0</v>
      </c>
    </row>
    <row r="75" spans="1:20">
      <c r="A75" s="5">
        <v>1241387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107</v>
      </c>
      <c r="R75" s="9">
        <v>0</v>
      </c>
      <c r="S75" s="9">
        <v>0</v>
      </c>
      <c r="T75" s="9">
        <v>0</v>
      </c>
    </row>
    <row r="76" spans="1:20">
      <c r="A76" s="5">
        <v>1238453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1272</v>
      </c>
      <c r="S76" s="9">
        <v>0</v>
      </c>
      <c r="T76" s="9">
        <v>0</v>
      </c>
    </row>
    <row r="77" spans="1:20">
      <c r="A77" s="5">
        <v>1216452</v>
      </c>
      <c r="B77" s="9">
        <v>0</v>
      </c>
      <c r="C77" s="9">
        <v>324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1080</v>
      </c>
      <c r="R77" s="9">
        <v>1050</v>
      </c>
      <c r="S77" s="9">
        <v>0</v>
      </c>
      <c r="T77" s="9">
        <v>1723</v>
      </c>
    </row>
    <row r="78" spans="1:20">
      <c r="A78" s="5">
        <v>1215693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4</v>
      </c>
    </row>
    <row r="79" spans="1:20">
      <c r="A79" s="5">
        <v>1232894</v>
      </c>
      <c r="B79" s="9">
        <v>0</v>
      </c>
      <c r="C79" s="9">
        <v>3</v>
      </c>
      <c r="D79" s="9">
        <v>715</v>
      </c>
      <c r="E79" s="9">
        <v>0</v>
      </c>
      <c r="F79" s="9">
        <v>0</v>
      </c>
      <c r="G79" s="9">
        <v>0</v>
      </c>
      <c r="H79" s="18">
        <v>715</v>
      </c>
      <c r="I79" s="9">
        <v>295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576</v>
      </c>
    </row>
    <row r="80" spans="1:20">
      <c r="A80" s="5">
        <v>1233387</v>
      </c>
      <c r="B80" s="9">
        <v>0</v>
      </c>
      <c r="C80" s="9">
        <v>3</v>
      </c>
      <c r="D80" s="9">
        <v>715</v>
      </c>
      <c r="E80" s="9">
        <v>0</v>
      </c>
      <c r="F80" s="9">
        <v>0</v>
      </c>
      <c r="G80" s="9">
        <v>0</v>
      </c>
      <c r="H80" s="18">
        <v>715</v>
      </c>
      <c r="I80" s="9">
        <v>295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</row>
    <row r="81" spans="1:20">
      <c r="A81" s="5">
        <v>1233385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576</v>
      </c>
    </row>
  </sheetData>
  <phoneticPr fontId="11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A1DE-51F2-4504-8BBC-FE94980D1DF3}">
  <sheetPr>
    <tabColor rgb="FFFFFF00"/>
  </sheetPr>
  <dimension ref="B1:O95"/>
  <sheetViews>
    <sheetView zoomScale="160" zoomScaleNormal="160" workbookViewId="0">
      <selection activeCell="N12" sqref="N12"/>
    </sheetView>
  </sheetViews>
  <sheetFormatPr defaultColWidth="9.33203125" defaultRowHeight="12"/>
  <cols>
    <col min="1" max="1" width="4" style="5" customWidth="1"/>
    <col min="2" max="2" width="11.83203125" style="19" customWidth="1"/>
    <col min="3" max="12" width="11.5" style="9" customWidth="1"/>
    <col min="13" max="15" width="9.33203125" style="9"/>
    <col min="16" max="16384" width="9.33203125" style="5"/>
  </cols>
  <sheetData>
    <row r="1" spans="2:15" s="22" customFormat="1">
      <c r="B1" s="22" t="s">
        <v>0</v>
      </c>
      <c r="C1" s="87" t="s">
        <v>1045</v>
      </c>
      <c r="D1" s="87" t="s">
        <v>1089</v>
      </c>
      <c r="E1" s="87" t="s">
        <v>1152</v>
      </c>
      <c r="F1" s="87" t="s">
        <v>1212</v>
      </c>
      <c r="G1" s="87" t="s">
        <v>1239</v>
      </c>
      <c r="H1" s="87" t="s">
        <v>1255</v>
      </c>
      <c r="I1" s="87" t="s">
        <v>12</v>
      </c>
      <c r="J1" s="87" t="s">
        <v>13</v>
      </c>
      <c r="K1" s="87" t="s">
        <v>14</v>
      </c>
      <c r="L1" s="87" t="s">
        <v>15</v>
      </c>
      <c r="M1" s="87"/>
      <c r="N1" s="87"/>
      <c r="O1" s="87"/>
    </row>
    <row r="2" spans="2:15" s="22" customFormat="1">
      <c r="C2" s="87" t="s">
        <v>1046</v>
      </c>
      <c r="D2" s="87" t="s">
        <v>1090</v>
      </c>
      <c r="E2" s="87" t="s">
        <v>1153</v>
      </c>
      <c r="F2" s="87" t="s">
        <v>1213</v>
      </c>
      <c r="G2" s="87" t="s">
        <v>1240</v>
      </c>
      <c r="H2" s="87" t="s">
        <v>1256</v>
      </c>
      <c r="I2" s="87" t="s">
        <v>1257</v>
      </c>
      <c r="J2" s="87" t="s">
        <v>1265</v>
      </c>
      <c r="K2" s="87" t="s">
        <v>1273</v>
      </c>
      <c r="L2" s="87" t="s">
        <v>1281</v>
      </c>
      <c r="M2" s="87"/>
      <c r="N2" s="87"/>
      <c r="O2" s="87"/>
    </row>
    <row r="3" spans="2:15">
      <c r="B3" s="19">
        <v>1221154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50</v>
      </c>
      <c r="I3" s="9">
        <v>0</v>
      </c>
      <c r="J3" s="9">
        <v>0</v>
      </c>
      <c r="K3" s="9">
        <v>0</v>
      </c>
      <c r="L3" s="9">
        <v>0</v>
      </c>
    </row>
    <row r="4" spans="2:15">
      <c r="B4" s="19">
        <v>1226384</v>
      </c>
      <c r="C4" s="9">
        <v>0</v>
      </c>
      <c r="D4" s="9">
        <v>0</v>
      </c>
      <c r="E4" s="9">
        <v>0</v>
      </c>
      <c r="F4" s="9">
        <v>0</v>
      </c>
      <c r="G4" s="9">
        <v>3075</v>
      </c>
      <c r="H4" s="9">
        <v>0</v>
      </c>
      <c r="I4" s="9">
        <v>0</v>
      </c>
      <c r="J4" s="9">
        <v>0</v>
      </c>
      <c r="K4" s="9">
        <v>1360</v>
      </c>
      <c r="L4" s="9">
        <v>0</v>
      </c>
    </row>
    <row r="5" spans="2:15">
      <c r="B5" s="19">
        <v>1226388</v>
      </c>
      <c r="C5" s="9">
        <v>0</v>
      </c>
      <c r="D5" s="9">
        <v>0</v>
      </c>
      <c r="E5" s="9">
        <v>0</v>
      </c>
      <c r="F5" s="9">
        <v>0</v>
      </c>
      <c r="G5" s="9">
        <v>3075</v>
      </c>
      <c r="H5" s="9">
        <v>0</v>
      </c>
      <c r="I5" s="9">
        <v>0</v>
      </c>
      <c r="J5" s="9">
        <v>0</v>
      </c>
      <c r="L5" s="9">
        <v>0</v>
      </c>
    </row>
    <row r="6" spans="2:15">
      <c r="B6" s="19">
        <v>1229673</v>
      </c>
      <c r="C6" s="9">
        <v>500</v>
      </c>
      <c r="D6" s="9">
        <v>400</v>
      </c>
      <c r="E6" s="9">
        <v>0</v>
      </c>
      <c r="F6" s="9">
        <v>500</v>
      </c>
      <c r="G6" s="9">
        <v>500</v>
      </c>
      <c r="H6" s="9">
        <v>500</v>
      </c>
      <c r="I6" s="9">
        <v>500</v>
      </c>
      <c r="J6" s="9">
        <v>0</v>
      </c>
      <c r="K6" s="9">
        <v>600</v>
      </c>
      <c r="L6" s="9">
        <v>600</v>
      </c>
    </row>
    <row r="7" spans="2:15">
      <c r="B7" s="19">
        <v>1230692</v>
      </c>
      <c r="C7" s="9">
        <v>900</v>
      </c>
      <c r="D7" s="9">
        <v>800</v>
      </c>
      <c r="E7" s="9">
        <v>800</v>
      </c>
      <c r="F7" s="9">
        <v>800</v>
      </c>
      <c r="G7" s="9">
        <v>800</v>
      </c>
      <c r="H7" s="9">
        <v>900</v>
      </c>
      <c r="I7" s="9">
        <v>800</v>
      </c>
      <c r="J7" s="9">
        <v>0</v>
      </c>
      <c r="K7" s="9">
        <v>800</v>
      </c>
      <c r="L7" s="9">
        <v>800</v>
      </c>
    </row>
    <row r="8" spans="2:15">
      <c r="B8" s="19">
        <v>1230696</v>
      </c>
      <c r="C8" s="9">
        <v>0</v>
      </c>
      <c r="D8" s="9">
        <v>200</v>
      </c>
      <c r="E8" s="9">
        <v>0</v>
      </c>
      <c r="F8" s="9">
        <v>200</v>
      </c>
      <c r="G8" s="9">
        <v>200</v>
      </c>
      <c r="H8" s="9">
        <v>0</v>
      </c>
      <c r="I8" s="9">
        <v>0</v>
      </c>
      <c r="J8" s="9">
        <v>0</v>
      </c>
      <c r="K8" s="9">
        <v>100</v>
      </c>
      <c r="L8" s="9">
        <v>200</v>
      </c>
    </row>
    <row r="9" spans="2:15">
      <c r="B9" s="19">
        <v>1230854</v>
      </c>
      <c r="C9" s="9">
        <v>0</v>
      </c>
      <c r="D9" s="9">
        <v>400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200</v>
      </c>
      <c r="L9" s="9">
        <v>0</v>
      </c>
    </row>
    <row r="10" spans="2:15" s="20" customFormat="1">
      <c r="B10" s="19">
        <v>1231202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100</v>
      </c>
      <c r="I10" s="10">
        <v>0</v>
      </c>
      <c r="J10" s="10">
        <v>0</v>
      </c>
      <c r="K10" s="10">
        <v>0</v>
      </c>
      <c r="L10" s="10">
        <v>0</v>
      </c>
      <c r="M10" s="10"/>
      <c r="N10" s="10"/>
      <c r="O10" s="10"/>
    </row>
    <row r="11" spans="2:15">
      <c r="B11" s="19">
        <v>1231898</v>
      </c>
      <c r="C11" s="9">
        <v>1792</v>
      </c>
      <c r="D11" s="9">
        <v>1344</v>
      </c>
      <c r="E11" s="9">
        <v>1492</v>
      </c>
      <c r="F11" s="9">
        <v>2536</v>
      </c>
      <c r="G11" s="9">
        <v>1792</v>
      </c>
      <c r="H11" s="9">
        <v>1344</v>
      </c>
      <c r="I11" s="9">
        <v>600</v>
      </c>
      <c r="J11" s="9">
        <v>0</v>
      </c>
      <c r="K11" s="9">
        <v>2688</v>
      </c>
      <c r="L11" s="9">
        <v>1792</v>
      </c>
    </row>
    <row r="12" spans="2:15">
      <c r="B12" s="19">
        <v>1233492</v>
      </c>
      <c r="C12" s="9">
        <v>0</v>
      </c>
      <c r="D12" s="9">
        <v>0</v>
      </c>
      <c r="E12" s="9">
        <v>500</v>
      </c>
      <c r="F12" s="9">
        <v>0</v>
      </c>
      <c r="G12" s="9">
        <v>500</v>
      </c>
      <c r="H12" s="9">
        <v>500</v>
      </c>
      <c r="I12" s="9">
        <v>0</v>
      </c>
      <c r="J12" s="9">
        <v>0</v>
      </c>
      <c r="K12" s="9">
        <v>0</v>
      </c>
      <c r="L12" s="9">
        <v>500</v>
      </c>
    </row>
    <row r="13" spans="2:15">
      <c r="B13" s="19">
        <v>1233498</v>
      </c>
      <c r="C13" s="9">
        <v>0</v>
      </c>
      <c r="D13" s="9">
        <v>0</v>
      </c>
      <c r="E13" s="9">
        <v>500</v>
      </c>
      <c r="F13" s="9">
        <v>0</v>
      </c>
      <c r="G13" s="9">
        <v>500</v>
      </c>
      <c r="H13" s="9">
        <v>500</v>
      </c>
      <c r="I13" s="9">
        <v>0</v>
      </c>
      <c r="J13" s="9">
        <v>0</v>
      </c>
      <c r="K13" s="9">
        <v>0</v>
      </c>
      <c r="L13" s="9">
        <v>500</v>
      </c>
    </row>
    <row r="14" spans="2:15">
      <c r="B14" s="19">
        <v>1233623</v>
      </c>
      <c r="C14" s="9">
        <v>0</v>
      </c>
      <c r="D14" s="9">
        <v>0</v>
      </c>
      <c r="E14" s="9">
        <v>500</v>
      </c>
      <c r="F14" s="9">
        <v>0</v>
      </c>
      <c r="G14" s="9">
        <v>500</v>
      </c>
      <c r="H14" s="9">
        <v>500</v>
      </c>
      <c r="I14" s="9">
        <v>0</v>
      </c>
      <c r="J14" s="9">
        <v>0</v>
      </c>
      <c r="K14" s="9">
        <v>0</v>
      </c>
      <c r="L14" s="9">
        <v>500</v>
      </c>
    </row>
    <row r="15" spans="2:15" s="20" customFormat="1">
      <c r="B15" s="101">
        <v>1233761</v>
      </c>
      <c r="C15" s="10">
        <v>0</v>
      </c>
      <c r="D15" s="10">
        <v>150</v>
      </c>
      <c r="E15" s="10">
        <v>180</v>
      </c>
      <c r="F15" s="10">
        <v>0</v>
      </c>
      <c r="G15" s="10">
        <v>100</v>
      </c>
      <c r="H15" s="10">
        <v>150</v>
      </c>
      <c r="I15" s="10">
        <v>100</v>
      </c>
      <c r="J15" s="10">
        <v>0</v>
      </c>
      <c r="K15" s="10">
        <v>0</v>
      </c>
      <c r="L15" s="10">
        <v>150</v>
      </c>
      <c r="M15" s="10"/>
      <c r="N15" s="10"/>
      <c r="O15" s="10"/>
    </row>
    <row r="16" spans="2:15">
      <c r="B16" s="19">
        <v>1234905</v>
      </c>
      <c r="C16" s="9">
        <v>0</v>
      </c>
      <c r="D16" s="9">
        <v>1553</v>
      </c>
      <c r="E16" s="9">
        <v>800</v>
      </c>
      <c r="F16" s="9">
        <v>1150</v>
      </c>
      <c r="G16" s="9">
        <v>1100</v>
      </c>
      <c r="H16" s="9">
        <v>1300</v>
      </c>
      <c r="I16" s="9">
        <v>500</v>
      </c>
      <c r="J16" s="9">
        <v>400</v>
      </c>
      <c r="K16" s="9">
        <v>600</v>
      </c>
      <c r="L16" s="9">
        <v>1400</v>
      </c>
    </row>
    <row r="17" spans="2:12">
      <c r="B17" s="19">
        <v>1235623</v>
      </c>
      <c r="C17" s="9">
        <v>0</v>
      </c>
      <c r="D17" s="9">
        <v>0</v>
      </c>
      <c r="E17" s="9">
        <v>1872</v>
      </c>
      <c r="F17" s="9">
        <v>1872</v>
      </c>
      <c r="G17" s="9">
        <v>0</v>
      </c>
      <c r="H17" s="9">
        <v>416</v>
      </c>
      <c r="I17" s="9">
        <v>0</v>
      </c>
      <c r="J17" s="9">
        <v>0</v>
      </c>
      <c r="K17" s="9">
        <v>0</v>
      </c>
      <c r="L17" s="9">
        <v>0</v>
      </c>
    </row>
    <row r="18" spans="2:12">
      <c r="B18" s="19">
        <v>1236091</v>
      </c>
      <c r="C18" s="9">
        <v>200</v>
      </c>
      <c r="D18" s="9">
        <v>200</v>
      </c>
      <c r="E18" s="9">
        <v>0</v>
      </c>
      <c r="F18" s="9">
        <v>0</v>
      </c>
      <c r="G18" s="9">
        <v>200</v>
      </c>
      <c r="H18" s="9">
        <v>200</v>
      </c>
      <c r="I18" s="9">
        <v>0</v>
      </c>
      <c r="J18" s="9">
        <v>0</v>
      </c>
      <c r="K18" s="9">
        <v>250</v>
      </c>
      <c r="L18" s="9">
        <v>250</v>
      </c>
    </row>
    <row r="19" spans="2:12">
      <c r="B19" s="19">
        <v>1236488</v>
      </c>
      <c r="C19" s="9">
        <v>600</v>
      </c>
      <c r="D19" s="9">
        <v>600</v>
      </c>
      <c r="E19" s="9">
        <v>500</v>
      </c>
      <c r="F19" s="9">
        <v>700</v>
      </c>
      <c r="G19" s="9">
        <v>700</v>
      </c>
      <c r="H19" s="9">
        <v>800</v>
      </c>
      <c r="I19" s="9">
        <v>700</v>
      </c>
      <c r="J19" s="9">
        <v>700</v>
      </c>
      <c r="K19" s="9">
        <v>600</v>
      </c>
      <c r="L19" s="9">
        <v>600</v>
      </c>
    </row>
    <row r="20" spans="2:12">
      <c r="B20" s="19">
        <v>1236534</v>
      </c>
      <c r="C20" s="9">
        <v>200</v>
      </c>
      <c r="D20" s="9">
        <v>0</v>
      </c>
      <c r="E20" s="9">
        <v>0</v>
      </c>
      <c r="F20" s="9">
        <v>0</v>
      </c>
      <c r="G20" s="9">
        <v>200</v>
      </c>
      <c r="H20" s="9">
        <v>200</v>
      </c>
      <c r="I20" s="9">
        <v>100</v>
      </c>
      <c r="J20" s="9">
        <v>0</v>
      </c>
      <c r="K20" s="9">
        <v>300</v>
      </c>
      <c r="L20" s="9">
        <v>300</v>
      </c>
    </row>
    <row r="21" spans="2:12">
      <c r="B21" s="19">
        <v>1236962</v>
      </c>
      <c r="C21" s="9">
        <v>500</v>
      </c>
      <c r="D21" s="9">
        <v>500</v>
      </c>
      <c r="E21" s="9">
        <v>500</v>
      </c>
      <c r="F21" s="9">
        <v>500</v>
      </c>
      <c r="G21" s="9">
        <v>700</v>
      </c>
      <c r="H21" s="9">
        <v>700</v>
      </c>
      <c r="I21" s="9">
        <v>700</v>
      </c>
      <c r="J21" s="9">
        <v>0</v>
      </c>
      <c r="K21" s="9">
        <v>700</v>
      </c>
      <c r="L21" s="9">
        <v>700</v>
      </c>
    </row>
    <row r="22" spans="2:12">
      <c r="B22" s="19">
        <v>1237088</v>
      </c>
      <c r="C22" s="9">
        <v>3082</v>
      </c>
      <c r="D22" s="9">
        <v>3092</v>
      </c>
      <c r="E22" s="9">
        <v>2140</v>
      </c>
      <c r="F22" s="9">
        <v>3416</v>
      </c>
      <c r="G22" s="9">
        <v>3640</v>
      </c>
      <c r="H22" s="9">
        <v>3740</v>
      </c>
      <c r="I22" s="9">
        <v>3640</v>
      </c>
      <c r="J22" s="9">
        <v>2228</v>
      </c>
      <c r="K22" s="9">
        <v>0</v>
      </c>
      <c r="L22" s="9">
        <v>0</v>
      </c>
    </row>
    <row r="23" spans="2:12">
      <c r="B23" s="19">
        <v>1237586</v>
      </c>
      <c r="C23" s="9">
        <v>1792</v>
      </c>
      <c r="D23" s="9">
        <v>1344</v>
      </c>
      <c r="E23" s="9">
        <v>1492</v>
      </c>
      <c r="F23" s="9">
        <v>2536</v>
      </c>
      <c r="G23" s="9">
        <v>1792</v>
      </c>
      <c r="H23" s="9">
        <v>1344</v>
      </c>
      <c r="I23" s="9">
        <v>600</v>
      </c>
      <c r="J23" s="9">
        <v>0</v>
      </c>
      <c r="K23" s="9">
        <v>2688</v>
      </c>
      <c r="L23" s="9">
        <v>1792</v>
      </c>
    </row>
    <row r="24" spans="2:12">
      <c r="B24" s="19">
        <v>1237748</v>
      </c>
      <c r="C24" s="9">
        <v>208</v>
      </c>
      <c r="D24" s="9">
        <v>0</v>
      </c>
      <c r="E24" s="9">
        <v>100</v>
      </c>
      <c r="F24" s="9">
        <v>676</v>
      </c>
      <c r="G24" s="9">
        <v>260</v>
      </c>
      <c r="H24" s="9">
        <v>468</v>
      </c>
      <c r="I24" s="9">
        <v>676</v>
      </c>
      <c r="J24" s="9">
        <v>600</v>
      </c>
      <c r="K24" s="9">
        <v>208</v>
      </c>
      <c r="L24" s="9">
        <v>572</v>
      </c>
    </row>
    <row r="25" spans="2:12">
      <c r="B25" s="19">
        <v>1238128</v>
      </c>
      <c r="C25" s="9">
        <v>3700</v>
      </c>
      <c r="D25" s="9">
        <v>3982</v>
      </c>
      <c r="E25" s="9">
        <v>7228</v>
      </c>
      <c r="F25" s="9">
        <v>4548</v>
      </c>
      <c r="G25" s="9">
        <v>5160</v>
      </c>
      <c r="H25" s="9">
        <v>3531</v>
      </c>
      <c r="I25" s="9">
        <v>2239</v>
      </c>
      <c r="J25" s="9">
        <v>1738</v>
      </c>
      <c r="K25" s="9">
        <v>4348</v>
      </c>
      <c r="L25" s="9">
        <v>4208</v>
      </c>
    </row>
    <row r="26" spans="2:12">
      <c r="B26" s="19">
        <v>1239651</v>
      </c>
      <c r="C26" s="9">
        <v>300</v>
      </c>
      <c r="D26" s="9">
        <v>400</v>
      </c>
      <c r="E26" s="9">
        <v>300</v>
      </c>
      <c r="F26" s="9">
        <v>300</v>
      </c>
      <c r="G26" s="9">
        <v>300</v>
      </c>
      <c r="H26" s="9">
        <v>550</v>
      </c>
      <c r="I26" s="9">
        <v>300</v>
      </c>
      <c r="J26" s="9">
        <v>0</v>
      </c>
      <c r="K26" s="9">
        <v>306</v>
      </c>
      <c r="L26" s="9">
        <v>400</v>
      </c>
    </row>
    <row r="27" spans="2:12">
      <c r="B27" s="19">
        <v>1239988</v>
      </c>
      <c r="C27" s="9">
        <v>2800</v>
      </c>
      <c r="D27" s="9">
        <v>2900</v>
      </c>
      <c r="E27" s="9">
        <v>2100</v>
      </c>
      <c r="F27" s="9">
        <v>1800</v>
      </c>
      <c r="G27" s="9">
        <v>2800</v>
      </c>
      <c r="H27" s="9">
        <v>2800</v>
      </c>
      <c r="I27" s="9">
        <v>2000</v>
      </c>
      <c r="J27" s="9">
        <v>600</v>
      </c>
      <c r="K27" s="9">
        <v>2500</v>
      </c>
      <c r="L27" s="9">
        <v>2700</v>
      </c>
    </row>
    <row r="28" spans="2:12">
      <c r="B28" s="19">
        <v>1240180</v>
      </c>
      <c r="C28" s="9">
        <v>2400</v>
      </c>
      <c r="D28" s="9">
        <v>3590</v>
      </c>
      <c r="E28" s="9">
        <v>1900</v>
      </c>
      <c r="F28" s="9">
        <v>2300</v>
      </c>
      <c r="G28" s="9">
        <v>2740</v>
      </c>
      <c r="H28" s="9">
        <v>2900</v>
      </c>
      <c r="I28" s="9">
        <v>2550</v>
      </c>
      <c r="J28" s="9">
        <v>600</v>
      </c>
      <c r="K28" s="9">
        <v>2750</v>
      </c>
      <c r="L28" s="9">
        <v>2400</v>
      </c>
    </row>
    <row r="29" spans="2:12">
      <c r="B29" s="19">
        <v>1240184</v>
      </c>
      <c r="C29" s="9">
        <v>2200</v>
      </c>
      <c r="D29" s="9">
        <v>3590</v>
      </c>
      <c r="E29" s="9">
        <v>1800</v>
      </c>
      <c r="F29" s="9">
        <v>2300</v>
      </c>
      <c r="G29" s="9">
        <v>2300</v>
      </c>
      <c r="H29" s="9">
        <v>2500</v>
      </c>
      <c r="I29" s="9">
        <v>2300</v>
      </c>
      <c r="J29" s="9">
        <v>600</v>
      </c>
      <c r="K29" s="9">
        <v>2500</v>
      </c>
      <c r="L29" s="9">
        <v>2400</v>
      </c>
    </row>
    <row r="30" spans="2:12">
      <c r="B30" s="19">
        <v>1240308</v>
      </c>
      <c r="C30" s="9">
        <v>450</v>
      </c>
      <c r="D30" s="9">
        <v>600</v>
      </c>
      <c r="E30" s="9">
        <v>200</v>
      </c>
      <c r="F30" s="9">
        <v>0</v>
      </c>
      <c r="G30" s="9">
        <v>750</v>
      </c>
      <c r="H30" s="9">
        <v>650</v>
      </c>
      <c r="I30" s="9">
        <v>0</v>
      </c>
      <c r="J30" s="9">
        <v>0</v>
      </c>
      <c r="K30" s="9">
        <v>300</v>
      </c>
      <c r="L30" s="9">
        <v>750</v>
      </c>
    </row>
    <row r="31" spans="2:12">
      <c r="B31" s="19">
        <v>1241134</v>
      </c>
      <c r="C31" s="9">
        <v>0</v>
      </c>
      <c r="D31" s="9">
        <v>0</v>
      </c>
      <c r="E31" s="9">
        <v>0</v>
      </c>
      <c r="F31" s="9">
        <v>2100</v>
      </c>
      <c r="G31" s="9">
        <v>1000</v>
      </c>
      <c r="H31" s="9">
        <v>400</v>
      </c>
      <c r="I31" s="9">
        <v>100</v>
      </c>
      <c r="J31" s="9">
        <v>0</v>
      </c>
      <c r="K31" s="9">
        <v>600</v>
      </c>
      <c r="L31" s="9">
        <v>700</v>
      </c>
    </row>
    <row r="32" spans="2:12">
      <c r="B32" s="19">
        <v>1241601</v>
      </c>
      <c r="C32" s="9">
        <v>5100</v>
      </c>
      <c r="D32" s="9">
        <v>5400</v>
      </c>
      <c r="E32" s="9">
        <v>5100</v>
      </c>
      <c r="F32" s="9">
        <v>3800</v>
      </c>
      <c r="G32" s="9">
        <v>4500</v>
      </c>
      <c r="H32" s="9">
        <v>4600</v>
      </c>
      <c r="I32" s="9">
        <v>4800</v>
      </c>
      <c r="J32" s="9">
        <v>2100</v>
      </c>
      <c r="K32" s="9">
        <v>4500</v>
      </c>
      <c r="L32" s="9">
        <v>4800</v>
      </c>
    </row>
    <row r="33" spans="2:15">
      <c r="B33" s="19">
        <v>1242242</v>
      </c>
      <c r="C33" s="9">
        <v>0</v>
      </c>
      <c r="D33" s="9">
        <v>0</v>
      </c>
      <c r="E33" s="9">
        <v>900</v>
      </c>
      <c r="F33" s="9">
        <v>900</v>
      </c>
      <c r="G33" s="9">
        <v>900</v>
      </c>
      <c r="H33" s="9">
        <v>700</v>
      </c>
      <c r="I33" s="9">
        <v>0</v>
      </c>
      <c r="J33" s="9">
        <v>0</v>
      </c>
      <c r="K33" s="9">
        <v>600</v>
      </c>
      <c r="L33" s="9">
        <v>700</v>
      </c>
    </row>
    <row r="38" spans="2:15" s="22" customFormat="1">
      <c r="B38" s="22" t="s">
        <v>0</v>
      </c>
      <c r="C38" s="87" t="s">
        <v>1045</v>
      </c>
      <c r="D38" s="87" t="s">
        <v>1089</v>
      </c>
      <c r="E38" s="87" t="s">
        <v>1152</v>
      </c>
      <c r="F38" s="87" t="s">
        <v>1212</v>
      </c>
      <c r="G38" s="87" t="s">
        <v>1239</v>
      </c>
      <c r="H38" s="87" t="s">
        <v>1255</v>
      </c>
      <c r="I38" s="87" t="s">
        <v>12</v>
      </c>
      <c r="J38" s="87" t="s">
        <v>13</v>
      </c>
      <c r="K38" s="87" t="s">
        <v>14</v>
      </c>
      <c r="L38" s="87" t="s">
        <v>15</v>
      </c>
      <c r="M38" s="87"/>
      <c r="N38" s="87"/>
      <c r="O38" s="87"/>
    </row>
    <row r="39" spans="2:15" s="22" customFormat="1">
      <c r="C39" s="87" t="s">
        <v>1046</v>
      </c>
      <c r="D39" s="87" t="s">
        <v>1090</v>
      </c>
      <c r="E39" s="87" t="s">
        <v>1153</v>
      </c>
      <c r="F39" s="87" t="s">
        <v>1213</v>
      </c>
      <c r="G39" s="87" t="s">
        <v>1240</v>
      </c>
      <c r="H39" s="87" t="s">
        <v>1256</v>
      </c>
      <c r="I39" s="87" t="s">
        <v>1257</v>
      </c>
      <c r="J39" s="87" t="s">
        <v>1265</v>
      </c>
      <c r="K39" s="87" t="s">
        <v>1273</v>
      </c>
      <c r="L39" s="87" t="s">
        <v>1281</v>
      </c>
      <c r="M39" s="87"/>
      <c r="N39" s="87"/>
      <c r="O39" s="87"/>
    </row>
    <row r="40" spans="2:15">
      <c r="B40" s="19">
        <v>1216452</v>
      </c>
      <c r="C40" s="9">
        <v>396</v>
      </c>
      <c r="D40" s="9">
        <v>432</v>
      </c>
      <c r="E40" s="9">
        <v>324</v>
      </c>
      <c r="F40" s="9">
        <v>324</v>
      </c>
      <c r="G40" s="9">
        <v>168</v>
      </c>
      <c r="H40" s="9">
        <v>1170</v>
      </c>
      <c r="I40" s="9">
        <v>0</v>
      </c>
      <c r="J40" s="9">
        <v>144</v>
      </c>
      <c r="K40" s="9">
        <v>0</v>
      </c>
      <c r="L40" s="9">
        <v>1728</v>
      </c>
    </row>
    <row r="41" spans="2:15">
      <c r="B41" s="19">
        <v>1220847</v>
      </c>
      <c r="C41" s="9">
        <v>45</v>
      </c>
      <c r="D41" s="9">
        <v>350</v>
      </c>
      <c r="E41" s="9">
        <v>0</v>
      </c>
      <c r="F41" s="9">
        <v>500</v>
      </c>
      <c r="G41" s="9">
        <v>550</v>
      </c>
      <c r="H41" s="9">
        <v>0</v>
      </c>
      <c r="I41" s="9">
        <v>0</v>
      </c>
      <c r="J41" s="9">
        <v>1300</v>
      </c>
      <c r="K41" s="9">
        <v>810</v>
      </c>
      <c r="L41" s="9">
        <v>0</v>
      </c>
    </row>
    <row r="42" spans="2:15">
      <c r="B42" s="19">
        <v>1221254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50</v>
      </c>
      <c r="I42" s="9">
        <v>0</v>
      </c>
      <c r="J42" s="9">
        <v>0</v>
      </c>
      <c r="K42" s="9">
        <v>0</v>
      </c>
      <c r="L42" s="9">
        <v>0</v>
      </c>
    </row>
    <row r="43" spans="2:15">
      <c r="B43" s="19">
        <v>1221967</v>
      </c>
      <c r="C43" s="9">
        <v>0</v>
      </c>
      <c r="D43" s="9">
        <v>701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67</v>
      </c>
      <c r="L43" s="9">
        <v>0</v>
      </c>
    </row>
    <row r="44" spans="2:15">
      <c r="B44" s="19">
        <v>1225464</v>
      </c>
      <c r="C44" s="9">
        <v>0</v>
      </c>
      <c r="D44" s="9">
        <v>0</v>
      </c>
      <c r="E44" s="9">
        <v>0</v>
      </c>
      <c r="F44" s="9">
        <v>0</v>
      </c>
      <c r="G44" s="9">
        <v>756</v>
      </c>
      <c r="H44" s="9">
        <v>0</v>
      </c>
      <c r="I44" s="9">
        <v>0</v>
      </c>
      <c r="J44" s="9">
        <v>0</v>
      </c>
      <c r="K44" s="9">
        <v>1512</v>
      </c>
      <c r="L44" s="9">
        <v>0</v>
      </c>
    </row>
    <row r="45" spans="2:15">
      <c r="B45" s="19">
        <v>1227306</v>
      </c>
      <c r="C45" s="9">
        <v>1200</v>
      </c>
      <c r="D45" s="9">
        <v>800</v>
      </c>
      <c r="E45" s="9">
        <v>600</v>
      </c>
      <c r="F45" s="9">
        <v>400</v>
      </c>
      <c r="G45" s="9">
        <v>800</v>
      </c>
      <c r="H45" s="9">
        <v>400</v>
      </c>
      <c r="I45" s="9">
        <v>500</v>
      </c>
      <c r="J45" s="9">
        <v>0</v>
      </c>
      <c r="K45" s="9">
        <v>800</v>
      </c>
      <c r="L45" s="9">
        <v>500</v>
      </c>
    </row>
    <row r="46" spans="2:15">
      <c r="B46" s="19">
        <v>1227359</v>
      </c>
      <c r="C46" s="9">
        <v>640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2:15" s="20" customFormat="1">
      <c r="B47" s="101">
        <v>1229050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275</v>
      </c>
      <c r="L47" s="10">
        <v>0</v>
      </c>
      <c r="M47" s="10"/>
      <c r="N47" s="10"/>
      <c r="O47" s="10"/>
    </row>
    <row r="48" spans="2:15">
      <c r="B48" s="19">
        <v>1229088</v>
      </c>
      <c r="C48" s="9">
        <v>0</v>
      </c>
      <c r="D48" s="9">
        <v>0</v>
      </c>
      <c r="E48" s="9">
        <v>0</v>
      </c>
      <c r="F48" s="9">
        <v>0</v>
      </c>
      <c r="G48" s="9">
        <v>100</v>
      </c>
      <c r="H48" s="9">
        <v>0</v>
      </c>
      <c r="I48" s="9">
        <v>0</v>
      </c>
      <c r="J48" s="9">
        <v>0</v>
      </c>
      <c r="K48" s="9">
        <v>400</v>
      </c>
      <c r="L48" s="9">
        <v>0</v>
      </c>
    </row>
    <row r="49" spans="2:12">
      <c r="B49" s="19">
        <v>1229776</v>
      </c>
      <c r="C49" s="9">
        <v>0</v>
      </c>
      <c r="D49" s="9">
        <v>0</v>
      </c>
      <c r="E49" s="9">
        <v>150</v>
      </c>
      <c r="F49" s="9">
        <v>200</v>
      </c>
      <c r="G49" s="9">
        <v>90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</row>
    <row r="50" spans="2:12">
      <c r="B50" s="19">
        <v>1230685</v>
      </c>
      <c r="C50" s="9">
        <v>400</v>
      </c>
      <c r="D50" s="9">
        <v>0</v>
      </c>
      <c r="E50" s="9">
        <v>0</v>
      </c>
      <c r="F50" s="9">
        <v>0</v>
      </c>
      <c r="G50" s="9">
        <v>400</v>
      </c>
      <c r="H50" s="9">
        <v>0</v>
      </c>
      <c r="I50" s="9">
        <v>0</v>
      </c>
      <c r="J50" s="9">
        <v>0</v>
      </c>
      <c r="K50" s="9">
        <v>300</v>
      </c>
      <c r="L50" s="9">
        <v>0</v>
      </c>
    </row>
    <row r="51" spans="2:12">
      <c r="B51" s="19">
        <v>1230791</v>
      </c>
      <c r="C51" s="9">
        <v>0</v>
      </c>
      <c r="D51" s="9">
        <v>0</v>
      </c>
      <c r="E51" s="9">
        <v>0</v>
      </c>
      <c r="F51" s="9">
        <v>0</v>
      </c>
      <c r="G51" s="9">
        <v>30</v>
      </c>
      <c r="H51" s="9">
        <v>0</v>
      </c>
      <c r="I51" s="9">
        <v>0</v>
      </c>
      <c r="J51" s="9">
        <v>0</v>
      </c>
      <c r="K51" s="9">
        <v>21</v>
      </c>
      <c r="L51" s="9">
        <v>0</v>
      </c>
    </row>
    <row r="52" spans="2:12">
      <c r="B52" s="19">
        <v>1231011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300</v>
      </c>
      <c r="I52" s="9">
        <v>0</v>
      </c>
      <c r="J52" s="9">
        <v>0</v>
      </c>
      <c r="K52" s="9">
        <v>0</v>
      </c>
      <c r="L52" s="9">
        <v>0</v>
      </c>
    </row>
    <row r="53" spans="2:12">
      <c r="B53" s="19">
        <v>1231090</v>
      </c>
      <c r="C53" s="9">
        <v>0</v>
      </c>
      <c r="D53" s="9">
        <v>0</v>
      </c>
      <c r="E53" s="9">
        <v>150</v>
      </c>
      <c r="F53" s="9">
        <v>200</v>
      </c>
      <c r="G53" s="9">
        <v>745</v>
      </c>
      <c r="H53" s="9">
        <v>0</v>
      </c>
      <c r="I53" s="9">
        <v>0</v>
      </c>
      <c r="J53" s="9">
        <v>0</v>
      </c>
      <c r="K53" s="9">
        <v>300</v>
      </c>
      <c r="L53" s="9">
        <v>655</v>
      </c>
    </row>
    <row r="54" spans="2:12">
      <c r="B54" s="19">
        <v>1231578</v>
      </c>
      <c r="C54" s="9">
        <v>200</v>
      </c>
      <c r="D54" s="9">
        <v>300</v>
      </c>
      <c r="E54" s="9">
        <v>0</v>
      </c>
      <c r="F54" s="9">
        <v>0</v>
      </c>
      <c r="G54" s="9">
        <v>200</v>
      </c>
      <c r="H54" s="9">
        <v>200</v>
      </c>
      <c r="I54" s="9">
        <v>200</v>
      </c>
      <c r="J54" s="9">
        <v>0</v>
      </c>
      <c r="K54" s="9">
        <v>0</v>
      </c>
      <c r="L54" s="9">
        <v>200</v>
      </c>
    </row>
    <row r="55" spans="2:12">
      <c r="B55" s="19">
        <v>1231797</v>
      </c>
      <c r="C55" s="9">
        <v>0</v>
      </c>
      <c r="D55" s="9">
        <v>137</v>
      </c>
      <c r="E55" s="9">
        <v>0</v>
      </c>
      <c r="F55" s="9">
        <v>0</v>
      </c>
      <c r="G55" s="9">
        <v>0</v>
      </c>
      <c r="H55" s="9">
        <v>128</v>
      </c>
      <c r="I55" s="9">
        <v>0</v>
      </c>
      <c r="J55" s="9">
        <v>0</v>
      </c>
      <c r="K55" s="9">
        <v>0</v>
      </c>
      <c r="L55" s="9">
        <v>106</v>
      </c>
    </row>
    <row r="56" spans="2:12">
      <c r="B56" s="19">
        <v>1232066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288</v>
      </c>
      <c r="L56" s="9">
        <v>0</v>
      </c>
    </row>
    <row r="57" spans="2:12">
      <c r="B57" s="19">
        <v>1232528</v>
      </c>
      <c r="C57" s="9">
        <v>1320</v>
      </c>
      <c r="D57" s="9">
        <v>2704</v>
      </c>
      <c r="E57" s="9">
        <v>3000</v>
      </c>
      <c r="F57" s="9">
        <v>4000</v>
      </c>
      <c r="G57" s="9">
        <v>4046</v>
      </c>
      <c r="H57" s="9">
        <v>0</v>
      </c>
      <c r="I57" s="9">
        <v>3000</v>
      </c>
      <c r="J57" s="9">
        <v>4000</v>
      </c>
      <c r="K57" s="9">
        <v>4038</v>
      </c>
      <c r="L57" s="9">
        <v>0</v>
      </c>
    </row>
    <row r="58" spans="2:12">
      <c r="B58" s="19">
        <v>1232553</v>
      </c>
      <c r="C58" s="9">
        <v>0</v>
      </c>
      <c r="D58" s="9">
        <v>0</v>
      </c>
      <c r="E58" s="9">
        <v>0</v>
      </c>
      <c r="F58" s="9">
        <v>0</v>
      </c>
      <c r="G58" s="9">
        <v>108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</row>
    <row r="59" spans="2:12">
      <c r="B59" s="19">
        <v>1232693</v>
      </c>
      <c r="C59" s="9">
        <v>0</v>
      </c>
      <c r="D59" s="9">
        <v>0</v>
      </c>
      <c r="E59" s="9">
        <v>0</v>
      </c>
      <c r="F59" s="9">
        <v>0</v>
      </c>
      <c r="G59" s="9">
        <v>1018</v>
      </c>
      <c r="H59" s="9">
        <v>500</v>
      </c>
      <c r="I59" s="9">
        <v>0</v>
      </c>
      <c r="J59" s="9">
        <v>0</v>
      </c>
      <c r="K59" s="9">
        <v>624</v>
      </c>
      <c r="L59" s="9">
        <v>1000</v>
      </c>
    </row>
    <row r="60" spans="2:12">
      <c r="B60" s="19">
        <v>1232775</v>
      </c>
      <c r="C60" s="9">
        <v>1350</v>
      </c>
      <c r="D60" s="9">
        <v>930</v>
      </c>
      <c r="E60" s="9">
        <v>1600</v>
      </c>
      <c r="F60" s="9">
        <v>500</v>
      </c>
      <c r="G60" s="9">
        <v>200</v>
      </c>
      <c r="H60" s="9">
        <v>1950</v>
      </c>
      <c r="I60" s="9">
        <v>462</v>
      </c>
      <c r="J60" s="9">
        <v>0</v>
      </c>
      <c r="K60" s="9">
        <v>1350</v>
      </c>
      <c r="L60" s="9">
        <v>1463</v>
      </c>
    </row>
    <row r="61" spans="2:12">
      <c r="B61" s="19">
        <v>1232846</v>
      </c>
      <c r="C61" s="9">
        <v>0</v>
      </c>
      <c r="D61" s="9">
        <v>283</v>
      </c>
      <c r="E61" s="9">
        <v>100</v>
      </c>
      <c r="F61" s="9">
        <v>512</v>
      </c>
      <c r="G61" s="9">
        <v>0</v>
      </c>
      <c r="H61" s="9">
        <v>723</v>
      </c>
      <c r="I61" s="9">
        <v>0</v>
      </c>
      <c r="J61" s="9">
        <v>0</v>
      </c>
      <c r="K61" s="9">
        <v>663</v>
      </c>
      <c r="L61" s="9">
        <v>542</v>
      </c>
    </row>
    <row r="62" spans="2:12">
      <c r="B62" s="19">
        <v>1232894</v>
      </c>
      <c r="C62" s="9">
        <v>0</v>
      </c>
      <c r="D62" s="9">
        <v>0</v>
      </c>
      <c r="E62" s="9">
        <v>0</v>
      </c>
      <c r="F62" s="9">
        <v>512</v>
      </c>
      <c r="G62" s="9">
        <v>0</v>
      </c>
      <c r="H62" s="9">
        <v>0</v>
      </c>
      <c r="I62" s="9">
        <v>0</v>
      </c>
      <c r="J62" s="9">
        <v>0</v>
      </c>
      <c r="K62" s="9">
        <v>663</v>
      </c>
      <c r="L62" s="9">
        <v>0</v>
      </c>
    </row>
    <row r="63" spans="2:12">
      <c r="B63" s="19">
        <v>1232895</v>
      </c>
      <c r="C63" s="9">
        <v>0</v>
      </c>
      <c r="D63" s="9">
        <v>283</v>
      </c>
      <c r="E63" s="9">
        <v>100</v>
      </c>
      <c r="F63" s="9">
        <v>0</v>
      </c>
      <c r="G63" s="9">
        <v>0</v>
      </c>
      <c r="H63" s="9">
        <v>723</v>
      </c>
      <c r="I63" s="9">
        <v>0</v>
      </c>
      <c r="J63" s="9">
        <v>0</v>
      </c>
      <c r="K63" s="9">
        <v>0</v>
      </c>
      <c r="L63" s="9">
        <v>542</v>
      </c>
    </row>
    <row r="64" spans="2:12">
      <c r="B64" s="19">
        <v>1232922</v>
      </c>
      <c r="C64" s="9">
        <v>0</v>
      </c>
      <c r="D64" s="9">
        <v>283</v>
      </c>
      <c r="E64" s="9">
        <v>100</v>
      </c>
      <c r="F64" s="9">
        <v>0</v>
      </c>
      <c r="G64" s="9">
        <v>0</v>
      </c>
      <c r="H64" s="9">
        <v>273</v>
      </c>
      <c r="I64" s="9">
        <v>0</v>
      </c>
      <c r="J64" s="9">
        <v>0</v>
      </c>
      <c r="K64" s="9">
        <v>0</v>
      </c>
      <c r="L64" s="9">
        <v>242</v>
      </c>
    </row>
    <row r="65" spans="2:15">
      <c r="B65" s="19">
        <v>1233025</v>
      </c>
      <c r="C65" s="9">
        <v>0</v>
      </c>
      <c r="D65" s="9">
        <v>0</v>
      </c>
      <c r="E65" s="9">
        <v>0</v>
      </c>
      <c r="F65" s="9">
        <v>0</v>
      </c>
      <c r="G65" s="9">
        <v>1018</v>
      </c>
      <c r="H65" s="9">
        <v>500</v>
      </c>
      <c r="I65" s="9">
        <v>0</v>
      </c>
      <c r="J65" s="9">
        <v>0</v>
      </c>
      <c r="K65" s="9">
        <v>624</v>
      </c>
      <c r="L65" s="9">
        <v>1000</v>
      </c>
    </row>
    <row r="66" spans="2:15">
      <c r="B66" s="19">
        <v>1233165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250</v>
      </c>
      <c r="I66" s="9">
        <v>0</v>
      </c>
      <c r="J66" s="9">
        <v>0</v>
      </c>
      <c r="K66" s="9">
        <v>0</v>
      </c>
      <c r="L66" s="9">
        <v>0</v>
      </c>
    </row>
    <row r="67" spans="2:15">
      <c r="B67" s="19">
        <v>1233383</v>
      </c>
      <c r="C67" s="9">
        <v>0</v>
      </c>
      <c r="D67" s="9">
        <v>150</v>
      </c>
      <c r="E67" s="9">
        <v>0</v>
      </c>
      <c r="F67" s="9">
        <v>0</v>
      </c>
      <c r="G67" s="9">
        <v>0</v>
      </c>
      <c r="H67" s="9">
        <v>42</v>
      </c>
      <c r="I67" s="9">
        <v>0</v>
      </c>
      <c r="J67" s="9">
        <v>0</v>
      </c>
      <c r="K67" s="9">
        <v>0</v>
      </c>
      <c r="L67" s="9">
        <v>122</v>
      </c>
    </row>
    <row r="68" spans="2:15">
      <c r="B68" s="19">
        <v>1233384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450</v>
      </c>
      <c r="I68" s="9">
        <v>0</v>
      </c>
      <c r="J68" s="9">
        <v>0</v>
      </c>
      <c r="K68" s="9">
        <v>0</v>
      </c>
      <c r="L68" s="9">
        <v>300</v>
      </c>
    </row>
    <row r="69" spans="2:15">
      <c r="B69" s="19">
        <v>1233385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240</v>
      </c>
      <c r="L69" s="9">
        <v>0</v>
      </c>
    </row>
    <row r="70" spans="2:15">
      <c r="B70" s="19">
        <v>1233386</v>
      </c>
      <c r="C70" s="9">
        <v>0</v>
      </c>
      <c r="D70" s="9">
        <v>0</v>
      </c>
      <c r="E70" s="9">
        <v>0</v>
      </c>
      <c r="F70" s="9">
        <v>512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</row>
    <row r="71" spans="2:15">
      <c r="B71" s="19">
        <v>1233387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423</v>
      </c>
      <c r="L71" s="9">
        <v>0</v>
      </c>
    </row>
    <row r="72" spans="2:15">
      <c r="B72" s="19">
        <v>1233580</v>
      </c>
      <c r="C72" s="9">
        <v>0</v>
      </c>
      <c r="D72" s="9">
        <v>150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</row>
    <row r="73" spans="2:15">
      <c r="B73" s="19">
        <v>1233587</v>
      </c>
      <c r="C73" s="9">
        <v>0</v>
      </c>
      <c r="D73" s="9">
        <v>0</v>
      </c>
      <c r="E73" s="9">
        <v>5</v>
      </c>
      <c r="F73" s="9">
        <v>0</v>
      </c>
      <c r="G73" s="9">
        <v>0</v>
      </c>
      <c r="H73" s="9">
        <v>0</v>
      </c>
      <c r="I73" s="9">
        <v>10</v>
      </c>
      <c r="J73" s="9">
        <v>0</v>
      </c>
      <c r="K73" s="9">
        <v>0</v>
      </c>
      <c r="L73" s="9">
        <v>0</v>
      </c>
    </row>
    <row r="74" spans="2:15">
      <c r="B74" s="19">
        <v>1234110</v>
      </c>
      <c r="C74" s="9">
        <v>0</v>
      </c>
      <c r="D74" s="9">
        <v>270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</row>
    <row r="75" spans="2:15">
      <c r="B75" s="19">
        <v>1234111</v>
      </c>
      <c r="C75" s="9">
        <v>0</v>
      </c>
      <c r="D75" s="9">
        <v>270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</row>
    <row r="76" spans="2:15">
      <c r="B76" s="19">
        <v>1234217</v>
      </c>
      <c r="C76" s="9">
        <v>0</v>
      </c>
      <c r="D76" s="9">
        <v>270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</row>
    <row r="77" spans="2:15">
      <c r="B77" s="19">
        <v>1234222</v>
      </c>
      <c r="C77" s="9">
        <v>0</v>
      </c>
      <c r="D77" s="9">
        <v>0</v>
      </c>
      <c r="E77" s="9">
        <v>777</v>
      </c>
      <c r="F77" s="9">
        <v>0</v>
      </c>
      <c r="G77" s="9">
        <v>0</v>
      </c>
      <c r="H77" s="9">
        <v>0</v>
      </c>
      <c r="I77" s="9">
        <v>868</v>
      </c>
      <c r="J77" s="9">
        <v>0</v>
      </c>
      <c r="K77" s="9">
        <v>0</v>
      </c>
      <c r="L77" s="9">
        <v>0</v>
      </c>
    </row>
    <row r="78" spans="2:15" s="20" customFormat="1">
      <c r="B78" s="101">
        <v>1234614</v>
      </c>
      <c r="C78" s="10">
        <v>573</v>
      </c>
      <c r="D78" s="10">
        <v>1148</v>
      </c>
      <c r="E78" s="10">
        <v>0</v>
      </c>
      <c r="F78" s="10">
        <v>300</v>
      </c>
      <c r="G78" s="10">
        <v>300</v>
      </c>
      <c r="H78" s="10">
        <v>200</v>
      </c>
      <c r="I78" s="10">
        <v>0</v>
      </c>
      <c r="J78" s="10">
        <v>0</v>
      </c>
      <c r="K78" s="10">
        <v>400</v>
      </c>
      <c r="L78" s="10">
        <v>400</v>
      </c>
      <c r="M78" s="10"/>
      <c r="N78" s="10"/>
      <c r="O78" s="10"/>
    </row>
    <row r="79" spans="2:15">
      <c r="B79" s="19">
        <v>1235097</v>
      </c>
      <c r="C79" s="9">
        <v>500</v>
      </c>
      <c r="D79" s="9">
        <v>500</v>
      </c>
      <c r="E79" s="9">
        <v>300</v>
      </c>
      <c r="F79" s="9">
        <v>500</v>
      </c>
      <c r="G79" s="9">
        <v>300</v>
      </c>
      <c r="H79" s="9">
        <v>300</v>
      </c>
      <c r="I79" s="9">
        <v>300</v>
      </c>
      <c r="J79" s="9">
        <v>0</v>
      </c>
      <c r="K79" s="9">
        <v>400</v>
      </c>
      <c r="L79" s="9">
        <v>300</v>
      </c>
    </row>
    <row r="80" spans="2:15">
      <c r="B80" s="19">
        <v>1235845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382</v>
      </c>
      <c r="J80" s="9">
        <v>0</v>
      </c>
      <c r="K80" s="9">
        <v>0</v>
      </c>
      <c r="L80" s="9">
        <v>0</v>
      </c>
    </row>
    <row r="81" spans="2:12">
      <c r="B81" s="19">
        <v>1235958</v>
      </c>
      <c r="C81" s="9">
        <v>0</v>
      </c>
      <c r="D81" s="9">
        <v>0</v>
      </c>
      <c r="E81" s="9">
        <v>5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</row>
    <row r="82" spans="2:12">
      <c r="B82" s="19">
        <v>1236387</v>
      </c>
      <c r="C82" s="9">
        <v>0</v>
      </c>
      <c r="D82" s="9">
        <v>0</v>
      </c>
      <c r="E82" s="9">
        <v>400</v>
      </c>
      <c r="F82" s="9">
        <v>200</v>
      </c>
      <c r="G82" s="9">
        <v>300</v>
      </c>
      <c r="H82" s="9">
        <v>200</v>
      </c>
      <c r="I82" s="9">
        <v>200</v>
      </c>
      <c r="J82" s="9">
        <v>0</v>
      </c>
      <c r="K82" s="9">
        <v>200</v>
      </c>
      <c r="L82" s="9">
        <v>200</v>
      </c>
    </row>
    <row r="83" spans="2:12">
      <c r="B83" s="19">
        <v>1236600</v>
      </c>
      <c r="C83" s="9">
        <v>0</v>
      </c>
      <c r="D83" s="9">
        <v>873</v>
      </c>
      <c r="E83" s="9">
        <v>100</v>
      </c>
      <c r="F83" s="9">
        <v>0</v>
      </c>
      <c r="G83" s="9">
        <v>0</v>
      </c>
      <c r="H83" s="9">
        <v>829</v>
      </c>
      <c r="I83" s="9">
        <v>0</v>
      </c>
      <c r="J83" s="9">
        <v>0</v>
      </c>
      <c r="K83" s="9">
        <v>0</v>
      </c>
      <c r="L83" s="9">
        <v>748</v>
      </c>
    </row>
    <row r="84" spans="2:12">
      <c r="B84" s="19">
        <v>1236601</v>
      </c>
      <c r="C84" s="9">
        <v>0</v>
      </c>
      <c r="D84" s="9">
        <v>100</v>
      </c>
      <c r="E84" s="9">
        <v>0</v>
      </c>
      <c r="F84" s="9">
        <v>0</v>
      </c>
      <c r="G84" s="9">
        <v>0</v>
      </c>
      <c r="H84" s="9">
        <v>100</v>
      </c>
      <c r="I84" s="9">
        <v>0</v>
      </c>
      <c r="J84" s="9">
        <v>0</v>
      </c>
      <c r="K84" s="9">
        <v>0</v>
      </c>
      <c r="L84" s="9">
        <v>84</v>
      </c>
    </row>
    <row r="85" spans="2:12">
      <c r="B85" s="19">
        <v>1236619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540</v>
      </c>
    </row>
    <row r="86" spans="2:12">
      <c r="B86" s="19">
        <v>1236930</v>
      </c>
      <c r="C86" s="9">
        <v>1600</v>
      </c>
      <c r="D86" s="9">
        <v>2190</v>
      </c>
      <c r="E86" s="9">
        <v>1300</v>
      </c>
      <c r="F86" s="9">
        <v>2360</v>
      </c>
      <c r="G86" s="9">
        <v>1876</v>
      </c>
      <c r="H86" s="9">
        <v>1750</v>
      </c>
      <c r="I86" s="9">
        <v>1150</v>
      </c>
      <c r="J86" s="9">
        <v>1600</v>
      </c>
      <c r="K86" s="9">
        <v>2758</v>
      </c>
      <c r="L86" s="9">
        <v>1000</v>
      </c>
    </row>
    <row r="87" spans="2:12">
      <c r="B87" s="19">
        <v>1237210</v>
      </c>
      <c r="C87" s="9">
        <v>0</v>
      </c>
      <c r="D87" s="9">
        <v>0</v>
      </c>
      <c r="E87" s="9">
        <v>160</v>
      </c>
      <c r="F87" s="9">
        <v>0</v>
      </c>
      <c r="G87" s="9">
        <v>0</v>
      </c>
      <c r="H87" s="9">
        <v>0</v>
      </c>
      <c r="I87" s="9">
        <v>160</v>
      </c>
      <c r="J87" s="9">
        <v>0</v>
      </c>
      <c r="K87" s="9">
        <v>0</v>
      </c>
      <c r="L87" s="9">
        <v>0</v>
      </c>
    </row>
    <row r="88" spans="2:12">
      <c r="B88" s="19">
        <v>1237386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795</v>
      </c>
    </row>
    <row r="89" spans="2:12">
      <c r="B89" s="19">
        <v>1237457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270</v>
      </c>
    </row>
    <row r="90" spans="2:12">
      <c r="B90" s="19">
        <v>1237468</v>
      </c>
      <c r="C90" s="9">
        <v>0</v>
      </c>
      <c r="D90" s="9">
        <v>403</v>
      </c>
      <c r="E90" s="9">
        <v>0</v>
      </c>
      <c r="F90" s="9">
        <v>612</v>
      </c>
      <c r="G90" s="9">
        <v>0</v>
      </c>
      <c r="H90" s="9">
        <v>79</v>
      </c>
      <c r="I90" s="9">
        <v>0</v>
      </c>
      <c r="J90" s="9">
        <v>0</v>
      </c>
      <c r="K90" s="9">
        <v>0</v>
      </c>
      <c r="L90" s="9">
        <v>70</v>
      </c>
    </row>
    <row r="91" spans="2:12">
      <c r="B91" s="19">
        <v>1238453</v>
      </c>
      <c r="C91" s="9">
        <v>0</v>
      </c>
      <c r="D91" s="9">
        <v>175</v>
      </c>
      <c r="E91" s="9">
        <v>0</v>
      </c>
      <c r="F91" s="9">
        <v>0</v>
      </c>
      <c r="G91" s="9">
        <v>0</v>
      </c>
      <c r="H91" s="9">
        <v>122</v>
      </c>
      <c r="I91" s="9">
        <v>0</v>
      </c>
      <c r="J91" s="9">
        <v>0</v>
      </c>
      <c r="K91" s="9">
        <v>0</v>
      </c>
      <c r="L91" s="9">
        <v>113</v>
      </c>
    </row>
    <row r="92" spans="2:12">
      <c r="B92" s="19">
        <v>1238480</v>
      </c>
      <c r="C92" s="9">
        <v>1319</v>
      </c>
      <c r="D92" s="9">
        <v>1400</v>
      </c>
      <c r="E92" s="9">
        <v>1100</v>
      </c>
      <c r="F92" s="9">
        <v>2422</v>
      </c>
      <c r="G92" s="9">
        <v>5961</v>
      </c>
      <c r="H92" s="9">
        <v>5598</v>
      </c>
      <c r="I92" s="9">
        <v>4800</v>
      </c>
      <c r="J92" s="9">
        <v>3000</v>
      </c>
      <c r="K92" s="9">
        <v>6682</v>
      </c>
      <c r="L92" s="9">
        <v>4910</v>
      </c>
    </row>
    <row r="93" spans="2:12">
      <c r="B93" s="19">
        <v>1238605</v>
      </c>
      <c r="C93" s="9">
        <v>1050</v>
      </c>
      <c r="D93" s="9">
        <v>200</v>
      </c>
      <c r="E93" s="9">
        <v>0</v>
      </c>
      <c r="F93" s="9">
        <v>0</v>
      </c>
      <c r="G93" s="9">
        <v>0</v>
      </c>
      <c r="H93" s="9">
        <v>150</v>
      </c>
      <c r="I93" s="9">
        <v>0</v>
      </c>
      <c r="J93" s="9">
        <v>0</v>
      </c>
      <c r="K93" s="9">
        <v>0</v>
      </c>
      <c r="L93" s="9">
        <v>450</v>
      </c>
    </row>
    <row r="94" spans="2:12">
      <c r="B94" s="19">
        <v>1240180</v>
      </c>
      <c r="C94" s="9">
        <v>1082</v>
      </c>
      <c r="D94" s="9">
        <v>550</v>
      </c>
      <c r="E94" s="9">
        <v>300</v>
      </c>
      <c r="F94" s="9">
        <v>0</v>
      </c>
      <c r="G94" s="9">
        <v>650</v>
      </c>
      <c r="H94" s="9">
        <v>750</v>
      </c>
      <c r="I94" s="9">
        <v>0</v>
      </c>
      <c r="J94" s="9">
        <v>0</v>
      </c>
      <c r="K94" s="9">
        <v>1482</v>
      </c>
      <c r="L94" s="9">
        <v>300</v>
      </c>
    </row>
    <row r="95" spans="2:12">
      <c r="B95" s="19">
        <v>1240184</v>
      </c>
      <c r="C95" s="9">
        <v>1082</v>
      </c>
      <c r="D95" s="9">
        <v>550</v>
      </c>
      <c r="E95" s="9">
        <v>300</v>
      </c>
      <c r="F95" s="9">
        <v>0</v>
      </c>
      <c r="G95" s="9">
        <v>650</v>
      </c>
      <c r="H95" s="9">
        <v>750</v>
      </c>
      <c r="I95" s="9">
        <v>0</v>
      </c>
      <c r="J95" s="9">
        <v>0</v>
      </c>
      <c r="K95" s="9">
        <v>1482</v>
      </c>
      <c r="L95" s="9">
        <v>300</v>
      </c>
    </row>
  </sheetData>
  <phoneticPr fontId="11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7CA0-A575-4E2A-B80E-C74C10818543}">
  <dimension ref="A1:W70"/>
  <sheetViews>
    <sheetView zoomScale="130" zoomScaleNormal="130" workbookViewId="0">
      <selection activeCell="R32" sqref="R32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20" width="9.33203125" style="9"/>
    <col min="21" max="16384" width="9.33203125" style="5"/>
  </cols>
  <sheetData>
    <row r="1" spans="1:23">
      <c r="A1" s="5" t="s">
        <v>0</v>
      </c>
      <c r="B1" s="9" t="s">
        <v>1261</v>
      </c>
      <c r="C1" s="9" t="s">
        <v>1262</v>
      </c>
      <c r="D1" s="9" t="s">
        <v>1263</v>
      </c>
      <c r="E1" s="9" t="s">
        <v>1264</v>
      </c>
      <c r="F1" s="9" t="s">
        <v>1266</v>
      </c>
      <c r="G1" s="9" t="s">
        <v>1267</v>
      </c>
      <c r="H1" s="9" t="s">
        <v>1268</v>
      </c>
      <c r="I1" s="9" t="s">
        <v>1269</v>
      </c>
      <c r="J1" s="9" t="s">
        <v>1270</v>
      </c>
      <c r="K1" s="9" t="s">
        <v>1271</v>
      </c>
      <c r="L1" s="9" t="s">
        <v>1272</v>
      </c>
      <c r="M1" s="9" t="s">
        <v>1274</v>
      </c>
      <c r="N1" s="9" t="s">
        <v>1275</v>
      </c>
      <c r="O1" s="9" t="s">
        <v>1276</v>
      </c>
      <c r="P1" s="9" t="s">
        <v>1277</v>
      </c>
      <c r="Q1" s="9" t="s">
        <v>1278</v>
      </c>
      <c r="R1" s="9" t="s">
        <v>1279</v>
      </c>
      <c r="S1" s="9" t="s">
        <v>1280</v>
      </c>
    </row>
    <row r="2" spans="1:23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160</v>
      </c>
      <c r="N2" s="9">
        <v>350</v>
      </c>
      <c r="O2" s="9">
        <v>0</v>
      </c>
      <c r="P2" s="9">
        <v>250</v>
      </c>
      <c r="Q2" s="9">
        <v>300</v>
      </c>
      <c r="R2" s="9">
        <v>0</v>
      </c>
      <c r="S2" s="9">
        <v>0</v>
      </c>
      <c r="U2" s="78">
        <f>SUM(B2:S2)</f>
        <v>1060</v>
      </c>
      <c r="V2" s="5">
        <f>VLOOKUP(A2,[18]sheet1!$A$2:$U$23,21,0)</f>
        <v>1060</v>
      </c>
      <c r="W2" s="78">
        <f>+U2-V2</f>
        <v>0</v>
      </c>
    </row>
    <row r="3" spans="1:23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160</v>
      </c>
      <c r="N3" s="9">
        <v>350</v>
      </c>
      <c r="O3" s="9">
        <v>0</v>
      </c>
      <c r="P3" s="9">
        <v>250</v>
      </c>
      <c r="Q3" s="9">
        <v>300</v>
      </c>
      <c r="R3" s="9">
        <v>0</v>
      </c>
      <c r="S3" s="9">
        <v>0</v>
      </c>
      <c r="U3" s="78">
        <f t="shared" ref="U3:U23" si="0">SUM(B3:S3)</f>
        <v>1060</v>
      </c>
      <c r="V3" s="5">
        <f>VLOOKUP(A3,[18]sheet1!$A$2:$U$23,21,0)</f>
        <v>1060</v>
      </c>
      <c r="W3" s="78">
        <f t="shared" ref="W3:W23" si="1">+U3-V3</f>
        <v>0</v>
      </c>
    </row>
    <row r="4" spans="1:23">
      <c r="A4" s="5">
        <v>1229673</v>
      </c>
      <c r="B4" s="9">
        <v>300</v>
      </c>
      <c r="C4" s="9">
        <v>300</v>
      </c>
      <c r="D4" s="9">
        <v>0</v>
      </c>
      <c r="E4" s="9">
        <v>0</v>
      </c>
      <c r="F4" s="9">
        <v>0</v>
      </c>
      <c r="G4" s="9">
        <v>300</v>
      </c>
      <c r="H4" s="9">
        <v>300</v>
      </c>
      <c r="I4" s="9">
        <v>300</v>
      </c>
      <c r="J4" s="9">
        <v>0</v>
      </c>
      <c r="K4" s="9">
        <v>0</v>
      </c>
      <c r="L4" s="9">
        <v>0</v>
      </c>
      <c r="M4" s="9">
        <v>190</v>
      </c>
      <c r="N4" s="9">
        <v>110</v>
      </c>
      <c r="O4" s="9">
        <v>0</v>
      </c>
      <c r="P4" s="9">
        <v>200</v>
      </c>
      <c r="Q4" s="9">
        <v>0</v>
      </c>
      <c r="R4" s="9">
        <v>0</v>
      </c>
      <c r="S4" s="9">
        <v>0</v>
      </c>
      <c r="U4" s="78">
        <f t="shared" si="0"/>
        <v>2000</v>
      </c>
      <c r="V4" s="5">
        <f>VLOOKUP(A4,[18]sheet1!$A$2:$U$23,21,0)</f>
        <v>2000</v>
      </c>
      <c r="W4" s="78">
        <f t="shared" si="1"/>
        <v>0</v>
      </c>
    </row>
    <row r="5" spans="1:23">
      <c r="A5" s="5">
        <v>1231202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50</v>
      </c>
      <c r="H5" s="9">
        <v>50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U5" s="78">
        <f t="shared" si="0"/>
        <v>100</v>
      </c>
      <c r="V5" s="5">
        <f>VLOOKUP(A5,[18]sheet1!$A$2:$U$23,21,0)</f>
        <v>100</v>
      </c>
      <c r="W5" s="78">
        <f t="shared" si="1"/>
        <v>0</v>
      </c>
    </row>
    <row r="6" spans="1:23" s="58" customFormat="1">
      <c r="A6" s="58">
        <v>1233492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312</v>
      </c>
      <c r="I6" s="18">
        <v>222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/>
      <c r="U6" s="254">
        <f t="shared" si="0"/>
        <v>534</v>
      </c>
      <c r="V6" s="58">
        <f>VLOOKUP(A6,[18]sheet1!$A$2:$U$23,21,0)</f>
        <v>534</v>
      </c>
      <c r="W6" s="254">
        <f t="shared" si="1"/>
        <v>0</v>
      </c>
    </row>
    <row r="7" spans="1:23" s="58" customFormat="1">
      <c r="A7" s="58">
        <v>1233498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312</v>
      </c>
      <c r="I7" s="18">
        <v>222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/>
      <c r="U7" s="254">
        <f t="shared" si="0"/>
        <v>534</v>
      </c>
      <c r="V7" s="58">
        <f>VLOOKUP(A7,[18]sheet1!$A$2:$U$23,21,0)</f>
        <v>534</v>
      </c>
      <c r="W7" s="254">
        <f t="shared" si="1"/>
        <v>0</v>
      </c>
    </row>
    <row r="8" spans="1:23" s="58" customFormat="1">
      <c r="A8" s="58">
        <v>1233623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312</v>
      </c>
      <c r="I8" s="18">
        <v>222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/>
      <c r="U8" s="254">
        <f t="shared" si="0"/>
        <v>534</v>
      </c>
      <c r="V8" s="58">
        <f>VLOOKUP(A8,[18]sheet1!$A$2:$U$23,21,0)</f>
        <v>534</v>
      </c>
      <c r="W8" s="254">
        <f t="shared" si="1"/>
        <v>0</v>
      </c>
    </row>
    <row r="9" spans="1:23">
      <c r="A9" s="5">
        <v>1235623</v>
      </c>
      <c r="B9" s="9">
        <v>118</v>
      </c>
      <c r="C9" s="9">
        <v>818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U9" s="78">
        <f t="shared" si="0"/>
        <v>936</v>
      </c>
      <c r="V9" s="5">
        <f>VLOOKUP(A9,[18]sheet1!$A$2:$U$23,21,0)</f>
        <v>936</v>
      </c>
      <c r="W9" s="78">
        <f t="shared" si="1"/>
        <v>0</v>
      </c>
    </row>
    <row r="10" spans="1:23" s="58" customFormat="1">
      <c r="A10" s="58">
        <v>1237088</v>
      </c>
      <c r="B10" s="18">
        <v>552</v>
      </c>
      <c r="C10" s="18">
        <v>338</v>
      </c>
      <c r="D10" s="18">
        <v>0</v>
      </c>
      <c r="E10" s="18">
        <v>0</v>
      </c>
      <c r="F10" s="18">
        <v>0</v>
      </c>
      <c r="G10" s="18">
        <v>1062</v>
      </c>
      <c r="H10" s="18">
        <v>942</v>
      </c>
      <c r="I10" s="18">
        <v>1360</v>
      </c>
      <c r="J10" s="18">
        <v>0</v>
      </c>
      <c r="K10" s="18">
        <v>0</v>
      </c>
      <c r="L10" s="18">
        <v>0</v>
      </c>
      <c r="M10" s="18">
        <v>472</v>
      </c>
      <c r="N10" s="18">
        <v>496</v>
      </c>
      <c r="O10" s="18">
        <v>0</v>
      </c>
      <c r="P10" s="18">
        <v>716</v>
      </c>
      <c r="Q10" s="18">
        <v>866</v>
      </c>
      <c r="R10" s="18">
        <v>0</v>
      </c>
      <c r="S10" s="18">
        <v>0</v>
      </c>
      <c r="T10" s="18"/>
      <c r="U10" s="254">
        <f t="shared" si="0"/>
        <v>6804</v>
      </c>
      <c r="V10" s="58">
        <f>VLOOKUP(A10,[18]sheet1!$A$2:$U$23,21,0)</f>
        <v>6804</v>
      </c>
      <c r="W10" s="254">
        <f t="shared" si="1"/>
        <v>0</v>
      </c>
    </row>
    <row r="11" spans="1:23">
      <c r="A11" s="5">
        <v>1237748</v>
      </c>
      <c r="B11" s="9">
        <v>728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630</v>
      </c>
      <c r="N11" s="9">
        <v>840</v>
      </c>
      <c r="O11" s="9">
        <v>0</v>
      </c>
      <c r="P11" s="9">
        <v>90</v>
      </c>
      <c r="Q11" s="9">
        <v>0</v>
      </c>
      <c r="R11" s="9">
        <v>0</v>
      </c>
      <c r="S11" s="9">
        <v>0</v>
      </c>
      <c r="U11" s="78">
        <f t="shared" si="0"/>
        <v>2288</v>
      </c>
      <c r="V11" s="5">
        <f>VLOOKUP(A11,[18]sheet1!$A$2:$U$23,21,0)</f>
        <v>2288</v>
      </c>
      <c r="W11" s="78">
        <f t="shared" si="1"/>
        <v>0</v>
      </c>
    </row>
    <row r="12" spans="1:23">
      <c r="A12" s="5">
        <v>1231898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248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U12" s="78">
        <f t="shared" si="0"/>
        <v>248</v>
      </c>
      <c r="V12" s="5">
        <f>VLOOKUP(A12,[18]sheet1!$A$2:$U$23,21,0)</f>
        <v>248</v>
      </c>
      <c r="W12" s="78">
        <f t="shared" si="1"/>
        <v>0</v>
      </c>
    </row>
    <row r="13" spans="1:23">
      <c r="A13" s="5">
        <v>1237586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248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U13" s="78">
        <f t="shared" si="0"/>
        <v>248</v>
      </c>
      <c r="V13" s="5">
        <f>VLOOKUP(A13,[18]sheet1!$A$2:$U$23,21,0)</f>
        <v>248</v>
      </c>
      <c r="W13" s="78">
        <f t="shared" si="1"/>
        <v>0</v>
      </c>
    </row>
    <row r="14" spans="1:23">
      <c r="A14" s="5">
        <v>1234905</v>
      </c>
      <c r="B14" s="9">
        <v>426</v>
      </c>
      <c r="C14" s="9">
        <v>626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U14" s="78">
        <f t="shared" si="0"/>
        <v>1052</v>
      </c>
      <c r="V14" s="5">
        <f>VLOOKUP(A14,[18]sheet1!$A$2:$U$23,21,0)</f>
        <v>1052</v>
      </c>
      <c r="W14" s="78">
        <f t="shared" si="1"/>
        <v>0</v>
      </c>
    </row>
    <row r="15" spans="1:23" s="58" customFormat="1">
      <c r="A15" s="58">
        <v>1238128</v>
      </c>
      <c r="B15" s="18">
        <v>0</v>
      </c>
      <c r="C15" s="18">
        <v>854</v>
      </c>
      <c r="D15" s="18">
        <v>0</v>
      </c>
      <c r="E15" s="18">
        <v>0</v>
      </c>
      <c r="F15" s="18">
        <v>0</v>
      </c>
      <c r="G15" s="18">
        <v>790</v>
      </c>
      <c r="H15" s="18">
        <v>394</v>
      </c>
      <c r="I15" s="18">
        <v>432</v>
      </c>
      <c r="J15" s="18">
        <v>0</v>
      </c>
      <c r="K15" s="18">
        <v>0</v>
      </c>
      <c r="L15" s="18">
        <v>0</v>
      </c>
      <c r="M15" s="18">
        <v>1690</v>
      </c>
      <c r="N15" s="18">
        <v>1770</v>
      </c>
      <c r="O15" s="18">
        <v>0</v>
      </c>
      <c r="P15" s="18">
        <v>2120</v>
      </c>
      <c r="Q15" s="18">
        <v>2526</v>
      </c>
      <c r="R15" s="18">
        <v>0</v>
      </c>
      <c r="S15" s="18">
        <v>0</v>
      </c>
      <c r="T15" s="18"/>
      <c r="U15" s="254">
        <f t="shared" si="0"/>
        <v>10576</v>
      </c>
      <c r="V15" s="58">
        <f>VLOOKUP(A15,[18]sheet1!$A$2:$U$23,21,0)</f>
        <v>10576</v>
      </c>
      <c r="W15" s="254">
        <f t="shared" si="1"/>
        <v>0</v>
      </c>
    </row>
    <row r="16" spans="1:23">
      <c r="A16" s="5">
        <v>1236962</v>
      </c>
      <c r="B16" s="9">
        <v>200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U16" s="78">
        <f t="shared" si="0"/>
        <v>200</v>
      </c>
      <c r="V16" s="5">
        <f>VLOOKUP(A16,[18]sheet1!$A$2:$U$23,21,0)</f>
        <v>200</v>
      </c>
      <c r="W16" s="78">
        <f t="shared" si="1"/>
        <v>0</v>
      </c>
    </row>
    <row r="17" spans="1:23">
      <c r="A17" s="5">
        <v>1233761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100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U17" s="78">
        <f t="shared" si="0"/>
        <v>100</v>
      </c>
      <c r="V17" s="5">
        <f>VLOOKUP(A17,[18]sheet1!$A$2:$U$23,21,0)</f>
        <v>100</v>
      </c>
      <c r="W17" s="78">
        <f t="shared" si="1"/>
        <v>0</v>
      </c>
    </row>
    <row r="18" spans="1:23">
      <c r="A18" s="58">
        <v>1236930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60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U18" s="78">
        <f t="shared" si="0"/>
        <v>60</v>
      </c>
      <c r="V18" s="5">
        <f>VLOOKUP(A18,[18]sheet1!$A$2:$U$23,21,0)</f>
        <v>60</v>
      </c>
      <c r="W18" s="78">
        <f t="shared" si="1"/>
        <v>0</v>
      </c>
    </row>
    <row r="19" spans="1:23">
      <c r="A19" s="5">
        <v>1239651</v>
      </c>
      <c r="B19" s="9">
        <v>0</v>
      </c>
      <c r="C19" s="9">
        <v>350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300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U19" s="78">
        <f t="shared" si="0"/>
        <v>650</v>
      </c>
      <c r="V19" s="5">
        <f>VLOOKUP(A19,[18]sheet1!$A$2:$U$23,21,0)</f>
        <v>650</v>
      </c>
      <c r="W19" s="78">
        <f t="shared" si="1"/>
        <v>0</v>
      </c>
    </row>
    <row r="20" spans="1:23" s="58" customFormat="1">
      <c r="A20" s="58">
        <v>1240180</v>
      </c>
      <c r="B20" s="18">
        <v>430</v>
      </c>
      <c r="C20" s="18">
        <v>548</v>
      </c>
      <c r="D20" s="18">
        <v>0</v>
      </c>
      <c r="E20" s="18">
        <v>0</v>
      </c>
      <c r="F20" s="18">
        <v>0</v>
      </c>
      <c r="G20" s="18">
        <v>460</v>
      </c>
      <c r="H20" s="18">
        <v>172</v>
      </c>
      <c r="I20" s="18">
        <v>154</v>
      </c>
      <c r="J20" s="18">
        <v>0</v>
      </c>
      <c r="K20" s="18">
        <v>0</v>
      </c>
      <c r="L20" s="18">
        <v>0</v>
      </c>
      <c r="M20" s="18">
        <v>50</v>
      </c>
      <c r="N20" s="18">
        <v>0</v>
      </c>
      <c r="O20" s="18">
        <v>0</v>
      </c>
      <c r="P20" s="18">
        <v>92</v>
      </c>
      <c r="Q20" s="18">
        <v>736</v>
      </c>
      <c r="R20" s="18">
        <v>0</v>
      </c>
      <c r="S20" s="18">
        <v>0</v>
      </c>
      <c r="T20" s="18"/>
      <c r="U20" s="254">
        <f t="shared" si="0"/>
        <v>2642</v>
      </c>
      <c r="V20" s="58">
        <f>VLOOKUP(A20,[18]sheet1!$A$2:$U$23,21,0)</f>
        <v>2642</v>
      </c>
      <c r="W20" s="254">
        <f t="shared" si="1"/>
        <v>0</v>
      </c>
    </row>
    <row r="21" spans="1:23" s="58" customFormat="1">
      <c r="A21" s="58">
        <v>1240184</v>
      </c>
      <c r="B21" s="18">
        <v>430</v>
      </c>
      <c r="C21" s="18">
        <v>548</v>
      </c>
      <c r="D21" s="18">
        <v>0</v>
      </c>
      <c r="E21" s="18">
        <v>0</v>
      </c>
      <c r="F21" s="18">
        <v>0</v>
      </c>
      <c r="G21" s="18">
        <v>460</v>
      </c>
      <c r="H21" s="18">
        <v>172</v>
      </c>
      <c r="I21" s="18">
        <v>154</v>
      </c>
      <c r="J21" s="18">
        <v>0</v>
      </c>
      <c r="K21" s="18">
        <v>0</v>
      </c>
      <c r="L21" s="18">
        <v>0</v>
      </c>
      <c r="M21" s="18">
        <v>50</v>
      </c>
      <c r="N21" s="18">
        <v>0</v>
      </c>
      <c r="O21" s="18">
        <v>0</v>
      </c>
      <c r="P21" s="18">
        <v>92</v>
      </c>
      <c r="Q21" s="18">
        <v>736</v>
      </c>
      <c r="R21" s="18">
        <v>0</v>
      </c>
      <c r="S21" s="18">
        <v>0</v>
      </c>
      <c r="T21" s="18"/>
      <c r="U21" s="254">
        <f t="shared" si="0"/>
        <v>2642</v>
      </c>
      <c r="V21" s="58">
        <f>VLOOKUP(A21,[18]sheet1!$A$2:$U$23,21,0)</f>
        <v>2642</v>
      </c>
      <c r="W21" s="254">
        <f t="shared" si="1"/>
        <v>0</v>
      </c>
    </row>
    <row r="22" spans="1:23">
      <c r="A22" s="5">
        <v>1241601</v>
      </c>
      <c r="B22" s="9">
        <v>0</v>
      </c>
      <c r="C22" s="9">
        <v>1246</v>
      </c>
      <c r="D22" s="9">
        <v>0</v>
      </c>
      <c r="E22" s="9">
        <v>0</v>
      </c>
      <c r="F22" s="9">
        <v>0</v>
      </c>
      <c r="G22" s="9">
        <v>700</v>
      </c>
      <c r="H22" s="9">
        <v>788</v>
      </c>
      <c r="I22" s="9">
        <v>658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U22" s="78">
        <f t="shared" si="0"/>
        <v>3392</v>
      </c>
      <c r="V22" s="5">
        <f>VLOOKUP(A22,[18]sheet1!$A$2:$U$23,21,0)</f>
        <v>3392</v>
      </c>
      <c r="W22" s="78">
        <f t="shared" si="1"/>
        <v>0</v>
      </c>
    </row>
    <row r="23" spans="1:23">
      <c r="A23" s="5">
        <v>1240308</v>
      </c>
      <c r="B23" s="9">
        <v>300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U23" s="78">
        <f t="shared" si="0"/>
        <v>300</v>
      </c>
      <c r="V23" s="5">
        <f>VLOOKUP(A23,[18]sheet1!$A$2:$U$23,21,0)</f>
        <v>300</v>
      </c>
      <c r="W23" s="78">
        <f t="shared" si="1"/>
        <v>0</v>
      </c>
    </row>
    <row r="25" spans="1:23">
      <c r="B25" s="9">
        <f>SUM(B2:B24)</f>
        <v>3484</v>
      </c>
      <c r="C25" s="9">
        <f t="shared" ref="C25:S25" si="2">SUM(C2:C24)</f>
        <v>5628</v>
      </c>
      <c r="D25" s="9">
        <f t="shared" si="2"/>
        <v>0</v>
      </c>
      <c r="E25" s="9">
        <f t="shared" si="2"/>
        <v>0</v>
      </c>
      <c r="F25" s="9">
        <f t="shared" si="2"/>
        <v>0</v>
      </c>
      <c r="G25" s="9">
        <f t="shared" si="2"/>
        <v>3822</v>
      </c>
      <c r="H25" s="9">
        <f t="shared" si="2"/>
        <v>4250</v>
      </c>
      <c r="I25" s="9">
        <f t="shared" si="2"/>
        <v>3884</v>
      </c>
      <c r="J25" s="9">
        <f t="shared" si="2"/>
        <v>0</v>
      </c>
      <c r="K25" s="9">
        <f t="shared" si="2"/>
        <v>0</v>
      </c>
      <c r="L25" s="9">
        <f t="shared" si="2"/>
        <v>0</v>
      </c>
      <c r="M25" s="9">
        <f t="shared" si="2"/>
        <v>3702</v>
      </c>
      <c r="N25" s="9">
        <f t="shared" si="2"/>
        <v>3916</v>
      </c>
      <c r="O25" s="9">
        <f t="shared" si="2"/>
        <v>0</v>
      </c>
      <c r="P25" s="9">
        <f t="shared" si="2"/>
        <v>3810</v>
      </c>
      <c r="Q25" s="9">
        <f t="shared" si="2"/>
        <v>5464</v>
      </c>
      <c r="R25" s="9">
        <f t="shared" si="2"/>
        <v>0</v>
      </c>
      <c r="S25" s="9">
        <f t="shared" si="2"/>
        <v>0</v>
      </c>
    </row>
    <row r="29" spans="1:23">
      <c r="A29" s="5" t="s">
        <v>0</v>
      </c>
      <c r="B29" s="9" t="s">
        <v>1261</v>
      </c>
      <c r="C29" s="9" t="s">
        <v>1262</v>
      </c>
      <c r="D29" s="9" t="s">
        <v>1263</v>
      </c>
      <c r="E29" s="9" t="s">
        <v>1264</v>
      </c>
      <c r="F29" s="9" t="s">
        <v>1266</v>
      </c>
      <c r="G29" s="9" t="s">
        <v>1267</v>
      </c>
      <c r="H29" s="9" t="s">
        <v>1268</v>
      </c>
      <c r="I29" s="9" t="s">
        <v>1269</v>
      </c>
      <c r="J29" s="9" t="s">
        <v>1270</v>
      </c>
      <c r="K29" s="9" t="s">
        <v>1271</v>
      </c>
      <c r="L29" s="9" t="s">
        <v>1272</v>
      </c>
      <c r="M29" s="9" t="s">
        <v>1274</v>
      </c>
      <c r="N29" s="9" t="s">
        <v>1275</v>
      </c>
      <c r="O29" s="9" t="s">
        <v>1276</v>
      </c>
      <c r="P29" s="9" t="s">
        <v>1277</v>
      </c>
      <c r="Q29" s="9" t="s">
        <v>1278</v>
      </c>
      <c r="R29" s="9" t="s">
        <v>1279</v>
      </c>
      <c r="S29" s="9" t="s">
        <v>1280</v>
      </c>
    </row>
    <row r="30" spans="1:23">
      <c r="A30" s="5">
        <v>1237608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190</v>
      </c>
      <c r="O30" s="9">
        <v>0</v>
      </c>
      <c r="P30" s="9">
        <v>180</v>
      </c>
      <c r="Q30" s="9">
        <v>180</v>
      </c>
      <c r="R30" s="9">
        <v>0</v>
      </c>
      <c r="S30" s="9">
        <v>0</v>
      </c>
    </row>
    <row r="31" spans="1:23">
      <c r="A31" s="5">
        <v>1233165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79</v>
      </c>
      <c r="H31" s="9">
        <v>297</v>
      </c>
      <c r="I31" s="9">
        <v>10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1:23">
      <c r="A32" s="5">
        <v>1232775</v>
      </c>
      <c r="B32" s="9">
        <v>484</v>
      </c>
      <c r="C32" s="9">
        <v>222</v>
      </c>
      <c r="D32" s="9">
        <v>0</v>
      </c>
      <c r="E32" s="9">
        <v>0</v>
      </c>
      <c r="F32" s="9">
        <v>0</v>
      </c>
      <c r="G32" s="9">
        <v>314</v>
      </c>
      <c r="H32" s="9">
        <v>0</v>
      </c>
      <c r="I32" s="9">
        <v>225</v>
      </c>
      <c r="J32" s="9">
        <v>0</v>
      </c>
      <c r="K32" s="9">
        <v>0</v>
      </c>
      <c r="L32" s="9">
        <v>0</v>
      </c>
      <c r="M32" s="9">
        <v>254</v>
      </c>
      <c r="N32" s="9">
        <v>415</v>
      </c>
      <c r="O32" s="9">
        <v>0</v>
      </c>
      <c r="P32" s="9">
        <v>330</v>
      </c>
      <c r="Q32" s="9">
        <v>242</v>
      </c>
      <c r="R32" s="9">
        <v>0</v>
      </c>
      <c r="S32" s="9">
        <v>0</v>
      </c>
    </row>
    <row r="33" spans="1:20" s="20" customFormat="1">
      <c r="A33" s="20">
        <v>1238605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107</v>
      </c>
      <c r="Q33" s="10">
        <v>191</v>
      </c>
      <c r="R33" s="10">
        <v>0</v>
      </c>
      <c r="S33" s="10">
        <v>0</v>
      </c>
      <c r="T33" s="10"/>
    </row>
    <row r="38" spans="1:20">
      <c r="A38" s="5" t="s">
        <v>0</v>
      </c>
      <c r="B38" s="9" t="s">
        <v>1261</v>
      </c>
      <c r="C38" s="9" t="s">
        <v>1262</v>
      </c>
      <c r="D38" s="9" t="s">
        <v>1263</v>
      </c>
      <c r="E38" s="9" t="s">
        <v>1264</v>
      </c>
      <c r="F38" s="9" t="s">
        <v>1266</v>
      </c>
      <c r="G38" s="9" t="s">
        <v>1267</v>
      </c>
      <c r="H38" s="9" t="s">
        <v>1268</v>
      </c>
      <c r="I38" s="9" t="s">
        <v>1269</v>
      </c>
      <c r="J38" s="9" t="s">
        <v>1270</v>
      </c>
      <c r="K38" s="9" t="s">
        <v>1271</v>
      </c>
      <c r="L38" s="9" t="s">
        <v>1272</v>
      </c>
      <c r="M38" s="9" t="s">
        <v>1274</v>
      </c>
      <c r="N38" s="9" t="s">
        <v>1275</v>
      </c>
      <c r="O38" s="9" t="s">
        <v>1276</v>
      </c>
      <c r="P38" s="9" t="s">
        <v>1277</v>
      </c>
      <c r="Q38" s="9" t="s">
        <v>1278</v>
      </c>
      <c r="R38" s="9" t="s">
        <v>1279</v>
      </c>
      <c r="S38" s="9" t="s">
        <v>1280</v>
      </c>
    </row>
    <row r="39" spans="1:20">
      <c r="A39" s="5">
        <v>1234614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324</v>
      </c>
      <c r="R39" s="9">
        <v>0</v>
      </c>
      <c r="S39" s="9">
        <v>0</v>
      </c>
    </row>
    <row r="40" spans="1:20">
      <c r="A40" s="5">
        <v>1221967</v>
      </c>
      <c r="B40" s="9">
        <v>111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20">
      <c r="A41" s="5">
        <v>1227306</v>
      </c>
      <c r="B41" s="9">
        <v>97</v>
      </c>
      <c r="C41" s="9">
        <v>487</v>
      </c>
      <c r="D41" s="9">
        <v>0</v>
      </c>
      <c r="E41" s="9">
        <v>0</v>
      </c>
      <c r="F41" s="9">
        <v>0</v>
      </c>
      <c r="G41" s="9">
        <v>16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220</v>
      </c>
      <c r="Q41" s="9">
        <v>80</v>
      </c>
      <c r="R41" s="9">
        <v>0</v>
      </c>
      <c r="S41" s="9">
        <v>0</v>
      </c>
    </row>
    <row r="42" spans="1:20">
      <c r="A42" s="5">
        <v>1229776</v>
      </c>
      <c r="B42" s="9">
        <v>14</v>
      </c>
      <c r="C42" s="9">
        <v>166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20">
      <c r="A43" s="5">
        <v>1231090</v>
      </c>
      <c r="B43" s="9">
        <v>14</v>
      </c>
      <c r="C43" s="9">
        <v>166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410</v>
      </c>
      <c r="Q43" s="9">
        <v>750</v>
      </c>
      <c r="R43" s="9">
        <v>0</v>
      </c>
      <c r="S43" s="9">
        <v>0</v>
      </c>
    </row>
    <row r="44" spans="1:20">
      <c r="A44" s="5">
        <v>1231860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100</v>
      </c>
      <c r="R44" s="9">
        <v>0</v>
      </c>
      <c r="S44" s="9">
        <v>0</v>
      </c>
    </row>
    <row r="45" spans="1:20">
      <c r="A45" s="5">
        <v>1232693</v>
      </c>
      <c r="B45" s="9">
        <v>217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20">
      <c r="A46" s="5">
        <v>1233025</v>
      </c>
      <c r="B46" s="9">
        <v>217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20">
      <c r="A47" s="5">
        <v>1234222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510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spans="1:20">
      <c r="A48" s="5">
        <v>1232528</v>
      </c>
      <c r="B48" s="9">
        <v>1419</v>
      </c>
      <c r="C48" s="9">
        <v>2848</v>
      </c>
      <c r="D48" s="9">
        <v>0</v>
      </c>
      <c r="E48" s="9">
        <v>0</v>
      </c>
      <c r="F48" s="9">
        <v>0</v>
      </c>
      <c r="G48" s="9">
        <v>2554</v>
      </c>
      <c r="H48" s="9">
        <v>2001</v>
      </c>
      <c r="I48" s="9">
        <v>2548</v>
      </c>
      <c r="J48" s="9">
        <v>0</v>
      </c>
      <c r="K48" s="9">
        <v>0</v>
      </c>
      <c r="L48" s="9">
        <v>0</v>
      </c>
      <c r="M48" s="9">
        <v>1896</v>
      </c>
      <c r="N48" s="9">
        <v>1868</v>
      </c>
      <c r="O48" s="9">
        <v>0</v>
      </c>
      <c r="P48" s="9">
        <v>1666</v>
      </c>
      <c r="Q48" s="9">
        <v>3702</v>
      </c>
      <c r="R48" s="9">
        <v>0</v>
      </c>
      <c r="S48" s="9">
        <v>0</v>
      </c>
    </row>
    <row r="49" spans="1:19">
      <c r="A49" s="5">
        <v>1232846</v>
      </c>
      <c r="B49" s="9">
        <v>3</v>
      </c>
      <c r="C49" s="9">
        <v>715</v>
      </c>
      <c r="D49" s="9">
        <v>0</v>
      </c>
      <c r="E49" s="9">
        <v>0</v>
      </c>
      <c r="F49" s="9">
        <v>0</v>
      </c>
      <c r="G49" s="9">
        <v>715</v>
      </c>
      <c r="H49" s="9">
        <v>40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19">
      <c r="A50" s="5">
        <v>1229050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420</v>
      </c>
      <c r="H50" s="9">
        <v>100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200</v>
      </c>
      <c r="R50" s="9">
        <v>0</v>
      </c>
      <c r="S50" s="9">
        <v>0</v>
      </c>
    </row>
    <row r="51" spans="1:19">
      <c r="A51" s="5">
        <v>1233383</v>
      </c>
      <c r="B51" s="9">
        <v>156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5">
        <v>1220847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266</v>
      </c>
      <c r="H52" s="9">
        <v>426</v>
      </c>
      <c r="I52" s="9">
        <v>183</v>
      </c>
      <c r="J52" s="9">
        <v>0</v>
      </c>
      <c r="K52" s="9">
        <v>0</v>
      </c>
      <c r="L52" s="9">
        <v>0</v>
      </c>
      <c r="M52" s="9">
        <v>195</v>
      </c>
      <c r="N52" s="9">
        <v>542</v>
      </c>
      <c r="O52" s="9">
        <v>0</v>
      </c>
      <c r="P52" s="9">
        <v>138</v>
      </c>
      <c r="Q52" s="9">
        <v>2660</v>
      </c>
      <c r="R52" s="9">
        <v>0</v>
      </c>
      <c r="S52" s="9">
        <v>0</v>
      </c>
    </row>
    <row r="53" spans="1:19">
      <c r="A53" s="5">
        <v>1235097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276</v>
      </c>
      <c r="N53" s="9">
        <v>24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5">
        <v>1235958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25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</row>
    <row r="55" spans="1:19">
      <c r="A55" s="5">
        <v>1235845</v>
      </c>
      <c r="B55" s="9">
        <v>0</v>
      </c>
      <c r="C55" s="9">
        <v>100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</row>
    <row r="56" spans="1:19">
      <c r="A56" s="5">
        <v>1236600</v>
      </c>
      <c r="B56" s="9">
        <v>128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19">
      <c r="A57" s="5">
        <v>1236601</v>
      </c>
      <c r="B57" s="9">
        <v>27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</row>
    <row r="58" spans="1:19">
      <c r="A58" s="5">
        <v>1236930</v>
      </c>
      <c r="B58" s="9">
        <v>395</v>
      </c>
      <c r="C58" s="9">
        <v>701</v>
      </c>
      <c r="D58" s="9">
        <v>0</v>
      </c>
      <c r="E58" s="9">
        <v>0</v>
      </c>
      <c r="F58" s="9">
        <v>0</v>
      </c>
      <c r="G58" s="9">
        <v>421</v>
      </c>
      <c r="H58" s="9">
        <v>484</v>
      </c>
      <c r="I58" s="9">
        <v>694</v>
      </c>
      <c r="J58" s="9">
        <v>0</v>
      </c>
      <c r="K58" s="9">
        <v>0</v>
      </c>
      <c r="L58" s="9">
        <v>0</v>
      </c>
      <c r="M58" s="9">
        <v>449</v>
      </c>
      <c r="N58" s="9">
        <v>420</v>
      </c>
      <c r="O58" s="9">
        <v>0</v>
      </c>
      <c r="P58" s="9">
        <v>485</v>
      </c>
      <c r="Q58" s="9">
        <v>1222</v>
      </c>
      <c r="R58" s="9">
        <v>0</v>
      </c>
      <c r="S58" s="9">
        <v>0</v>
      </c>
    </row>
    <row r="59" spans="1:19">
      <c r="A59" s="5">
        <v>1237468</v>
      </c>
      <c r="B59" s="9">
        <v>144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</row>
    <row r="60" spans="1:19">
      <c r="A60" s="5">
        <v>1237210</v>
      </c>
      <c r="B60" s="9">
        <v>348</v>
      </c>
      <c r="C60" s="9">
        <v>27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</row>
    <row r="61" spans="1:19">
      <c r="A61" s="5">
        <v>1237386</v>
      </c>
      <c r="B61" s="9">
        <v>180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5">
        <v>1238480</v>
      </c>
      <c r="B62" s="9">
        <v>236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200</v>
      </c>
      <c r="J62" s="9">
        <v>0</v>
      </c>
      <c r="K62" s="9">
        <v>0</v>
      </c>
      <c r="L62" s="9">
        <v>0</v>
      </c>
      <c r="M62" s="9">
        <v>220</v>
      </c>
      <c r="N62" s="9">
        <v>0</v>
      </c>
      <c r="O62" s="9">
        <v>0</v>
      </c>
      <c r="P62" s="9">
        <v>350</v>
      </c>
      <c r="Q62" s="9">
        <v>1760</v>
      </c>
      <c r="R62" s="9">
        <v>0</v>
      </c>
      <c r="S62" s="9">
        <v>0</v>
      </c>
    </row>
    <row r="63" spans="1:19">
      <c r="A63" s="5">
        <v>1241343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36</v>
      </c>
      <c r="Q63" s="9">
        <v>0</v>
      </c>
      <c r="R63" s="9">
        <v>0</v>
      </c>
      <c r="S63" s="9">
        <v>0</v>
      </c>
    </row>
    <row r="64" spans="1:19">
      <c r="A64" s="5">
        <v>1241347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36</v>
      </c>
      <c r="Q64" s="9">
        <v>0</v>
      </c>
      <c r="R64" s="9">
        <v>0</v>
      </c>
      <c r="S64" s="9">
        <v>0</v>
      </c>
    </row>
    <row r="65" spans="1:19">
      <c r="A65" s="5">
        <v>1241480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119</v>
      </c>
      <c r="R65" s="9">
        <v>0</v>
      </c>
      <c r="S65" s="9">
        <v>0</v>
      </c>
    </row>
    <row r="66" spans="1:19">
      <c r="A66" s="5">
        <v>1241474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23</v>
      </c>
      <c r="Q66" s="9">
        <v>81</v>
      </c>
      <c r="R66" s="9">
        <v>0</v>
      </c>
      <c r="S66" s="9">
        <v>0</v>
      </c>
    </row>
    <row r="67" spans="1:19">
      <c r="A67" s="5">
        <v>1241387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107</v>
      </c>
      <c r="Q67" s="9">
        <v>0</v>
      </c>
      <c r="R67" s="9">
        <v>0</v>
      </c>
      <c r="S67" s="9">
        <v>0</v>
      </c>
    </row>
    <row r="68" spans="1:19">
      <c r="A68" s="5">
        <v>1216452</v>
      </c>
      <c r="B68" s="9">
        <v>324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1080</v>
      </c>
      <c r="Q68" s="9">
        <v>1050</v>
      </c>
      <c r="R68" s="9">
        <v>0</v>
      </c>
      <c r="S68" s="9">
        <v>0</v>
      </c>
    </row>
    <row r="69" spans="1:19">
      <c r="A69" s="5">
        <v>1232894</v>
      </c>
      <c r="B69" s="9">
        <v>3</v>
      </c>
      <c r="C69" s="9">
        <v>715</v>
      </c>
      <c r="D69" s="9">
        <v>0</v>
      </c>
      <c r="E69" s="9">
        <v>0</v>
      </c>
      <c r="F69" s="9">
        <v>0</v>
      </c>
      <c r="G69" s="9">
        <v>715</v>
      </c>
      <c r="H69" s="9">
        <v>40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 spans="1:19">
      <c r="A70" s="5">
        <v>1233387</v>
      </c>
      <c r="B70" s="9">
        <v>3</v>
      </c>
      <c r="C70" s="9">
        <v>715</v>
      </c>
      <c r="D70" s="9">
        <v>0</v>
      </c>
      <c r="E70" s="9">
        <v>0</v>
      </c>
      <c r="F70" s="9">
        <v>0</v>
      </c>
      <c r="G70" s="9">
        <v>715</v>
      </c>
      <c r="H70" s="9">
        <v>40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</row>
  </sheetData>
  <phoneticPr fontId="11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BE7D-2C7D-42E7-ABD6-B754611B1DF3}">
  <dimension ref="A1:U61"/>
  <sheetViews>
    <sheetView zoomScale="115" zoomScaleNormal="115" workbookViewId="0">
      <selection activeCell="U10" sqref="U10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16384" width="9.33203125" style="5"/>
  </cols>
  <sheetData>
    <row r="1" spans="1:21">
      <c r="A1" s="5" t="s">
        <v>0</v>
      </c>
      <c r="B1" s="9" t="s">
        <v>1262</v>
      </c>
      <c r="C1" s="9" t="s">
        <v>1263</v>
      </c>
      <c r="D1" s="9" t="s">
        <v>1264</v>
      </c>
      <c r="E1" s="9" t="s">
        <v>1266</v>
      </c>
      <c r="F1" s="9" t="s">
        <v>1267</v>
      </c>
      <c r="G1" s="9" t="s">
        <v>1268</v>
      </c>
      <c r="H1" s="9" t="s">
        <v>1269</v>
      </c>
      <c r="I1" s="9" t="s">
        <v>1270</v>
      </c>
      <c r="J1" s="9" t="s">
        <v>1271</v>
      </c>
      <c r="K1" s="9" t="s">
        <v>1272</v>
      </c>
      <c r="L1" s="9" t="s">
        <v>1274</v>
      </c>
      <c r="M1" s="9" t="s">
        <v>1275</v>
      </c>
      <c r="N1" s="9" t="s">
        <v>1276</v>
      </c>
      <c r="O1" s="9" t="s">
        <v>1277</v>
      </c>
      <c r="P1" s="9" t="s">
        <v>1278</v>
      </c>
      <c r="Q1" s="9" t="s">
        <v>1279</v>
      </c>
      <c r="R1" s="9" t="s">
        <v>1280</v>
      </c>
    </row>
    <row r="2" spans="1:21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160</v>
      </c>
      <c r="M2" s="9">
        <v>350</v>
      </c>
      <c r="N2" s="9">
        <v>0</v>
      </c>
      <c r="O2" s="9">
        <v>250</v>
      </c>
      <c r="P2" s="9">
        <v>300</v>
      </c>
      <c r="Q2" s="9">
        <v>0</v>
      </c>
      <c r="R2" s="9">
        <v>0</v>
      </c>
      <c r="S2" s="78">
        <f>SUM(B2:R2)</f>
        <v>1060</v>
      </c>
      <c r="T2" s="5">
        <f>VLOOKUP(A2,[19]sheet1!$A$2:$S$21,19,0)</f>
        <v>1060</v>
      </c>
      <c r="U2" s="78">
        <f>+S2-T2</f>
        <v>0</v>
      </c>
    </row>
    <row r="3" spans="1:21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160</v>
      </c>
      <c r="M3" s="9">
        <v>350</v>
      </c>
      <c r="N3" s="9">
        <v>0</v>
      </c>
      <c r="O3" s="9">
        <v>250</v>
      </c>
      <c r="P3" s="9">
        <v>300</v>
      </c>
      <c r="Q3" s="9">
        <v>0</v>
      </c>
      <c r="R3" s="9">
        <v>0</v>
      </c>
      <c r="S3" s="78">
        <f t="shared" ref="S3:S21" si="0">SUM(B3:R3)</f>
        <v>1060</v>
      </c>
      <c r="T3" s="5">
        <f>VLOOKUP(A3,[19]sheet1!$A$2:$S$21,19,0)</f>
        <v>1060</v>
      </c>
      <c r="U3" s="78">
        <f t="shared" ref="U3:U21" si="1">+S3-T3</f>
        <v>0</v>
      </c>
    </row>
    <row r="4" spans="1:21">
      <c r="A4" s="5">
        <v>1229673</v>
      </c>
      <c r="B4" s="9">
        <v>300</v>
      </c>
      <c r="C4" s="9">
        <v>0</v>
      </c>
      <c r="D4" s="9">
        <v>0</v>
      </c>
      <c r="E4" s="9">
        <v>0</v>
      </c>
      <c r="F4" s="9">
        <v>300</v>
      </c>
      <c r="G4" s="9">
        <v>300</v>
      </c>
      <c r="H4" s="9">
        <v>300</v>
      </c>
      <c r="I4" s="9">
        <v>0</v>
      </c>
      <c r="J4" s="9">
        <v>0</v>
      </c>
      <c r="K4" s="9">
        <v>0</v>
      </c>
      <c r="L4" s="9">
        <v>190</v>
      </c>
      <c r="M4" s="9">
        <v>110</v>
      </c>
      <c r="N4" s="9">
        <v>0</v>
      </c>
      <c r="O4" s="9">
        <v>200</v>
      </c>
      <c r="P4" s="9">
        <v>0</v>
      </c>
      <c r="Q4" s="9">
        <v>0</v>
      </c>
      <c r="R4" s="9">
        <v>0</v>
      </c>
      <c r="S4" s="78">
        <f t="shared" si="0"/>
        <v>1700</v>
      </c>
      <c r="T4" s="5">
        <f>VLOOKUP(A4,[19]sheet1!$A$2:$S$21,19,0)</f>
        <v>1700</v>
      </c>
      <c r="U4" s="78">
        <f t="shared" si="1"/>
        <v>0</v>
      </c>
    </row>
    <row r="5" spans="1:21">
      <c r="A5" s="5">
        <v>1231202</v>
      </c>
      <c r="B5" s="9">
        <v>0</v>
      </c>
      <c r="C5" s="9">
        <v>0</v>
      </c>
      <c r="D5" s="9">
        <v>0</v>
      </c>
      <c r="E5" s="9">
        <v>0</v>
      </c>
      <c r="F5" s="9">
        <v>100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78">
        <f t="shared" si="0"/>
        <v>100</v>
      </c>
      <c r="T5" s="5">
        <f>VLOOKUP(A5,[19]sheet1!$A$2:$S$21,19,0)</f>
        <v>100</v>
      </c>
      <c r="U5" s="78">
        <f t="shared" si="1"/>
        <v>0</v>
      </c>
    </row>
    <row r="6" spans="1:21" s="58" customFormat="1">
      <c r="A6" s="58">
        <v>1233492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280</v>
      </c>
      <c r="H6" s="18">
        <v>232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254">
        <f t="shared" si="0"/>
        <v>512</v>
      </c>
      <c r="T6" s="58">
        <f>VLOOKUP(A6,[19]sheet1!$A$2:$S$21,19,0)</f>
        <v>512</v>
      </c>
      <c r="U6" s="254">
        <f t="shared" si="1"/>
        <v>0</v>
      </c>
    </row>
    <row r="7" spans="1:21" s="58" customFormat="1">
      <c r="A7" s="58">
        <v>1233498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280</v>
      </c>
      <c r="H7" s="18">
        <v>232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254">
        <f t="shared" si="0"/>
        <v>512</v>
      </c>
      <c r="T7" s="58">
        <f>VLOOKUP(A7,[19]sheet1!$A$2:$S$21,19,0)</f>
        <v>512</v>
      </c>
      <c r="U7" s="254">
        <f t="shared" si="1"/>
        <v>0</v>
      </c>
    </row>
    <row r="8" spans="1:21" s="58" customFormat="1">
      <c r="A8" s="58">
        <v>1233623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280</v>
      </c>
      <c r="H8" s="18">
        <v>232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254">
        <f t="shared" si="0"/>
        <v>512</v>
      </c>
      <c r="T8" s="58">
        <f>VLOOKUP(A8,[19]sheet1!$A$2:$S$21,19,0)</f>
        <v>512</v>
      </c>
      <c r="U8" s="254">
        <f t="shared" si="1"/>
        <v>0</v>
      </c>
    </row>
    <row r="9" spans="1:21">
      <c r="A9" s="5">
        <v>1235623</v>
      </c>
      <c r="B9" s="9">
        <v>818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78">
        <f t="shared" si="0"/>
        <v>818</v>
      </c>
      <c r="T9" s="5">
        <f>VLOOKUP(A9,[19]sheet1!$A$2:$S$21,19,0)</f>
        <v>818</v>
      </c>
      <c r="U9" s="78">
        <f t="shared" si="1"/>
        <v>0</v>
      </c>
    </row>
    <row r="10" spans="1:21" s="58" customFormat="1">
      <c r="A10" s="58">
        <v>1237088</v>
      </c>
      <c r="B10" s="18">
        <v>338</v>
      </c>
      <c r="C10" s="18">
        <v>0</v>
      </c>
      <c r="D10" s="18">
        <v>0</v>
      </c>
      <c r="E10" s="18">
        <v>0</v>
      </c>
      <c r="F10" s="18">
        <v>1062</v>
      </c>
      <c r="G10" s="18">
        <v>862</v>
      </c>
      <c r="H10" s="18">
        <v>1360</v>
      </c>
      <c r="I10" s="18">
        <v>0</v>
      </c>
      <c r="J10" s="18">
        <v>0</v>
      </c>
      <c r="K10" s="18">
        <v>0</v>
      </c>
      <c r="L10" s="18">
        <v>472</v>
      </c>
      <c r="M10" s="18">
        <v>496</v>
      </c>
      <c r="N10" s="18">
        <v>0</v>
      </c>
      <c r="O10" s="18">
        <v>716</v>
      </c>
      <c r="P10" s="18">
        <v>866</v>
      </c>
      <c r="Q10" s="18">
        <v>0</v>
      </c>
      <c r="R10" s="18">
        <v>0</v>
      </c>
      <c r="S10" s="254">
        <f t="shared" si="0"/>
        <v>6172</v>
      </c>
      <c r="T10" s="58">
        <f>VLOOKUP(A10,[19]sheet1!$A$2:$S$21,19,0)</f>
        <v>6172</v>
      </c>
      <c r="U10" s="254">
        <f t="shared" si="1"/>
        <v>0</v>
      </c>
    </row>
    <row r="11" spans="1:21" s="58" customFormat="1">
      <c r="A11" s="58">
        <v>1237748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630</v>
      </c>
      <c r="M11" s="18">
        <v>150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254">
        <f t="shared" si="0"/>
        <v>780</v>
      </c>
      <c r="T11" s="58">
        <f>VLOOKUP(A11,[19]sheet1!$A$2:$S$21,19,0)</f>
        <v>780</v>
      </c>
      <c r="U11" s="254">
        <f t="shared" si="1"/>
        <v>0</v>
      </c>
    </row>
    <row r="12" spans="1:21">
      <c r="A12" s="5">
        <v>1231898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248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78">
        <f t="shared" si="0"/>
        <v>248</v>
      </c>
      <c r="T12" s="5">
        <f>VLOOKUP(A12,[19]sheet1!$A$2:$S$21,19,0)</f>
        <v>248</v>
      </c>
      <c r="U12" s="78">
        <f t="shared" si="1"/>
        <v>0</v>
      </c>
    </row>
    <row r="13" spans="1:21">
      <c r="A13" s="5">
        <v>1237586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248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78">
        <f t="shared" si="0"/>
        <v>248</v>
      </c>
      <c r="T13" s="5">
        <f>VLOOKUP(A13,[19]sheet1!$A$2:$S$21,19,0)</f>
        <v>248</v>
      </c>
      <c r="U13" s="78">
        <f t="shared" si="1"/>
        <v>0</v>
      </c>
    </row>
    <row r="14" spans="1:21" s="58" customFormat="1">
      <c r="A14" s="58">
        <v>1234905</v>
      </c>
      <c r="B14" s="18">
        <v>626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210</v>
      </c>
      <c r="M14" s="18">
        <v>416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254">
        <f t="shared" si="0"/>
        <v>1252</v>
      </c>
      <c r="T14" s="58">
        <f>VLOOKUP(A14,[19]sheet1!$A$2:$S$21,19,0)</f>
        <v>1252</v>
      </c>
      <c r="U14" s="254">
        <f t="shared" si="1"/>
        <v>0</v>
      </c>
    </row>
    <row r="15" spans="1:21" s="58" customFormat="1">
      <c r="A15" s="58">
        <v>1238128</v>
      </c>
      <c r="B15" s="18">
        <v>854</v>
      </c>
      <c r="C15" s="18">
        <v>0</v>
      </c>
      <c r="D15" s="18">
        <v>0</v>
      </c>
      <c r="E15" s="18">
        <v>0</v>
      </c>
      <c r="F15" s="18">
        <v>790</v>
      </c>
      <c r="G15" s="18">
        <v>368</v>
      </c>
      <c r="H15" s="18">
        <v>432</v>
      </c>
      <c r="I15" s="18">
        <v>0</v>
      </c>
      <c r="J15" s="18">
        <v>0</v>
      </c>
      <c r="K15" s="18">
        <v>0</v>
      </c>
      <c r="L15" s="18">
        <v>1372</v>
      </c>
      <c r="M15" s="18">
        <v>1642</v>
      </c>
      <c r="N15" s="18">
        <v>0</v>
      </c>
      <c r="O15" s="18">
        <v>1770</v>
      </c>
      <c r="P15" s="18">
        <v>2526</v>
      </c>
      <c r="Q15" s="18">
        <v>0</v>
      </c>
      <c r="R15" s="18">
        <v>0</v>
      </c>
      <c r="S15" s="254">
        <f t="shared" si="0"/>
        <v>9754</v>
      </c>
      <c r="T15" s="58">
        <f>VLOOKUP(A15,[19]sheet1!$A$2:$S$21,19,0)</f>
        <v>9754</v>
      </c>
      <c r="U15" s="254">
        <f t="shared" si="1"/>
        <v>0</v>
      </c>
    </row>
    <row r="16" spans="1:21">
      <c r="A16" s="5">
        <v>1233761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100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78">
        <f t="shared" si="0"/>
        <v>100</v>
      </c>
      <c r="T16" s="5">
        <f>VLOOKUP(A16,[19]sheet1!$A$2:$S$21,19,0)</f>
        <v>100</v>
      </c>
      <c r="U16" s="78">
        <f t="shared" si="1"/>
        <v>0</v>
      </c>
    </row>
    <row r="17" spans="1:21">
      <c r="A17" s="5">
        <v>1236930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60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78">
        <f t="shared" si="0"/>
        <v>60</v>
      </c>
      <c r="T17" s="5">
        <f>VLOOKUP(A17,[19]sheet1!$A$2:$S$21,19,0)</f>
        <v>60</v>
      </c>
      <c r="U17" s="78">
        <f t="shared" si="1"/>
        <v>0</v>
      </c>
    </row>
    <row r="18" spans="1:21">
      <c r="A18" s="5">
        <v>1239651</v>
      </c>
      <c r="B18" s="9">
        <v>350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300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78">
        <f t="shared" si="0"/>
        <v>650</v>
      </c>
      <c r="T18" s="5">
        <f>VLOOKUP(A18,[19]sheet1!$A$2:$S$21,19,0)</f>
        <v>650</v>
      </c>
      <c r="U18" s="78">
        <f t="shared" si="1"/>
        <v>0</v>
      </c>
    </row>
    <row r="19" spans="1:21" s="58" customFormat="1">
      <c r="A19" s="58">
        <v>1240180</v>
      </c>
      <c r="B19" s="18">
        <v>548</v>
      </c>
      <c r="C19" s="18">
        <v>0</v>
      </c>
      <c r="D19" s="18">
        <v>0</v>
      </c>
      <c r="E19" s="18">
        <v>0</v>
      </c>
      <c r="F19" s="18">
        <v>460</v>
      </c>
      <c r="G19" s="18">
        <v>172</v>
      </c>
      <c r="H19" s="18">
        <v>136</v>
      </c>
      <c r="I19" s="18">
        <v>0</v>
      </c>
      <c r="J19" s="18">
        <v>0</v>
      </c>
      <c r="K19" s="18">
        <v>0</v>
      </c>
      <c r="L19" s="18">
        <v>50</v>
      </c>
      <c r="M19" s="18">
        <v>0</v>
      </c>
      <c r="N19" s="18">
        <v>0</v>
      </c>
      <c r="O19" s="18">
        <v>430</v>
      </c>
      <c r="P19" s="18">
        <v>736</v>
      </c>
      <c r="Q19" s="18">
        <v>0</v>
      </c>
      <c r="R19" s="18">
        <v>0</v>
      </c>
      <c r="S19" s="254">
        <f t="shared" si="0"/>
        <v>2532</v>
      </c>
      <c r="T19" s="58">
        <f>VLOOKUP(A19,[19]sheet1!$A$2:$S$21,19,0)</f>
        <v>2532</v>
      </c>
      <c r="U19" s="254">
        <f t="shared" si="1"/>
        <v>0</v>
      </c>
    </row>
    <row r="20" spans="1:21" s="58" customFormat="1">
      <c r="A20" s="58">
        <v>1240184</v>
      </c>
      <c r="B20" s="18">
        <v>548</v>
      </c>
      <c r="C20" s="18">
        <v>0</v>
      </c>
      <c r="D20" s="18">
        <v>0</v>
      </c>
      <c r="E20" s="18">
        <v>0</v>
      </c>
      <c r="F20" s="18">
        <v>460</v>
      </c>
      <c r="G20" s="18">
        <v>172</v>
      </c>
      <c r="H20" s="18">
        <v>136</v>
      </c>
      <c r="I20" s="18">
        <v>0</v>
      </c>
      <c r="J20" s="18">
        <v>0</v>
      </c>
      <c r="K20" s="18">
        <v>0</v>
      </c>
      <c r="L20" s="18">
        <v>50</v>
      </c>
      <c r="M20" s="18">
        <v>0</v>
      </c>
      <c r="N20" s="18">
        <v>0</v>
      </c>
      <c r="O20" s="18">
        <v>430</v>
      </c>
      <c r="P20" s="18">
        <v>736</v>
      </c>
      <c r="Q20" s="18">
        <v>0</v>
      </c>
      <c r="R20" s="18">
        <v>0</v>
      </c>
      <c r="S20" s="254">
        <f t="shared" si="0"/>
        <v>2532</v>
      </c>
      <c r="T20" s="58">
        <f>VLOOKUP(A20,[19]sheet1!$A$2:$S$21,19,0)</f>
        <v>2532</v>
      </c>
      <c r="U20" s="254">
        <f t="shared" si="1"/>
        <v>0</v>
      </c>
    </row>
    <row r="21" spans="1:21" s="58" customFormat="1">
      <c r="A21" s="58">
        <v>1241601</v>
      </c>
      <c r="B21" s="18">
        <v>1246</v>
      </c>
      <c r="C21" s="18">
        <v>0</v>
      </c>
      <c r="D21" s="18">
        <v>0</v>
      </c>
      <c r="E21" s="18">
        <v>0</v>
      </c>
      <c r="F21" s="18">
        <v>700</v>
      </c>
      <c r="G21" s="18">
        <v>744</v>
      </c>
      <c r="H21" s="18">
        <v>666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254">
        <f t="shared" si="0"/>
        <v>3356</v>
      </c>
      <c r="T21" s="58">
        <f>VLOOKUP(A21,[19]sheet1!$A$2:$S$21,19,0)</f>
        <v>3356</v>
      </c>
      <c r="U21" s="254">
        <f t="shared" si="1"/>
        <v>0</v>
      </c>
    </row>
    <row r="22" spans="1:21">
      <c r="U22" s="78"/>
    </row>
    <row r="23" spans="1:21">
      <c r="B23" s="9">
        <f>SUM(B2:B22)</f>
        <v>5628</v>
      </c>
      <c r="C23" s="9">
        <f t="shared" ref="C23:R23" si="2">SUM(C2:C22)</f>
        <v>0</v>
      </c>
      <c r="D23" s="9">
        <f t="shared" si="2"/>
        <v>0</v>
      </c>
      <c r="E23" s="9">
        <f t="shared" si="2"/>
        <v>0</v>
      </c>
      <c r="F23" s="9">
        <f t="shared" si="2"/>
        <v>3872</v>
      </c>
      <c r="G23" s="9">
        <f t="shared" si="2"/>
        <v>3954</v>
      </c>
      <c r="H23" s="9">
        <f t="shared" si="2"/>
        <v>3886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3594</v>
      </c>
      <c r="M23" s="9">
        <f t="shared" si="2"/>
        <v>3514</v>
      </c>
      <c r="N23" s="9">
        <f t="shared" si="2"/>
        <v>0</v>
      </c>
      <c r="O23" s="9">
        <f t="shared" si="2"/>
        <v>4046</v>
      </c>
      <c r="P23" s="9">
        <f t="shared" si="2"/>
        <v>5464</v>
      </c>
      <c r="Q23" s="9">
        <f t="shared" si="2"/>
        <v>0</v>
      </c>
      <c r="R23" s="9">
        <f t="shared" si="2"/>
        <v>0</v>
      </c>
    </row>
    <row r="24" spans="1:21">
      <c r="B24" s="9">
        <v>5628</v>
      </c>
      <c r="C24" s="9">
        <v>0</v>
      </c>
      <c r="D24" s="9">
        <v>0</v>
      </c>
      <c r="E24" s="9">
        <v>0</v>
      </c>
      <c r="F24" s="9">
        <v>3872</v>
      </c>
      <c r="G24" s="9">
        <v>3954</v>
      </c>
      <c r="H24" s="9">
        <v>3886</v>
      </c>
      <c r="I24" s="9">
        <v>0</v>
      </c>
      <c r="J24" s="9">
        <v>0</v>
      </c>
      <c r="K24" s="9">
        <v>0</v>
      </c>
      <c r="L24" s="9">
        <v>3594</v>
      </c>
      <c r="M24" s="9">
        <v>3514</v>
      </c>
      <c r="N24" s="9">
        <v>0</v>
      </c>
      <c r="O24" s="9">
        <v>4046</v>
      </c>
      <c r="P24" s="9">
        <v>5464</v>
      </c>
      <c r="Q24" s="9">
        <v>0</v>
      </c>
      <c r="R24" s="9">
        <v>0</v>
      </c>
    </row>
    <row r="25" spans="1:21">
      <c r="B25" s="9">
        <f>+B23-B24</f>
        <v>0</v>
      </c>
      <c r="C25" s="9">
        <f t="shared" ref="C25:R25" si="3">+C23-C24</f>
        <v>0</v>
      </c>
      <c r="D25" s="9">
        <f t="shared" si="3"/>
        <v>0</v>
      </c>
      <c r="E25" s="9">
        <f t="shared" si="3"/>
        <v>0</v>
      </c>
      <c r="F25" s="9">
        <f t="shared" si="3"/>
        <v>0</v>
      </c>
      <c r="G25" s="9">
        <f t="shared" si="3"/>
        <v>0</v>
      </c>
      <c r="H25" s="9">
        <f t="shared" si="3"/>
        <v>0</v>
      </c>
      <c r="I25" s="9">
        <f t="shared" si="3"/>
        <v>0</v>
      </c>
      <c r="J25" s="9">
        <f t="shared" si="3"/>
        <v>0</v>
      </c>
      <c r="K25" s="9">
        <f t="shared" si="3"/>
        <v>0</v>
      </c>
      <c r="L25" s="9">
        <f t="shared" si="3"/>
        <v>0</v>
      </c>
      <c r="M25" s="9">
        <f t="shared" si="3"/>
        <v>0</v>
      </c>
      <c r="N25" s="9">
        <f t="shared" si="3"/>
        <v>0</v>
      </c>
      <c r="O25" s="9">
        <f t="shared" si="3"/>
        <v>0</v>
      </c>
      <c r="P25" s="9">
        <f t="shared" si="3"/>
        <v>0</v>
      </c>
      <c r="Q25" s="9">
        <f t="shared" si="3"/>
        <v>0</v>
      </c>
      <c r="R25" s="9">
        <f t="shared" si="3"/>
        <v>0</v>
      </c>
    </row>
    <row r="29" spans="1:21">
      <c r="A29" s="5" t="s">
        <v>0</v>
      </c>
      <c r="B29" s="9" t="s">
        <v>1262</v>
      </c>
      <c r="C29" s="9" t="s">
        <v>1263</v>
      </c>
      <c r="D29" s="9" t="s">
        <v>1264</v>
      </c>
      <c r="E29" s="9" t="s">
        <v>1266</v>
      </c>
      <c r="F29" s="9" t="s">
        <v>1267</v>
      </c>
      <c r="G29" s="9" t="s">
        <v>1268</v>
      </c>
      <c r="H29" s="9" t="s">
        <v>1269</v>
      </c>
      <c r="I29" s="9" t="s">
        <v>1270</v>
      </c>
      <c r="J29" s="9" t="s">
        <v>1271</v>
      </c>
      <c r="K29" s="9" t="s">
        <v>1272</v>
      </c>
      <c r="L29" s="9" t="s">
        <v>1274</v>
      </c>
      <c r="M29" s="9" t="s">
        <v>1275</v>
      </c>
      <c r="N29" s="9" t="s">
        <v>1276</v>
      </c>
      <c r="O29" s="9" t="s">
        <v>1277</v>
      </c>
      <c r="P29" s="9" t="s">
        <v>1278</v>
      </c>
      <c r="Q29" s="9" t="s">
        <v>1279</v>
      </c>
      <c r="R29" s="9" t="s">
        <v>1280</v>
      </c>
    </row>
    <row r="30" spans="1:21">
      <c r="A30" s="5">
        <v>1237608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190</v>
      </c>
      <c r="N30" s="9">
        <v>0</v>
      </c>
      <c r="O30" s="9">
        <v>180</v>
      </c>
      <c r="P30" s="9">
        <v>180</v>
      </c>
      <c r="Q30" s="9">
        <v>0</v>
      </c>
      <c r="R30" s="9">
        <v>0</v>
      </c>
    </row>
    <row r="31" spans="1:21">
      <c r="A31" s="5">
        <v>1233165</v>
      </c>
      <c r="B31" s="9">
        <v>0</v>
      </c>
      <c r="C31" s="9">
        <v>0</v>
      </c>
      <c r="D31" s="9">
        <v>0</v>
      </c>
      <c r="E31" s="9">
        <v>0</v>
      </c>
      <c r="F31" s="9">
        <v>79</v>
      </c>
      <c r="G31" s="9">
        <v>297</v>
      </c>
      <c r="H31" s="9">
        <v>10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</row>
    <row r="32" spans="1:21">
      <c r="A32" s="5">
        <v>1232775</v>
      </c>
      <c r="B32" s="9">
        <v>222</v>
      </c>
      <c r="C32" s="9">
        <v>0</v>
      </c>
      <c r="D32" s="9">
        <v>0</v>
      </c>
      <c r="E32" s="9">
        <v>0</v>
      </c>
      <c r="F32" s="9">
        <v>314</v>
      </c>
      <c r="G32" s="9">
        <v>0</v>
      </c>
      <c r="H32" s="9">
        <v>225</v>
      </c>
      <c r="I32" s="9">
        <v>0</v>
      </c>
      <c r="J32" s="9">
        <v>0</v>
      </c>
      <c r="K32" s="9">
        <v>0</v>
      </c>
      <c r="L32" s="9">
        <v>254</v>
      </c>
      <c r="M32" s="9">
        <v>415</v>
      </c>
      <c r="N32" s="9">
        <v>0</v>
      </c>
      <c r="O32" s="9">
        <v>330</v>
      </c>
      <c r="P32" s="9">
        <v>242</v>
      </c>
      <c r="Q32" s="9">
        <v>0</v>
      </c>
      <c r="R32" s="9">
        <v>0</v>
      </c>
    </row>
    <row r="33" spans="1:18">
      <c r="A33" s="5">
        <v>1238605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107</v>
      </c>
      <c r="P33" s="9">
        <v>191</v>
      </c>
      <c r="Q33" s="9">
        <v>0</v>
      </c>
      <c r="R33" s="9">
        <v>0</v>
      </c>
    </row>
    <row r="37" spans="1:18">
      <c r="A37" s="5" t="s">
        <v>0</v>
      </c>
      <c r="B37" s="9" t="s">
        <v>1262</v>
      </c>
      <c r="C37" s="9" t="s">
        <v>1263</v>
      </c>
      <c r="D37" s="9" t="s">
        <v>1264</v>
      </c>
      <c r="E37" s="9" t="s">
        <v>1266</v>
      </c>
      <c r="F37" s="9" t="s">
        <v>1267</v>
      </c>
      <c r="G37" s="9" t="s">
        <v>1268</v>
      </c>
      <c r="H37" s="9" t="s">
        <v>1269</v>
      </c>
      <c r="I37" s="9" t="s">
        <v>1270</v>
      </c>
      <c r="J37" s="9" t="s">
        <v>1271</v>
      </c>
      <c r="K37" s="9" t="s">
        <v>1272</v>
      </c>
      <c r="L37" s="9" t="s">
        <v>1274</v>
      </c>
      <c r="M37" s="9" t="s">
        <v>1275</v>
      </c>
      <c r="N37" s="9" t="s">
        <v>1276</v>
      </c>
      <c r="O37" s="9" t="s">
        <v>1277</v>
      </c>
      <c r="P37" s="9" t="s">
        <v>1278</v>
      </c>
      <c r="Q37" s="9" t="s">
        <v>1279</v>
      </c>
      <c r="R37" s="9" t="s">
        <v>1280</v>
      </c>
    </row>
    <row r="38" spans="1:18">
      <c r="A38" s="5">
        <v>1234614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324</v>
      </c>
      <c r="Q38" s="9">
        <v>0</v>
      </c>
      <c r="R38" s="9">
        <v>0</v>
      </c>
    </row>
    <row r="39" spans="1:18">
      <c r="A39" s="5">
        <v>1227306</v>
      </c>
      <c r="B39" s="9">
        <v>487</v>
      </c>
      <c r="C39" s="9">
        <v>0</v>
      </c>
      <c r="D39" s="9">
        <v>0</v>
      </c>
      <c r="E39" s="9">
        <v>0</v>
      </c>
      <c r="F39" s="9">
        <v>16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220</v>
      </c>
      <c r="P39" s="9">
        <v>80</v>
      </c>
      <c r="Q39" s="9">
        <v>0</v>
      </c>
      <c r="R39" s="9">
        <v>0</v>
      </c>
    </row>
    <row r="40" spans="1:18">
      <c r="A40" s="5">
        <v>1229776</v>
      </c>
      <c r="B40" s="9">
        <v>166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>
      <c r="A41" s="5">
        <v>1231090</v>
      </c>
      <c r="B41" s="9">
        <v>166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410</v>
      </c>
      <c r="P41" s="9">
        <v>750</v>
      </c>
      <c r="Q41" s="9">
        <v>0</v>
      </c>
      <c r="R41" s="9">
        <v>0</v>
      </c>
    </row>
    <row r="42" spans="1:18">
      <c r="A42" s="5">
        <v>1231860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100</v>
      </c>
      <c r="Q42" s="9">
        <v>0</v>
      </c>
      <c r="R42" s="9">
        <v>0</v>
      </c>
    </row>
    <row r="43" spans="1:18">
      <c r="A43" s="5">
        <v>1234222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510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>
      <c r="A44" s="5">
        <v>1232528</v>
      </c>
      <c r="B44" s="9">
        <v>2710</v>
      </c>
      <c r="C44" s="9">
        <v>0</v>
      </c>
      <c r="D44" s="9">
        <v>0</v>
      </c>
      <c r="E44" s="9">
        <v>0</v>
      </c>
      <c r="F44" s="9">
        <v>2554</v>
      </c>
      <c r="G44" s="9">
        <v>2001</v>
      </c>
      <c r="H44" s="9">
        <v>2554</v>
      </c>
      <c r="I44" s="9">
        <v>0</v>
      </c>
      <c r="J44" s="9">
        <v>0</v>
      </c>
      <c r="K44" s="9">
        <v>0</v>
      </c>
      <c r="L44" s="9">
        <v>1908</v>
      </c>
      <c r="M44" s="9">
        <v>1868</v>
      </c>
      <c r="N44" s="9">
        <v>0</v>
      </c>
      <c r="O44" s="9">
        <v>1786</v>
      </c>
      <c r="P44" s="9">
        <v>3702</v>
      </c>
      <c r="Q44" s="9">
        <v>0</v>
      </c>
      <c r="R44" s="9">
        <v>0</v>
      </c>
    </row>
    <row r="45" spans="1:18">
      <c r="A45" s="5">
        <v>1232846</v>
      </c>
      <c r="B45" s="9">
        <v>715</v>
      </c>
      <c r="C45" s="9">
        <v>0</v>
      </c>
      <c r="D45" s="9">
        <v>0</v>
      </c>
      <c r="E45" s="9">
        <v>0</v>
      </c>
      <c r="F45" s="9">
        <v>715</v>
      </c>
      <c r="G45" s="9">
        <v>40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</row>
    <row r="46" spans="1:18">
      <c r="A46" s="5">
        <v>1229050</v>
      </c>
      <c r="B46" s="9">
        <v>0</v>
      </c>
      <c r="C46" s="9">
        <v>0</v>
      </c>
      <c r="D46" s="9">
        <v>0</v>
      </c>
      <c r="E46" s="9">
        <v>0</v>
      </c>
      <c r="F46" s="9">
        <v>420</v>
      </c>
      <c r="G46" s="9">
        <v>100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200</v>
      </c>
      <c r="Q46" s="9">
        <v>0</v>
      </c>
      <c r="R46" s="9">
        <v>0</v>
      </c>
    </row>
    <row r="47" spans="1:18">
      <c r="A47" s="5">
        <v>1220847</v>
      </c>
      <c r="B47" s="9">
        <v>0</v>
      </c>
      <c r="C47" s="9">
        <v>0</v>
      </c>
      <c r="D47" s="9">
        <v>0</v>
      </c>
      <c r="E47" s="9">
        <v>0</v>
      </c>
      <c r="F47" s="9">
        <v>266</v>
      </c>
      <c r="G47" s="9">
        <v>426</v>
      </c>
      <c r="H47" s="9">
        <v>183</v>
      </c>
      <c r="I47" s="9">
        <v>0</v>
      </c>
      <c r="J47" s="9">
        <v>0</v>
      </c>
      <c r="K47" s="9">
        <v>0</v>
      </c>
      <c r="L47" s="9">
        <v>195</v>
      </c>
      <c r="M47" s="9">
        <v>542</v>
      </c>
      <c r="N47" s="9">
        <v>0</v>
      </c>
      <c r="O47" s="9">
        <v>138</v>
      </c>
      <c r="P47" s="9">
        <v>2660</v>
      </c>
      <c r="Q47" s="9">
        <v>0</v>
      </c>
      <c r="R47" s="9">
        <v>0</v>
      </c>
    </row>
    <row r="48" spans="1:18">
      <c r="A48" s="5">
        <v>1235097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276</v>
      </c>
      <c r="M48" s="9">
        <v>24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>
      <c r="A49" s="5">
        <v>1235958</v>
      </c>
      <c r="B49" s="9">
        <v>0</v>
      </c>
      <c r="C49" s="9">
        <v>0</v>
      </c>
      <c r="D49" s="9">
        <v>0</v>
      </c>
      <c r="E49" s="9">
        <v>0</v>
      </c>
      <c r="F49" s="9">
        <v>25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</row>
    <row r="50" spans="1:18">
      <c r="A50" s="5">
        <v>1235845</v>
      </c>
      <c r="B50" s="9">
        <v>100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>
      <c r="A51" s="5">
        <v>1236930</v>
      </c>
      <c r="B51" s="9">
        <v>690</v>
      </c>
      <c r="C51" s="9">
        <v>0</v>
      </c>
      <c r="D51" s="9">
        <v>0</v>
      </c>
      <c r="E51" s="9">
        <v>0</v>
      </c>
      <c r="F51" s="9">
        <v>421</v>
      </c>
      <c r="G51" s="9">
        <v>484</v>
      </c>
      <c r="H51" s="9">
        <v>694</v>
      </c>
      <c r="I51" s="9">
        <v>0</v>
      </c>
      <c r="J51" s="9">
        <v>0</v>
      </c>
      <c r="K51" s="9">
        <v>0</v>
      </c>
      <c r="L51" s="9">
        <v>449</v>
      </c>
      <c r="M51" s="9">
        <v>420</v>
      </c>
      <c r="N51" s="9">
        <v>0</v>
      </c>
      <c r="O51" s="9">
        <v>485</v>
      </c>
      <c r="P51" s="9">
        <v>1222</v>
      </c>
      <c r="Q51" s="9">
        <v>0</v>
      </c>
      <c r="R51" s="9">
        <v>0</v>
      </c>
    </row>
    <row r="52" spans="1:18">
      <c r="A52" s="5">
        <v>1237210</v>
      </c>
      <c r="B52" s="9">
        <v>27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</row>
    <row r="53" spans="1:18">
      <c r="A53" s="5">
        <v>1238480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203</v>
      </c>
      <c r="I53" s="9">
        <v>0</v>
      </c>
      <c r="J53" s="9">
        <v>0</v>
      </c>
      <c r="K53" s="9">
        <v>0</v>
      </c>
      <c r="L53" s="9">
        <v>217</v>
      </c>
      <c r="M53" s="9">
        <v>0</v>
      </c>
      <c r="N53" s="9">
        <v>0</v>
      </c>
      <c r="O53" s="9">
        <v>350</v>
      </c>
      <c r="P53" s="9">
        <v>1760</v>
      </c>
      <c r="Q53" s="9">
        <v>0</v>
      </c>
      <c r="R53" s="9">
        <v>0</v>
      </c>
    </row>
    <row r="54" spans="1:18">
      <c r="A54" s="5">
        <v>1241343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36</v>
      </c>
      <c r="P54" s="9">
        <v>0</v>
      </c>
      <c r="Q54" s="9">
        <v>0</v>
      </c>
      <c r="R54" s="9">
        <v>0</v>
      </c>
    </row>
    <row r="55" spans="1:18">
      <c r="A55" s="5">
        <v>1241347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36</v>
      </c>
      <c r="P55" s="9">
        <v>0</v>
      </c>
      <c r="Q55" s="9">
        <v>0</v>
      </c>
      <c r="R55" s="9">
        <v>0</v>
      </c>
    </row>
    <row r="56" spans="1:18">
      <c r="A56" s="5">
        <v>1241480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119</v>
      </c>
      <c r="Q56" s="9">
        <v>0</v>
      </c>
      <c r="R56" s="9">
        <v>0</v>
      </c>
    </row>
    <row r="57" spans="1:18">
      <c r="A57" s="5">
        <v>1241474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23</v>
      </c>
      <c r="P57" s="9">
        <v>81</v>
      </c>
      <c r="Q57" s="9">
        <v>0</v>
      </c>
      <c r="R57" s="9">
        <v>0</v>
      </c>
    </row>
    <row r="58" spans="1:18">
      <c r="A58" s="5">
        <v>1241387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107</v>
      </c>
      <c r="P58" s="9">
        <v>0</v>
      </c>
      <c r="Q58" s="9">
        <v>0</v>
      </c>
      <c r="R58" s="9">
        <v>0</v>
      </c>
    </row>
    <row r="59" spans="1:18">
      <c r="A59" s="5">
        <v>1216452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1080</v>
      </c>
      <c r="P59" s="9">
        <v>1050</v>
      </c>
      <c r="Q59" s="9">
        <v>0</v>
      </c>
      <c r="R59" s="9">
        <v>0</v>
      </c>
    </row>
    <row r="60" spans="1:18">
      <c r="A60" s="5">
        <v>1232894</v>
      </c>
      <c r="B60" s="9">
        <v>715</v>
      </c>
      <c r="C60" s="9">
        <v>0</v>
      </c>
      <c r="D60" s="9">
        <v>0</v>
      </c>
      <c r="E60" s="9">
        <v>0</v>
      </c>
      <c r="F60" s="9">
        <v>715</v>
      </c>
      <c r="G60" s="9">
        <v>40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</row>
    <row r="61" spans="1:18">
      <c r="A61" s="5">
        <v>1233387</v>
      </c>
      <c r="B61" s="9">
        <v>715</v>
      </c>
      <c r="C61" s="9">
        <v>0</v>
      </c>
      <c r="D61" s="9">
        <v>0</v>
      </c>
      <c r="E61" s="9">
        <v>0</v>
      </c>
      <c r="F61" s="9">
        <v>715</v>
      </c>
      <c r="G61" s="9">
        <v>40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</row>
  </sheetData>
  <phoneticPr fontId="11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58EB-D6C3-409F-B6EE-D0ED9B3CB993}">
  <dimension ref="A1:W65"/>
  <sheetViews>
    <sheetView zoomScale="130" zoomScaleNormal="130" workbookViewId="0">
      <selection activeCell="M10" sqref="M10"/>
    </sheetView>
  </sheetViews>
  <sheetFormatPr defaultColWidth="9.33203125" defaultRowHeight="12"/>
  <cols>
    <col min="1" max="1" width="10.1640625" style="244" bestFit="1" customWidth="1"/>
    <col min="2" max="2" width="9.33203125" style="9" customWidth="1"/>
    <col min="3" max="20" width="9.5" style="9" customWidth="1"/>
    <col min="21" max="21" width="9.5" style="9" bestFit="1" customWidth="1"/>
    <col min="22" max="16384" width="9.33203125" style="5"/>
  </cols>
  <sheetData>
    <row r="1" spans="1:23">
      <c r="A1" s="244" t="s">
        <v>0</v>
      </c>
      <c r="B1" s="9" t="s">
        <v>1267</v>
      </c>
      <c r="C1" s="9" t="s">
        <v>1268</v>
      </c>
      <c r="D1" s="9" t="s">
        <v>1269</v>
      </c>
      <c r="E1" s="9" t="s">
        <v>1270</v>
      </c>
      <c r="F1" s="9" t="s">
        <v>1271</v>
      </c>
      <c r="G1" s="9" t="s">
        <v>1272</v>
      </c>
      <c r="H1" s="9" t="s">
        <v>1274</v>
      </c>
      <c r="I1" s="9" t="s">
        <v>1275</v>
      </c>
      <c r="J1" s="9" t="s">
        <v>1276</v>
      </c>
      <c r="K1" s="9" t="s">
        <v>1277</v>
      </c>
      <c r="L1" s="9" t="s">
        <v>1278</v>
      </c>
      <c r="M1" s="9" t="s">
        <v>1279</v>
      </c>
      <c r="N1" s="9" t="s">
        <v>1280</v>
      </c>
      <c r="O1" s="9" t="s">
        <v>1282</v>
      </c>
      <c r="P1" s="9" t="s">
        <v>1283</v>
      </c>
      <c r="Q1" s="9" t="s">
        <v>1284</v>
      </c>
      <c r="R1" s="9" t="s">
        <v>1285</v>
      </c>
      <c r="S1" s="9" t="s">
        <v>1286</v>
      </c>
      <c r="T1" s="9" t="s">
        <v>1287</v>
      </c>
      <c r="U1" s="9" t="s">
        <v>1288</v>
      </c>
    </row>
    <row r="2" spans="1:23">
      <c r="A2" s="28">
        <v>1226384</v>
      </c>
      <c r="B2" s="105">
        <v>0</v>
      </c>
      <c r="C2" s="105">
        <v>0</v>
      </c>
      <c r="D2" s="105">
        <v>0</v>
      </c>
      <c r="E2" s="105">
        <v>0</v>
      </c>
      <c r="F2" s="105">
        <v>0</v>
      </c>
      <c r="G2" s="105">
        <v>0</v>
      </c>
      <c r="H2" s="105">
        <v>160</v>
      </c>
      <c r="I2" s="105">
        <v>350</v>
      </c>
      <c r="J2" s="105">
        <v>0</v>
      </c>
      <c r="K2" s="105">
        <v>250</v>
      </c>
      <c r="L2" s="105">
        <v>300</v>
      </c>
      <c r="M2" s="105">
        <v>0</v>
      </c>
      <c r="N2" s="105">
        <v>0</v>
      </c>
      <c r="O2" s="105">
        <v>0</v>
      </c>
      <c r="P2" s="105">
        <v>0</v>
      </c>
      <c r="Q2" s="105">
        <v>0</v>
      </c>
      <c r="R2" s="105">
        <v>0</v>
      </c>
      <c r="S2" s="105">
        <v>0</v>
      </c>
      <c r="T2" s="105">
        <v>0</v>
      </c>
      <c r="U2" s="105">
        <v>0</v>
      </c>
      <c r="W2" s="78"/>
    </row>
    <row r="3" spans="1:23">
      <c r="A3" s="28">
        <v>1226388</v>
      </c>
      <c r="B3" s="105">
        <v>0</v>
      </c>
      <c r="C3" s="105">
        <v>0</v>
      </c>
      <c r="D3" s="105">
        <v>0</v>
      </c>
      <c r="E3" s="105">
        <v>0</v>
      </c>
      <c r="F3" s="105">
        <v>0</v>
      </c>
      <c r="G3" s="105">
        <v>0</v>
      </c>
      <c r="H3" s="105">
        <v>160</v>
      </c>
      <c r="I3" s="105">
        <v>350</v>
      </c>
      <c r="J3" s="105">
        <v>0</v>
      </c>
      <c r="K3" s="105">
        <v>250</v>
      </c>
      <c r="L3" s="105">
        <v>300</v>
      </c>
      <c r="M3" s="105">
        <v>0</v>
      </c>
      <c r="N3" s="105">
        <v>0</v>
      </c>
      <c r="O3" s="105">
        <v>0</v>
      </c>
      <c r="P3" s="105">
        <v>0</v>
      </c>
      <c r="Q3" s="105">
        <v>0</v>
      </c>
      <c r="R3" s="105">
        <v>0</v>
      </c>
      <c r="S3" s="105">
        <v>0</v>
      </c>
      <c r="T3" s="105">
        <v>0</v>
      </c>
      <c r="U3" s="105">
        <v>0</v>
      </c>
      <c r="W3" s="78"/>
    </row>
    <row r="4" spans="1:23">
      <c r="A4" s="28">
        <v>1229673</v>
      </c>
      <c r="B4" s="105">
        <v>300</v>
      </c>
      <c r="C4" s="105">
        <v>300</v>
      </c>
      <c r="D4" s="105">
        <v>300</v>
      </c>
      <c r="E4" s="105">
        <v>0</v>
      </c>
      <c r="F4" s="105">
        <v>0</v>
      </c>
      <c r="G4" s="105">
        <v>0</v>
      </c>
      <c r="H4" s="105">
        <v>190</v>
      </c>
      <c r="I4" s="105">
        <v>110</v>
      </c>
      <c r="J4" s="105">
        <v>0</v>
      </c>
      <c r="K4" s="105">
        <v>200</v>
      </c>
      <c r="L4" s="105">
        <v>0</v>
      </c>
      <c r="M4" s="105">
        <v>0</v>
      </c>
      <c r="N4" s="105">
        <v>0</v>
      </c>
      <c r="O4" s="105">
        <v>0</v>
      </c>
      <c r="P4" s="105">
        <v>200</v>
      </c>
      <c r="Q4" s="105">
        <v>200</v>
      </c>
      <c r="R4" s="105">
        <v>0</v>
      </c>
      <c r="S4" s="105">
        <v>0</v>
      </c>
      <c r="T4" s="105">
        <v>0</v>
      </c>
      <c r="U4" s="105">
        <v>0</v>
      </c>
      <c r="W4" s="78"/>
    </row>
    <row r="5" spans="1:23">
      <c r="A5" s="28">
        <v>1231202</v>
      </c>
      <c r="B5" s="105">
        <v>100</v>
      </c>
      <c r="C5" s="105">
        <v>0</v>
      </c>
      <c r="D5" s="105">
        <v>0</v>
      </c>
      <c r="E5" s="105">
        <v>0</v>
      </c>
      <c r="F5" s="105">
        <v>0</v>
      </c>
      <c r="G5" s="105">
        <v>0</v>
      </c>
      <c r="H5" s="105">
        <v>0</v>
      </c>
      <c r="I5" s="105">
        <v>0</v>
      </c>
      <c r="J5" s="105">
        <v>0</v>
      </c>
      <c r="K5" s="105">
        <v>0</v>
      </c>
      <c r="L5" s="105">
        <v>0</v>
      </c>
      <c r="M5" s="105">
        <v>0</v>
      </c>
      <c r="N5" s="105">
        <v>0</v>
      </c>
      <c r="O5" s="105">
        <v>0</v>
      </c>
      <c r="P5" s="105">
        <v>0</v>
      </c>
      <c r="Q5" s="105">
        <v>0</v>
      </c>
      <c r="R5" s="105">
        <v>0</v>
      </c>
      <c r="S5" s="105">
        <v>0</v>
      </c>
      <c r="T5" s="105">
        <v>0</v>
      </c>
      <c r="U5" s="105">
        <v>0</v>
      </c>
      <c r="W5" s="78"/>
    </row>
    <row r="6" spans="1:23">
      <c r="A6" s="28">
        <v>1233492</v>
      </c>
      <c r="B6" s="105">
        <v>0</v>
      </c>
      <c r="C6" s="105">
        <v>280</v>
      </c>
      <c r="D6" s="105">
        <v>232</v>
      </c>
      <c r="E6" s="105">
        <v>0</v>
      </c>
      <c r="F6" s="105">
        <v>0</v>
      </c>
      <c r="G6" s="105">
        <v>0</v>
      </c>
      <c r="H6" s="105">
        <v>0</v>
      </c>
      <c r="I6" s="105">
        <v>0</v>
      </c>
      <c r="J6" s="105">
        <v>0</v>
      </c>
      <c r="K6" s="105">
        <v>0</v>
      </c>
      <c r="L6" s="105">
        <v>0</v>
      </c>
      <c r="M6" s="105">
        <v>0</v>
      </c>
      <c r="N6" s="105">
        <v>0</v>
      </c>
      <c r="O6" s="105">
        <v>0</v>
      </c>
      <c r="P6" s="105">
        <v>0</v>
      </c>
      <c r="Q6" s="105">
        <v>0</v>
      </c>
      <c r="R6" s="105">
        <v>0</v>
      </c>
      <c r="S6" s="105">
        <v>0</v>
      </c>
      <c r="T6" s="105">
        <v>0</v>
      </c>
      <c r="U6" s="105">
        <v>0</v>
      </c>
      <c r="W6" s="78"/>
    </row>
    <row r="7" spans="1:23">
      <c r="A7" s="28">
        <v>1233498</v>
      </c>
      <c r="B7" s="105">
        <v>0</v>
      </c>
      <c r="C7" s="105">
        <v>280</v>
      </c>
      <c r="D7" s="105">
        <v>232</v>
      </c>
      <c r="E7" s="105">
        <v>0</v>
      </c>
      <c r="F7" s="105">
        <v>0</v>
      </c>
      <c r="G7" s="105">
        <v>0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5">
        <v>0</v>
      </c>
      <c r="O7" s="105">
        <v>0</v>
      </c>
      <c r="P7" s="105">
        <v>0</v>
      </c>
      <c r="Q7" s="105">
        <v>0</v>
      </c>
      <c r="R7" s="105">
        <v>0</v>
      </c>
      <c r="S7" s="105">
        <v>0</v>
      </c>
      <c r="T7" s="105">
        <v>0</v>
      </c>
      <c r="U7" s="105">
        <v>0</v>
      </c>
      <c r="W7" s="78"/>
    </row>
    <row r="8" spans="1:23">
      <c r="A8" s="28">
        <v>1233623</v>
      </c>
      <c r="B8" s="105">
        <v>0</v>
      </c>
      <c r="C8" s="105">
        <v>280</v>
      </c>
      <c r="D8" s="105">
        <v>232</v>
      </c>
      <c r="E8" s="105">
        <v>0</v>
      </c>
      <c r="F8" s="105">
        <v>0</v>
      </c>
      <c r="G8" s="105">
        <v>0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5">
        <v>0</v>
      </c>
      <c r="O8" s="105">
        <v>0</v>
      </c>
      <c r="P8" s="105">
        <v>0</v>
      </c>
      <c r="Q8" s="105">
        <v>0</v>
      </c>
      <c r="R8" s="105">
        <v>0</v>
      </c>
      <c r="S8" s="105">
        <v>0</v>
      </c>
      <c r="T8" s="105">
        <v>0</v>
      </c>
      <c r="U8" s="105">
        <v>0</v>
      </c>
      <c r="W8" s="78"/>
    </row>
    <row r="9" spans="1:23">
      <c r="A9" s="28">
        <v>1237088</v>
      </c>
      <c r="B9" s="105">
        <v>1062</v>
      </c>
      <c r="C9" s="105">
        <v>862</v>
      </c>
      <c r="D9" s="105">
        <v>1360</v>
      </c>
      <c r="E9" s="105">
        <v>0</v>
      </c>
      <c r="F9" s="105">
        <v>0</v>
      </c>
      <c r="G9" s="105">
        <v>0</v>
      </c>
      <c r="H9" s="105">
        <v>472</v>
      </c>
      <c r="I9" s="105">
        <v>496</v>
      </c>
      <c r="J9" s="105">
        <v>0</v>
      </c>
      <c r="K9" s="105">
        <v>716</v>
      </c>
      <c r="L9" s="105">
        <v>866</v>
      </c>
      <c r="M9" s="105">
        <v>0</v>
      </c>
      <c r="N9" s="105">
        <v>0</v>
      </c>
      <c r="O9" s="105">
        <v>562</v>
      </c>
      <c r="P9" s="105">
        <v>480</v>
      </c>
      <c r="Q9" s="105">
        <v>654</v>
      </c>
      <c r="R9" s="105">
        <v>500</v>
      </c>
      <c r="S9" s="105">
        <v>546</v>
      </c>
      <c r="T9" s="105">
        <v>0</v>
      </c>
      <c r="U9" s="105">
        <v>0</v>
      </c>
      <c r="W9" s="78"/>
    </row>
    <row r="10" spans="1:23">
      <c r="A10" s="28">
        <v>1237748</v>
      </c>
      <c r="B10" s="105">
        <v>0</v>
      </c>
      <c r="C10" s="105">
        <v>0</v>
      </c>
      <c r="D10" s="105">
        <v>0</v>
      </c>
      <c r="E10" s="105">
        <v>0</v>
      </c>
      <c r="F10" s="105">
        <v>0</v>
      </c>
      <c r="G10" s="105">
        <v>0</v>
      </c>
      <c r="H10" s="105">
        <v>630</v>
      </c>
      <c r="I10" s="105">
        <v>150</v>
      </c>
      <c r="J10" s="105">
        <v>0</v>
      </c>
      <c r="K10" s="105">
        <v>0</v>
      </c>
      <c r="L10" s="105">
        <v>0</v>
      </c>
      <c r="M10" s="105">
        <v>0</v>
      </c>
      <c r="N10" s="105">
        <v>0</v>
      </c>
      <c r="O10" s="105">
        <v>0</v>
      </c>
      <c r="P10" s="105">
        <v>0</v>
      </c>
      <c r="Q10" s="105">
        <v>40</v>
      </c>
      <c r="R10" s="105">
        <v>636</v>
      </c>
      <c r="S10" s="105">
        <v>0</v>
      </c>
      <c r="T10" s="105">
        <v>0</v>
      </c>
      <c r="U10" s="105">
        <v>0</v>
      </c>
      <c r="W10" s="78"/>
    </row>
    <row r="11" spans="1:23">
      <c r="A11" s="28">
        <v>1231898</v>
      </c>
      <c r="B11" s="105">
        <v>0</v>
      </c>
      <c r="C11" s="105">
        <v>248</v>
      </c>
      <c r="D11" s="105">
        <v>0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5">
        <v>0</v>
      </c>
      <c r="O11" s="105">
        <v>0</v>
      </c>
      <c r="P11" s="105">
        <v>0</v>
      </c>
      <c r="Q11" s="105">
        <v>0</v>
      </c>
      <c r="R11" s="105">
        <v>0</v>
      </c>
      <c r="S11" s="105">
        <v>0</v>
      </c>
      <c r="T11" s="105">
        <v>0</v>
      </c>
      <c r="U11" s="105">
        <v>0</v>
      </c>
      <c r="W11" s="78"/>
    </row>
    <row r="12" spans="1:23">
      <c r="A12" s="28">
        <v>1237586</v>
      </c>
      <c r="B12" s="105">
        <v>0</v>
      </c>
      <c r="C12" s="105">
        <v>248</v>
      </c>
      <c r="D12" s="105">
        <v>0</v>
      </c>
      <c r="E12" s="105">
        <v>0</v>
      </c>
      <c r="F12" s="105">
        <v>0</v>
      </c>
      <c r="G12" s="105">
        <v>0</v>
      </c>
      <c r="H12" s="105">
        <v>0</v>
      </c>
      <c r="I12" s="105">
        <v>0</v>
      </c>
      <c r="J12" s="105">
        <v>0</v>
      </c>
      <c r="K12" s="105">
        <v>0</v>
      </c>
      <c r="L12" s="105">
        <v>0</v>
      </c>
      <c r="M12" s="105">
        <v>0</v>
      </c>
      <c r="N12" s="105">
        <v>0</v>
      </c>
      <c r="O12" s="105">
        <v>0</v>
      </c>
      <c r="P12" s="105">
        <v>0</v>
      </c>
      <c r="Q12" s="105">
        <v>0</v>
      </c>
      <c r="R12" s="105">
        <v>0</v>
      </c>
      <c r="S12" s="105">
        <v>0</v>
      </c>
      <c r="T12" s="105">
        <v>0</v>
      </c>
      <c r="U12" s="105">
        <v>0</v>
      </c>
      <c r="W12" s="78"/>
    </row>
    <row r="13" spans="1:23">
      <c r="A13" s="28">
        <v>1236091</v>
      </c>
      <c r="B13" s="105">
        <v>0</v>
      </c>
      <c r="C13" s="105">
        <v>0</v>
      </c>
      <c r="D13" s="105">
        <v>0</v>
      </c>
      <c r="E13" s="105">
        <v>0</v>
      </c>
      <c r="F13" s="105">
        <v>0</v>
      </c>
      <c r="G13" s="105">
        <v>0</v>
      </c>
      <c r="H13" s="105">
        <v>0</v>
      </c>
      <c r="I13" s="105">
        <v>0</v>
      </c>
      <c r="J13" s="105">
        <v>0</v>
      </c>
      <c r="K13" s="105">
        <v>0</v>
      </c>
      <c r="L13" s="105">
        <v>0</v>
      </c>
      <c r="M13" s="105">
        <v>0</v>
      </c>
      <c r="N13" s="105">
        <v>0</v>
      </c>
      <c r="O13" s="105">
        <v>0</v>
      </c>
      <c r="P13" s="105">
        <v>200</v>
      </c>
      <c r="Q13" s="105">
        <v>0</v>
      </c>
      <c r="R13" s="105">
        <v>0</v>
      </c>
      <c r="S13" s="105">
        <v>0</v>
      </c>
      <c r="T13" s="105">
        <v>0</v>
      </c>
      <c r="U13" s="105">
        <v>0</v>
      </c>
      <c r="W13" s="78"/>
    </row>
    <row r="14" spans="1:23">
      <c r="A14" s="28">
        <v>1234905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210</v>
      </c>
      <c r="I14" s="105">
        <v>416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W14" s="78"/>
    </row>
    <row r="15" spans="1:23">
      <c r="A15" s="28">
        <v>1238128</v>
      </c>
      <c r="B15" s="105">
        <v>790</v>
      </c>
      <c r="C15" s="105">
        <v>368</v>
      </c>
      <c r="D15" s="105">
        <v>432</v>
      </c>
      <c r="E15" s="105">
        <v>0</v>
      </c>
      <c r="F15" s="105">
        <v>0</v>
      </c>
      <c r="G15" s="105">
        <v>0</v>
      </c>
      <c r="H15" s="105">
        <v>1372</v>
      </c>
      <c r="I15" s="105">
        <v>1642</v>
      </c>
      <c r="J15" s="105">
        <v>0</v>
      </c>
      <c r="K15" s="105">
        <v>1770</v>
      </c>
      <c r="L15" s="105">
        <v>2526</v>
      </c>
      <c r="M15" s="105">
        <v>0</v>
      </c>
      <c r="N15" s="105">
        <v>0</v>
      </c>
      <c r="O15" s="105">
        <v>1770</v>
      </c>
      <c r="P15" s="105">
        <v>1770</v>
      </c>
      <c r="Q15" s="105">
        <v>1350</v>
      </c>
      <c r="R15" s="105">
        <v>1302</v>
      </c>
      <c r="S15" s="105">
        <v>1770</v>
      </c>
      <c r="T15" s="105">
        <v>0</v>
      </c>
      <c r="U15" s="105">
        <v>0</v>
      </c>
      <c r="W15" s="78"/>
    </row>
    <row r="16" spans="1:23">
      <c r="A16" s="28">
        <v>1236962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200</v>
      </c>
      <c r="Q16" s="105">
        <v>0</v>
      </c>
      <c r="R16" s="105">
        <v>300</v>
      </c>
      <c r="S16" s="105">
        <v>0</v>
      </c>
      <c r="T16" s="105">
        <v>0</v>
      </c>
      <c r="U16" s="105">
        <v>0</v>
      </c>
      <c r="W16" s="78"/>
    </row>
    <row r="17" spans="1:23">
      <c r="A17" s="28">
        <v>1233761</v>
      </c>
      <c r="B17" s="105">
        <v>0</v>
      </c>
      <c r="C17" s="105">
        <v>0</v>
      </c>
      <c r="D17" s="105">
        <v>100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200</v>
      </c>
      <c r="T17" s="105">
        <v>0</v>
      </c>
      <c r="U17" s="105">
        <v>0</v>
      </c>
      <c r="W17" s="78"/>
    </row>
    <row r="18" spans="1:23">
      <c r="A18" s="28">
        <v>1236930</v>
      </c>
      <c r="B18" s="105">
        <v>0</v>
      </c>
      <c r="C18" s="105">
        <v>0</v>
      </c>
      <c r="D18" s="105">
        <v>60</v>
      </c>
      <c r="E18" s="105">
        <v>0</v>
      </c>
      <c r="F18" s="105">
        <v>0</v>
      </c>
      <c r="G18" s="105">
        <v>0</v>
      </c>
      <c r="H18" s="105">
        <v>0</v>
      </c>
      <c r="I18" s="105">
        <v>0</v>
      </c>
      <c r="J18" s="105">
        <v>0</v>
      </c>
      <c r="K18" s="105">
        <v>0</v>
      </c>
      <c r="L18" s="105">
        <v>0</v>
      </c>
      <c r="M18" s="105">
        <v>0</v>
      </c>
      <c r="N18" s="105">
        <v>0</v>
      </c>
      <c r="O18" s="105">
        <v>0</v>
      </c>
      <c r="P18" s="105">
        <v>0</v>
      </c>
      <c r="Q18" s="105">
        <v>0</v>
      </c>
      <c r="R18" s="105">
        <v>0</v>
      </c>
      <c r="S18" s="105">
        <v>0</v>
      </c>
      <c r="T18" s="105">
        <v>0</v>
      </c>
      <c r="U18" s="105">
        <v>0</v>
      </c>
      <c r="W18" s="78"/>
    </row>
    <row r="19" spans="1:23">
      <c r="A19" s="28">
        <v>1239651</v>
      </c>
      <c r="B19" s="105">
        <v>0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300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105">
        <v>300</v>
      </c>
      <c r="P19" s="105">
        <v>0</v>
      </c>
      <c r="Q19" s="105">
        <v>0</v>
      </c>
      <c r="R19" s="105">
        <v>234</v>
      </c>
      <c r="S19" s="105">
        <v>0</v>
      </c>
      <c r="T19" s="105">
        <v>0</v>
      </c>
      <c r="U19" s="105">
        <v>0</v>
      </c>
      <c r="W19" s="78"/>
    </row>
    <row r="20" spans="1:23">
      <c r="A20" s="28">
        <v>1240180</v>
      </c>
      <c r="B20" s="105">
        <v>460</v>
      </c>
      <c r="C20" s="105">
        <v>172</v>
      </c>
      <c r="D20" s="105">
        <v>136</v>
      </c>
      <c r="E20" s="105">
        <v>0</v>
      </c>
      <c r="F20" s="105">
        <v>0</v>
      </c>
      <c r="G20" s="105">
        <v>0</v>
      </c>
      <c r="H20" s="105">
        <v>50</v>
      </c>
      <c r="I20" s="105">
        <v>0</v>
      </c>
      <c r="J20" s="105">
        <v>0</v>
      </c>
      <c r="K20" s="105">
        <v>430</v>
      </c>
      <c r="L20" s="105">
        <v>736</v>
      </c>
      <c r="M20" s="105">
        <v>0</v>
      </c>
      <c r="N20" s="105">
        <v>0</v>
      </c>
      <c r="O20" s="105">
        <v>430</v>
      </c>
      <c r="P20" s="105">
        <v>430</v>
      </c>
      <c r="Q20" s="105">
        <v>208</v>
      </c>
      <c r="R20" s="105">
        <v>430</v>
      </c>
      <c r="S20" s="105">
        <v>430</v>
      </c>
      <c r="T20" s="105">
        <v>0</v>
      </c>
      <c r="U20" s="105">
        <v>0</v>
      </c>
      <c r="W20" s="78"/>
    </row>
    <row r="21" spans="1:23">
      <c r="A21" s="28">
        <v>1240184</v>
      </c>
      <c r="B21" s="105">
        <v>460</v>
      </c>
      <c r="C21" s="105">
        <v>172</v>
      </c>
      <c r="D21" s="105">
        <v>136</v>
      </c>
      <c r="E21" s="105">
        <v>0</v>
      </c>
      <c r="F21" s="105">
        <v>0</v>
      </c>
      <c r="G21" s="105">
        <v>0</v>
      </c>
      <c r="H21" s="105">
        <v>50</v>
      </c>
      <c r="I21" s="105">
        <v>0</v>
      </c>
      <c r="J21" s="105">
        <v>0</v>
      </c>
      <c r="K21" s="105">
        <v>430</v>
      </c>
      <c r="L21" s="105">
        <v>736</v>
      </c>
      <c r="M21" s="105">
        <v>0</v>
      </c>
      <c r="N21" s="105">
        <v>0</v>
      </c>
      <c r="O21" s="105">
        <v>430</v>
      </c>
      <c r="P21" s="105">
        <v>430</v>
      </c>
      <c r="Q21" s="105">
        <v>208</v>
      </c>
      <c r="R21" s="105">
        <v>230</v>
      </c>
      <c r="S21" s="105">
        <v>430</v>
      </c>
      <c r="T21" s="105">
        <v>0</v>
      </c>
      <c r="U21" s="105">
        <v>0</v>
      </c>
    </row>
    <row r="22" spans="1:23">
      <c r="A22" s="28">
        <v>1240308</v>
      </c>
      <c r="B22" s="105">
        <v>0</v>
      </c>
      <c r="C22" s="105">
        <v>0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0</v>
      </c>
      <c r="L22" s="105">
        <v>0</v>
      </c>
      <c r="M22" s="105">
        <v>0</v>
      </c>
      <c r="N22" s="105">
        <v>0</v>
      </c>
      <c r="O22" s="105">
        <v>150</v>
      </c>
      <c r="P22" s="105">
        <v>300</v>
      </c>
      <c r="Q22" s="105">
        <v>0</v>
      </c>
      <c r="R22" s="105">
        <v>0</v>
      </c>
      <c r="S22" s="105">
        <v>0</v>
      </c>
      <c r="T22" s="105">
        <v>0</v>
      </c>
      <c r="U22" s="105">
        <v>0</v>
      </c>
    </row>
    <row r="23" spans="1:23">
      <c r="A23" s="28">
        <v>1241601</v>
      </c>
      <c r="B23" s="105">
        <v>700</v>
      </c>
      <c r="C23" s="105">
        <v>744</v>
      </c>
      <c r="D23" s="105">
        <v>666</v>
      </c>
      <c r="E23" s="105">
        <v>0</v>
      </c>
      <c r="F23" s="105">
        <v>0</v>
      </c>
      <c r="G23" s="105">
        <v>0</v>
      </c>
      <c r="H23" s="105">
        <v>0</v>
      </c>
      <c r="I23" s="105">
        <v>0</v>
      </c>
      <c r="J23" s="105">
        <v>0</v>
      </c>
      <c r="K23" s="105">
        <v>0</v>
      </c>
      <c r="L23" s="105">
        <v>0</v>
      </c>
      <c r="M23" s="105">
        <v>0</v>
      </c>
      <c r="N23" s="105">
        <v>0</v>
      </c>
      <c r="O23" s="105">
        <v>0</v>
      </c>
      <c r="P23" s="105">
        <v>0</v>
      </c>
      <c r="Q23" s="105">
        <v>0</v>
      </c>
      <c r="R23" s="105">
        <v>0</v>
      </c>
      <c r="S23" s="105">
        <v>0</v>
      </c>
      <c r="T23" s="105">
        <v>0</v>
      </c>
      <c r="U23" s="105">
        <v>0</v>
      </c>
    </row>
    <row r="24" spans="1:23">
      <c r="A24" s="28">
        <v>1242242</v>
      </c>
      <c r="B24" s="105">
        <v>0</v>
      </c>
      <c r="C24" s="105">
        <v>0</v>
      </c>
      <c r="D24" s="105">
        <v>0</v>
      </c>
      <c r="E24" s="105">
        <v>0</v>
      </c>
      <c r="F24" s="105">
        <v>0</v>
      </c>
      <c r="G24" s="105">
        <v>0</v>
      </c>
      <c r="H24" s="105">
        <v>0</v>
      </c>
      <c r="I24" s="105">
        <v>0</v>
      </c>
      <c r="J24" s="105">
        <v>0</v>
      </c>
      <c r="K24" s="105">
        <v>0</v>
      </c>
      <c r="L24" s="105">
        <v>0</v>
      </c>
      <c r="M24" s="105">
        <v>0</v>
      </c>
      <c r="N24" s="105">
        <v>0</v>
      </c>
      <c r="O24" s="105">
        <v>0</v>
      </c>
      <c r="P24" s="105">
        <v>0</v>
      </c>
      <c r="Q24" s="105">
        <v>72</v>
      </c>
      <c r="R24" s="105">
        <v>0</v>
      </c>
      <c r="S24" s="105">
        <v>0</v>
      </c>
      <c r="T24" s="105">
        <v>0</v>
      </c>
      <c r="U24" s="105">
        <v>0</v>
      </c>
    </row>
    <row r="25" spans="1:23">
      <c r="A25" s="281"/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</row>
    <row r="26" spans="1:23">
      <c r="A26" s="281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</row>
    <row r="28" spans="1:23">
      <c r="A28" s="244" t="s">
        <v>0</v>
      </c>
      <c r="B28" s="9" t="s">
        <v>1267</v>
      </c>
      <c r="C28" s="9" t="s">
        <v>1268</v>
      </c>
      <c r="D28" s="9" t="s">
        <v>1269</v>
      </c>
      <c r="E28" s="9" t="s">
        <v>1270</v>
      </c>
      <c r="F28" s="9" t="s">
        <v>1271</v>
      </c>
      <c r="G28" s="9" t="s">
        <v>1272</v>
      </c>
      <c r="H28" s="9" t="s">
        <v>1274</v>
      </c>
      <c r="I28" s="9" t="s">
        <v>1275</v>
      </c>
      <c r="J28" s="9" t="s">
        <v>1276</v>
      </c>
      <c r="K28" s="9" t="s">
        <v>1277</v>
      </c>
      <c r="L28" s="9" t="s">
        <v>1278</v>
      </c>
      <c r="M28" s="9" t="s">
        <v>1279</v>
      </c>
      <c r="N28" s="9" t="s">
        <v>1280</v>
      </c>
      <c r="O28" s="9" t="s">
        <v>1282</v>
      </c>
      <c r="P28" s="9" t="s">
        <v>1283</v>
      </c>
      <c r="Q28" s="9" t="s">
        <v>1284</v>
      </c>
      <c r="R28" s="9" t="s">
        <v>1285</v>
      </c>
      <c r="S28" s="9" t="s">
        <v>1286</v>
      </c>
      <c r="T28" s="9" t="s">
        <v>1287</v>
      </c>
      <c r="U28" s="9" t="s">
        <v>1288</v>
      </c>
    </row>
    <row r="29" spans="1:23">
      <c r="A29" s="244">
        <v>1237608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190</v>
      </c>
      <c r="J29" s="9">
        <v>0</v>
      </c>
      <c r="K29" s="9">
        <v>180</v>
      </c>
      <c r="L29" s="9">
        <v>180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0" spans="1:23">
      <c r="A30" s="244">
        <v>1233165</v>
      </c>
      <c r="B30" s="98">
        <v>79</v>
      </c>
      <c r="C30" s="98">
        <v>297</v>
      </c>
      <c r="D30" s="98">
        <v>10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1" spans="1:23">
      <c r="A31" s="244">
        <v>1232775</v>
      </c>
      <c r="B31" s="98">
        <v>314</v>
      </c>
      <c r="C31" s="98">
        <v>0</v>
      </c>
      <c r="D31" s="98">
        <v>225</v>
      </c>
      <c r="E31" s="98">
        <v>0</v>
      </c>
      <c r="F31" s="98">
        <v>0</v>
      </c>
      <c r="G31" s="98">
        <v>0</v>
      </c>
      <c r="H31" s="98">
        <v>254</v>
      </c>
      <c r="I31" s="9">
        <v>415</v>
      </c>
      <c r="J31" s="9">
        <v>0</v>
      </c>
      <c r="K31" s="9">
        <v>330</v>
      </c>
      <c r="L31" s="9">
        <v>242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</row>
    <row r="32" spans="1:23">
      <c r="A32" s="244">
        <v>1238605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107</v>
      </c>
      <c r="L32" s="9">
        <v>191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</row>
    <row r="37" spans="1:21">
      <c r="A37" s="244" t="s">
        <v>0</v>
      </c>
      <c r="B37" s="9" t="s">
        <v>1267</v>
      </c>
      <c r="C37" s="9" t="s">
        <v>1268</v>
      </c>
      <c r="D37" s="9" t="s">
        <v>1269</v>
      </c>
      <c r="E37" s="9" t="s">
        <v>1270</v>
      </c>
      <c r="F37" s="9" t="s">
        <v>1271</v>
      </c>
      <c r="G37" s="9" t="s">
        <v>1272</v>
      </c>
      <c r="H37" s="9" t="s">
        <v>1274</v>
      </c>
      <c r="I37" s="9" t="s">
        <v>1275</v>
      </c>
      <c r="J37" s="9" t="s">
        <v>1276</v>
      </c>
      <c r="K37" s="9" t="s">
        <v>1277</v>
      </c>
      <c r="L37" s="9" t="s">
        <v>1278</v>
      </c>
      <c r="M37" s="9" t="s">
        <v>1279</v>
      </c>
      <c r="N37" s="9" t="s">
        <v>1280</v>
      </c>
      <c r="O37" s="9" t="s">
        <v>1282</v>
      </c>
      <c r="P37" s="9" t="s">
        <v>1283</v>
      </c>
      <c r="Q37" s="9" t="s">
        <v>1284</v>
      </c>
      <c r="R37" s="9" t="s">
        <v>1285</v>
      </c>
      <c r="S37" s="9" t="s">
        <v>1286</v>
      </c>
      <c r="T37" s="9" t="s">
        <v>1287</v>
      </c>
      <c r="U37" s="9" t="s">
        <v>1288</v>
      </c>
    </row>
    <row r="38" spans="1:21">
      <c r="A38" s="244">
        <v>1234614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324</v>
      </c>
      <c r="R38" s="9">
        <v>0</v>
      </c>
      <c r="S38" s="9">
        <v>0</v>
      </c>
      <c r="T38" s="9">
        <v>0</v>
      </c>
      <c r="U38" s="9">
        <v>0</v>
      </c>
    </row>
    <row r="39" spans="1:21">
      <c r="A39" s="244">
        <v>1227306</v>
      </c>
      <c r="B39" s="9">
        <v>16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220</v>
      </c>
      <c r="L39" s="9">
        <v>80</v>
      </c>
      <c r="M39" s="9">
        <v>0</v>
      </c>
      <c r="N39" s="9">
        <v>0</v>
      </c>
      <c r="O39" s="9">
        <v>487</v>
      </c>
      <c r="P39" s="9">
        <v>213</v>
      </c>
      <c r="Q39" s="9">
        <v>0</v>
      </c>
      <c r="R39" s="9">
        <v>0</v>
      </c>
      <c r="S39" s="9">
        <v>400</v>
      </c>
      <c r="T39" s="9">
        <v>0</v>
      </c>
      <c r="U39" s="9">
        <v>0</v>
      </c>
    </row>
    <row r="40" spans="1:21">
      <c r="A40" s="244">
        <v>1229776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90</v>
      </c>
      <c r="T40" s="9">
        <v>0</v>
      </c>
      <c r="U40" s="9">
        <v>0</v>
      </c>
    </row>
    <row r="41" spans="1:21">
      <c r="A41" s="244">
        <v>1231090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410</v>
      </c>
      <c r="M41" s="9">
        <v>0</v>
      </c>
      <c r="N41" s="9">
        <v>0</v>
      </c>
      <c r="O41" s="9">
        <v>300</v>
      </c>
      <c r="P41" s="9">
        <v>0</v>
      </c>
      <c r="Q41" s="9">
        <v>0</v>
      </c>
      <c r="R41" s="9">
        <v>0</v>
      </c>
      <c r="S41" s="9">
        <v>540</v>
      </c>
      <c r="T41" s="9">
        <v>0</v>
      </c>
      <c r="U41" s="9">
        <v>0</v>
      </c>
    </row>
    <row r="42" spans="1:21">
      <c r="A42" s="244">
        <v>1232066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756</v>
      </c>
      <c r="T42" s="9">
        <v>0</v>
      </c>
      <c r="U42" s="9">
        <v>0</v>
      </c>
    </row>
    <row r="43" spans="1:21">
      <c r="A43" s="244">
        <v>1231860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100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244">
        <v>1234222</v>
      </c>
      <c r="B44" s="9">
        <v>0</v>
      </c>
      <c r="C44" s="9">
        <v>510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60</v>
      </c>
      <c r="S44" s="9">
        <v>0</v>
      </c>
      <c r="T44" s="9">
        <v>0</v>
      </c>
      <c r="U44" s="9">
        <v>0</v>
      </c>
    </row>
    <row r="45" spans="1:21">
      <c r="A45" s="280">
        <v>1232528</v>
      </c>
      <c r="B45" s="9">
        <v>2534</v>
      </c>
      <c r="C45" s="9">
        <v>2001</v>
      </c>
      <c r="D45" s="9">
        <v>2554</v>
      </c>
      <c r="E45" s="9">
        <v>0</v>
      </c>
      <c r="F45" s="9">
        <v>0</v>
      </c>
      <c r="G45" s="9">
        <v>0</v>
      </c>
      <c r="H45" s="9">
        <v>1928</v>
      </c>
      <c r="I45" s="9">
        <v>1868</v>
      </c>
      <c r="J45" s="9">
        <v>0</v>
      </c>
      <c r="K45" s="9">
        <v>2286</v>
      </c>
      <c r="L45" s="9">
        <v>1932</v>
      </c>
      <c r="M45" s="9">
        <v>0</v>
      </c>
      <c r="N45" s="9">
        <v>0</v>
      </c>
      <c r="O45" s="9">
        <v>2232</v>
      </c>
      <c r="P45" s="9">
        <v>2554</v>
      </c>
      <c r="Q45" s="9">
        <v>1655</v>
      </c>
      <c r="R45" s="9">
        <v>1868</v>
      </c>
      <c r="S45" s="9">
        <v>1585</v>
      </c>
      <c r="T45" s="9">
        <v>0</v>
      </c>
      <c r="U45" s="9">
        <v>0</v>
      </c>
    </row>
    <row r="46" spans="1:21">
      <c r="A46" s="244">
        <v>1232846</v>
      </c>
      <c r="B46" s="9">
        <v>715</v>
      </c>
      <c r="C46" s="9">
        <v>40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255</v>
      </c>
      <c r="S46" s="9">
        <v>576</v>
      </c>
      <c r="T46" s="9">
        <v>0</v>
      </c>
      <c r="U46" s="9">
        <v>0</v>
      </c>
    </row>
    <row r="47" spans="1:21">
      <c r="A47" s="244">
        <v>1229050</v>
      </c>
      <c r="B47" s="9">
        <v>412</v>
      </c>
      <c r="C47" s="9">
        <v>108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200</v>
      </c>
      <c r="M47" s="9">
        <v>0</v>
      </c>
      <c r="N47" s="9">
        <v>0</v>
      </c>
      <c r="O47" s="9">
        <v>195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244">
        <v>1220847</v>
      </c>
      <c r="B48" s="9">
        <v>266</v>
      </c>
      <c r="C48" s="9">
        <v>426</v>
      </c>
      <c r="D48" s="9">
        <v>183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300</v>
      </c>
      <c r="M48" s="9">
        <v>0</v>
      </c>
      <c r="N48" s="9">
        <v>0</v>
      </c>
      <c r="O48" s="9">
        <v>550</v>
      </c>
      <c r="P48" s="9">
        <v>25</v>
      </c>
      <c r="Q48" s="9">
        <v>0</v>
      </c>
      <c r="R48" s="9">
        <v>0</v>
      </c>
      <c r="S48" s="9">
        <v>2660</v>
      </c>
      <c r="T48" s="9">
        <v>0</v>
      </c>
      <c r="U48" s="9">
        <v>0</v>
      </c>
    </row>
    <row r="49" spans="1:21">
      <c r="A49" s="244">
        <v>1235097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276</v>
      </c>
      <c r="I49" s="9">
        <v>24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500</v>
      </c>
      <c r="T49" s="9">
        <v>0</v>
      </c>
      <c r="U49" s="9">
        <v>0</v>
      </c>
    </row>
    <row r="50" spans="1:21">
      <c r="A50" s="244">
        <v>1235958</v>
      </c>
      <c r="B50" s="9">
        <v>25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244">
        <v>1235845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330</v>
      </c>
      <c r="S51" s="9">
        <v>0</v>
      </c>
      <c r="T51" s="9">
        <v>0</v>
      </c>
      <c r="U51" s="9">
        <v>0</v>
      </c>
    </row>
    <row r="52" spans="1:21">
      <c r="A52" s="244">
        <v>1236930</v>
      </c>
      <c r="B52" s="9">
        <v>421</v>
      </c>
      <c r="C52" s="9">
        <v>479</v>
      </c>
      <c r="D52" s="9">
        <v>694</v>
      </c>
      <c r="E52" s="9">
        <v>0</v>
      </c>
      <c r="F52" s="9">
        <v>0</v>
      </c>
      <c r="G52" s="9">
        <v>0</v>
      </c>
      <c r="H52" s="9">
        <v>849</v>
      </c>
      <c r="I52" s="9">
        <v>420</v>
      </c>
      <c r="J52" s="9">
        <v>0</v>
      </c>
      <c r="K52" s="9">
        <v>485</v>
      </c>
      <c r="L52" s="9">
        <v>792</v>
      </c>
      <c r="M52" s="9">
        <v>0</v>
      </c>
      <c r="N52" s="9">
        <v>0</v>
      </c>
      <c r="O52" s="9">
        <v>520</v>
      </c>
      <c r="P52" s="9">
        <v>265</v>
      </c>
      <c r="Q52" s="9">
        <v>231</v>
      </c>
      <c r="R52" s="9">
        <v>719</v>
      </c>
      <c r="S52" s="9">
        <v>350</v>
      </c>
      <c r="T52" s="9">
        <v>0</v>
      </c>
      <c r="U52" s="9">
        <v>0</v>
      </c>
    </row>
    <row r="53" spans="1:21">
      <c r="A53" s="244">
        <v>1238480</v>
      </c>
      <c r="B53" s="9">
        <v>0</v>
      </c>
      <c r="C53" s="9">
        <v>0</v>
      </c>
      <c r="D53" s="9">
        <v>203</v>
      </c>
      <c r="E53" s="9">
        <v>0</v>
      </c>
      <c r="F53" s="9">
        <v>0</v>
      </c>
      <c r="G53" s="9">
        <v>0</v>
      </c>
      <c r="H53" s="9">
        <v>367</v>
      </c>
      <c r="I53" s="9">
        <v>380</v>
      </c>
      <c r="J53" s="9">
        <v>0</v>
      </c>
      <c r="K53" s="9">
        <v>770</v>
      </c>
      <c r="L53" s="9">
        <v>370</v>
      </c>
      <c r="M53" s="9">
        <v>0</v>
      </c>
      <c r="N53" s="9">
        <v>0</v>
      </c>
      <c r="O53" s="9">
        <v>0</v>
      </c>
      <c r="P53" s="9">
        <v>756</v>
      </c>
      <c r="Q53" s="9">
        <v>280</v>
      </c>
      <c r="R53" s="9">
        <v>378</v>
      </c>
      <c r="S53" s="9">
        <v>1673</v>
      </c>
      <c r="T53" s="9">
        <v>0</v>
      </c>
      <c r="U53" s="9">
        <v>0</v>
      </c>
    </row>
    <row r="54" spans="1:21">
      <c r="A54" s="244">
        <v>1232775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392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244">
        <v>1240180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300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400</v>
      </c>
      <c r="R55" s="9">
        <v>0</v>
      </c>
      <c r="S55" s="9">
        <v>0</v>
      </c>
      <c r="T55" s="9">
        <v>0</v>
      </c>
      <c r="U55" s="9">
        <v>0</v>
      </c>
    </row>
    <row r="56" spans="1:21">
      <c r="A56" s="244">
        <v>1240184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300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400</v>
      </c>
      <c r="R56" s="9">
        <v>0</v>
      </c>
      <c r="S56" s="9">
        <v>0</v>
      </c>
      <c r="T56" s="9">
        <v>0</v>
      </c>
      <c r="U56" s="9">
        <v>0</v>
      </c>
    </row>
    <row r="57" spans="1:21">
      <c r="A57" s="280">
        <v>1241343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36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280">
        <v>1241347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36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280">
        <v>1241480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119</v>
      </c>
      <c r="R59" s="9">
        <v>0</v>
      </c>
      <c r="S59" s="9">
        <v>0</v>
      </c>
      <c r="T59" s="9">
        <v>0</v>
      </c>
      <c r="U59" s="9">
        <v>0</v>
      </c>
    </row>
    <row r="60" spans="1:21">
      <c r="A60" s="280">
        <v>1241474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81</v>
      </c>
      <c r="M60" s="9">
        <v>0</v>
      </c>
      <c r="N60" s="9">
        <v>0</v>
      </c>
      <c r="O60" s="9">
        <v>11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>
      <c r="A61" s="280">
        <v>1241387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107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244">
        <v>1216452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1080</v>
      </c>
      <c r="L62" s="9">
        <v>1050</v>
      </c>
      <c r="M62" s="9">
        <v>0</v>
      </c>
      <c r="N62" s="9">
        <v>0</v>
      </c>
      <c r="O62" s="9">
        <v>1471</v>
      </c>
      <c r="P62" s="9">
        <v>540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244">
        <v>1232894</v>
      </c>
      <c r="B63" s="9">
        <v>715</v>
      </c>
      <c r="C63" s="9">
        <v>40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255</v>
      </c>
      <c r="S63" s="9">
        <v>576</v>
      </c>
      <c r="T63" s="9">
        <v>0</v>
      </c>
      <c r="U63" s="9">
        <v>0</v>
      </c>
    </row>
    <row r="64" spans="1:21">
      <c r="A64" s="244">
        <v>1233387</v>
      </c>
      <c r="B64" s="9">
        <v>715</v>
      </c>
      <c r="C64" s="9">
        <v>40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255</v>
      </c>
      <c r="S64" s="9">
        <v>0</v>
      </c>
      <c r="T64" s="9">
        <v>0</v>
      </c>
      <c r="U64" s="9">
        <v>0</v>
      </c>
    </row>
    <row r="65" spans="1:21">
      <c r="A65" s="244">
        <v>1233385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576</v>
      </c>
      <c r="T65" s="9">
        <v>0</v>
      </c>
      <c r="U65" s="9">
        <v>0</v>
      </c>
    </row>
  </sheetData>
  <phoneticPr fontId="11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E97E-ADBE-4E3F-9F80-9F45422B1838}">
  <dimension ref="A1:T65"/>
  <sheetViews>
    <sheetView topLeftCell="A22" zoomScale="130" zoomScaleNormal="130" workbookViewId="0">
      <selection activeCell="S34" sqref="S34"/>
    </sheetView>
  </sheetViews>
  <sheetFormatPr defaultColWidth="9.33203125" defaultRowHeight="12"/>
  <cols>
    <col min="1" max="1" width="10.1640625" style="244" bestFit="1" customWidth="1"/>
    <col min="2" max="2" width="9.5" style="9" bestFit="1" customWidth="1"/>
    <col min="3" max="19" width="9.5" style="9" customWidth="1"/>
    <col min="20" max="20" width="9.5" style="9" bestFit="1" customWidth="1"/>
    <col min="21" max="16384" width="9.33203125" style="5"/>
  </cols>
  <sheetData>
    <row r="1" spans="1:20">
      <c r="A1" s="244" t="s">
        <v>0</v>
      </c>
      <c r="B1" s="9" t="s">
        <v>1268</v>
      </c>
      <c r="C1" s="9" t="s">
        <v>1269</v>
      </c>
      <c r="D1" s="9" t="s">
        <v>1270</v>
      </c>
      <c r="E1" s="9" t="s">
        <v>1271</v>
      </c>
      <c r="F1" s="9" t="s">
        <v>1272</v>
      </c>
      <c r="G1" s="9" t="s">
        <v>1274</v>
      </c>
      <c r="H1" s="18" t="s">
        <v>1275</v>
      </c>
      <c r="I1" s="9" t="s">
        <v>1276</v>
      </c>
      <c r="J1" s="9" t="s">
        <v>1277</v>
      </c>
      <c r="K1" s="9" t="s">
        <v>1278</v>
      </c>
      <c r="L1" s="9" t="s">
        <v>1279</v>
      </c>
      <c r="M1" s="9" t="s">
        <v>1280</v>
      </c>
      <c r="N1" s="9" t="s">
        <v>1282</v>
      </c>
      <c r="O1" s="9" t="s">
        <v>1283</v>
      </c>
      <c r="P1" s="9" t="s">
        <v>1284</v>
      </c>
      <c r="Q1" s="9" t="s">
        <v>1285</v>
      </c>
      <c r="R1" s="9" t="s">
        <v>1286</v>
      </c>
      <c r="S1" s="9" t="s">
        <v>1287</v>
      </c>
      <c r="T1" s="9" t="s">
        <v>1288</v>
      </c>
    </row>
    <row r="2" spans="1:20">
      <c r="A2" s="244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160</v>
      </c>
      <c r="H2" s="18">
        <v>350</v>
      </c>
      <c r="I2" s="9">
        <v>0</v>
      </c>
      <c r="J2" s="9">
        <v>250</v>
      </c>
      <c r="K2" s="9">
        <v>300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</row>
    <row r="3" spans="1:20">
      <c r="A3" s="244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160</v>
      </c>
      <c r="H3" s="18">
        <v>350</v>
      </c>
      <c r="I3" s="9">
        <v>0</v>
      </c>
      <c r="J3" s="9">
        <v>250</v>
      </c>
      <c r="K3" s="9">
        <v>300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</row>
    <row r="4" spans="1:20">
      <c r="A4" s="244">
        <v>1229673</v>
      </c>
      <c r="B4" s="9">
        <v>300</v>
      </c>
      <c r="C4" s="9">
        <v>300</v>
      </c>
      <c r="D4" s="9">
        <v>0</v>
      </c>
      <c r="E4" s="9">
        <v>0</v>
      </c>
      <c r="F4" s="9">
        <v>0</v>
      </c>
      <c r="G4" s="9">
        <v>190</v>
      </c>
      <c r="H4" s="18">
        <v>110</v>
      </c>
      <c r="I4" s="9">
        <v>0</v>
      </c>
      <c r="J4" s="9">
        <v>200</v>
      </c>
      <c r="K4" s="9">
        <v>0</v>
      </c>
      <c r="L4" s="9">
        <v>0</v>
      </c>
      <c r="M4" s="9">
        <v>0</v>
      </c>
      <c r="N4" s="9">
        <v>0</v>
      </c>
      <c r="O4" s="9">
        <v>200</v>
      </c>
      <c r="P4" s="9">
        <v>200</v>
      </c>
      <c r="Q4" s="9">
        <v>0</v>
      </c>
      <c r="R4" s="9">
        <v>0</v>
      </c>
      <c r="S4" s="9">
        <v>0</v>
      </c>
      <c r="T4" s="9">
        <v>0</v>
      </c>
    </row>
    <row r="5" spans="1:20">
      <c r="A5" s="244">
        <v>1233492</v>
      </c>
      <c r="B5" s="9">
        <v>280</v>
      </c>
      <c r="C5" s="9">
        <v>232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</row>
    <row r="6" spans="1:20">
      <c r="A6" s="244">
        <v>1233498</v>
      </c>
      <c r="B6" s="9">
        <v>280</v>
      </c>
      <c r="C6" s="9">
        <v>232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244">
        <v>1233623</v>
      </c>
      <c r="B7" s="9">
        <v>280</v>
      </c>
      <c r="C7" s="9">
        <v>232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</row>
    <row r="8" spans="1:20">
      <c r="A8" s="244">
        <v>1237088</v>
      </c>
      <c r="B8" s="9">
        <v>862</v>
      </c>
      <c r="C8" s="9">
        <v>1360</v>
      </c>
      <c r="D8" s="9">
        <v>0</v>
      </c>
      <c r="E8" s="9">
        <v>0</v>
      </c>
      <c r="F8" s="9">
        <v>0</v>
      </c>
      <c r="G8" s="9">
        <v>472</v>
      </c>
      <c r="H8" s="18">
        <v>496</v>
      </c>
      <c r="I8" s="9">
        <v>0</v>
      </c>
      <c r="J8" s="9">
        <v>716</v>
      </c>
      <c r="K8" s="9">
        <v>866</v>
      </c>
      <c r="L8" s="9">
        <v>0</v>
      </c>
      <c r="M8" s="9">
        <v>0</v>
      </c>
      <c r="N8" s="9">
        <v>562</v>
      </c>
      <c r="O8" s="9">
        <v>304</v>
      </c>
      <c r="P8" s="9">
        <v>390</v>
      </c>
      <c r="Q8" s="9">
        <v>794</v>
      </c>
      <c r="R8" s="9">
        <v>546</v>
      </c>
      <c r="S8" s="9">
        <v>0</v>
      </c>
      <c r="T8" s="9">
        <v>0</v>
      </c>
    </row>
    <row r="9" spans="1:20">
      <c r="A9" s="244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630</v>
      </c>
      <c r="H9" s="18">
        <v>150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</row>
    <row r="10" spans="1:20">
      <c r="A10" s="244">
        <v>1231898</v>
      </c>
      <c r="B10" s="9">
        <v>248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</row>
    <row r="11" spans="1:20">
      <c r="A11" s="244">
        <v>1237586</v>
      </c>
      <c r="B11" s="9">
        <v>248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</row>
    <row r="12" spans="1:20">
      <c r="A12" s="244">
        <v>1236091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200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</row>
    <row r="13" spans="1:20">
      <c r="A13" s="244">
        <v>1234905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210</v>
      </c>
      <c r="H13" s="18">
        <v>416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</row>
    <row r="14" spans="1:20">
      <c r="A14" s="244">
        <v>1238128</v>
      </c>
      <c r="B14" s="9">
        <v>368</v>
      </c>
      <c r="C14" s="9">
        <v>432</v>
      </c>
      <c r="D14" s="9">
        <v>0</v>
      </c>
      <c r="E14" s="9">
        <v>0</v>
      </c>
      <c r="F14" s="9">
        <v>0</v>
      </c>
      <c r="G14" s="9">
        <v>1372</v>
      </c>
      <c r="H14" s="18">
        <v>1642</v>
      </c>
      <c r="I14" s="9">
        <v>0</v>
      </c>
      <c r="J14" s="9">
        <v>1770</v>
      </c>
      <c r="K14" s="9">
        <v>2526</v>
      </c>
      <c r="L14" s="9">
        <v>0</v>
      </c>
      <c r="M14" s="9">
        <v>0</v>
      </c>
      <c r="N14" s="9">
        <v>1000</v>
      </c>
      <c r="O14" s="9">
        <v>1000</v>
      </c>
      <c r="P14" s="9">
        <v>1392</v>
      </c>
      <c r="Q14" s="9">
        <v>1770</v>
      </c>
      <c r="R14" s="9">
        <v>1770</v>
      </c>
      <c r="S14" s="9">
        <v>0</v>
      </c>
      <c r="T14" s="9">
        <v>0</v>
      </c>
    </row>
    <row r="15" spans="1:20">
      <c r="A15" s="244">
        <v>1236962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200</v>
      </c>
      <c r="P15" s="9">
        <v>0</v>
      </c>
      <c r="Q15" s="9">
        <v>300</v>
      </c>
      <c r="R15" s="9">
        <v>0</v>
      </c>
      <c r="S15" s="9">
        <v>0</v>
      </c>
      <c r="T15" s="9">
        <v>0</v>
      </c>
    </row>
    <row r="16" spans="1:20">
      <c r="A16" s="244">
        <v>1233761</v>
      </c>
      <c r="B16" s="9">
        <v>0</v>
      </c>
      <c r="C16" s="9">
        <v>100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200</v>
      </c>
      <c r="S16" s="9">
        <v>0</v>
      </c>
      <c r="T16" s="9">
        <v>0</v>
      </c>
    </row>
    <row r="17" spans="1:20">
      <c r="A17" s="244">
        <v>1236930</v>
      </c>
      <c r="B17" s="9">
        <v>0</v>
      </c>
      <c r="C17" s="9">
        <v>60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</row>
    <row r="18" spans="1:20">
      <c r="A18" s="244">
        <v>1239651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300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300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</row>
    <row r="19" spans="1:20">
      <c r="A19" s="244">
        <v>1240180</v>
      </c>
      <c r="B19" s="9">
        <v>172</v>
      </c>
      <c r="C19" s="9">
        <v>136</v>
      </c>
      <c r="D19" s="9">
        <v>0</v>
      </c>
      <c r="E19" s="9">
        <v>0</v>
      </c>
      <c r="F19" s="9">
        <v>0</v>
      </c>
      <c r="G19" s="9">
        <v>50</v>
      </c>
      <c r="H19" s="9">
        <v>0</v>
      </c>
      <c r="I19" s="9">
        <v>0</v>
      </c>
      <c r="J19" s="9">
        <v>430</v>
      </c>
      <c r="K19" s="9">
        <v>736</v>
      </c>
      <c r="L19" s="9">
        <v>0</v>
      </c>
      <c r="M19" s="9">
        <v>0</v>
      </c>
      <c r="N19" s="9">
        <v>946</v>
      </c>
      <c r="O19" s="9">
        <v>972</v>
      </c>
      <c r="P19" s="9">
        <v>208</v>
      </c>
      <c r="Q19" s="9">
        <v>430</v>
      </c>
      <c r="R19" s="9">
        <v>430</v>
      </c>
      <c r="S19" s="9">
        <v>0</v>
      </c>
      <c r="T19" s="9">
        <v>0</v>
      </c>
    </row>
    <row r="20" spans="1:20">
      <c r="A20" s="244">
        <v>1240184</v>
      </c>
      <c r="B20" s="9">
        <v>172</v>
      </c>
      <c r="C20" s="9">
        <v>136</v>
      </c>
      <c r="D20" s="9">
        <v>0</v>
      </c>
      <c r="E20" s="9">
        <v>0</v>
      </c>
      <c r="F20" s="9">
        <v>0</v>
      </c>
      <c r="G20" s="9">
        <v>50</v>
      </c>
      <c r="H20" s="9">
        <v>0</v>
      </c>
      <c r="I20" s="9">
        <v>0</v>
      </c>
      <c r="J20" s="9">
        <v>430</v>
      </c>
      <c r="K20" s="9">
        <v>736</v>
      </c>
      <c r="L20" s="9">
        <v>0</v>
      </c>
      <c r="M20" s="9">
        <v>0</v>
      </c>
      <c r="N20" s="9">
        <v>946</v>
      </c>
      <c r="O20" s="9">
        <v>972</v>
      </c>
      <c r="P20" s="9">
        <v>208</v>
      </c>
      <c r="Q20" s="9">
        <v>230</v>
      </c>
      <c r="R20" s="9">
        <v>430</v>
      </c>
      <c r="S20" s="9">
        <v>0</v>
      </c>
      <c r="T20" s="9">
        <v>0</v>
      </c>
    </row>
    <row r="21" spans="1:20">
      <c r="A21" s="244">
        <v>1240308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150</v>
      </c>
      <c r="O21" s="9">
        <v>300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</row>
    <row r="22" spans="1:20">
      <c r="A22" s="244">
        <v>1241601</v>
      </c>
      <c r="B22" s="9">
        <v>744</v>
      </c>
      <c r="C22" s="9">
        <v>666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</row>
    <row r="23" spans="1:20">
      <c r="A23" s="244">
        <v>1242242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72</v>
      </c>
      <c r="Q23" s="9">
        <v>0</v>
      </c>
      <c r="R23" s="9">
        <v>0</v>
      </c>
      <c r="S23" s="9">
        <v>0</v>
      </c>
      <c r="T23" s="9">
        <v>0</v>
      </c>
    </row>
    <row r="28" spans="1:20">
      <c r="A28" s="244" t="s">
        <v>0</v>
      </c>
      <c r="B28" s="9" t="s">
        <v>1268</v>
      </c>
      <c r="C28" s="9" t="s">
        <v>1269</v>
      </c>
      <c r="D28" s="9" t="s">
        <v>1270</v>
      </c>
      <c r="E28" s="9" t="s">
        <v>1271</v>
      </c>
      <c r="F28" s="9" t="s">
        <v>1272</v>
      </c>
      <c r="G28" s="9" t="s">
        <v>1274</v>
      </c>
      <c r="H28" s="9" t="s">
        <v>1275</v>
      </c>
      <c r="I28" s="9" t="s">
        <v>1276</v>
      </c>
      <c r="J28" s="9" t="s">
        <v>1277</v>
      </c>
      <c r="K28" s="9" t="s">
        <v>1278</v>
      </c>
      <c r="L28" s="9" t="s">
        <v>1279</v>
      </c>
      <c r="M28" s="9" t="s">
        <v>1280</v>
      </c>
      <c r="N28" s="9" t="s">
        <v>1282</v>
      </c>
      <c r="O28" s="9" t="s">
        <v>1283</v>
      </c>
      <c r="P28" s="9" t="s">
        <v>1284</v>
      </c>
      <c r="Q28" s="9" t="s">
        <v>1285</v>
      </c>
      <c r="R28" s="9" t="s">
        <v>1286</v>
      </c>
      <c r="S28" s="9" t="s">
        <v>1287</v>
      </c>
      <c r="T28" s="9" t="s">
        <v>1288</v>
      </c>
    </row>
    <row r="29" spans="1:20">
      <c r="A29" s="244">
        <v>1237608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190</v>
      </c>
      <c r="K29" s="9">
        <v>180</v>
      </c>
      <c r="L29" s="9">
        <v>0</v>
      </c>
      <c r="M29" s="9">
        <v>0</v>
      </c>
      <c r="N29" s="9">
        <v>180</v>
      </c>
      <c r="O29" s="9">
        <v>50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</row>
    <row r="30" spans="1:20">
      <c r="A30" s="244">
        <v>1233165</v>
      </c>
      <c r="B30" s="98">
        <v>297</v>
      </c>
      <c r="C30" s="98">
        <v>10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</row>
    <row r="31" spans="1:20">
      <c r="A31" s="244">
        <v>1236110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115</v>
      </c>
      <c r="P31" s="9">
        <v>35</v>
      </c>
      <c r="Q31" s="9">
        <v>0</v>
      </c>
      <c r="R31" s="9">
        <v>0</v>
      </c>
      <c r="S31" s="9">
        <v>0</v>
      </c>
      <c r="T31" s="9">
        <v>0</v>
      </c>
    </row>
    <row r="32" spans="1:20">
      <c r="A32" s="244">
        <v>1232775</v>
      </c>
      <c r="B32" s="9">
        <v>0</v>
      </c>
      <c r="C32" s="9">
        <v>225</v>
      </c>
      <c r="D32" s="9">
        <v>0</v>
      </c>
      <c r="E32" s="9">
        <v>0</v>
      </c>
      <c r="F32" s="9">
        <v>0</v>
      </c>
      <c r="G32" s="283">
        <v>272</v>
      </c>
      <c r="H32" s="283">
        <v>415</v>
      </c>
      <c r="I32" s="283">
        <v>0</v>
      </c>
      <c r="J32" s="283">
        <v>327</v>
      </c>
      <c r="K32" s="283">
        <v>242</v>
      </c>
      <c r="L32" s="283">
        <v>0</v>
      </c>
      <c r="M32" s="283">
        <v>0</v>
      </c>
      <c r="N32" s="9">
        <v>242</v>
      </c>
      <c r="O32" s="9">
        <v>239</v>
      </c>
      <c r="P32" s="9">
        <v>242</v>
      </c>
      <c r="Q32" s="9">
        <v>245</v>
      </c>
      <c r="R32" s="9">
        <v>242</v>
      </c>
      <c r="S32" s="9">
        <v>0</v>
      </c>
      <c r="T32" s="9">
        <v>0</v>
      </c>
    </row>
    <row r="33" spans="1:20">
      <c r="A33" s="244">
        <v>1238605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107</v>
      </c>
      <c r="K33" s="9">
        <v>191</v>
      </c>
      <c r="L33" s="9">
        <v>0</v>
      </c>
      <c r="M33" s="9">
        <v>0</v>
      </c>
      <c r="N33" s="9">
        <v>193</v>
      </c>
      <c r="O33" s="9">
        <v>191</v>
      </c>
      <c r="P33" s="9">
        <v>191</v>
      </c>
      <c r="Q33" s="9">
        <v>191</v>
      </c>
      <c r="R33" s="9">
        <v>191</v>
      </c>
      <c r="S33" s="9">
        <v>0</v>
      </c>
      <c r="T33" s="9">
        <v>0</v>
      </c>
    </row>
    <row r="39" spans="1:20">
      <c r="A39" s="244" t="s">
        <v>0</v>
      </c>
      <c r="B39" s="9" t="s">
        <v>1268</v>
      </c>
      <c r="C39" s="9" t="s">
        <v>1269</v>
      </c>
      <c r="D39" s="9" t="s">
        <v>1270</v>
      </c>
      <c r="E39" s="9" t="s">
        <v>1271</v>
      </c>
      <c r="F39" s="9" t="s">
        <v>1272</v>
      </c>
      <c r="G39" s="9" t="s">
        <v>1274</v>
      </c>
      <c r="H39" s="9" t="s">
        <v>1275</v>
      </c>
      <c r="I39" s="9" t="s">
        <v>1276</v>
      </c>
      <c r="J39" s="9" t="s">
        <v>1277</v>
      </c>
      <c r="K39" s="9" t="s">
        <v>1278</v>
      </c>
      <c r="L39" s="9" t="s">
        <v>1279</v>
      </c>
      <c r="M39" s="9" t="s">
        <v>1280</v>
      </c>
      <c r="N39" s="9" t="s">
        <v>1282</v>
      </c>
      <c r="O39" s="9" t="s">
        <v>1283</v>
      </c>
      <c r="P39" s="9" t="s">
        <v>1284</v>
      </c>
      <c r="Q39" s="9" t="s">
        <v>1285</v>
      </c>
      <c r="R39" s="9" t="s">
        <v>1286</v>
      </c>
      <c r="S39" s="9" t="s">
        <v>1287</v>
      </c>
      <c r="T39" s="9" t="s">
        <v>1288</v>
      </c>
    </row>
    <row r="40" spans="1:20">
      <c r="A40" s="244">
        <v>1234614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324</v>
      </c>
      <c r="Q40" s="9">
        <v>0</v>
      </c>
      <c r="R40" s="9">
        <v>0</v>
      </c>
      <c r="S40" s="9">
        <v>0</v>
      </c>
      <c r="T40" s="9">
        <v>0</v>
      </c>
    </row>
    <row r="41" spans="1:20">
      <c r="A41" s="280">
        <v>1206068</v>
      </c>
      <c r="B41" s="9">
        <v>0</v>
      </c>
      <c r="C41" s="9">
        <v>574</v>
      </c>
      <c r="D41" s="9">
        <v>0</v>
      </c>
      <c r="E41" s="9">
        <v>0</v>
      </c>
      <c r="F41" s="9">
        <v>0</v>
      </c>
      <c r="G41" s="9">
        <v>254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</row>
    <row r="42" spans="1:20">
      <c r="A42" s="244">
        <v>1227306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97</v>
      </c>
      <c r="K42" s="9">
        <v>487</v>
      </c>
      <c r="L42" s="9">
        <v>0</v>
      </c>
      <c r="M42" s="9">
        <v>0</v>
      </c>
      <c r="N42" s="9">
        <v>416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</row>
    <row r="43" spans="1:20">
      <c r="A43" s="244">
        <v>1229776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90</v>
      </c>
      <c r="Q43" s="9">
        <v>0</v>
      </c>
      <c r="R43" s="9">
        <v>0</v>
      </c>
      <c r="S43" s="9">
        <v>0</v>
      </c>
      <c r="T43" s="9">
        <v>0</v>
      </c>
    </row>
    <row r="44" spans="1:20">
      <c r="A44" s="244">
        <v>1231090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237</v>
      </c>
      <c r="L44" s="9">
        <v>0</v>
      </c>
      <c r="M44" s="9">
        <v>0</v>
      </c>
      <c r="N44" s="9">
        <v>473</v>
      </c>
      <c r="O44" s="9">
        <v>0</v>
      </c>
      <c r="P44" s="9">
        <v>90</v>
      </c>
      <c r="Q44" s="9">
        <v>0</v>
      </c>
      <c r="R44" s="9">
        <v>0</v>
      </c>
      <c r="S44" s="9">
        <v>0</v>
      </c>
      <c r="T44" s="9">
        <v>0</v>
      </c>
    </row>
    <row r="45" spans="1:20">
      <c r="A45" s="244">
        <v>1232066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306</v>
      </c>
      <c r="S45" s="9">
        <v>0</v>
      </c>
      <c r="T45" s="9">
        <v>0</v>
      </c>
    </row>
    <row r="46" spans="1:20">
      <c r="A46" s="244">
        <v>1234222</v>
      </c>
      <c r="B46" s="9">
        <v>510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60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0">
      <c r="A47" s="244">
        <v>1232528</v>
      </c>
      <c r="B47" s="9">
        <v>2001</v>
      </c>
      <c r="C47" s="9">
        <v>2554</v>
      </c>
      <c r="D47" s="9">
        <v>0</v>
      </c>
      <c r="E47" s="9">
        <v>0</v>
      </c>
      <c r="F47" s="9">
        <v>0</v>
      </c>
      <c r="G47" s="9">
        <v>1869</v>
      </c>
      <c r="H47" s="9">
        <v>1937</v>
      </c>
      <c r="I47" s="9">
        <v>0</v>
      </c>
      <c r="J47" s="9">
        <v>1675</v>
      </c>
      <c r="K47" s="9">
        <v>1711</v>
      </c>
      <c r="L47" s="9">
        <v>0</v>
      </c>
      <c r="M47" s="9">
        <v>0</v>
      </c>
      <c r="N47" s="9">
        <v>1952</v>
      </c>
      <c r="O47" s="9">
        <v>2554</v>
      </c>
      <c r="P47" s="9">
        <v>1346</v>
      </c>
      <c r="Q47" s="9">
        <v>1868</v>
      </c>
      <c r="R47" s="9">
        <v>1868</v>
      </c>
      <c r="S47" s="9">
        <v>0</v>
      </c>
      <c r="T47" s="9">
        <v>0</v>
      </c>
    </row>
    <row r="48" spans="1:20">
      <c r="A48" s="244">
        <v>1232846</v>
      </c>
      <c r="B48" s="9">
        <v>40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255</v>
      </c>
      <c r="R48" s="9">
        <v>576</v>
      </c>
      <c r="S48" s="9">
        <v>0</v>
      </c>
      <c r="T48" s="9">
        <v>0</v>
      </c>
    </row>
    <row r="49" spans="1:20">
      <c r="A49" s="244">
        <v>1229050</v>
      </c>
      <c r="B49" s="9">
        <v>108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110</v>
      </c>
      <c r="O49" s="9">
        <v>285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</row>
    <row r="50" spans="1:20">
      <c r="A50" s="244">
        <v>1220847</v>
      </c>
      <c r="B50" s="9">
        <v>426</v>
      </c>
      <c r="C50" s="9">
        <v>183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197</v>
      </c>
      <c r="L50" s="9">
        <v>0</v>
      </c>
      <c r="M50" s="9">
        <v>0</v>
      </c>
      <c r="N50" s="9">
        <v>467</v>
      </c>
      <c r="O50" s="9">
        <v>548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</row>
    <row r="51" spans="1:20">
      <c r="A51" s="244">
        <v>1235097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278</v>
      </c>
      <c r="H51" s="9">
        <v>22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</row>
    <row r="52" spans="1:20">
      <c r="A52" s="244">
        <v>1235845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330</v>
      </c>
      <c r="S52" s="9">
        <v>0</v>
      </c>
      <c r="T52" s="9">
        <v>0</v>
      </c>
    </row>
    <row r="53" spans="1:20">
      <c r="A53" s="244">
        <v>1236930</v>
      </c>
      <c r="B53" s="9">
        <v>479</v>
      </c>
      <c r="C53" s="9">
        <v>694</v>
      </c>
      <c r="D53" s="9">
        <v>0</v>
      </c>
      <c r="E53" s="9">
        <v>0</v>
      </c>
      <c r="F53" s="9">
        <v>0</v>
      </c>
      <c r="G53" s="9">
        <v>434</v>
      </c>
      <c r="H53" s="9">
        <v>49</v>
      </c>
      <c r="I53" s="9">
        <v>0</v>
      </c>
      <c r="J53" s="9">
        <v>116</v>
      </c>
      <c r="K53" s="9">
        <v>750</v>
      </c>
      <c r="L53" s="9">
        <v>0</v>
      </c>
      <c r="M53" s="9">
        <v>0</v>
      </c>
      <c r="N53" s="9">
        <v>420</v>
      </c>
      <c r="O53" s="9">
        <v>394</v>
      </c>
      <c r="P53" s="9">
        <v>356</v>
      </c>
      <c r="Q53" s="9">
        <v>919</v>
      </c>
      <c r="R53" s="9">
        <v>963</v>
      </c>
      <c r="S53" s="9">
        <v>0</v>
      </c>
      <c r="T53" s="9">
        <v>0</v>
      </c>
    </row>
    <row r="54" spans="1:20">
      <c r="A54" s="244">
        <v>1238480</v>
      </c>
      <c r="B54" s="9">
        <v>0</v>
      </c>
      <c r="C54" s="9">
        <v>203</v>
      </c>
      <c r="D54" s="9">
        <v>0</v>
      </c>
      <c r="E54" s="9">
        <v>0</v>
      </c>
      <c r="F54" s="9">
        <v>0</v>
      </c>
      <c r="G54" s="9">
        <v>353</v>
      </c>
      <c r="H54" s="9">
        <v>374</v>
      </c>
      <c r="I54" s="9">
        <v>0</v>
      </c>
      <c r="J54" s="9">
        <v>728</v>
      </c>
      <c r="K54" s="9">
        <v>432</v>
      </c>
      <c r="L54" s="9">
        <v>0</v>
      </c>
      <c r="M54" s="9">
        <v>0</v>
      </c>
      <c r="N54" s="9">
        <v>0</v>
      </c>
      <c r="O54" s="9">
        <v>0</v>
      </c>
      <c r="P54" s="9">
        <v>664</v>
      </c>
      <c r="Q54" s="9">
        <v>420</v>
      </c>
      <c r="R54" s="9">
        <v>0</v>
      </c>
      <c r="S54" s="9">
        <v>0</v>
      </c>
      <c r="T54" s="9">
        <v>0</v>
      </c>
    </row>
    <row r="55" spans="1:20">
      <c r="A55" s="244">
        <v>1232775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392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</row>
    <row r="56" spans="1:20">
      <c r="A56" s="244">
        <v>1240180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282</v>
      </c>
      <c r="I56" s="9">
        <v>0</v>
      </c>
      <c r="J56" s="9">
        <v>218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200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244">
        <v>1240184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282</v>
      </c>
      <c r="I57" s="9">
        <v>0</v>
      </c>
      <c r="J57" s="9">
        <v>218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200</v>
      </c>
      <c r="Q57" s="9">
        <v>0</v>
      </c>
      <c r="R57" s="9">
        <v>0</v>
      </c>
      <c r="S57" s="9">
        <v>0</v>
      </c>
      <c r="T57" s="9">
        <v>0</v>
      </c>
    </row>
    <row r="58" spans="1:20">
      <c r="A58" s="244">
        <v>1237468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468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</row>
    <row r="59" spans="1:20">
      <c r="A59" s="244">
        <v>1241480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119</v>
      </c>
      <c r="Q59" s="9">
        <v>0</v>
      </c>
      <c r="R59" s="9">
        <v>0</v>
      </c>
      <c r="S59" s="9">
        <v>0</v>
      </c>
      <c r="T59" s="9">
        <v>0</v>
      </c>
    </row>
    <row r="60" spans="1:20">
      <c r="A60" s="244">
        <v>1241474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81</v>
      </c>
      <c r="L60" s="9">
        <v>0</v>
      </c>
      <c r="M60" s="9">
        <v>0</v>
      </c>
      <c r="N60" s="9">
        <v>11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</row>
    <row r="61" spans="1:20">
      <c r="A61" s="244">
        <v>1241387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107</v>
      </c>
      <c r="Q61" s="9">
        <v>0</v>
      </c>
      <c r="R61" s="9">
        <v>0</v>
      </c>
      <c r="S61" s="9">
        <v>0</v>
      </c>
      <c r="T61" s="9">
        <v>0</v>
      </c>
    </row>
    <row r="62" spans="1:20">
      <c r="A62" s="280">
        <v>1216452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717</v>
      </c>
      <c r="K62" s="9">
        <v>1050</v>
      </c>
      <c r="L62" s="9">
        <v>0</v>
      </c>
      <c r="M62" s="9">
        <v>0</v>
      </c>
      <c r="N62" s="9">
        <v>836</v>
      </c>
      <c r="O62" s="9">
        <v>0</v>
      </c>
      <c r="P62" s="9">
        <v>0</v>
      </c>
      <c r="Q62" s="9">
        <v>737</v>
      </c>
      <c r="R62" s="9">
        <v>0</v>
      </c>
      <c r="S62" s="9">
        <v>0</v>
      </c>
      <c r="T62" s="9">
        <v>0</v>
      </c>
    </row>
    <row r="63" spans="1:20">
      <c r="A63" s="244">
        <v>1232894</v>
      </c>
      <c r="B63" s="9">
        <v>40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255</v>
      </c>
      <c r="R63" s="9">
        <v>576</v>
      </c>
      <c r="S63" s="9">
        <v>0</v>
      </c>
      <c r="T63" s="9">
        <v>0</v>
      </c>
    </row>
    <row r="64" spans="1:20">
      <c r="A64" s="244">
        <v>1233387</v>
      </c>
      <c r="B64" s="9">
        <v>40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255</v>
      </c>
      <c r="R64" s="9">
        <v>0</v>
      </c>
      <c r="S64" s="9">
        <v>0</v>
      </c>
      <c r="T64" s="9">
        <v>0</v>
      </c>
    </row>
    <row r="65" spans="1:20">
      <c r="A65" s="244">
        <v>1233385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576</v>
      </c>
      <c r="S65" s="9">
        <v>0</v>
      </c>
      <c r="T65" s="9">
        <v>0</v>
      </c>
    </row>
  </sheetData>
  <autoFilter ref="A1:T23" xr:uid="{12FBE97E-ADBE-4E3F-9F80-9F45422B1838}"/>
  <phoneticPr fontId="11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C906-6B35-4C80-A002-E4398584A76D}">
  <sheetPr>
    <tabColor rgb="FFFFFF00"/>
  </sheetPr>
  <dimension ref="A1:Q147"/>
  <sheetViews>
    <sheetView zoomScaleNormal="100" workbookViewId="0">
      <selection activeCell="B17" sqref="A17:XFD17"/>
    </sheetView>
  </sheetViews>
  <sheetFormatPr defaultColWidth="9.33203125" defaultRowHeight="12"/>
  <cols>
    <col min="1" max="1" width="9.5" style="5" bestFit="1" customWidth="1"/>
    <col min="2" max="2" width="10.1640625" style="244" bestFit="1" customWidth="1"/>
    <col min="3" max="12" width="11.6640625" style="9" customWidth="1"/>
    <col min="13" max="14" width="9.33203125" style="9"/>
    <col min="15" max="16384" width="9.33203125" style="5"/>
  </cols>
  <sheetData>
    <row r="1" spans="2:17" s="22" customFormat="1">
      <c r="B1" s="284" t="s">
        <v>0</v>
      </c>
      <c r="C1" s="285" t="s">
        <v>1089</v>
      </c>
      <c r="D1" s="285" t="s">
        <v>1152</v>
      </c>
      <c r="E1" s="285" t="s">
        <v>1212</v>
      </c>
      <c r="F1" s="285" t="s">
        <v>1239</v>
      </c>
      <c r="G1" s="285" t="s">
        <v>1255</v>
      </c>
      <c r="H1" s="285" t="s">
        <v>12</v>
      </c>
      <c r="I1" s="285" t="s">
        <v>13</v>
      </c>
      <c r="J1" s="285" t="s">
        <v>14</v>
      </c>
      <c r="K1" s="285" t="s">
        <v>15</v>
      </c>
      <c r="L1" s="285" t="s">
        <v>16</v>
      </c>
      <c r="M1" s="87"/>
      <c r="N1" s="87"/>
    </row>
    <row r="2" spans="2:17" s="22" customFormat="1">
      <c r="B2" s="284"/>
      <c r="C2" s="285" t="s">
        <v>1090</v>
      </c>
      <c r="D2" s="285" t="s">
        <v>1153</v>
      </c>
      <c r="E2" s="285" t="s">
        <v>1213</v>
      </c>
      <c r="F2" s="285" t="s">
        <v>1240</v>
      </c>
      <c r="G2" s="285" t="s">
        <v>1256</v>
      </c>
      <c r="H2" s="285" t="s">
        <v>1257</v>
      </c>
      <c r="I2" s="285" t="s">
        <v>1265</v>
      </c>
      <c r="J2" s="285" t="s">
        <v>1273</v>
      </c>
      <c r="K2" s="285" t="s">
        <v>1281</v>
      </c>
      <c r="L2" s="285" t="s">
        <v>1289</v>
      </c>
      <c r="M2" s="87"/>
      <c r="N2" s="87"/>
    </row>
    <row r="3" spans="2:17">
      <c r="B3" s="244">
        <v>1221154</v>
      </c>
      <c r="C3" s="9">
        <v>0</v>
      </c>
      <c r="D3" s="9">
        <v>0</v>
      </c>
      <c r="E3" s="9">
        <v>0</v>
      </c>
      <c r="F3" s="9">
        <v>0</v>
      </c>
      <c r="G3" s="9">
        <v>50</v>
      </c>
      <c r="H3" s="9">
        <v>0</v>
      </c>
      <c r="I3" s="9">
        <v>0</v>
      </c>
      <c r="J3" s="9">
        <v>0</v>
      </c>
      <c r="K3" s="9">
        <v>0</v>
      </c>
      <c r="L3" s="9">
        <v>0</v>
      </c>
    </row>
    <row r="4" spans="2:17">
      <c r="B4" s="244">
        <v>1226384</v>
      </c>
      <c r="C4" s="9">
        <v>0</v>
      </c>
      <c r="D4" s="9">
        <v>0</v>
      </c>
      <c r="E4" s="9">
        <v>0</v>
      </c>
      <c r="F4" s="9">
        <v>3075</v>
      </c>
      <c r="G4" s="9">
        <v>0</v>
      </c>
      <c r="H4" s="9">
        <v>0</v>
      </c>
      <c r="I4" s="9">
        <v>0</v>
      </c>
      <c r="J4" s="9">
        <v>0</v>
      </c>
      <c r="K4" s="9">
        <v>1360</v>
      </c>
      <c r="L4" s="9">
        <v>0</v>
      </c>
    </row>
    <row r="5" spans="2:17">
      <c r="B5" s="244">
        <v>1226388</v>
      </c>
      <c r="C5" s="9">
        <v>0</v>
      </c>
      <c r="D5" s="9">
        <v>0</v>
      </c>
      <c r="E5" s="9">
        <v>0</v>
      </c>
      <c r="F5" s="9">
        <v>3075</v>
      </c>
      <c r="G5" s="9">
        <v>0</v>
      </c>
      <c r="H5" s="9">
        <v>0</v>
      </c>
      <c r="I5" s="9">
        <v>0</v>
      </c>
      <c r="J5" s="9">
        <v>0</v>
      </c>
      <c r="K5" s="9">
        <v>1360</v>
      </c>
      <c r="L5" s="9">
        <v>0</v>
      </c>
    </row>
    <row r="6" spans="2:17">
      <c r="B6" s="244">
        <v>1229673</v>
      </c>
      <c r="C6" s="9">
        <v>300</v>
      </c>
      <c r="D6" s="9">
        <v>0</v>
      </c>
      <c r="E6" s="9">
        <v>500</v>
      </c>
      <c r="F6" s="9">
        <v>500</v>
      </c>
      <c r="G6" s="9">
        <v>500</v>
      </c>
      <c r="H6" s="9">
        <v>500</v>
      </c>
      <c r="I6" s="9">
        <v>300</v>
      </c>
      <c r="J6" s="9">
        <v>0</v>
      </c>
      <c r="K6" s="9">
        <v>600</v>
      </c>
      <c r="L6" s="9">
        <v>600</v>
      </c>
    </row>
    <row r="7" spans="2:17">
      <c r="B7" s="244">
        <v>1230692</v>
      </c>
      <c r="C7" s="9">
        <v>756</v>
      </c>
      <c r="D7" s="9">
        <v>216</v>
      </c>
      <c r="E7" s="9">
        <v>1300</v>
      </c>
      <c r="F7" s="9">
        <v>500</v>
      </c>
      <c r="G7" s="9">
        <v>500</v>
      </c>
      <c r="H7" s="9">
        <v>600</v>
      </c>
      <c r="I7" s="9">
        <v>0</v>
      </c>
      <c r="J7" s="9">
        <v>900</v>
      </c>
      <c r="K7" s="9">
        <v>900</v>
      </c>
      <c r="L7" s="9">
        <v>900</v>
      </c>
    </row>
    <row r="8" spans="2:17">
      <c r="B8" s="244">
        <v>1230696</v>
      </c>
      <c r="C8" s="9">
        <v>108</v>
      </c>
      <c r="D8" s="9">
        <v>0</v>
      </c>
      <c r="E8" s="9">
        <v>292</v>
      </c>
      <c r="F8" s="9">
        <v>200</v>
      </c>
      <c r="G8" s="9">
        <v>0</v>
      </c>
      <c r="H8" s="9">
        <v>0</v>
      </c>
      <c r="I8" s="9">
        <v>0</v>
      </c>
      <c r="J8" s="9">
        <v>100</v>
      </c>
      <c r="K8" s="9">
        <v>200</v>
      </c>
      <c r="L8" s="9">
        <v>100</v>
      </c>
    </row>
    <row r="9" spans="2:17">
      <c r="B9" s="244">
        <v>1230854</v>
      </c>
      <c r="C9" s="9">
        <v>400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</row>
    <row r="10" spans="2:17">
      <c r="B10" s="244">
        <v>1231202</v>
      </c>
      <c r="C10" s="9">
        <v>0</v>
      </c>
      <c r="D10" s="9">
        <v>0</v>
      </c>
      <c r="E10" s="9">
        <v>0</v>
      </c>
      <c r="F10" s="9">
        <v>0</v>
      </c>
      <c r="G10" s="9">
        <v>100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</row>
    <row r="11" spans="2:17">
      <c r="B11" s="244">
        <v>1231898</v>
      </c>
      <c r="C11" s="9">
        <v>2240</v>
      </c>
      <c r="D11" s="9">
        <v>2240</v>
      </c>
      <c r="E11" s="9">
        <v>2236</v>
      </c>
      <c r="F11" s="9">
        <v>1792</v>
      </c>
      <c r="G11" s="9">
        <v>1344</v>
      </c>
      <c r="H11" s="9">
        <v>600</v>
      </c>
      <c r="I11" s="9">
        <v>0</v>
      </c>
      <c r="J11" s="9">
        <v>2688</v>
      </c>
      <c r="K11" s="9">
        <v>1792</v>
      </c>
      <c r="L11" s="9">
        <v>1792</v>
      </c>
    </row>
    <row r="12" spans="2:17">
      <c r="B12" s="244">
        <v>1233492</v>
      </c>
      <c r="C12" s="9">
        <v>0</v>
      </c>
      <c r="D12" s="9">
        <v>500</v>
      </c>
      <c r="E12" s="9">
        <v>0</v>
      </c>
      <c r="F12" s="9">
        <v>500</v>
      </c>
      <c r="G12" s="9">
        <v>500</v>
      </c>
      <c r="H12" s="9">
        <v>0</v>
      </c>
      <c r="I12" s="9">
        <v>0</v>
      </c>
      <c r="J12" s="9">
        <v>0</v>
      </c>
      <c r="K12" s="9">
        <v>500</v>
      </c>
      <c r="L12" s="9">
        <v>0</v>
      </c>
    </row>
    <row r="13" spans="2:17">
      <c r="B13" s="244">
        <v>1233498</v>
      </c>
      <c r="C13" s="9">
        <v>0</v>
      </c>
      <c r="D13" s="9">
        <v>500</v>
      </c>
      <c r="E13" s="9">
        <v>0</v>
      </c>
      <c r="F13" s="9">
        <v>500</v>
      </c>
      <c r="G13" s="9">
        <v>500</v>
      </c>
      <c r="H13" s="9">
        <v>0</v>
      </c>
      <c r="I13" s="9">
        <v>0</v>
      </c>
      <c r="J13" s="9">
        <v>0</v>
      </c>
      <c r="K13" s="9">
        <v>500</v>
      </c>
      <c r="L13" s="9">
        <v>0</v>
      </c>
      <c r="Q13" s="5" t="s">
        <v>718</v>
      </c>
    </row>
    <row r="14" spans="2:17">
      <c r="B14" s="244">
        <v>1233623</v>
      </c>
      <c r="C14" s="9">
        <v>0</v>
      </c>
      <c r="D14" s="9">
        <v>500</v>
      </c>
      <c r="E14" s="9">
        <v>0</v>
      </c>
      <c r="F14" s="9">
        <v>500</v>
      </c>
      <c r="G14" s="9">
        <v>500</v>
      </c>
      <c r="H14" s="9">
        <v>0</v>
      </c>
      <c r="I14" s="9">
        <v>0</v>
      </c>
      <c r="J14" s="9">
        <v>0</v>
      </c>
      <c r="K14" s="9">
        <v>500</v>
      </c>
      <c r="L14" s="9">
        <v>0</v>
      </c>
    </row>
    <row r="15" spans="2:17">
      <c r="B15" s="244">
        <v>1233761</v>
      </c>
      <c r="C15" s="9">
        <v>150</v>
      </c>
      <c r="D15" s="9">
        <v>0</v>
      </c>
      <c r="E15" s="9">
        <v>0</v>
      </c>
      <c r="F15" s="9">
        <v>100</v>
      </c>
      <c r="G15" s="9">
        <v>150</v>
      </c>
      <c r="H15" s="9">
        <v>100</v>
      </c>
      <c r="I15" s="9">
        <v>0</v>
      </c>
      <c r="J15" s="9">
        <v>0</v>
      </c>
      <c r="K15" s="9">
        <v>150</v>
      </c>
      <c r="L15" s="9">
        <v>200</v>
      </c>
    </row>
    <row r="16" spans="2:17">
      <c r="B16" s="286">
        <v>1234905</v>
      </c>
      <c r="C16" s="9">
        <v>250</v>
      </c>
      <c r="D16" s="9">
        <v>450</v>
      </c>
      <c r="E16" s="9">
        <v>500</v>
      </c>
      <c r="F16" s="9">
        <v>1200</v>
      </c>
      <c r="G16" s="9">
        <v>1250</v>
      </c>
      <c r="H16" s="9">
        <v>1050</v>
      </c>
      <c r="I16" s="9">
        <v>800</v>
      </c>
      <c r="J16" s="9">
        <v>0</v>
      </c>
      <c r="K16" s="9">
        <v>1200</v>
      </c>
      <c r="L16" s="9">
        <v>1500</v>
      </c>
    </row>
    <row r="17" spans="2:12">
      <c r="B17" s="244">
        <v>1235623</v>
      </c>
      <c r="C17" s="9">
        <v>0</v>
      </c>
      <c r="D17" s="9">
        <v>1872</v>
      </c>
      <c r="E17" s="9">
        <v>1872</v>
      </c>
      <c r="F17" s="9">
        <v>0</v>
      </c>
      <c r="G17" s="9">
        <v>416</v>
      </c>
      <c r="H17" s="9">
        <v>0</v>
      </c>
      <c r="I17" s="9">
        <v>0</v>
      </c>
      <c r="J17" s="9">
        <v>0</v>
      </c>
      <c r="K17" s="9">
        <v>0</v>
      </c>
      <c r="L17" s="9">
        <v>1872</v>
      </c>
    </row>
    <row r="18" spans="2:12">
      <c r="B18" s="244">
        <v>1236091</v>
      </c>
      <c r="C18" s="9">
        <v>200</v>
      </c>
      <c r="D18" s="9">
        <v>0</v>
      </c>
      <c r="E18" s="9">
        <v>0</v>
      </c>
      <c r="F18" s="9">
        <v>200</v>
      </c>
      <c r="G18" s="9">
        <v>200</v>
      </c>
      <c r="H18" s="9">
        <v>0</v>
      </c>
      <c r="I18" s="9">
        <v>0</v>
      </c>
      <c r="J18" s="9">
        <v>0</v>
      </c>
      <c r="K18" s="9">
        <v>250</v>
      </c>
      <c r="L18" s="9">
        <v>250</v>
      </c>
    </row>
    <row r="19" spans="2:12">
      <c r="B19" s="244">
        <v>1236488</v>
      </c>
      <c r="C19" s="9">
        <v>576</v>
      </c>
      <c r="D19" s="9">
        <v>384</v>
      </c>
      <c r="E19" s="9">
        <v>888</v>
      </c>
      <c r="F19" s="9">
        <v>700</v>
      </c>
      <c r="G19" s="9">
        <v>700</v>
      </c>
      <c r="H19" s="9">
        <v>700</v>
      </c>
      <c r="I19" s="9">
        <v>700</v>
      </c>
      <c r="J19" s="9">
        <v>600</v>
      </c>
      <c r="K19" s="9">
        <v>600</v>
      </c>
      <c r="L19" s="9">
        <v>500</v>
      </c>
    </row>
    <row r="20" spans="2:12">
      <c r="B20" s="244">
        <v>1236534</v>
      </c>
      <c r="C20" s="9">
        <v>0</v>
      </c>
      <c r="D20" s="9">
        <v>0</v>
      </c>
      <c r="E20" s="9">
        <v>116</v>
      </c>
      <c r="F20" s="9">
        <v>200</v>
      </c>
      <c r="G20" s="9">
        <v>200</v>
      </c>
      <c r="H20" s="9">
        <v>0</v>
      </c>
      <c r="I20" s="9">
        <v>0</v>
      </c>
      <c r="J20" s="9">
        <v>300</v>
      </c>
      <c r="K20" s="9">
        <v>300</v>
      </c>
      <c r="L20" s="9">
        <v>0</v>
      </c>
    </row>
    <row r="21" spans="2:12">
      <c r="B21" s="244">
        <v>1236962</v>
      </c>
      <c r="C21" s="9">
        <v>500</v>
      </c>
      <c r="D21" s="9">
        <v>500</v>
      </c>
      <c r="E21" s="9">
        <v>500</v>
      </c>
      <c r="F21" s="9">
        <v>700</v>
      </c>
      <c r="G21" s="9">
        <v>700</v>
      </c>
      <c r="H21" s="9">
        <v>700</v>
      </c>
      <c r="I21" s="9">
        <v>0</v>
      </c>
      <c r="J21" s="9">
        <v>0</v>
      </c>
      <c r="K21" s="9">
        <v>700</v>
      </c>
      <c r="L21" s="9">
        <v>600</v>
      </c>
    </row>
    <row r="22" spans="2:12">
      <c r="B22" s="286">
        <v>1237088</v>
      </c>
      <c r="C22" s="9">
        <v>2196</v>
      </c>
      <c r="D22" s="9">
        <v>2628</v>
      </c>
      <c r="E22" s="9">
        <v>4232</v>
      </c>
      <c r="F22" s="9">
        <v>3640</v>
      </c>
      <c r="G22" s="9">
        <v>3740</v>
      </c>
      <c r="H22" s="9">
        <v>3640</v>
      </c>
      <c r="I22" s="9">
        <v>1898</v>
      </c>
      <c r="J22" s="9">
        <v>0</v>
      </c>
      <c r="K22" s="9">
        <v>0</v>
      </c>
      <c r="L22" s="9">
        <v>0</v>
      </c>
    </row>
    <row r="23" spans="2:12">
      <c r="B23" s="244">
        <v>1237586</v>
      </c>
      <c r="C23" s="9">
        <v>2240</v>
      </c>
      <c r="D23" s="9">
        <v>2240</v>
      </c>
      <c r="E23" s="9">
        <v>2236</v>
      </c>
      <c r="F23" s="9">
        <v>1792</v>
      </c>
      <c r="G23" s="9">
        <v>1344</v>
      </c>
      <c r="H23" s="9">
        <v>600</v>
      </c>
      <c r="I23" s="9">
        <v>0</v>
      </c>
      <c r="J23" s="9">
        <v>2688</v>
      </c>
      <c r="K23" s="9">
        <v>1792</v>
      </c>
      <c r="L23" s="9">
        <v>1792</v>
      </c>
    </row>
    <row r="24" spans="2:12">
      <c r="B24" s="286">
        <v>1237748</v>
      </c>
      <c r="C24" s="9">
        <v>988</v>
      </c>
      <c r="D24" s="9">
        <v>308</v>
      </c>
      <c r="E24" s="9">
        <v>468</v>
      </c>
      <c r="F24" s="9">
        <v>260</v>
      </c>
      <c r="G24" s="9">
        <v>624</v>
      </c>
      <c r="H24" s="9">
        <v>1084</v>
      </c>
      <c r="I24" s="9">
        <v>0</v>
      </c>
      <c r="J24" s="9">
        <v>0</v>
      </c>
      <c r="K24" s="9">
        <v>1076</v>
      </c>
      <c r="L24" s="9">
        <v>0</v>
      </c>
    </row>
    <row r="25" spans="2:12">
      <c r="B25" s="244">
        <v>1238128</v>
      </c>
      <c r="C25" s="9">
        <v>3462</v>
      </c>
      <c r="D25" s="9">
        <v>6202</v>
      </c>
      <c r="E25" s="9">
        <v>5135</v>
      </c>
      <c r="F25" s="9">
        <v>4679</v>
      </c>
      <c r="G25" s="9">
        <v>3531</v>
      </c>
      <c r="H25" s="9">
        <v>2239</v>
      </c>
      <c r="I25" s="9">
        <v>1738</v>
      </c>
      <c r="J25" s="9">
        <v>0</v>
      </c>
      <c r="K25" s="9">
        <v>5132</v>
      </c>
      <c r="L25" s="9">
        <v>5492</v>
      </c>
    </row>
    <row r="26" spans="2:12">
      <c r="B26" s="244">
        <v>1239651</v>
      </c>
      <c r="C26" s="9">
        <v>384</v>
      </c>
      <c r="D26" s="9">
        <v>300</v>
      </c>
      <c r="E26" s="9">
        <v>300</v>
      </c>
      <c r="F26" s="9">
        <v>300</v>
      </c>
      <c r="G26" s="9">
        <v>550</v>
      </c>
      <c r="H26" s="9">
        <v>300</v>
      </c>
      <c r="I26" s="9">
        <v>0</v>
      </c>
      <c r="J26" s="9">
        <v>0</v>
      </c>
      <c r="K26" s="9">
        <v>400</v>
      </c>
      <c r="L26" s="9">
        <v>350</v>
      </c>
    </row>
    <row r="27" spans="2:12">
      <c r="B27" s="244">
        <v>1239988</v>
      </c>
      <c r="C27" s="9">
        <v>1412</v>
      </c>
      <c r="D27" s="9">
        <v>1032</v>
      </c>
      <c r="E27" s="9">
        <v>2704</v>
      </c>
      <c r="F27" s="9">
        <v>2700</v>
      </c>
      <c r="G27" s="9">
        <v>2100</v>
      </c>
      <c r="H27" s="9">
        <v>2100</v>
      </c>
      <c r="I27" s="9">
        <v>1700</v>
      </c>
      <c r="J27" s="9">
        <v>2500</v>
      </c>
      <c r="K27" s="9">
        <v>2900</v>
      </c>
      <c r="L27" s="9">
        <v>2500</v>
      </c>
    </row>
    <row r="28" spans="2:12">
      <c r="B28" s="244">
        <v>1240180</v>
      </c>
      <c r="C28" s="9">
        <v>1680</v>
      </c>
      <c r="D28" s="9">
        <v>1616</v>
      </c>
      <c r="E28" s="9">
        <v>4504</v>
      </c>
      <c r="F28" s="9">
        <v>2600</v>
      </c>
      <c r="G28" s="9">
        <v>2400</v>
      </c>
      <c r="H28" s="9">
        <v>2650</v>
      </c>
      <c r="I28" s="9">
        <v>866</v>
      </c>
      <c r="J28" s="9">
        <v>0</v>
      </c>
      <c r="K28" s="9">
        <v>2700</v>
      </c>
      <c r="L28" s="9">
        <v>2750</v>
      </c>
    </row>
    <row r="29" spans="2:12">
      <c r="B29" s="244">
        <v>1240184</v>
      </c>
      <c r="C29" s="9">
        <v>1680</v>
      </c>
      <c r="D29" s="9">
        <v>1416</v>
      </c>
      <c r="E29" s="9">
        <v>4504</v>
      </c>
      <c r="F29" s="9">
        <v>2300</v>
      </c>
      <c r="G29" s="9">
        <v>2400</v>
      </c>
      <c r="H29" s="9">
        <v>2200</v>
      </c>
      <c r="I29" s="9">
        <v>466</v>
      </c>
      <c r="J29" s="9">
        <v>0</v>
      </c>
      <c r="K29" s="9">
        <v>2700</v>
      </c>
      <c r="L29" s="9">
        <v>2500</v>
      </c>
    </row>
    <row r="30" spans="2:12">
      <c r="B30" s="286">
        <v>1240308</v>
      </c>
      <c r="C30" s="9">
        <v>600</v>
      </c>
      <c r="D30" s="9">
        <v>200</v>
      </c>
      <c r="E30" s="9">
        <v>0</v>
      </c>
      <c r="F30" s="9">
        <v>750</v>
      </c>
      <c r="G30" s="9">
        <v>650</v>
      </c>
      <c r="H30" s="9">
        <v>0</v>
      </c>
      <c r="I30" s="9">
        <v>0</v>
      </c>
      <c r="J30" s="9">
        <v>0</v>
      </c>
      <c r="K30" s="9">
        <v>450</v>
      </c>
      <c r="L30" s="9">
        <v>400</v>
      </c>
    </row>
    <row r="31" spans="2:12">
      <c r="B31" s="286">
        <v>1241601</v>
      </c>
      <c r="C31" s="9">
        <v>6048</v>
      </c>
      <c r="D31" s="9">
        <v>5706</v>
      </c>
      <c r="E31" s="9">
        <v>8696</v>
      </c>
      <c r="F31" s="9">
        <v>3500</v>
      </c>
      <c r="G31" s="9">
        <v>3400</v>
      </c>
      <c r="H31" s="9">
        <v>3500</v>
      </c>
      <c r="I31" s="9">
        <v>2000</v>
      </c>
      <c r="J31" s="9">
        <v>4500</v>
      </c>
      <c r="K31" s="9">
        <v>4800</v>
      </c>
      <c r="L31" s="9">
        <v>4500</v>
      </c>
    </row>
    <row r="32" spans="2:12">
      <c r="B32" s="286">
        <v>1242242</v>
      </c>
      <c r="C32" s="9">
        <v>0</v>
      </c>
      <c r="D32" s="9">
        <v>900</v>
      </c>
      <c r="E32" s="9">
        <v>900</v>
      </c>
      <c r="F32" s="9">
        <v>900</v>
      </c>
      <c r="G32" s="9">
        <v>700</v>
      </c>
      <c r="H32" s="9">
        <v>0</v>
      </c>
      <c r="I32" s="9">
        <v>300</v>
      </c>
      <c r="J32" s="9">
        <v>0</v>
      </c>
      <c r="K32" s="9">
        <v>900</v>
      </c>
      <c r="L32" s="9">
        <v>500</v>
      </c>
    </row>
    <row r="33" spans="2:12">
      <c r="B33" s="244">
        <v>3105058</v>
      </c>
      <c r="C33" s="9">
        <v>24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</row>
    <row r="34" spans="2:12">
      <c r="B34" s="244">
        <v>3107879</v>
      </c>
      <c r="C34" s="9">
        <v>120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</row>
    <row r="35" spans="2:12">
      <c r="B35" s="244">
        <v>3107881</v>
      </c>
      <c r="C35" s="9">
        <v>400</v>
      </c>
      <c r="D35" s="9">
        <v>0</v>
      </c>
      <c r="E35" s="9">
        <v>0</v>
      </c>
      <c r="F35" s="9">
        <v>0</v>
      </c>
      <c r="G35" s="9">
        <v>0</v>
      </c>
      <c r="H35" s="9">
        <v>230</v>
      </c>
      <c r="I35" s="9">
        <v>392</v>
      </c>
      <c r="J35" s="9">
        <v>0</v>
      </c>
      <c r="K35" s="9">
        <v>0</v>
      </c>
      <c r="L35" s="9">
        <v>0</v>
      </c>
    </row>
    <row r="36" spans="2:12">
      <c r="B36" s="244">
        <v>3110105</v>
      </c>
      <c r="C36" s="9">
        <v>0</v>
      </c>
      <c r="D36" s="9">
        <v>5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0</v>
      </c>
      <c r="K36" s="9">
        <v>0</v>
      </c>
      <c r="L36" s="9">
        <v>0</v>
      </c>
    </row>
    <row r="37" spans="2:12">
      <c r="B37" s="244">
        <v>3110120</v>
      </c>
      <c r="C37" s="9">
        <v>10</v>
      </c>
      <c r="D37" s="9">
        <v>4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0</v>
      </c>
      <c r="K37" s="9">
        <v>0</v>
      </c>
      <c r="L37" s="9">
        <v>0</v>
      </c>
    </row>
    <row r="38" spans="2:12">
      <c r="B38" s="244">
        <v>3110242</v>
      </c>
      <c r="C38" s="9">
        <v>70</v>
      </c>
      <c r="D38" s="9">
        <v>0</v>
      </c>
      <c r="E38" s="9">
        <v>0</v>
      </c>
      <c r="F38" s="9">
        <v>0</v>
      </c>
      <c r="G38" s="9">
        <v>42</v>
      </c>
      <c r="H38" s="9">
        <v>66</v>
      </c>
      <c r="I38" s="9">
        <v>66</v>
      </c>
      <c r="J38" s="9">
        <v>0</v>
      </c>
      <c r="K38" s="9">
        <v>0</v>
      </c>
      <c r="L38" s="9">
        <v>0</v>
      </c>
    </row>
    <row r="39" spans="2:12">
      <c r="B39" s="244">
        <v>3110248</v>
      </c>
      <c r="C39" s="9">
        <v>10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</row>
    <row r="40" spans="2:12">
      <c r="B40" s="244">
        <v>3112438</v>
      </c>
      <c r="C40" s="9">
        <v>2000</v>
      </c>
      <c r="D40" s="9">
        <v>781</v>
      </c>
      <c r="E40" s="9">
        <v>1248</v>
      </c>
      <c r="F40" s="9">
        <v>1248</v>
      </c>
      <c r="G40" s="9">
        <v>1248</v>
      </c>
      <c r="H40" s="9">
        <v>1248</v>
      </c>
      <c r="I40" s="9">
        <v>1248</v>
      </c>
      <c r="J40" s="9">
        <v>0</v>
      </c>
      <c r="K40" s="9">
        <v>0</v>
      </c>
      <c r="L40" s="9">
        <v>0</v>
      </c>
    </row>
    <row r="41" spans="2:12">
      <c r="B41" s="244">
        <v>3112440</v>
      </c>
      <c r="C41" s="9">
        <v>0</v>
      </c>
      <c r="D41" s="9">
        <v>274</v>
      </c>
      <c r="E41" s="9">
        <v>326</v>
      </c>
      <c r="F41" s="9">
        <v>326</v>
      </c>
      <c r="G41" s="9">
        <v>326</v>
      </c>
      <c r="H41" s="9">
        <v>326</v>
      </c>
      <c r="I41" s="9">
        <v>326</v>
      </c>
      <c r="J41" s="9">
        <v>0</v>
      </c>
      <c r="K41" s="9">
        <v>0</v>
      </c>
      <c r="L41" s="9">
        <v>0</v>
      </c>
    </row>
    <row r="42" spans="2:12">
      <c r="B42" s="244">
        <v>3114874</v>
      </c>
      <c r="C42" s="9">
        <v>20</v>
      </c>
      <c r="D42" s="9">
        <v>0</v>
      </c>
      <c r="E42" s="9">
        <v>0</v>
      </c>
      <c r="F42" s="9">
        <v>0</v>
      </c>
      <c r="G42" s="9">
        <v>16</v>
      </c>
      <c r="H42" s="9">
        <v>31</v>
      </c>
      <c r="I42" s="9">
        <v>31</v>
      </c>
      <c r="J42" s="9">
        <v>0</v>
      </c>
      <c r="K42" s="9">
        <v>0</v>
      </c>
      <c r="L42" s="9">
        <v>0</v>
      </c>
    </row>
    <row r="43" spans="2:12">
      <c r="B43" s="244">
        <v>3115146</v>
      </c>
      <c r="C43" s="9">
        <v>90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</row>
    <row r="44" spans="2:12">
      <c r="B44" s="244">
        <v>3115994</v>
      </c>
      <c r="C44" s="9">
        <v>80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</row>
    <row r="45" spans="2:12">
      <c r="B45" s="244">
        <v>3116937</v>
      </c>
      <c r="C45" s="9">
        <v>0</v>
      </c>
      <c r="D45" s="9">
        <v>50</v>
      </c>
      <c r="E45" s="9">
        <v>0</v>
      </c>
      <c r="F45" s="9">
        <v>0</v>
      </c>
      <c r="G45" s="9">
        <v>0</v>
      </c>
      <c r="H45" s="9">
        <v>50</v>
      </c>
      <c r="I45" s="9">
        <v>0</v>
      </c>
      <c r="J45" s="9">
        <v>0</v>
      </c>
      <c r="K45" s="9">
        <v>0</v>
      </c>
      <c r="L45" s="9">
        <v>0</v>
      </c>
    </row>
    <row r="46" spans="2:12">
      <c r="B46" s="244">
        <v>3120930</v>
      </c>
      <c r="C46" s="9">
        <v>13</v>
      </c>
      <c r="D46" s="9">
        <v>7</v>
      </c>
      <c r="E46" s="9">
        <v>2</v>
      </c>
      <c r="F46" s="9">
        <v>2</v>
      </c>
      <c r="G46" s="9">
        <v>2</v>
      </c>
      <c r="H46" s="9">
        <v>2</v>
      </c>
      <c r="I46" s="9">
        <v>2</v>
      </c>
      <c r="J46" s="9">
        <v>0</v>
      </c>
      <c r="K46" s="9">
        <v>0</v>
      </c>
      <c r="L46" s="9">
        <v>0</v>
      </c>
    </row>
    <row r="47" spans="2:12">
      <c r="B47" s="244">
        <v>3121604</v>
      </c>
      <c r="C47" s="9">
        <v>0</v>
      </c>
      <c r="D47" s="9">
        <v>12</v>
      </c>
      <c r="E47" s="9">
        <v>2</v>
      </c>
      <c r="F47" s="9">
        <v>2</v>
      </c>
      <c r="G47" s="9">
        <v>2</v>
      </c>
      <c r="H47" s="9">
        <v>2</v>
      </c>
      <c r="I47" s="9">
        <v>2</v>
      </c>
      <c r="J47" s="9">
        <v>0</v>
      </c>
      <c r="K47" s="9">
        <v>0</v>
      </c>
      <c r="L47" s="9">
        <v>0</v>
      </c>
    </row>
    <row r="48" spans="2:12">
      <c r="B48" s="244">
        <v>3122542</v>
      </c>
      <c r="C48" s="9">
        <v>32</v>
      </c>
      <c r="D48" s="9">
        <v>0</v>
      </c>
      <c r="E48" s="9">
        <v>0</v>
      </c>
      <c r="F48" s="9">
        <v>0</v>
      </c>
      <c r="G48" s="9">
        <v>0</v>
      </c>
      <c r="H48" s="9">
        <v>8</v>
      </c>
      <c r="I48" s="9">
        <v>9</v>
      </c>
      <c r="J48" s="9">
        <v>0</v>
      </c>
      <c r="K48" s="9">
        <v>0</v>
      </c>
      <c r="L48" s="9">
        <v>0</v>
      </c>
    </row>
    <row r="49" spans="1:14">
      <c r="B49" s="244">
        <v>3122543</v>
      </c>
      <c r="C49" s="9">
        <v>0</v>
      </c>
      <c r="D49" s="9">
        <v>1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9">
        <v>0</v>
      </c>
      <c r="K49" s="9">
        <v>0</v>
      </c>
      <c r="L49" s="9">
        <v>0</v>
      </c>
    </row>
    <row r="50" spans="1:14">
      <c r="B50" s="244">
        <v>3123566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2</v>
      </c>
      <c r="I50" s="9">
        <v>4</v>
      </c>
      <c r="J50" s="9">
        <v>0</v>
      </c>
      <c r="K50" s="9">
        <v>0</v>
      </c>
      <c r="L50" s="9">
        <v>0</v>
      </c>
    </row>
    <row r="51" spans="1:14">
      <c r="B51" s="244">
        <v>3125033</v>
      </c>
      <c r="C51" s="9">
        <v>24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</row>
    <row r="55" spans="1:14" s="22" customFormat="1">
      <c r="B55" s="284" t="s">
        <v>0</v>
      </c>
      <c r="C55" s="285" t="s">
        <v>1089</v>
      </c>
      <c r="D55" s="285" t="s">
        <v>1152</v>
      </c>
      <c r="E55" s="285" t="s">
        <v>1212</v>
      </c>
      <c r="F55" s="285" t="s">
        <v>1239</v>
      </c>
      <c r="G55" s="285" t="s">
        <v>1255</v>
      </c>
      <c r="H55" s="285" t="s">
        <v>12</v>
      </c>
      <c r="I55" s="285" t="s">
        <v>13</v>
      </c>
      <c r="J55" s="285" t="s">
        <v>14</v>
      </c>
      <c r="K55" s="285" t="s">
        <v>15</v>
      </c>
      <c r="L55" s="285" t="s">
        <v>16</v>
      </c>
      <c r="M55" s="87"/>
      <c r="N55" s="87"/>
    </row>
    <row r="56" spans="1:14" s="22" customFormat="1">
      <c r="B56" s="284"/>
      <c r="C56" s="285" t="s">
        <v>1090</v>
      </c>
      <c r="D56" s="285" t="s">
        <v>1153</v>
      </c>
      <c r="E56" s="285" t="s">
        <v>1213</v>
      </c>
      <c r="F56" s="285" t="s">
        <v>1240</v>
      </c>
      <c r="G56" s="285" t="s">
        <v>1256</v>
      </c>
      <c r="H56" s="285" t="s">
        <v>1257</v>
      </c>
      <c r="I56" s="285" t="s">
        <v>1265</v>
      </c>
      <c r="J56" s="285" t="s">
        <v>1273</v>
      </c>
      <c r="K56" s="285" t="s">
        <v>1281</v>
      </c>
      <c r="L56" s="285" t="s">
        <v>1289</v>
      </c>
      <c r="M56" s="87"/>
      <c r="N56" s="87"/>
    </row>
    <row r="57" spans="1:14">
      <c r="A57" s="29"/>
      <c r="B57" s="31">
        <v>1206068</v>
      </c>
      <c r="C57" s="32">
        <v>0</v>
      </c>
      <c r="D57" s="32">
        <v>28</v>
      </c>
      <c r="E57" s="32">
        <v>0</v>
      </c>
      <c r="F57" s="32">
        <v>0</v>
      </c>
      <c r="G57" s="32">
        <v>828</v>
      </c>
      <c r="H57" s="32">
        <v>28</v>
      </c>
      <c r="I57" s="32">
        <v>0</v>
      </c>
      <c r="J57" s="32">
        <v>0</v>
      </c>
      <c r="K57" s="32">
        <v>414</v>
      </c>
      <c r="L57" s="32">
        <v>0</v>
      </c>
    </row>
    <row r="58" spans="1:14">
      <c r="A58" s="29"/>
      <c r="B58" s="31">
        <v>1216452</v>
      </c>
      <c r="C58" s="32">
        <v>756</v>
      </c>
      <c r="D58" s="32">
        <v>324</v>
      </c>
      <c r="E58" s="32">
        <v>324</v>
      </c>
      <c r="F58" s="32">
        <v>168</v>
      </c>
      <c r="G58" s="32">
        <v>1170</v>
      </c>
      <c r="H58" s="32">
        <v>0</v>
      </c>
      <c r="I58" s="32">
        <v>144</v>
      </c>
      <c r="J58" s="32">
        <v>0</v>
      </c>
      <c r="K58" s="32">
        <v>1728</v>
      </c>
      <c r="L58" s="32">
        <v>0</v>
      </c>
    </row>
    <row r="59" spans="1:14">
      <c r="A59" s="29"/>
      <c r="B59" s="31">
        <v>1220847</v>
      </c>
      <c r="C59" s="32">
        <v>350</v>
      </c>
      <c r="D59" s="32">
        <v>0</v>
      </c>
      <c r="E59" s="32">
        <v>500</v>
      </c>
      <c r="F59" s="32">
        <v>500</v>
      </c>
      <c r="G59" s="32">
        <v>0</v>
      </c>
      <c r="H59" s="32">
        <v>0</v>
      </c>
      <c r="I59" s="32">
        <v>0</v>
      </c>
      <c r="J59" s="32">
        <v>0</v>
      </c>
      <c r="K59" s="32">
        <v>1300</v>
      </c>
      <c r="L59" s="32">
        <v>810</v>
      </c>
    </row>
    <row r="60" spans="1:14">
      <c r="A60" s="29"/>
      <c r="B60" s="31">
        <v>1221254</v>
      </c>
      <c r="C60" s="32">
        <v>0</v>
      </c>
      <c r="D60" s="32">
        <v>0</v>
      </c>
      <c r="E60" s="32">
        <v>0</v>
      </c>
      <c r="F60" s="32">
        <v>0</v>
      </c>
      <c r="G60" s="32">
        <v>50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</row>
    <row r="61" spans="1:14" s="20" customFormat="1">
      <c r="A61" s="88"/>
      <c r="B61" s="67">
        <v>1221967</v>
      </c>
      <c r="C61" s="61">
        <v>701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67</v>
      </c>
      <c r="L61" s="61">
        <v>0</v>
      </c>
      <c r="M61" s="10"/>
      <c r="N61" s="10"/>
    </row>
    <row r="62" spans="1:14">
      <c r="A62" s="29"/>
      <c r="B62" s="31">
        <v>1225464</v>
      </c>
      <c r="C62" s="32">
        <v>756</v>
      </c>
      <c r="D62" s="32">
        <v>0</v>
      </c>
      <c r="E62" s="32">
        <v>0</v>
      </c>
      <c r="F62" s="32">
        <v>756</v>
      </c>
      <c r="G62" s="32">
        <v>0</v>
      </c>
      <c r="H62" s="32">
        <v>0</v>
      </c>
      <c r="I62" s="32">
        <v>0</v>
      </c>
      <c r="J62" s="32">
        <v>0</v>
      </c>
      <c r="K62" s="32">
        <v>1512</v>
      </c>
      <c r="L62" s="32">
        <v>0</v>
      </c>
    </row>
    <row r="63" spans="1:14">
      <c r="A63" s="29"/>
      <c r="B63" s="31">
        <v>1227306</v>
      </c>
      <c r="C63" s="32">
        <v>1400</v>
      </c>
      <c r="D63" s="32">
        <v>500</v>
      </c>
      <c r="E63" s="32">
        <v>400</v>
      </c>
      <c r="F63" s="32">
        <v>800</v>
      </c>
      <c r="G63" s="32">
        <v>400</v>
      </c>
      <c r="H63" s="32">
        <v>400</v>
      </c>
      <c r="I63" s="32">
        <v>0</v>
      </c>
      <c r="J63" s="32">
        <v>0</v>
      </c>
      <c r="K63" s="32">
        <v>500</v>
      </c>
      <c r="L63" s="32">
        <v>600</v>
      </c>
    </row>
    <row r="64" spans="1:14">
      <c r="A64" s="29"/>
      <c r="B64" s="31">
        <v>1227359</v>
      </c>
      <c r="C64" s="32">
        <v>460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</row>
    <row r="65" spans="1:12">
      <c r="A65" s="29"/>
      <c r="B65" s="31">
        <v>1229050</v>
      </c>
      <c r="C65" s="32">
        <v>0</v>
      </c>
      <c r="D65" s="32">
        <v>0</v>
      </c>
      <c r="E65" s="32">
        <v>395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275</v>
      </c>
      <c r="L65" s="32">
        <v>0</v>
      </c>
    </row>
    <row r="66" spans="1:12">
      <c r="A66" s="29"/>
      <c r="B66" s="31">
        <v>1229088</v>
      </c>
      <c r="C66" s="32">
        <v>0</v>
      </c>
      <c r="D66" s="32">
        <v>0</v>
      </c>
      <c r="E66" s="32">
        <v>0</v>
      </c>
      <c r="F66" s="32">
        <v>100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400</v>
      </c>
    </row>
    <row r="67" spans="1:12">
      <c r="A67" s="29"/>
      <c r="B67" s="31">
        <v>1229776</v>
      </c>
      <c r="C67" s="32">
        <v>0</v>
      </c>
      <c r="D67" s="32">
        <v>150</v>
      </c>
      <c r="E67" s="32">
        <v>200</v>
      </c>
      <c r="F67" s="32">
        <v>90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180</v>
      </c>
    </row>
    <row r="68" spans="1:12">
      <c r="A68" s="29"/>
      <c r="B68" s="90">
        <v>1230685</v>
      </c>
      <c r="C68" s="32">
        <v>0</v>
      </c>
      <c r="D68" s="32">
        <v>400</v>
      </c>
      <c r="E68" s="32">
        <v>0</v>
      </c>
      <c r="F68" s="32">
        <v>0</v>
      </c>
      <c r="G68" s="32">
        <v>0</v>
      </c>
      <c r="H68" s="32">
        <v>400</v>
      </c>
      <c r="I68" s="32">
        <v>0</v>
      </c>
      <c r="J68" s="32">
        <v>0</v>
      </c>
      <c r="K68" s="32">
        <v>300</v>
      </c>
      <c r="L68" s="32">
        <v>0</v>
      </c>
    </row>
    <row r="69" spans="1:12">
      <c r="A69" s="29"/>
      <c r="B69" s="31">
        <v>1230791</v>
      </c>
      <c r="C69" s="32">
        <v>0</v>
      </c>
      <c r="D69" s="32">
        <v>0</v>
      </c>
      <c r="E69" s="32">
        <v>0</v>
      </c>
      <c r="F69" s="32">
        <v>51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</row>
    <row r="70" spans="1:12">
      <c r="A70" s="29"/>
      <c r="B70" s="31">
        <v>1231011</v>
      </c>
      <c r="C70" s="32">
        <v>0</v>
      </c>
      <c r="D70" s="32">
        <v>0</v>
      </c>
      <c r="E70" s="32">
        <v>0</v>
      </c>
      <c r="F70" s="32">
        <v>0</v>
      </c>
      <c r="G70" s="32">
        <v>300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</row>
    <row r="71" spans="1:12">
      <c r="A71" s="29"/>
      <c r="B71" s="31">
        <v>1231090</v>
      </c>
      <c r="C71" s="32">
        <v>720</v>
      </c>
      <c r="D71" s="32">
        <v>150</v>
      </c>
      <c r="E71" s="32">
        <v>470</v>
      </c>
      <c r="F71" s="32">
        <v>745</v>
      </c>
      <c r="G71" s="32">
        <v>0</v>
      </c>
      <c r="H71" s="32">
        <v>0</v>
      </c>
      <c r="I71" s="32">
        <v>0</v>
      </c>
      <c r="J71" s="32">
        <v>0</v>
      </c>
      <c r="K71" s="32">
        <v>300</v>
      </c>
      <c r="L71" s="32">
        <v>835</v>
      </c>
    </row>
    <row r="72" spans="1:12">
      <c r="A72" s="29"/>
      <c r="B72" s="31">
        <v>1231578</v>
      </c>
      <c r="C72" s="32">
        <v>500</v>
      </c>
      <c r="D72" s="32">
        <v>0</v>
      </c>
      <c r="E72" s="32">
        <v>0</v>
      </c>
      <c r="F72" s="32">
        <v>200</v>
      </c>
      <c r="G72" s="32">
        <v>200</v>
      </c>
      <c r="H72" s="32">
        <v>200</v>
      </c>
      <c r="I72" s="32">
        <v>0</v>
      </c>
      <c r="J72" s="32">
        <v>0</v>
      </c>
      <c r="K72" s="32">
        <v>200</v>
      </c>
      <c r="L72" s="32">
        <v>400</v>
      </c>
    </row>
    <row r="73" spans="1:12">
      <c r="A73" s="29"/>
      <c r="B73" s="31">
        <v>1231797</v>
      </c>
      <c r="C73" s="32">
        <v>137</v>
      </c>
      <c r="D73" s="32">
        <v>0</v>
      </c>
      <c r="E73" s="32">
        <v>0</v>
      </c>
      <c r="F73" s="32">
        <v>0</v>
      </c>
      <c r="G73" s="32">
        <v>128</v>
      </c>
      <c r="H73" s="32">
        <v>0</v>
      </c>
      <c r="I73" s="32">
        <v>0</v>
      </c>
      <c r="J73" s="32">
        <v>0</v>
      </c>
      <c r="K73" s="32">
        <v>106</v>
      </c>
      <c r="L73" s="32">
        <v>0</v>
      </c>
    </row>
    <row r="74" spans="1:12">
      <c r="A74" s="29"/>
      <c r="B74" s="31">
        <v>1231860</v>
      </c>
      <c r="C74" s="32">
        <v>0</v>
      </c>
      <c r="D74" s="32">
        <v>100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</row>
    <row r="75" spans="1:12">
      <c r="A75" s="29"/>
      <c r="B75" s="31">
        <v>1232066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288</v>
      </c>
      <c r="L75" s="32">
        <v>0</v>
      </c>
    </row>
    <row r="76" spans="1:12">
      <c r="A76" s="29"/>
      <c r="B76" s="31">
        <v>1232528</v>
      </c>
      <c r="C76" s="32">
        <v>5497</v>
      </c>
      <c r="D76" s="32">
        <v>5537</v>
      </c>
      <c r="E76" s="32">
        <v>4863</v>
      </c>
      <c r="F76" s="32">
        <v>0</v>
      </c>
      <c r="G76" s="32">
        <v>3000</v>
      </c>
      <c r="H76" s="32">
        <v>4000</v>
      </c>
      <c r="I76" s="32">
        <v>1596</v>
      </c>
      <c r="J76" s="32">
        <v>0</v>
      </c>
      <c r="K76" s="32">
        <v>5194</v>
      </c>
      <c r="L76" s="32">
        <v>0</v>
      </c>
    </row>
    <row r="77" spans="1:12">
      <c r="A77" s="29"/>
      <c r="B77" s="31">
        <v>1232553</v>
      </c>
      <c r="C77" s="32">
        <v>0</v>
      </c>
      <c r="D77" s="32">
        <v>0</v>
      </c>
      <c r="E77" s="32">
        <v>0</v>
      </c>
      <c r="F77" s="32">
        <v>108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108</v>
      </c>
    </row>
    <row r="78" spans="1:12">
      <c r="A78" s="29"/>
      <c r="B78" s="90">
        <v>1232693</v>
      </c>
      <c r="C78" s="32">
        <v>763</v>
      </c>
      <c r="D78" s="32">
        <v>763</v>
      </c>
      <c r="E78" s="32">
        <v>763</v>
      </c>
      <c r="F78" s="32">
        <v>1000</v>
      </c>
      <c r="G78" s="32">
        <v>500</v>
      </c>
      <c r="H78" s="32">
        <v>0</v>
      </c>
      <c r="I78" s="32">
        <v>0</v>
      </c>
      <c r="J78" s="32">
        <v>0</v>
      </c>
      <c r="K78" s="32">
        <v>1056</v>
      </c>
      <c r="L78" s="32">
        <v>1037</v>
      </c>
    </row>
    <row r="79" spans="1:12">
      <c r="A79" s="29"/>
      <c r="B79" s="90">
        <v>1232775</v>
      </c>
      <c r="C79" s="32">
        <v>730</v>
      </c>
      <c r="D79" s="32">
        <v>750</v>
      </c>
      <c r="E79" s="32">
        <v>1400</v>
      </c>
      <c r="F79" s="32">
        <v>1050</v>
      </c>
      <c r="G79" s="32">
        <v>500</v>
      </c>
      <c r="H79" s="32">
        <v>362</v>
      </c>
      <c r="I79" s="32">
        <v>0</v>
      </c>
      <c r="J79" s="32">
        <v>0</v>
      </c>
      <c r="K79" s="32">
        <v>1060</v>
      </c>
      <c r="L79" s="32">
        <v>1450</v>
      </c>
    </row>
    <row r="80" spans="1:12">
      <c r="A80" s="29"/>
      <c r="B80" s="31">
        <v>1232846</v>
      </c>
      <c r="C80" s="32">
        <v>283</v>
      </c>
      <c r="D80" s="32">
        <v>100</v>
      </c>
      <c r="E80" s="32">
        <v>512</v>
      </c>
      <c r="F80" s="32">
        <v>0</v>
      </c>
      <c r="G80" s="32">
        <v>273</v>
      </c>
      <c r="H80" s="32">
        <v>450</v>
      </c>
      <c r="I80" s="32">
        <v>0</v>
      </c>
      <c r="J80" s="32">
        <v>240</v>
      </c>
      <c r="K80" s="32">
        <v>965</v>
      </c>
      <c r="L80" s="32">
        <v>300</v>
      </c>
    </row>
    <row r="81" spans="1:12">
      <c r="A81" s="29"/>
      <c r="B81" s="31">
        <v>1232894</v>
      </c>
      <c r="C81" s="32">
        <v>0</v>
      </c>
      <c r="D81" s="32">
        <v>0</v>
      </c>
      <c r="E81" s="32">
        <v>512</v>
      </c>
      <c r="F81" s="32">
        <v>0</v>
      </c>
      <c r="G81" s="32">
        <v>0</v>
      </c>
      <c r="H81" s="32">
        <v>0</v>
      </c>
      <c r="I81" s="32">
        <v>0</v>
      </c>
      <c r="J81" s="32">
        <v>240</v>
      </c>
      <c r="K81" s="32">
        <v>423</v>
      </c>
      <c r="L81" s="32">
        <v>0</v>
      </c>
    </row>
    <row r="82" spans="1:12">
      <c r="A82" s="29"/>
      <c r="B82" s="31">
        <v>1232895</v>
      </c>
      <c r="C82" s="32">
        <v>283</v>
      </c>
      <c r="D82" s="32">
        <v>100</v>
      </c>
      <c r="E82" s="32">
        <v>0</v>
      </c>
      <c r="F82" s="32">
        <v>0</v>
      </c>
      <c r="G82" s="32">
        <v>273</v>
      </c>
      <c r="H82" s="32">
        <v>450</v>
      </c>
      <c r="I82" s="32">
        <v>0</v>
      </c>
      <c r="J82" s="32">
        <v>0</v>
      </c>
      <c r="K82" s="32">
        <v>542</v>
      </c>
      <c r="L82" s="32">
        <v>300</v>
      </c>
    </row>
    <row r="83" spans="1:12">
      <c r="A83" s="29"/>
      <c r="B83" s="31">
        <v>1232922</v>
      </c>
      <c r="C83" s="32">
        <v>283</v>
      </c>
      <c r="D83" s="32">
        <v>100</v>
      </c>
      <c r="E83" s="32">
        <v>0</v>
      </c>
      <c r="F83" s="32">
        <v>0</v>
      </c>
      <c r="G83" s="32">
        <v>273</v>
      </c>
      <c r="H83" s="32">
        <v>0</v>
      </c>
      <c r="I83" s="32">
        <v>0</v>
      </c>
      <c r="J83" s="32">
        <v>0</v>
      </c>
      <c r="K83" s="32">
        <v>242</v>
      </c>
      <c r="L83" s="32">
        <v>0</v>
      </c>
    </row>
    <row r="84" spans="1:12">
      <c r="A84" s="29"/>
      <c r="B84" s="31">
        <v>1232982</v>
      </c>
      <c r="C84" s="32">
        <v>80</v>
      </c>
      <c r="D84" s="32">
        <v>0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</row>
    <row r="85" spans="1:12">
      <c r="A85" s="29"/>
      <c r="B85" s="90">
        <v>1233025</v>
      </c>
      <c r="C85" s="32">
        <v>763</v>
      </c>
      <c r="D85" s="32">
        <v>763</v>
      </c>
      <c r="E85" s="32">
        <v>763</v>
      </c>
      <c r="F85" s="32">
        <v>1000</v>
      </c>
      <c r="G85" s="32">
        <v>500</v>
      </c>
      <c r="H85" s="32">
        <v>0</v>
      </c>
      <c r="I85" s="32">
        <v>0</v>
      </c>
      <c r="J85" s="32">
        <v>0</v>
      </c>
      <c r="K85" s="32">
        <v>1056</v>
      </c>
      <c r="L85" s="32">
        <v>1037</v>
      </c>
    </row>
    <row r="86" spans="1:12">
      <c r="A86" s="29"/>
      <c r="B86" s="31">
        <v>1233165</v>
      </c>
      <c r="C86" s="32">
        <v>0</v>
      </c>
      <c r="D86" s="32">
        <v>0</v>
      </c>
      <c r="E86" s="32">
        <v>250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</row>
    <row r="87" spans="1:12">
      <c r="A87" s="29"/>
      <c r="B87" s="31">
        <v>1233383</v>
      </c>
      <c r="C87" s="32">
        <v>150</v>
      </c>
      <c r="D87" s="32">
        <v>0</v>
      </c>
      <c r="E87" s="32">
        <v>0</v>
      </c>
      <c r="F87" s="32">
        <v>0</v>
      </c>
      <c r="G87" s="32">
        <v>42</v>
      </c>
      <c r="H87" s="32">
        <v>0</v>
      </c>
      <c r="I87" s="32">
        <v>0</v>
      </c>
      <c r="J87" s="32">
        <v>0</v>
      </c>
      <c r="K87" s="32">
        <v>122</v>
      </c>
      <c r="L87" s="32">
        <v>0</v>
      </c>
    </row>
    <row r="88" spans="1:12">
      <c r="A88" s="29"/>
      <c r="B88" s="31">
        <v>1233384</v>
      </c>
      <c r="C88" s="32">
        <v>0</v>
      </c>
      <c r="D88" s="32">
        <v>0</v>
      </c>
      <c r="E88" s="32">
        <v>0</v>
      </c>
      <c r="F88" s="32">
        <v>0</v>
      </c>
      <c r="G88" s="32">
        <v>0</v>
      </c>
      <c r="H88" s="32">
        <v>450</v>
      </c>
      <c r="I88" s="32">
        <v>0</v>
      </c>
      <c r="J88" s="32">
        <v>0</v>
      </c>
      <c r="K88" s="32">
        <v>300</v>
      </c>
      <c r="L88" s="32">
        <v>300</v>
      </c>
    </row>
    <row r="89" spans="1:12">
      <c r="A89" s="29"/>
      <c r="B89" s="31">
        <v>1233385</v>
      </c>
      <c r="C89" s="32">
        <v>0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240</v>
      </c>
      <c r="K89" s="32">
        <v>0</v>
      </c>
      <c r="L89" s="32">
        <v>0</v>
      </c>
    </row>
    <row r="90" spans="1:12">
      <c r="A90" s="29"/>
      <c r="B90" s="31">
        <v>1233386</v>
      </c>
      <c r="C90" s="32">
        <v>0</v>
      </c>
      <c r="D90" s="32">
        <v>0</v>
      </c>
      <c r="E90" s="32">
        <v>512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2">
        <v>0</v>
      </c>
      <c r="L90" s="32">
        <v>0</v>
      </c>
    </row>
    <row r="91" spans="1:12">
      <c r="A91" s="29"/>
      <c r="B91" s="31">
        <v>1233387</v>
      </c>
      <c r="C91" s="32">
        <v>0</v>
      </c>
      <c r="D91" s="32">
        <v>0</v>
      </c>
      <c r="E91" s="32">
        <v>0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2">
        <v>423</v>
      </c>
      <c r="L91" s="32">
        <v>0</v>
      </c>
    </row>
    <row r="92" spans="1:12">
      <c r="A92" s="29"/>
      <c r="B92" s="31">
        <v>1233580</v>
      </c>
      <c r="C92" s="32">
        <v>200</v>
      </c>
      <c r="D92" s="32">
        <v>0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</row>
    <row r="93" spans="1:12">
      <c r="A93" s="29"/>
      <c r="B93" s="31">
        <v>1234110</v>
      </c>
      <c r="C93" s="32">
        <v>270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  <c r="L93" s="32">
        <v>0</v>
      </c>
    </row>
    <row r="94" spans="1:12">
      <c r="A94" s="29"/>
      <c r="B94" s="90">
        <v>1234111</v>
      </c>
      <c r="C94" s="32">
        <v>270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</row>
    <row r="95" spans="1:12">
      <c r="A95" s="29"/>
      <c r="B95" s="31">
        <v>1234217</v>
      </c>
      <c r="C95" s="32">
        <v>270</v>
      </c>
      <c r="D95" s="32">
        <v>0</v>
      </c>
      <c r="E95" s="32">
        <v>0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</row>
    <row r="96" spans="1:12">
      <c r="A96" s="29"/>
      <c r="B96" s="31">
        <v>1234222</v>
      </c>
      <c r="C96" s="32">
        <v>0</v>
      </c>
      <c r="D96" s="32">
        <v>777</v>
      </c>
      <c r="E96" s="32">
        <v>0</v>
      </c>
      <c r="F96" s="32">
        <v>0</v>
      </c>
      <c r="G96" s="32">
        <v>0</v>
      </c>
      <c r="H96" s="32">
        <v>868</v>
      </c>
      <c r="I96" s="32">
        <v>0</v>
      </c>
      <c r="J96" s="32">
        <v>0</v>
      </c>
      <c r="K96" s="32">
        <v>0</v>
      </c>
      <c r="L96" s="32">
        <v>0</v>
      </c>
    </row>
    <row r="97" spans="1:14">
      <c r="A97" s="29"/>
      <c r="B97" s="31">
        <v>1234614</v>
      </c>
      <c r="C97" s="32">
        <v>1221</v>
      </c>
      <c r="D97" s="32">
        <v>300</v>
      </c>
      <c r="E97" s="32">
        <v>300</v>
      </c>
      <c r="F97" s="32">
        <v>300</v>
      </c>
      <c r="G97" s="32">
        <v>200</v>
      </c>
      <c r="H97" s="32">
        <v>0</v>
      </c>
      <c r="I97" s="32">
        <v>0</v>
      </c>
      <c r="J97" s="32">
        <v>400</v>
      </c>
      <c r="K97" s="32">
        <v>300</v>
      </c>
      <c r="L97" s="32">
        <v>324</v>
      </c>
    </row>
    <row r="98" spans="1:14">
      <c r="A98" s="29"/>
      <c r="B98" s="31">
        <v>1235097</v>
      </c>
      <c r="C98" s="32">
        <v>400</v>
      </c>
      <c r="D98" s="32">
        <v>100</v>
      </c>
      <c r="E98" s="32">
        <v>400</v>
      </c>
      <c r="F98" s="32">
        <v>300</v>
      </c>
      <c r="G98" s="32">
        <v>300</v>
      </c>
      <c r="H98" s="32">
        <v>300</v>
      </c>
      <c r="I98" s="32">
        <v>300</v>
      </c>
      <c r="J98" s="32">
        <v>0</v>
      </c>
      <c r="K98" s="32">
        <v>400</v>
      </c>
      <c r="L98" s="32">
        <v>400</v>
      </c>
    </row>
    <row r="99" spans="1:14">
      <c r="A99" s="29"/>
      <c r="B99" s="31">
        <v>1235845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382</v>
      </c>
      <c r="I99" s="32">
        <v>0</v>
      </c>
      <c r="J99" s="32">
        <v>0</v>
      </c>
      <c r="K99" s="32">
        <v>0</v>
      </c>
      <c r="L99" s="32">
        <v>0</v>
      </c>
    </row>
    <row r="100" spans="1:14">
      <c r="A100" s="29"/>
      <c r="B100" s="31">
        <v>1236387</v>
      </c>
      <c r="C100" s="32">
        <v>0</v>
      </c>
      <c r="D100" s="32">
        <v>400</v>
      </c>
      <c r="E100" s="32">
        <v>200</v>
      </c>
      <c r="F100" s="32">
        <v>300</v>
      </c>
      <c r="G100" s="32">
        <v>200</v>
      </c>
      <c r="H100" s="32">
        <v>200</v>
      </c>
      <c r="I100" s="32">
        <v>0</v>
      </c>
      <c r="J100" s="32">
        <v>0</v>
      </c>
      <c r="K100" s="32">
        <v>0</v>
      </c>
      <c r="L100" s="32">
        <v>200</v>
      </c>
    </row>
    <row r="101" spans="1:14">
      <c r="A101" s="29"/>
      <c r="B101" s="90">
        <v>1236600</v>
      </c>
      <c r="C101" s="32">
        <v>873</v>
      </c>
      <c r="D101" s="32">
        <v>100</v>
      </c>
      <c r="E101" s="32">
        <v>0</v>
      </c>
      <c r="F101" s="32">
        <v>0</v>
      </c>
      <c r="G101" s="32">
        <v>829</v>
      </c>
      <c r="H101" s="32">
        <v>0</v>
      </c>
      <c r="I101" s="32">
        <v>0</v>
      </c>
      <c r="J101" s="32">
        <v>0</v>
      </c>
      <c r="K101" s="32">
        <v>748</v>
      </c>
      <c r="L101" s="32">
        <v>0</v>
      </c>
    </row>
    <row r="102" spans="1:14">
      <c r="A102" s="29"/>
      <c r="B102" s="31">
        <v>1236601</v>
      </c>
      <c r="C102" s="32">
        <v>100</v>
      </c>
      <c r="D102" s="32">
        <v>0</v>
      </c>
      <c r="E102" s="32">
        <v>0</v>
      </c>
      <c r="F102" s="32">
        <v>0</v>
      </c>
      <c r="G102" s="32">
        <v>100</v>
      </c>
      <c r="H102" s="32">
        <v>0</v>
      </c>
      <c r="I102" s="32">
        <v>0</v>
      </c>
      <c r="J102" s="32">
        <v>0</v>
      </c>
      <c r="K102" s="32">
        <v>84</v>
      </c>
      <c r="L102" s="32">
        <v>0</v>
      </c>
    </row>
    <row r="103" spans="1:14">
      <c r="A103" s="29"/>
      <c r="B103" s="31">
        <v>1236619</v>
      </c>
      <c r="C103" s="32">
        <v>0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540</v>
      </c>
      <c r="L103" s="32">
        <v>0</v>
      </c>
    </row>
    <row r="104" spans="1:14">
      <c r="A104" s="29"/>
      <c r="B104" s="90">
        <v>1236930</v>
      </c>
      <c r="C104" s="32">
        <v>4700</v>
      </c>
      <c r="D104" s="32">
        <v>1195</v>
      </c>
      <c r="E104" s="32">
        <v>2824</v>
      </c>
      <c r="F104" s="32">
        <v>1776</v>
      </c>
      <c r="G104" s="32">
        <v>1700</v>
      </c>
      <c r="H104" s="32">
        <v>1200</v>
      </c>
      <c r="I104" s="32">
        <v>250</v>
      </c>
      <c r="J104" s="32">
        <v>0</v>
      </c>
      <c r="K104" s="32">
        <v>3608</v>
      </c>
      <c r="L104" s="32">
        <v>1538</v>
      </c>
    </row>
    <row r="105" spans="1:14" s="20" customFormat="1">
      <c r="A105" s="88"/>
      <c r="B105" s="67">
        <v>1237210</v>
      </c>
      <c r="C105" s="61">
        <v>0</v>
      </c>
      <c r="D105" s="61">
        <v>0</v>
      </c>
      <c r="E105" s="61">
        <v>0</v>
      </c>
      <c r="F105" s="61">
        <v>320</v>
      </c>
      <c r="G105" s="61">
        <v>0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10"/>
      <c r="N105" s="10"/>
    </row>
    <row r="106" spans="1:14">
      <c r="A106" s="29"/>
      <c r="B106" s="31">
        <v>1237386</v>
      </c>
      <c r="C106" s="32">
        <v>0</v>
      </c>
      <c r="D106" s="32">
        <v>0</v>
      </c>
      <c r="E106" s="32">
        <v>0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2">
        <v>795</v>
      </c>
      <c r="L106" s="32">
        <v>0</v>
      </c>
    </row>
    <row r="107" spans="1:14">
      <c r="A107" s="29"/>
      <c r="B107" s="31">
        <v>1237457</v>
      </c>
      <c r="C107" s="32">
        <v>0</v>
      </c>
      <c r="D107" s="32">
        <v>0</v>
      </c>
      <c r="E107" s="32">
        <v>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2">
        <v>270</v>
      </c>
      <c r="L107" s="32">
        <v>0</v>
      </c>
    </row>
    <row r="108" spans="1:14">
      <c r="A108" s="29"/>
      <c r="B108" s="287">
        <v>1237468</v>
      </c>
      <c r="C108" s="32">
        <v>871</v>
      </c>
      <c r="D108" s="32">
        <v>0</v>
      </c>
      <c r="E108" s="32">
        <v>612</v>
      </c>
      <c r="F108" s="32">
        <v>0</v>
      </c>
      <c r="G108" s="32">
        <v>79</v>
      </c>
      <c r="H108" s="32">
        <v>0</v>
      </c>
      <c r="I108" s="32">
        <v>0</v>
      </c>
      <c r="J108" s="32">
        <v>0</v>
      </c>
      <c r="K108" s="32">
        <v>70</v>
      </c>
      <c r="L108" s="32">
        <v>432</v>
      </c>
    </row>
    <row r="109" spans="1:14">
      <c r="A109" s="29"/>
      <c r="B109" s="31">
        <v>1238453</v>
      </c>
      <c r="C109" s="32">
        <v>175</v>
      </c>
      <c r="D109" s="32">
        <v>0</v>
      </c>
      <c r="E109" s="32">
        <v>0</v>
      </c>
      <c r="F109" s="32">
        <v>0</v>
      </c>
      <c r="G109" s="32">
        <v>122</v>
      </c>
      <c r="H109" s="32">
        <v>0</v>
      </c>
      <c r="I109" s="32">
        <v>0</v>
      </c>
      <c r="J109" s="32">
        <v>0</v>
      </c>
      <c r="K109" s="32">
        <v>113</v>
      </c>
      <c r="L109" s="32">
        <v>0</v>
      </c>
    </row>
    <row r="110" spans="1:14">
      <c r="A110" s="29"/>
      <c r="B110" s="90">
        <v>1238480</v>
      </c>
      <c r="C110" s="32">
        <v>6265</v>
      </c>
      <c r="D110" s="32">
        <v>6560</v>
      </c>
      <c r="E110" s="32">
        <v>7998</v>
      </c>
      <c r="F110" s="32">
        <v>6410</v>
      </c>
      <c r="G110" s="32">
        <v>5293</v>
      </c>
      <c r="H110" s="32">
        <v>5807</v>
      </c>
      <c r="I110" s="32">
        <v>3200</v>
      </c>
      <c r="J110" s="32">
        <v>1000</v>
      </c>
      <c r="K110" s="32">
        <v>8135</v>
      </c>
      <c r="L110" s="32">
        <v>5910</v>
      </c>
    </row>
    <row r="111" spans="1:14">
      <c r="A111" s="29"/>
      <c r="B111" s="31">
        <v>1238605</v>
      </c>
      <c r="C111" s="32">
        <v>300</v>
      </c>
      <c r="D111" s="32">
        <v>0</v>
      </c>
      <c r="E111" s="32">
        <v>0</v>
      </c>
      <c r="F111" s="32">
        <v>0</v>
      </c>
      <c r="G111" s="32">
        <v>150</v>
      </c>
      <c r="H111" s="32">
        <v>0</v>
      </c>
      <c r="I111" s="32">
        <v>0</v>
      </c>
      <c r="J111" s="32">
        <v>0</v>
      </c>
      <c r="K111" s="32">
        <v>450</v>
      </c>
      <c r="L111" s="32">
        <v>50</v>
      </c>
    </row>
    <row r="112" spans="1:14">
      <c r="A112" s="29"/>
      <c r="B112" s="31">
        <v>1240180</v>
      </c>
      <c r="C112" s="32">
        <v>550</v>
      </c>
      <c r="D112" s="32">
        <v>300</v>
      </c>
      <c r="E112" s="32">
        <v>200</v>
      </c>
      <c r="F112" s="32">
        <v>650</v>
      </c>
      <c r="G112" s="32">
        <v>550</v>
      </c>
      <c r="H112" s="32">
        <v>0</v>
      </c>
      <c r="I112" s="32">
        <v>0</v>
      </c>
      <c r="J112" s="32">
        <v>0</v>
      </c>
      <c r="K112" s="32">
        <v>1182</v>
      </c>
      <c r="L112" s="32">
        <v>600</v>
      </c>
    </row>
    <row r="113" spans="1:12">
      <c r="A113" s="29"/>
      <c r="B113" s="31">
        <v>1240184</v>
      </c>
      <c r="C113" s="32">
        <v>550</v>
      </c>
      <c r="D113" s="32">
        <v>300</v>
      </c>
      <c r="E113" s="32">
        <v>200</v>
      </c>
      <c r="F113" s="32">
        <v>650</v>
      </c>
      <c r="G113" s="32">
        <v>550</v>
      </c>
      <c r="H113" s="32">
        <v>0</v>
      </c>
      <c r="I113" s="32">
        <v>0</v>
      </c>
      <c r="J113" s="32">
        <v>0</v>
      </c>
      <c r="K113" s="32">
        <v>1182</v>
      </c>
      <c r="L113" s="32">
        <v>600</v>
      </c>
    </row>
    <row r="114" spans="1:12">
      <c r="A114" s="29"/>
      <c r="B114" s="90">
        <v>1241474</v>
      </c>
      <c r="C114" s="32">
        <v>12</v>
      </c>
      <c r="D114" s="32">
        <v>0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</row>
    <row r="115" spans="1:12">
      <c r="A115" s="29"/>
      <c r="B115" s="31">
        <v>3100142</v>
      </c>
      <c r="C115" s="32">
        <v>0</v>
      </c>
      <c r="D115" s="32">
        <v>1000</v>
      </c>
      <c r="E115" s="32">
        <v>48</v>
      </c>
      <c r="F115" s="32">
        <v>0</v>
      </c>
      <c r="G115" s="32">
        <v>0</v>
      </c>
      <c r="H115" s="32">
        <v>1000</v>
      </c>
      <c r="I115" s="32">
        <v>0</v>
      </c>
      <c r="J115" s="32">
        <v>0</v>
      </c>
      <c r="K115" s="32">
        <v>0</v>
      </c>
      <c r="L115" s="32">
        <v>0</v>
      </c>
    </row>
    <row r="116" spans="1:12">
      <c r="A116" s="29"/>
      <c r="B116" s="31">
        <v>3100377</v>
      </c>
      <c r="C116" s="32">
        <v>0</v>
      </c>
      <c r="D116" s="32">
        <v>43</v>
      </c>
      <c r="E116" s="32">
        <v>2</v>
      </c>
      <c r="F116" s="32">
        <v>2</v>
      </c>
      <c r="G116" s="32">
        <v>2</v>
      </c>
      <c r="H116" s="32">
        <v>2</v>
      </c>
      <c r="I116" s="32">
        <v>2</v>
      </c>
      <c r="J116" s="32">
        <v>0</v>
      </c>
      <c r="K116" s="32">
        <v>0</v>
      </c>
      <c r="L116" s="32">
        <v>0</v>
      </c>
    </row>
    <row r="117" spans="1:12">
      <c r="A117" s="29"/>
      <c r="B117" s="31">
        <v>3102078</v>
      </c>
      <c r="C117" s="32">
        <v>0</v>
      </c>
      <c r="D117" s="32">
        <v>100</v>
      </c>
      <c r="E117" s="32">
        <v>88</v>
      </c>
      <c r="F117" s="32">
        <v>88</v>
      </c>
      <c r="G117" s="32">
        <v>88</v>
      </c>
      <c r="H117" s="32">
        <v>88</v>
      </c>
      <c r="I117" s="32">
        <v>88</v>
      </c>
      <c r="J117" s="32">
        <v>0</v>
      </c>
      <c r="K117" s="32">
        <v>0</v>
      </c>
      <c r="L117" s="32">
        <v>0</v>
      </c>
    </row>
    <row r="118" spans="1:12">
      <c r="A118" s="29"/>
      <c r="B118" s="31">
        <v>3102189</v>
      </c>
      <c r="C118" s="32">
        <v>0</v>
      </c>
      <c r="D118" s="32">
        <v>155</v>
      </c>
      <c r="E118" s="32">
        <v>0</v>
      </c>
      <c r="F118" s="32">
        <v>0</v>
      </c>
      <c r="G118" s="32">
        <v>155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</row>
    <row r="119" spans="1:12">
      <c r="A119" s="29"/>
      <c r="B119" s="31">
        <v>3104180</v>
      </c>
      <c r="C119" s="32">
        <v>0</v>
      </c>
      <c r="D119" s="32">
        <v>30</v>
      </c>
      <c r="E119" s="32">
        <v>0</v>
      </c>
      <c r="F119" s="32">
        <v>0</v>
      </c>
      <c r="G119" s="32">
        <v>0</v>
      </c>
      <c r="H119" s="32">
        <v>30</v>
      </c>
      <c r="I119" s="32">
        <v>0</v>
      </c>
      <c r="J119" s="32">
        <v>0</v>
      </c>
      <c r="K119" s="32">
        <v>0</v>
      </c>
      <c r="L119" s="32">
        <v>0</v>
      </c>
    </row>
    <row r="120" spans="1:12">
      <c r="A120" s="29"/>
      <c r="B120" s="31">
        <v>3104385</v>
      </c>
      <c r="C120" s="32">
        <v>0</v>
      </c>
      <c r="D120" s="32">
        <v>10</v>
      </c>
      <c r="E120" s="32">
        <v>0</v>
      </c>
      <c r="F120" s="32">
        <v>0</v>
      </c>
      <c r="G120" s="32">
        <v>0</v>
      </c>
      <c r="H120" s="32">
        <v>10</v>
      </c>
      <c r="I120" s="32">
        <v>0</v>
      </c>
      <c r="J120" s="32">
        <v>0</v>
      </c>
      <c r="K120" s="32">
        <v>0</v>
      </c>
      <c r="L120" s="32">
        <v>0</v>
      </c>
    </row>
    <row r="121" spans="1:12">
      <c r="A121" s="29"/>
      <c r="B121" s="31">
        <v>3108234</v>
      </c>
      <c r="C121" s="32">
        <v>70</v>
      </c>
      <c r="D121" s="32">
        <v>0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</row>
    <row r="122" spans="1:12">
      <c r="A122" s="29"/>
      <c r="B122" s="31">
        <v>3108382</v>
      </c>
      <c r="C122" s="32">
        <v>70</v>
      </c>
      <c r="D122" s="32">
        <v>221</v>
      </c>
      <c r="E122" s="32">
        <v>78</v>
      </c>
      <c r="F122" s="32">
        <v>78</v>
      </c>
      <c r="G122" s="32">
        <v>78</v>
      </c>
      <c r="H122" s="32">
        <v>78</v>
      </c>
      <c r="I122" s="32">
        <v>78</v>
      </c>
      <c r="J122" s="32">
        <v>0</v>
      </c>
      <c r="K122" s="32">
        <v>0</v>
      </c>
      <c r="L122" s="32">
        <v>0</v>
      </c>
    </row>
    <row r="123" spans="1:12">
      <c r="A123" s="29"/>
      <c r="B123" s="31">
        <v>3109049</v>
      </c>
      <c r="C123" s="32">
        <v>410</v>
      </c>
      <c r="D123" s="32">
        <v>0</v>
      </c>
      <c r="E123" s="32">
        <v>74</v>
      </c>
      <c r="F123" s="32">
        <v>146</v>
      </c>
      <c r="G123" s="32">
        <v>146</v>
      </c>
      <c r="H123" s="32">
        <v>146</v>
      </c>
      <c r="I123" s="32">
        <v>146</v>
      </c>
      <c r="J123" s="32">
        <v>0</v>
      </c>
      <c r="K123" s="32">
        <v>0</v>
      </c>
      <c r="L123" s="32">
        <v>0</v>
      </c>
    </row>
    <row r="124" spans="1:12">
      <c r="A124" s="29"/>
      <c r="B124" s="31">
        <v>3109141</v>
      </c>
      <c r="C124" s="32">
        <v>0</v>
      </c>
      <c r="D124" s="32">
        <v>800</v>
      </c>
      <c r="E124" s="32">
        <v>84</v>
      </c>
      <c r="F124" s="32">
        <v>0</v>
      </c>
      <c r="G124" s="32">
        <v>0</v>
      </c>
      <c r="H124" s="32">
        <v>800</v>
      </c>
      <c r="I124" s="32">
        <v>0</v>
      </c>
      <c r="J124" s="32">
        <v>0</v>
      </c>
      <c r="K124" s="32">
        <v>0</v>
      </c>
      <c r="L124" s="32">
        <v>0</v>
      </c>
    </row>
    <row r="125" spans="1:12">
      <c r="A125" s="29"/>
      <c r="B125" s="31">
        <v>3109392</v>
      </c>
      <c r="C125" s="32">
        <v>0</v>
      </c>
      <c r="D125" s="32">
        <v>250</v>
      </c>
      <c r="E125" s="32">
        <v>12</v>
      </c>
      <c r="F125" s="32">
        <v>0</v>
      </c>
      <c r="G125" s="32">
        <v>0</v>
      </c>
      <c r="H125" s="32">
        <v>250</v>
      </c>
      <c r="I125" s="32">
        <v>0</v>
      </c>
      <c r="J125" s="32">
        <v>0</v>
      </c>
      <c r="K125" s="32">
        <v>0</v>
      </c>
      <c r="L125" s="32">
        <v>0</v>
      </c>
    </row>
    <row r="126" spans="1:12">
      <c r="A126" s="29"/>
      <c r="B126" s="31">
        <v>3109442</v>
      </c>
      <c r="C126" s="32">
        <v>0</v>
      </c>
      <c r="D126" s="32">
        <v>400</v>
      </c>
      <c r="E126" s="32">
        <v>0</v>
      </c>
      <c r="F126" s="32">
        <v>0</v>
      </c>
      <c r="G126" s="32">
        <v>0</v>
      </c>
      <c r="H126" s="32">
        <v>400</v>
      </c>
      <c r="I126" s="32">
        <v>0</v>
      </c>
      <c r="J126" s="32">
        <v>0</v>
      </c>
      <c r="K126" s="32">
        <v>0</v>
      </c>
      <c r="L126" s="32">
        <v>0</v>
      </c>
    </row>
    <row r="127" spans="1:12">
      <c r="A127" s="29"/>
      <c r="B127" s="31">
        <v>3109818</v>
      </c>
      <c r="C127" s="32">
        <v>0</v>
      </c>
      <c r="D127" s="32">
        <v>0</v>
      </c>
      <c r="E127" s="32">
        <v>12</v>
      </c>
      <c r="F127" s="32">
        <v>0</v>
      </c>
      <c r="G127" s="32">
        <v>0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</row>
    <row r="128" spans="1:12">
      <c r="A128" s="29"/>
      <c r="B128" s="31">
        <v>3110436</v>
      </c>
      <c r="C128" s="32">
        <v>0</v>
      </c>
      <c r="D128" s="32">
        <v>0</v>
      </c>
      <c r="E128" s="32">
        <v>0</v>
      </c>
      <c r="F128" s="32">
        <v>0</v>
      </c>
      <c r="G128" s="32">
        <v>0</v>
      </c>
      <c r="H128" s="32">
        <v>0</v>
      </c>
      <c r="I128" s="32">
        <v>12</v>
      </c>
      <c r="J128" s="32">
        <v>0</v>
      </c>
      <c r="K128" s="32">
        <v>0</v>
      </c>
      <c r="L128" s="32">
        <v>0</v>
      </c>
    </row>
    <row r="129" spans="1:12">
      <c r="A129" s="29"/>
      <c r="B129" s="31">
        <v>3110503</v>
      </c>
      <c r="C129" s="32">
        <v>0</v>
      </c>
      <c r="D129" s="32">
        <v>10</v>
      </c>
      <c r="E129" s="32">
        <v>10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</row>
    <row r="130" spans="1:12">
      <c r="A130" s="29"/>
      <c r="B130" s="31">
        <v>3110736</v>
      </c>
      <c r="C130" s="32">
        <v>10</v>
      </c>
      <c r="D130" s="32">
        <v>0</v>
      </c>
      <c r="E130" s="32">
        <v>0</v>
      </c>
      <c r="F130" s="32">
        <v>0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</row>
    <row r="131" spans="1:12">
      <c r="A131" s="29"/>
      <c r="B131" s="31">
        <v>3111479</v>
      </c>
      <c r="C131" s="32">
        <v>0</v>
      </c>
      <c r="D131" s="32">
        <v>0</v>
      </c>
      <c r="E131" s="32">
        <v>0</v>
      </c>
      <c r="F131" s="32">
        <v>0</v>
      </c>
      <c r="G131" s="32">
        <v>0</v>
      </c>
      <c r="H131" s="32">
        <v>0</v>
      </c>
      <c r="I131" s="32">
        <v>10</v>
      </c>
      <c r="J131" s="32">
        <v>0</v>
      </c>
      <c r="K131" s="32">
        <v>0</v>
      </c>
      <c r="L131" s="32">
        <v>0</v>
      </c>
    </row>
    <row r="132" spans="1:12">
      <c r="A132" s="29"/>
      <c r="B132" s="31">
        <v>3111525</v>
      </c>
      <c r="C132" s="32">
        <v>50</v>
      </c>
      <c r="D132" s="32">
        <v>0</v>
      </c>
      <c r="E132" s="32">
        <v>0</v>
      </c>
      <c r="F132" s="32">
        <v>0</v>
      </c>
      <c r="G132" s="32">
        <v>0</v>
      </c>
      <c r="H132" s="32">
        <v>0</v>
      </c>
      <c r="I132" s="32">
        <v>6</v>
      </c>
      <c r="J132" s="32">
        <v>0</v>
      </c>
      <c r="K132" s="32">
        <v>0</v>
      </c>
      <c r="L132" s="32">
        <v>0</v>
      </c>
    </row>
    <row r="133" spans="1:12">
      <c r="A133" s="29"/>
      <c r="B133" s="31">
        <v>3111580</v>
      </c>
      <c r="C133" s="32">
        <v>250</v>
      </c>
      <c r="D133" s="32">
        <v>0</v>
      </c>
      <c r="E133" s="32">
        <v>0</v>
      </c>
      <c r="F133" s="32">
        <v>0</v>
      </c>
      <c r="G133" s="32">
        <v>0</v>
      </c>
      <c r="H133" s="32">
        <v>0</v>
      </c>
      <c r="I133" s="32">
        <v>137</v>
      </c>
      <c r="J133" s="32">
        <v>0</v>
      </c>
      <c r="K133" s="32">
        <v>0</v>
      </c>
      <c r="L133" s="32">
        <v>0</v>
      </c>
    </row>
    <row r="134" spans="1:12">
      <c r="A134" s="29"/>
      <c r="B134" s="31">
        <v>3112041</v>
      </c>
      <c r="C134" s="32">
        <v>0</v>
      </c>
      <c r="D134" s="32">
        <v>0</v>
      </c>
      <c r="E134" s="32">
        <v>0</v>
      </c>
      <c r="F134" s="32">
        <v>0</v>
      </c>
      <c r="G134" s="32">
        <v>0</v>
      </c>
      <c r="H134" s="32">
        <v>53</v>
      </c>
      <c r="I134" s="32">
        <v>62</v>
      </c>
      <c r="J134" s="32">
        <v>0</v>
      </c>
      <c r="K134" s="32">
        <v>0</v>
      </c>
      <c r="L134" s="32">
        <v>0</v>
      </c>
    </row>
    <row r="135" spans="1:12">
      <c r="A135" s="29"/>
      <c r="B135" s="31">
        <v>3115693</v>
      </c>
      <c r="C135" s="32">
        <v>0</v>
      </c>
      <c r="D135" s="32">
        <v>5</v>
      </c>
      <c r="E135" s="32">
        <v>0</v>
      </c>
      <c r="F135" s="32">
        <v>0</v>
      </c>
      <c r="G135" s="32">
        <v>0</v>
      </c>
      <c r="H135" s="32">
        <v>5</v>
      </c>
      <c r="I135" s="32">
        <v>0</v>
      </c>
      <c r="J135" s="32">
        <v>0</v>
      </c>
      <c r="K135" s="32">
        <v>0</v>
      </c>
      <c r="L135" s="32">
        <v>0</v>
      </c>
    </row>
    <row r="136" spans="1:12">
      <c r="A136" s="29"/>
      <c r="B136" s="31">
        <v>3116508</v>
      </c>
      <c r="C136" s="32">
        <v>0</v>
      </c>
      <c r="D136" s="32">
        <v>0</v>
      </c>
      <c r="E136" s="32">
        <v>33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</row>
    <row r="137" spans="1:12">
      <c r="A137" s="29"/>
      <c r="B137" s="31">
        <v>3116937</v>
      </c>
      <c r="C137" s="32">
        <v>0</v>
      </c>
      <c r="D137" s="32">
        <v>50</v>
      </c>
      <c r="E137" s="32">
        <v>0</v>
      </c>
      <c r="F137" s="32">
        <v>0</v>
      </c>
      <c r="G137" s="32">
        <v>0</v>
      </c>
      <c r="H137" s="32">
        <v>50</v>
      </c>
      <c r="I137" s="32">
        <v>0</v>
      </c>
      <c r="J137" s="32">
        <v>0</v>
      </c>
      <c r="K137" s="32">
        <v>0</v>
      </c>
      <c r="L137" s="32">
        <v>0</v>
      </c>
    </row>
    <row r="138" spans="1:12">
      <c r="A138" s="29"/>
      <c r="B138" s="31">
        <v>3119013</v>
      </c>
      <c r="C138" s="32">
        <v>0</v>
      </c>
      <c r="D138" s="32">
        <v>50</v>
      </c>
      <c r="E138" s="32">
        <v>0</v>
      </c>
      <c r="F138" s="32">
        <v>0</v>
      </c>
      <c r="G138" s="32">
        <v>0</v>
      </c>
      <c r="H138" s="32">
        <v>50</v>
      </c>
      <c r="I138" s="32">
        <v>0</v>
      </c>
      <c r="J138" s="32">
        <v>0</v>
      </c>
      <c r="K138" s="32">
        <v>0</v>
      </c>
      <c r="L138" s="32">
        <v>0</v>
      </c>
    </row>
    <row r="139" spans="1:12">
      <c r="A139" s="29"/>
      <c r="B139" s="31">
        <v>3119452</v>
      </c>
      <c r="C139" s="32">
        <v>0</v>
      </c>
      <c r="D139" s="32">
        <v>7</v>
      </c>
      <c r="E139" s="32">
        <v>1</v>
      </c>
      <c r="F139" s="32">
        <v>1</v>
      </c>
      <c r="G139" s="32">
        <v>1</v>
      </c>
      <c r="H139" s="32">
        <v>1</v>
      </c>
      <c r="I139" s="32">
        <v>1</v>
      </c>
      <c r="J139" s="32">
        <v>0</v>
      </c>
      <c r="K139" s="32">
        <v>0</v>
      </c>
      <c r="L139" s="32">
        <v>0</v>
      </c>
    </row>
    <row r="140" spans="1:12">
      <c r="A140" s="29"/>
      <c r="B140" s="31">
        <v>3120565</v>
      </c>
      <c r="C140" s="32">
        <v>10</v>
      </c>
      <c r="D140" s="32">
        <v>0</v>
      </c>
      <c r="E140" s="32">
        <v>0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</row>
    <row r="141" spans="1:12">
      <c r="A141" s="29"/>
      <c r="B141" s="31">
        <v>3121389</v>
      </c>
      <c r="C141" s="32">
        <v>80</v>
      </c>
      <c r="D141" s="32">
        <v>0</v>
      </c>
      <c r="E141" s="32">
        <v>0</v>
      </c>
      <c r="F141" s="32">
        <v>0</v>
      </c>
      <c r="G141" s="32">
        <v>0</v>
      </c>
      <c r="H141" s="32">
        <v>0</v>
      </c>
      <c r="I141" s="32">
        <v>4</v>
      </c>
      <c r="J141" s="32">
        <v>0</v>
      </c>
      <c r="K141" s="32">
        <v>0</v>
      </c>
      <c r="L141" s="32">
        <v>0</v>
      </c>
    </row>
    <row r="142" spans="1:12">
      <c r="A142" s="29"/>
      <c r="B142" s="31">
        <v>3122225</v>
      </c>
      <c r="C142" s="32">
        <v>0</v>
      </c>
      <c r="D142" s="32">
        <v>50</v>
      </c>
      <c r="E142" s="32">
        <v>0</v>
      </c>
      <c r="F142" s="32">
        <v>0</v>
      </c>
      <c r="G142" s="32">
        <v>0</v>
      </c>
      <c r="H142" s="32">
        <v>50</v>
      </c>
      <c r="I142" s="32">
        <v>0</v>
      </c>
      <c r="J142" s="32">
        <v>0</v>
      </c>
      <c r="K142" s="32">
        <v>0</v>
      </c>
      <c r="L142" s="32">
        <v>0</v>
      </c>
    </row>
    <row r="143" spans="1:12">
      <c r="A143" s="29"/>
      <c r="B143" s="31">
        <v>3222709</v>
      </c>
      <c r="C143" s="32">
        <v>0</v>
      </c>
      <c r="D143" s="32">
        <v>12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</row>
    <row r="144" spans="1:12">
      <c r="A144" s="29"/>
      <c r="B144" s="31">
        <v>3223409</v>
      </c>
      <c r="C144" s="32">
        <v>0</v>
      </c>
      <c r="D144" s="32">
        <v>0</v>
      </c>
      <c r="E144" s="32">
        <v>0</v>
      </c>
      <c r="F144" s="32">
        <v>0</v>
      </c>
      <c r="G144" s="32">
        <v>0</v>
      </c>
      <c r="H144" s="32">
        <v>12</v>
      </c>
      <c r="I144" s="32">
        <v>0</v>
      </c>
      <c r="J144" s="32">
        <v>0</v>
      </c>
      <c r="K144" s="32">
        <v>0</v>
      </c>
      <c r="L144" s="32">
        <v>0</v>
      </c>
    </row>
    <row r="145" spans="1:12">
      <c r="A145" s="29"/>
      <c r="B145" s="31">
        <v>3304430</v>
      </c>
      <c r="C145" s="32">
        <v>0</v>
      </c>
      <c r="D145" s="32">
        <v>54</v>
      </c>
      <c r="E145" s="32">
        <v>0</v>
      </c>
      <c r="F145" s="32">
        <v>0</v>
      </c>
      <c r="G145" s="32">
        <v>18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</row>
    <row r="146" spans="1:12">
      <c r="A146" s="29"/>
      <c r="B146" s="31">
        <v>3306428</v>
      </c>
      <c r="C146" s="32">
        <v>0</v>
      </c>
      <c r="D146" s="32">
        <v>50</v>
      </c>
      <c r="E146" s="32">
        <v>0</v>
      </c>
      <c r="F146" s="32">
        <v>0</v>
      </c>
      <c r="G146" s="32">
        <v>0</v>
      </c>
      <c r="H146" s="32">
        <v>50</v>
      </c>
      <c r="I146" s="32">
        <v>0</v>
      </c>
      <c r="J146" s="32">
        <v>0</v>
      </c>
      <c r="K146" s="32">
        <v>0</v>
      </c>
      <c r="L146" s="32">
        <v>0</v>
      </c>
    </row>
    <row r="147" spans="1:12">
      <c r="A147" s="29"/>
      <c r="B147" s="31">
        <v>3306429</v>
      </c>
      <c r="C147" s="32">
        <v>0</v>
      </c>
      <c r="D147" s="32">
        <v>250</v>
      </c>
      <c r="E147" s="32">
        <v>0</v>
      </c>
      <c r="F147" s="32">
        <v>0</v>
      </c>
      <c r="G147" s="32">
        <v>0</v>
      </c>
      <c r="H147" s="32">
        <v>250</v>
      </c>
      <c r="I147" s="32">
        <v>0</v>
      </c>
      <c r="J147" s="32">
        <v>0</v>
      </c>
      <c r="K147" s="32">
        <v>0</v>
      </c>
      <c r="L147" s="32">
        <v>0</v>
      </c>
    </row>
  </sheetData>
  <phoneticPr fontId="11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8036-3B60-4BB6-BCE7-C0033DDAC547}">
  <dimension ref="A1:X61"/>
  <sheetViews>
    <sheetView topLeftCell="A43" zoomScale="175" zoomScaleNormal="175" workbookViewId="0">
      <selection activeCell="K54" sqref="K54"/>
    </sheetView>
  </sheetViews>
  <sheetFormatPr defaultColWidth="9.33203125" defaultRowHeight="12"/>
  <cols>
    <col min="1" max="1" width="10.1640625" style="244" bestFit="1" customWidth="1"/>
    <col min="2" max="2" width="9.5" style="9" bestFit="1" customWidth="1"/>
    <col min="3" max="18" width="9.5" style="9" customWidth="1"/>
    <col min="19" max="19" width="9.5" style="9" bestFit="1" customWidth="1"/>
    <col min="20" max="24" width="9.33203125" style="9"/>
    <col min="25" max="16384" width="9.33203125" style="5"/>
  </cols>
  <sheetData>
    <row r="1" spans="1:19">
      <c r="A1" s="244" t="s">
        <v>0</v>
      </c>
      <c r="B1" s="9" t="s">
        <v>1269</v>
      </c>
      <c r="C1" s="9" t="s">
        <v>1270</v>
      </c>
      <c r="D1" s="9" t="s">
        <v>1271</v>
      </c>
      <c r="E1" s="9" t="s">
        <v>1272</v>
      </c>
      <c r="F1" s="9" t="s">
        <v>1274</v>
      </c>
      <c r="G1" s="9" t="s">
        <v>1275</v>
      </c>
      <c r="H1" s="9" t="s">
        <v>1276</v>
      </c>
      <c r="I1" s="9" t="s">
        <v>1277</v>
      </c>
      <c r="J1" s="9" t="s">
        <v>1278</v>
      </c>
      <c r="K1" s="9" t="s">
        <v>1279</v>
      </c>
      <c r="L1" s="9" t="s">
        <v>1280</v>
      </c>
      <c r="M1" s="9" t="s">
        <v>1282</v>
      </c>
      <c r="N1" s="9" t="s">
        <v>1283</v>
      </c>
      <c r="O1" s="9" t="s">
        <v>1284</v>
      </c>
      <c r="P1" s="9" t="s">
        <v>1285</v>
      </c>
      <c r="Q1" s="9" t="s">
        <v>1286</v>
      </c>
      <c r="R1" s="9" t="s">
        <v>1287</v>
      </c>
      <c r="S1" s="9" t="s">
        <v>1288</v>
      </c>
    </row>
    <row r="2" spans="1:19">
      <c r="A2" s="244">
        <v>1226384</v>
      </c>
      <c r="B2" s="9">
        <v>0</v>
      </c>
      <c r="C2" s="9">
        <v>0</v>
      </c>
      <c r="D2" s="9">
        <v>0</v>
      </c>
      <c r="E2" s="9">
        <v>0</v>
      </c>
      <c r="F2" s="9">
        <v>160</v>
      </c>
      <c r="G2" s="9">
        <v>350</v>
      </c>
      <c r="H2" s="9">
        <v>0</v>
      </c>
      <c r="I2" s="9">
        <v>250</v>
      </c>
      <c r="J2" s="9">
        <v>300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</row>
    <row r="3" spans="1:19">
      <c r="A3" s="244">
        <v>1226388</v>
      </c>
      <c r="B3" s="9">
        <v>0</v>
      </c>
      <c r="C3" s="9">
        <v>0</v>
      </c>
      <c r="D3" s="9">
        <v>0</v>
      </c>
      <c r="E3" s="9">
        <v>0</v>
      </c>
      <c r="F3" s="9">
        <v>160</v>
      </c>
      <c r="G3" s="9">
        <v>350</v>
      </c>
      <c r="H3" s="9">
        <v>0</v>
      </c>
      <c r="I3" s="9">
        <v>250</v>
      </c>
      <c r="J3" s="9">
        <v>300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19">
      <c r="A4" s="244">
        <v>1229673</v>
      </c>
      <c r="B4" s="9">
        <v>300</v>
      </c>
      <c r="C4" s="9">
        <v>0</v>
      </c>
      <c r="D4" s="9">
        <v>0</v>
      </c>
      <c r="E4" s="9">
        <v>0</v>
      </c>
      <c r="F4" s="9">
        <v>190</v>
      </c>
      <c r="G4" s="9">
        <v>110</v>
      </c>
      <c r="H4" s="9">
        <v>0</v>
      </c>
      <c r="I4" s="9">
        <v>200</v>
      </c>
      <c r="J4" s="9">
        <v>0</v>
      </c>
      <c r="K4" s="9">
        <v>0</v>
      </c>
      <c r="L4" s="9">
        <v>0</v>
      </c>
      <c r="M4" s="9">
        <v>0</v>
      </c>
      <c r="N4" s="9">
        <v>200</v>
      </c>
      <c r="O4" s="9">
        <v>200</v>
      </c>
      <c r="P4" s="9">
        <v>0</v>
      </c>
      <c r="Q4" s="9">
        <v>0</v>
      </c>
      <c r="R4" s="9">
        <v>0</v>
      </c>
      <c r="S4" s="9">
        <v>0</v>
      </c>
    </row>
    <row r="5" spans="1:19">
      <c r="A5" s="244">
        <v>1233492</v>
      </c>
      <c r="B5" s="9">
        <v>232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</row>
    <row r="6" spans="1:19">
      <c r="A6" s="244">
        <v>1233498</v>
      </c>
      <c r="B6" s="9">
        <v>232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</row>
    <row r="7" spans="1:19">
      <c r="A7" s="244">
        <v>1233623</v>
      </c>
      <c r="B7" s="9">
        <v>232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</row>
    <row r="8" spans="1:19">
      <c r="A8" s="244">
        <v>1237088</v>
      </c>
      <c r="B8" s="9">
        <v>1360</v>
      </c>
      <c r="C8" s="9">
        <v>0</v>
      </c>
      <c r="D8" s="9">
        <v>0</v>
      </c>
      <c r="E8" s="9">
        <v>0</v>
      </c>
      <c r="F8" s="9">
        <v>472</v>
      </c>
      <c r="G8" s="9">
        <v>496</v>
      </c>
      <c r="H8" s="9">
        <v>0</v>
      </c>
      <c r="I8" s="9">
        <v>716</v>
      </c>
      <c r="J8" s="9">
        <v>866</v>
      </c>
      <c r="K8" s="9">
        <v>0</v>
      </c>
      <c r="L8" s="9">
        <v>0</v>
      </c>
      <c r="M8" s="9">
        <v>562</v>
      </c>
      <c r="N8" s="9">
        <v>304</v>
      </c>
      <c r="O8" s="9">
        <v>634</v>
      </c>
      <c r="P8" s="9">
        <v>794</v>
      </c>
      <c r="Q8" s="9">
        <v>268</v>
      </c>
      <c r="R8" s="9">
        <v>0</v>
      </c>
      <c r="S8" s="9">
        <v>0</v>
      </c>
    </row>
    <row r="9" spans="1:19">
      <c r="A9" s="244">
        <v>1237748</v>
      </c>
      <c r="B9" s="9">
        <v>0</v>
      </c>
      <c r="C9" s="9">
        <v>0</v>
      </c>
      <c r="D9" s="9">
        <v>0</v>
      </c>
      <c r="E9" s="9">
        <v>0</v>
      </c>
      <c r="F9" s="9">
        <v>630</v>
      </c>
      <c r="G9" s="9">
        <v>150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>
      <c r="A10" s="244">
        <v>1236091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200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</row>
    <row r="11" spans="1:19">
      <c r="A11" s="244">
        <v>1234905</v>
      </c>
      <c r="B11" s="9">
        <v>0</v>
      </c>
      <c r="C11" s="9">
        <v>0</v>
      </c>
      <c r="D11" s="9">
        <v>0</v>
      </c>
      <c r="E11" s="9">
        <v>0</v>
      </c>
      <c r="F11" s="9">
        <v>210</v>
      </c>
      <c r="G11" s="9">
        <v>416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spans="1:19">
      <c r="A12" s="244">
        <v>1238128</v>
      </c>
      <c r="B12" s="9">
        <v>432</v>
      </c>
      <c r="C12" s="9">
        <v>0</v>
      </c>
      <c r="D12" s="9">
        <v>0</v>
      </c>
      <c r="E12" s="9">
        <v>0</v>
      </c>
      <c r="F12" s="9">
        <v>1372</v>
      </c>
      <c r="G12" s="9">
        <v>1642</v>
      </c>
      <c r="H12" s="9">
        <v>0</v>
      </c>
      <c r="I12" s="9">
        <v>1770</v>
      </c>
      <c r="J12" s="9">
        <v>2526</v>
      </c>
      <c r="K12" s="9">
        <v>0</v>
      </c>
      <c r="L12" s="9">
        <v>0</v>
      </c>
      <c r="M12" s="9">
        <v>1000</v>
      </c>
      <c r="N12" s="9">
        <v>1000</v>
      </c>
      <c r="O12" s="9">
        <v>1392</v>
      </c>
      <c r="P12" s="9">
        <v>1770</v>
      </c>
      <c r="Q12" s="9">
        <v>1770</v>
      </c>
      <c r="R12" s="9">
        <v>0</v>
      </c>
      <c r="S12" s="9">
        <v>0</v>
      </c>
    </row>
    <row r="13" spans="1:19">
      <c r="A13" s="244">
        <v>1236962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200</v>
      </c>
      <c r="O13" s="9">
        <v>0</v>
      </c>
      <c r="P13" s="9">
        <v>300</v>
      </c>
      <c r="Q13" s="9">
        <v>0</v>
      </c>
      <c r="R13" s="9">
        <v>0</v>
      </c>
      <c r="S13" s="9">
        <v>0</v>
      </c>
    </row>
    <row r="14" spans="1:19">
      <c r="A14" s="244">
        <v>1233761</v>
      </c>
      <c r="B14" s="9">
        <v>100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200</v>
      </c>
      <c r="R14" s="9">
        <v>0</v>
      </c>
      <c r="S14" s="9">
        <v>0</v>
      </c>
    </row>
    <row r="15" spans="1:19">
      <c r="A15" s="244">
        <v>1236930</v>
      </c>
      <c r="B15" s="9">
        <v>60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6" spans="1:19">
      <c r="A16" s="244">
        <v>1239651</v>
      </c>
      <c r="B16" s="9">
        <v>0</v>
      </c>
      <c r="C16" s="9">
        <v>0</v>
      </c>
      <c r="D16" s="9">
        <v>0</v>
      </c>
      <c r="E16" s="9">
        <v>0</v>
      </c>
      <c r="F16" s="9">
        <v>300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300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</row>
    <row r="17" spans="1:19">
      <c r="A17" s="244">
        <v>1240180</v>
      </c>
      <c r="B17" s="9">
        <v>136</v>
      </c>
      <c r="C17" s="9">
        <v>0</v>
      </c>
      <c r="D17" s="9">
        <v>0</v>
      </c>
      <c r="E17" s="9">
        <v>0</v>
      </c>
      <c r="F17" s="9">
        <v>50</v>
      </c>
      <c r="G17" s="9">
        <v>0</v>
      </c>
      <c r="H17" s="9">
        <v>0</v>
      </c>
      <c r="I17" s="9">
        <v>430</v>
      </c>
      <c r="J17" s="9">
        <v>736</v>
      </c>
      <c r="K17" s="9">
        <v>0</v>
      </c>
      <c r="L17" s="9">
        <v>0</v>
      </c>
      <c r="M17" s="9">
        <v>946</v>
      </c>
      <c r="N17" s="9">
        <v>972</v>
      </c>
      <c r="O17" s="9">
        <v>208</v>
      </c>
      <c r="P17" s="9">
        <v>430</v>
      </c>
      <c r="Q17" s="9">
        <v>430</v>
      </c>
      <c r="R17" s="9">
        <v>0</v>
      </c>
      <c r="S17" s="9">
        <v>0</v>
      </c>
    </row>
    <row r="18" spans="1:19">
      <c r="A18" s="244">
        <v>1240184</v>
      </c>
      <c r="B18" s="9">
        <v>136</v>
      </c>
      <c r="C18" s="9">
        <v>0</v>
      </c>
      <c r="D18" s="9">
        <v>0</v>
      </c>
      <c r="E18" s="9">
        <v>0</v>
      </c>
      <c r="F18" s="9">
        <v>50</v>
      </c>
      <c r="G18" s="9">
        <v>0</v>
      </c>
      <c r="H18" s="9">
        <v>0</v>
      </c>
      <c r="I18" s="9">
        <v>430</v>
      </c>
      <c r="J18" s="9">
        <v>736</v>
      </c>
      <c r="K18" s="9">
        <v>0</v>
      </c>
      <c r="L18" s="9">
        <v>0</v>
      </c>
      <c r="M18" s="9">
        <v>946</v>
      </c>
      <c r="N18" s="9">
        <v>972</v>
      </c>
      <c r="O18" s="9">
        <v>208</v>
      </c>
      <c r="P18" s="9">
        <v>230</v>
      </c>
      <c r="Q18" s="9">
        <v>430</v>
      </c>
      <c r="R18" s="9">
        <v>0</v>
      </c>
      <c r="S18" s="9">
        <v>0</v>
      </c>
    </row>
    <row r="19" spans="1:19">
      <c r="A19" s="244">
        <v>1240308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150</v>
      </c>
      <c r="N19" s="9">
        <v>300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</row>
    <row r="20" spans="1:19">
      <c r="A20" s="244">
        <v>1241601</v>
      </c>
      <c r="B20" s="9">
        <v>666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</row>
    <row r="21" spans="1:19">
      <c r="A21" s="244">
        <v>1242242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72</v>
      </c>
      <c r="P21" s="9">
        <v>0</v>
      </c>
      <c r="Q21" s="9">
        <v>0</v>
      </c>
      <c r="R21" s="9">
        <v>0</v>
      </c>
      <c r="S21" s="9">
        <v>0</v>
      </c>
    </row>
    <row r="26" spans="1:19">
      <c r="A26" s="244" t="s">
        <v>0</v>
      </c>
      <c r="B26" s="9" t="s">
        <v>1269</v>
      </c>
      <c r="C26" s="9" t="s">
        <v>1270</v>
      </c>
      <c r="D26" s="9" t="s">
        <v>1271</v>
      </c>
      <c r="E26" s="9" t="s">
        <v>1272</v>
      </c>
      <c r="F26" s="9" t="s">
        <v>1274</v>
      </c>
      <c r="G26" s="9" t="s">
        <v>1275</v>
      </c>
      <c r="H26" s="9" t="s">
        <v>1276</v>
      </c>
      <c r="I26" s="9" t="s">
        <v>1277</v>
      </c>
      <c r="J26" s="9" t="s">
        <v>1278</v>
      </c>
      <c r="K26" s="9" t="s">
        <v>1279</v>
      </c>
      <c r="L26" s="9" t="s">
        <v>1280</v>
      </c>
      <c r="M26" s="9" t="s">
        <v>1282</v>
      </c>
      <c r="N26" s="9" t="s">
        <v>1283</v>
      </c>
      <c r="O26" s="9" t="s">
        <v>1284</v>
      </c>
      <c r="P26" s="9" t="s">
        <v>1285</v>
      </c>
      <c r="Q26" s="9" t="s">
        <v>1286</v>
      </c>
      <c r="R26" s="9" t="s">
        <v>1287</v>
      </c>
      <c r="S26" s="9" t="s">
        <v>1288</v>
      </c>
    </row>
    <row r="27" spans="1:19">
      <c r="A27" s="244">
        <v>1237608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190</v>
      </c>
      <c r="J27" s="9">
        <v>180</v>
      </c>
      <c r="K27" s="9">
        <v>0</v>
      </c>
      <c r="L27" s="9">
        <v>0</v>
      </c>
      <c r="M27" s="9">
        <v>180</v>
      </c>
      <c r="N27" s="9">
        <v>50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</row>
    <row r="28" spans="1:19">
      <c r="A28" s="244">
        <v>1233165</v>
      </c>
      <c r="B28" s="9">
        <v>10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29" spans="1:19">
      <c r="A29" s="244">
        <v>1236110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115</v>
      </c>
      <c r="O29" s="9">
        <v>35</v>
      </c>
      <c r="P29" s="9">
        <v>0</v>
      </c>
      <c r="Q29" s="9">
        <v>0</v>
      </c>
      <c r="R29" s="9">
        <v>0</v>
      </c>
      <c r="S29" s="9">
        <v>0</v>
      </c>
    </row>
    <row r="30" spans="1:19">
      <c r="A30" s="244">
        <v>1232775</v>
      </c>
      <c r="B30" s="9">
        <v>225</v>
      </c>
      <c r="C30" s="9">
        <v>0</v>
      </c>
      <c r="D30" s="9">
        <v>0</v>
      </c>
      <c r="E30" s="9">
        <v>0</v>
      </c>
      <c r="F30" s="9">
        <v>254</v>
      </c>
      <c r="G30" s="9">
        <v>415</v>
      </c>
      <c r="H30" s="9">
        <v>0</v>
      </c>
      <c r="I30" s="9">
        <v>327</v>
      </c>
      <c r="J30" s="9">
        <v>242</v>
      </c>
      <c r="K30" s="9">
        <v>0</v>
      </c>
      <c r="L30" s="9">
        <v>0</v>
      </c>
      <c r="M30" s="9">
        <v>242</v>
      </c>
      <c r="N30" s="9">
        <v>239</v>
      </c>
      <c r="O30" s="9">
        <v>242</v>
      </c>
      <c r="P30" s="9">
        <v>245</v>
      </c>
      <c r="Q30" s="9">
        <v>242</v>
      </c>
      <c r="R30" s="9">
        <v>0</v>
      </c>
      <c r="S30" s="9">
        <v>0</v>
      </c>
    </row>
    <row r="31" spans="1:19">
      <c r="A31" s="244">
        <v>1238605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107</v>
      </c>
      <c r="J31" s="9">
        <v>191</v>
      </c>
      <c r="K31" s="9">
        <v>0</v>
      </c>
      <c r="L31" s="9">
        <v>0</v>
      </c>
      <c r="M31" s="9">
        <v>193</v>
      </c>
      <c r="N31" s="9">
        <v>191</v>
      </c>
      <c r="O31" s="9">
        <v>191</v>
      </c>
      <c r="P31" s="9">
        <v>191</v>
      </c>
      <c r="Q31" s="9">
        <v>191</v>
      </c>
      <c r="R31" s="9">
        <v>0</v>
      </c>
      <c r="S31" s="9">
        <v>0</v>
      </c>
    </row>
    <row r="36" spans="1:19">
      <c r="A36" s="244" t="s">
        <v>0</v>
      </c>
      <c r="B36" s="9" t="s">
        <v>1269</v>
      </c>
      <c r="C36" s="9" t="s">
        <v>1270</v>
      </c>
      <c r="D36" s="9" t="s">
        <v>1271</v>
      </c>
      <c r="E36" s="9" t="s">
        <v>1272</v>
      </c>
      <c r="F36" s="9" t="s">
        <v>1274</v>
      </c>
      <c r="G36" s="9" t="s">
        <v>1275</v>
      </c>
      <c r="H36" s="9" t="s">
        <v>1276</v>
      </c>
      <c r="I36" s="9" t="s">
        <v>1277</v>
      </c>
      <c r="J36" s="9" t="s">
        <v>1278</v>
      </c>
      <c r="K36" s="9" t="s">
        <v>1279</v>
      </c>
      <c r="L36" s="9" t="s">
        <v>1280</v>
      </c>
      <c r="M36" s="9" t="s">
        <v>1282</v>
      </c>
      <c r="N36" s="9" t="s">
        <v>1283</v>
      </c>
      <c r="O36" s="9" t="s">
        <v>1284</v>
      </c>
      <c r="P36" s="9" t="s">
        <v>1285</v>
      </c>
      <c r="Q36" s="9" t="s">
        <v>1286</v>
      </c>
      <c r="R36" s="9" t="s">
        <v>1287</v>
      </c>
      <c r="S36" s="9" t="s">
        <v>1288</v>
      </c>
    </row>
    <row r="37" spans="1:19">
      <c r="A37" s="244">
        <v>1234614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324</v>
      </c>
      <c r="P37" s="9">
        <v>0</v>
      </c>
      <c r="Q37" s="9">
        <v>0</v>
      </c>
      <c r="R37" s="9">
        <v>0</v>
      </c>
      <c r="S37" s="9">
        <v>0</v>
      </c>
    </row>
    <row r="38" spans="1:19">
      <c r="A38" s="244">
        <v>1206068</v>
      </c>
      <c r="B38" s="9">
        <v>574</v>
      </c>
      <c r="C38" s="9">
        <v>0</v>
      </c>
      <c r="D38" s="9">
        <v>0</v>
      </c>
      <c r="E38" s="9">
        <v>0</v>
      </c>
      <c r="F38" s="9">
        <v>254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244">
        <v>1227306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96</v>
      </c>
      <c r="J39" s="9">
        <v>204</v>
      </c>
      <c r="K39" s="9">
        <v>0</v>
      </c>
      <c r="L39" s="9">
        <v>0</v>
      </c>
      <c r="M39" s="9">
        <v>350</v>
      </c>
      <c r="N39" s="9">
        <v>300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244">
        <v>1229776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90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244">
        <v>1231090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237</v>
      </c>
      <c r="K41" s="9">
        <v>0</v>
      </c>
      <c r="L41" s="9">
        <v>0</v>
      </c>
      <c r="M41" s="9">
        <v>473</v>
      </c>
      <c r="N41" s="9">
        <v>0</v>
      </c>
      <c r="O41" s="9">
        <v>90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244">
        <v>1232066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306</v>
      </c>
      <c r="R42" s="9">
        <v>0</v>
      </c>
      <c r="S42" s="9">
        <v>0</v>
      </c>
    </row>
    <row r="43" spans="1:19">
      <c r="A43" s="244">
        <v>1232528</v>
      </c>
      <c r="B43" s="9">
        <v>2554</v>
      </c>
      <c r="C43" s="9">
        <v>0</v>
      </c>
      <c r="D43" s="9">
        <v>0</v>
      </c>
      <c r="E43" s="9">
        <v>0</v>
      </c>
      <c r="F43" s="9">
        <v>1869</v>
      </c>
      <c r="G43" s="9">
        <v>1882</v>
      </c>
      <c r="H43" s="9">
        <v>0</v>
      </c>
      <c r="I43" s="9">
        <v>1730</v>
      </c>
      <c r="J43" s="9">
        <v>1712</v>
      </c>
      <c r="K43" s="9">
        <v>0</v>
      </c>
      <c r="L43" s="9">
        <v>0</v>
      </c>
      <c r="M43" s="9">
        <v>1952</v>
      </c>
      <c r="N43" s="9">
        <v>2554</v>
      </c>
      <c r="O43" s="9">
        <v>1346</v>
      </c>
      <c r="P43" s="9">
        <v>1868</v>
      </c>
      <c r="Q43" s="9">
        <v>1868</v>
      </c>
      <c r="R43" s="9">
        <v>0</v>
      </c>
      <c r="S43" s="9">
        <v>0</v>
      </c>
    </row>
    <row r="44" spans="1:19">
      <c r="A44" s="244">
        <v>1232846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255</v>
      </c>
      <c r="Q44" s="9">
        <v>576</v>
      </c>
      <c r="R44" s="9">
        <v>0</v>
      </c>
      <c r="S44" s="9">
        <v>0</v>
      </c>
    </row>
    <row r="45" spans="1:19">
      <c r="A45" s="244">
        <v>1229050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269</v>
      </c>
      <c r="K45" s="9">
        <v>0</v>
      </c>
      <c r="L45" s="9">
        <v>0</v>
      </c>
      <c r="M45" s="9">
        <v>126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244">
        <v>1220847</v>
      </c>
      <c r="B46" s="9">
        <v>183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197</v>
      </c>
      <c r="K46" s="9">
        <v>0</v>
      </c>
      <c r="L46" s="9">
        <v>0</v>
      </c>
      <c r="M46" s="9">
        <v>467</v>
      </c>
      <c r="N46" s="9">
        <v>548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244">
        <v>1235097</v>
      </c>
      <c r="B47" s="9">
        <v>0</v>
      </c>
      <c r="C47" s="9">
        <v>0</v>
      </c>
      <c r="D47" s="9">
        <v>0</v>
      </c>
      <c r="E47" s="9">
        <v>0</v>
      </c>
      <c r="F47" s="9">
        <v>276</v>
      </c>
      <c r="G47" s="9">
        <v>24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spans="1:19">
      <c r="A48" s="244">
        <v>1235845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330</v>
      </c>
      <c r="R48" s="9">
        <v>0</v>
      </c>
      <c r="S48" s="9">
        <v>0</v>
      </c>
    </row>
    <row r="49" spans="1:19">
      <c r="A49" s="244">
        <v>1236930</v>
      </c>
      <c r="B49" s="9">
        <v>694</v>
      </c>
      <c r="C49" s="9">
        <v>0</v>
      </c>
      <c r="D49" s="9">
        <v>0</v>
      </c>
      <c r="E49" s="9">
        <v>0</v>
      </c>
      <c r="F49" s="9">
        <v>434</v>
      </c>
      <c r="G49" s="9">
        <v>49</v>
      </c>
      <c r="H49" s="9">
        <v>0</v>
      </c>
      <c r="I49" s="9">
        <v>83</v>
      </c>
      <c r="J49" s="9">
        <v>750</v>
      </c>
      <c r="K49" s="9">
        <v>0</v>
      </c>
      <c r="L49" s="9">
        <v>0</v>
      </c>
      <c r="M49" s="9">
        <v>453</v>
      </c>
      <c r="N49" s="9">
        <v>394</v>
      </c>
      <c r="O49" s="9">
        <v>350</v>
      </c>
      <c r="P49" s="9">
        <v>875</v>
      </c>
      <c r="Q49" s="9">
        <v>913</v>
      </c>
      <c r="R49" s="9">
        <v>0</v>
      </c>
      <c r="S49" s="9">
        <v>0</v>
      </c>
    </row>
    <row r="50" spans="1:19">
      <c r="A50" s="244">
        <v>1238480</v>
      </c>
      <c r="B50" s="9">
        <v>203</v>
      </c>
      <c r="C50" s="9">
        <v>0</v>
      </c>
      <c r="D50" s="9">
        <v>0</v>
      </c>
      <c r="E50" s="9">
        <v>0</v>
      </c>
      <c r="F50" s="9">
        <v>353</v>
      </c>
      <c r="G50" s="9">
        <v>374</v>
      </c>
      <c r="H50" s="9">
        <v>0</v>
      </c>
      <c r="I50" s="9">
        <v>728</v>
      </c>
      <c r="J50" s="9">
        <v>432</v>
      </c>
      <c r="K50" s="9">
        <v>0</v>
      </c>
      <c r="L50" s="9">
        <v>0</v>
      </c>
      <c r="M50" s="9">
        <v>0</v>
      </c>
      <c r="N50" s="9">
        <v>0</v>
      </c>
      <c r="O50" s="9">
        <v>664</v>
      </c>
      <c r="P50" s="9">
        <v>420</v>
      </c>
      <c r="Q50" s="9">
        <v>0</v>
      </c>
      <c r="R50" s="9">
        <v>0</v>
      </c>
      <c r="S50" s="9">
        <v>0</v>
      </c>
    </row>
    <row r="51" spans="1:19">
      <c r="A51" s="244">
        <v>1232775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392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244">
        <v>1240180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282</v>
      </c>
      <c r="H52" s="9">
        <v>0</v>
      </c>
      <c r="I52" s="9">
        <v>218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200</v>
      </c>
      <c r="P52" s="9">
        <v>0</v>
      </c>
      <c r="Q52" s="9">
        <v>0</v>
      </c>
      <c r="R52" s="9">
        <v>0</v>
      </c>
      <c r="S52" s="9">
        <v>0</v>
      </c>
    </row>
    <row r="53" spans="1:19">
      <c r="A53" s="244">
        <v>1240184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282</v>
      </c>
      <c r="H53" s="9">
        <v>0</v>
      </c>
      <c r="I53" s="9">
        <v>218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200</v>
      </c>
      <c r="P53" s="9">
        <v>0</v>
      </c>
      <c r="Q53" s="9">
        <v>0</v>
      </c>
      <c r="R53" s="9">
        <v>0</v>
      </c>
      <c r="S53" s="9">
        <v>0</v>
      </c>
    </row>
    <row r="54" spans="1:19">
      <c r="A54" s="244">
        <v>1237468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468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</row>
    <row r="55" spans="1:19">
      <c r="A55" s="244">
        <v>1241480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119</v>
      </c>
      <c r="P55" s="9">
        <v>0</v>
      </c>
      <c r="Q55" s="9">
        <v>0</v>
      </c>
      <c r="R55" s="9">
        <v>0</v>
      </c>
      <c r="S55" s="9">
        <v>0</v>
      </c>
    </row>
    <row r="56" spans="1:19">
      <c r="A56" s="244">
        <v>1241474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81</v>
      </c>
      <c r="K56" s="9">
        <v>0</v>
      </c>
      <c r="L56" s="9">
        <v>0</v>
      </c>
      <c r="M56" s="9">
        <v>11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19">
      <c r="A57" s="244">
        <v>1241387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107</v>
      </c>
      <c r="P57" s="9">
        <v>0</v>
      </c>
      <c r="Q57" s="9">
        <v>0</v>
      </c>
      <c r="R57" s="9">
        <v>0</v>
      </c>
      <c r="S57" s="9">
        <v>0</v>
      </c>
    </row>
    <row r="58" spans="1:19">
      <c r="A58" s="244">
        <v>1216452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717</v>
      </c>
      <c r="J58" s="9">
        <v>1050</v>
      </c>
      <c r="K58" s="9">
        <v>0</v>
      </c>
      <c r="L58" s="9">
        <v>0</v>
      </c>
      <c r="M58" s="9">
        <v>737</v>
      </c>
      <c r="N58" s="9">
        <v>0</v>
      </c>
      <c r="O58" s="9">
        <v>0</v>
      </c>
      <c r="P58" s="9">
        <v>737</v>
      </c>
      <c r="Q58" s="9">
        <v>0</v>
      </c>
      <c r="R58" s="9">
        <v>0</v>
      </c>
      <c r="S58" s="9">
        <v>0</v>
      </c>
    </row>
    <row r="59" spans="1:19">
      <c r="A59" s="244">
        <v>1232894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255</v>
      </c>
      <c r="Q59" s="9">
        <v>576</v>
      </c>
      <c r="R59" s="9">
        <v>0</v>
      </c>
      <c r="S59" s="9">
        <v>0</v>
      </c>
    </row>
    <row r="60" spans="1:19">
      <c r="A60" s="244">
        <v>1233387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255</v>
      </c>
      <c r="Q60" s="9">
        <v>0</v>
      </c>
      <c r="R60" s="9">
        <v>0</v>
      </c>
      <c r="S60" s="9">
        <v>0</v>
      </c>
    </row>
    <row r="61" spans="1:19">
      <c r="A61" s="244">
        <v>1233385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576</v>
      </c>
      <c r="R61" s="9">
        <v>0</v>
      </c>
      <c r="S61" s="9">
        <v>0</v>
      </c>
    </row>
  </sheetData>
  <phoneticPr fontId="11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D4BC-BF55-4C36-9813-887C3014653C}">
  <dimension ref="A1:T53"/>
  <sheetViews>
    <sheetView zoomScale="160" zoomScaleNormal="160" workbookViewId="0">
      <selection activeCell="I8" sqref="I8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20" width="9.33203125" style="9"/>
    <col min="21" max="16384" width="9.33203125" style="5"/>
  </cols>
  <sheetData>
    <row r="1" spans="1:18">
      <c r="A1" s="74" t="s">
        <v>0</v>
      </c>
      <c r="B1" s="69" t="s">
        <v>1270</v>
      </c>
      <c r="C1" s="69" t="s">
        <v>1271</v>
      </c>
      <c r="D1" s="70" t="s">
        <v>1272</v>
      </c>
      <c r="E1" s="69" t="s">
        <v>1274</v>
      </c>
      <c r="F1" s="69" t="s">
        <v>1275</v>
      </c>
      <c r="G1" s="69" t="s">
        <v>1276</v>
      </c>
      <c r="H1" s="69" t="s">
        <v>1277</v>
      </c>
      <c r="I1" s="69" t="s">
        <v>1278</v>
      </c>
      <c r="J1" s="69" t="s">
        <v>1279</v>
      </c>
      <c r="K1" s="70" t="s">
        <v>1280</v>
      </c>
      <c r="L1" s="69" t="s">
        <v>1282</v>
      </c>
      <c r="M1" s="69" t="s">
        <v>1283</v>
      </c>
      <c r="N1" s="69" t="s">
        <v>1284</v>
      </c>
      <c r="O1" s="69" t="s">
        <v>1285</v>
      </c>
      <c r="P1" s="69" t="s">
        <v>1286</v>
      </c>
      <c r="Q1" s="69" t="s">
        <v>1287</v>
      </c>
      <c r="R1" s="70" t="s">
        <v>1288</v>
      </c>
    </row>
    <row r="2" spans="1:18">
      <c r="A2" s="30">
        <v>1226384</v>
      </c>
      <c r="B2" s="32">
        <v>0</v>
      </c>
      <c r="C2" s="32">
        <v>0</v>
      </c>
      <c r="D2" s="32">
        <v>0</v>
      </c>
      <c r="E2" s="32">
        <v>160</v>
      </c>
      <c r="F2" s="32">
        <v>350</v>
      </c>
      <c r="G2" s="32">
        <v>0</v>
      </c>
      <c r="H2" s="32">
        <v>250</v>
      </c>
      <c r="I2" s="32">
        <v>300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</row>
    <row r="3" spans="1:18">
      <c r="A3" s="30">
        <v>1226388</v>
      </c>
      <c r="B3" s="32">
        <v>0</v>
      </c>
      <c r="C3" s="32">
        <v>0</v>
      </c>
      <c r="D3" s="32">
        <v>0</v>
      </c>
      <c r="E3" s="32">
        <v>160</v>
      </c>
      <c r="F3" s="32">
        <v>350</v>
      </c>
      <c r="G3" s="32">
        <v>0</v>
      </c>
      <c r="H3" s="32">
        <v>250</v>
      </c>
      <c r="I3" s="32">
        <v>300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</row>
    <row r="4" spans="1:18">
      <c r="A4" s="30">
        <v>1229673</v>
      </c>
      <c r="B4" s="32">
        <v>0</v>
      </c>
      <c r="C4" s="32">
        <v>0</v>
      </c>
      <c r="D4" s="32">
        <v>0</v>
      </c>
      <c r="E4" s="32">
        <v>190</v>
      </c>
      <c r="F4" s="32">
        <v>110</v>
      </c>
      <c r="G4" s="32">
        <v>0</v>
      </c>
      <c r="H4" s="32">
        <v>200</v>
      </c>
      <c r="I4" s="32">
        <v>0</v>
      </c>
      <c r="J4" s="32">
        <v>0</v>
      </c>
      <c r="K4" s="32">
        <v>0</v>
      </c>
      <c r="L4" s="32">
        <v>0</v>
      </c>
      <c r="M4" s="32">
        <v>200</v>
      </c>
      <c r="N4" s="32">
        <v>200</v>
      </c>
      <c r="O4" s="32">
        <v>0</v>
      </c>
      <c r="P4" s="32">
        <v>0</v>
      </c>
      <c r="Q4" s="32">
        <v>0</v>
      </c>
      <c r="R4" s="32">
        <v>0</v>
      </c>
    </row>
    <row r="5" spans="1:18">
      <c r="A5" s="30">
        <v>1237088</v>
      </c>
      <c r="B5" s="32">
        <v>0</v>
      </c>
      <c r="C5" s="32">
        <v>0</v>
      </c>
      <c r="D5" s="32">
        <v>0</v>
      </c>
      <c r="E5" s="32">
        <v>472</v>
      </c>
      <c r="F5" s="32">
        <v>496</v>
      </c>
      <c r="G5" s="32">
        <v>0</v>
      </c>
      <c r="H5" s="32">
        <v>716</v>
      </c>
      <c r="I5" s="32">
        <v>866</v>
      </c>
      <c r="J5" s="32">
        <v>0</v>
      </c>
      <c r="K5" s="32">
        <v>0</v>
      </c>
      <c r="L5" s="32">
        <v>562</v>
      </c>
      <c r="M5" s="32">
        <v>304</v>
      </c>
      <c r="N5" s="32">
        <v>634</v>
      </c>
      <c r="O5" s="32">
        <v>794</v>
      </c>
      <c r="P5" s="32">
        <v>268</v>
      </c>
      <c r="Q5" s="32">
        <v>0</v>
      </c>
      <c r="R5" s="32">
        <v>0</v>
      </c>
    </row>
    <row r="6" spans="1:18">
      <c r="A6" s="30">
        <v>1237748</v>
      </c>
      <c r="B6" s="32">
        <v>0</v>
      </c>
      <c r="C6" s="32">
        <v>0</v>
      </c>
      <c r="D6" s="32">
        <v>0</v>
      </c>
      <c r="E6" s="32">
        <v>630</v>
      </c>
      <c r="F6" s="32">
        <v>150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</row>
    <row r="7" spans="1:18">
      <c r="A7" s="30">
        <v>1236091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200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</row>
    <row r="8" spans="1:18">
      <c r="A8" s="30">
        <v>1234905</v>
      </c>
      <c r="B8" s="32">
        <v>0</v>
      </c>
      <c r="C8" s="32">
        <v>0</v>
      </c>
      <c r="D8" s="32">
        <v>0</v>
      </c>
      <c r="E8" s="32">
        <v>210</v>
      </c>
      <c r="F8" s="32">
        <v>416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</row>
    <row r="9" spans="1:18">
      <c r="A9" s="30">
        <v>1238128</v>
      </c>
      <c r="B9" s="32">
        <v>0</v>
      </c>
      <c r="C9" s="32">
        <v>0</v>
      </c>
      <c r="D9" s="32">
        <v>0</v>
      </c>
      <c r="E9" s="32">
        <v>1372</v>
      </c>
      <c r="F9" s="32">
        <v>1642</v>
      </c>
      <c r="G9" s="32">
        <v>0</v>
      </c>
      <c r="H9" s="32">
        <v>1770</v>
      </c>
      <c r="I9" s="32">
        <v>2526</v>
      </c>
      <c r="J9" s="32">
        <v>0</v>
      </c>
      <c r="K9" s="32">
        <v>0</v>
      </c>
      <c r="L9" s="32">
        <v>1000</v>
      </c>
      <c r="M9" s="32">
        <v>1000</v>
      </c>
      <c r="N9" s="32">
        <v>1392</v>
      </c>
      <c r="O9" s="32">
        <v>1770</v>
      </c>
      <c r="P9" s="32">
        <v>1770</v>
      </c>
      <c r="Q9" s="32">
        <v>0</v>
      </c>
      <c r="R9" s="32">
        <v>0</v>
      </c>
    </row>
    <row r="10" spans="1:18">
      <c r="A10" s="30">
        <v>1236962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200</v>
      </c>
      <c r="N10" s="32">
        <v>0</v>
      </c>
      <c r="O10" s="32">
        <v>300</v>
      </c>
      <c r="P10" s="32">
        <v>0</v>
      </c>
      <c r="Q10" s="32">
        <v>0</v>
      </c>
      <c r="R10" s="32">
        <v>0</v>
      </c>
    </row>
    <row r="11" spans="1:18">
      <c r="A11" s="30">
        <v>1233761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200</v>
      </c>
      <c r="Q11" s="32">
        <v>0</v>
      </c>
      <c r="R11" s="32">
        <v>0</v>
      </c>
    </row>
    <row r="12" spans="1:18">
      <c r="A12" s="30">
        <v>1239651</v>
      </c>
      <c r="B12" s="32">
        <v>0</v>
      </c>
      <c r="C12" s="32">
        <v>0</v>
      </c>
      <c r="D12" s="32">
        <v>0</v>
      </c>
      <c r="E12" s="32">
        <v>300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300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</row>
    <row r="13" spans="1:18">
      <c r="A13" s="30">
        <v>1240180</v>
      </c>
      <c r="B13" s="32">
        <v>0</v>
      </c>
      <c r="C13" s="32">
        <v>0</v>
      </c>
      <c r="D13" s="32">
        <v>0</v>
      </c>
      <c r="E13" s="32">
        <v>50</v>
      </c>
      <c r="F13" s="32">
        <v>0</v>
      </c>
      <c r="G13" s="32">
        <v>0</v>
      </c>
      <c r="H13" s="32">
        <v>430</v>
      </c>
      <c r="I13" s="32">
        <v>736</v>
      </c>
      <c r="J13" s="32">
        <v>0</v>
      </c>
      <c r="K13" s="32">
        <v>0</v>
      </c>
      <c r="L13" s="32">
        <v>946</v>
      </c>
      <c r="M13" s="32">
        <v>972</v>
      </c>
      <c r="N13" s="32">
        <v>208</v>
      </c>
      <c r="O13" s="32">
        <v>430</v>
      </c>
      <c r="P13" s="32">
        <v>430</v>
      </c>
      <c r="Q13" s="32">
        <v>0</v>
      </c>
      <c r="R13" s="32">
        <v>0</v>
      </c>
    </row>
    <row r="14" spans="1:18">
      <c r="A14" s="30">
        <v>1240184</v>
      </c>
      <c r="B14" s="32">
        <v>0</v>
      </c>
      <c r="C14" s="32">
        <v>0</v>
      </c>
      <c r="D14" s="32">
        <v>0</v>
      </c>
      <c r="E14" s="32">
        <v>50</v>
      </c>
      <c r="F14" s="32">
        <v>0</v>
      </c>
      <c r="G14" s="32">
        <v>0</v>
      </c>
      <c r="H14" s="32">
        <v>430</v>
      </c>
      <c r="I14" s="32">
        <v>736</v>
      </c>
      <c r="J14" s="32">
        <v>0</v>
      </c>
      <c r="K14" s="32">
        <v>0</v>
      </c>
      <c r="L14" s="32">
        <v>946</v>
      </c>
      <c r="M14" s="32">
        <v>972</v>
      </c>
      <c r="N14" s="32">
        <v>208</v>
      </c>
      <c r="O14" s="32">
        <v>230</v>
      </c>
      <c r="P14" s="32">
        <v>430</v>
      </c>
      <c r="Q14" s="32">
        <v>0</v>
      </c>
      <c r="R14" s="32">
        <v>0</v>
      </c>
    </row>
    <row r="15" spans="1:18">
      <c r="A15" s="30">
        <v>1240308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150</v>
      </c>
      <c r="M15" s="32">
        <v>300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</row>
    <row r="16" spans="1:18">
      <c r="A16" s="30">
        <v>1242242</v>
      </c>
      <c r="B16" s="32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72</v>
      </c>
      <c r="O16" s="32">
        <v>0</v>
      </c>
      <c r="P16" s="32">
        <v>0</v>
      </c>
      <c r="Q16" s="32">
        <v>0</v>
      </c>
      <c r="R16" s="32">
        <v>0</v>
      </c>
    </row>
    <row r="20" spans="1:20">
      <c r="A20" s="5" t="s">
        <v>0</v>
      </c>
      <c r="B20" s="9" t="s">
        <v>1270</v>
      </c>
      <c r="C20" s="9" t="s">
        <v>1271</v>
      </c>
      <c r="D20" s="9" t="s">
        <v>1272</v>
      </c>
      <c r="E20" s="9" t="s">
        <v>1274</v>
      </c>
      <c r="F20" s="9" t="s">
        <v>1275</v>
      </c>
      <c r="G20" s="9" t="s">
        <v>1276</v>
      </c>
      <c r="H20" s="9" t="s">
        <v>1277</v>
      </c>
      <c r="I20" s="9" t="s">
        <v>1278</v>
      </c>
      <c r="J20" s="9" t="s">
        <v>1279</v>
      </c>
      <c r="K20" s="9" t="s">
        <v>1280</v>
      </c>
      <c r="L20" s="9" t="s">
        <v>1282</v>
      </c>
      <c r="M20" s="9" t="s">
        <v>1283</v>
      </c>
      <c r="N20" s="9" t="s">
        <v>1284</v>
      </c>
      <c r="O20" s="9" t="s">
        <v>1285</v>
      </c>
      <c r="P20" s="9" t="s">
        <v>1286</v>
      </c>
      <c r="Q20" s="9" t="s">
        <v>1287</v>
      </c>
      <c r="R20" s="9" t="s">
        <v>1288</v>
      </c>
    </row>
    <row r="21" spans="1:20">
      <c r="A21" s="5">
        <v>1237608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190</v>
      </c>
      <c r="I21" s="9">
        <v>180</v>
      </c>
      <c r="J21" s="9">
        <v>0</v>
      </c>
      <c r="K21" s="9">
        <v>0</v>
      </c>
      <c r="L21" s="9">
        <v>180</v>
      </c>
      <c r="M21" s="9">
        <v>50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</row>
    <row r="22" spans="1:20">
      <c r="A22" s="5">
        <v>1236110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115</v>
      </c>
      <c r="N22" s="9">
        <v>35</v>
      </c>
      <c r="O22" s="9">
        <v>0</v>
      </c>
      <c r="P22" s="9">
        <v>0</v>
      </c>
      <c r="Q22" s="9">
        <v>0</v>
      </c>
      <c r="R22" s="9">
        <v>0</v>
      </c>
    </row>
    <row r="23" spans="1:20">
      <c r="A23" s="5">
        <v>1232775</v>
      </c>
      <c r="B23" s="9">
        <v>0</v>
      </c>
      <c r="C23" s="9">
        <v>0</v>
      </c>
      <c r="D23" s="9">
        <v>0</v>
      </c>
      <c r="E23" s="9">
        <v>254</v>
      </c>
      <c r="F23" s="9">
        <v>415</v>
      </c>
      <c r="G23" s="9">
        <v>0</v>
      </c>
      <c r="H23" s="9">
        <v>327</v>
      </c>
      <c r="I23" s="9">
        <v>242</v>
      </c>
      <c r="J23" s="9">
        <v>0</v>
      </c>
      <c r="K23" s="9">
        <v>0</v>
      </c>
      <c r="L23" s="9">
        <v>242</v>
      </c>
      <c r="M23" s="9">
        <v>239</v>
      </c>
      <c r="N23" s="9">
        <v>242</v>
      </c>
      <c r="O23" s="9">
        <v>245</v>
      </c>
      <c r="P23" s="9">
        <v>242</v>
      </c>
      <c r="Q23" s="9">
        <v>0</v>
      </c>
      <c r="R23" s="9">
        <v>0</v>
      </c>
    </row>
    <row r="24" spans="1:20">
      <c r="A24" s="5">
        <v>1238605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107</v>
      </c>
      <c r="I24" s="9">
        <v>191</v>
      </c>
      <c r="J24" s="9">
        <v>0</v>
      </c>
      <c r="K24" s="9">
        <v>0</v>
      </c>
      <c r="L24" s="9">
        <v>193</v>
      </c>
      <c r="M24" s="9">
        <v>191</v>
      </c>
      <c r="N24" s="9">
        <v>191</v>
      </c>
      <c r="O24" s="9">
        <v>191</v>
      </c>
      <c r="P24" s="9">
        <v>191</v>
      </c>
      <c r="Q24" s="9">
        <v>0</v>
      </c>
      <c r="R24" s="9">
        <v>0</v>
      </c>
    </row>
    <row r="28" spans="1:20">
      <c r="A28" s="5" t="s">
        <v>0</v>
      </c>
      <c r="B28" s="9" t="s">
        <v>1270</v>
      </c>
      <c r="C28" s="9" t="s">
        <v>1271</v>
      </c>
      <c r="D28" s="9" t="s">
        <v>1272</v>
      </c>
      <c r="E28" s="9" t="s">
        <v>1274</v>
      </c>
      <c r="F28" s="9" t="s">
        <v>1275</v>
      </c>
      <c r="G28" s="9" t="s">
        <v>1276</v>
      </c>
      <c r="H28" s="9" t="s">
        <v>1277</v>
      </c>
      <c r="I28" s="9" t="s">
        <v>1278</v>
      </c>
      <c r="J28" s="9" t="s">
        <v>1279</v>
      </c>
      <c r="K28" s="9" t="s">
        <v>1280</v>
      </c>
      <c r="L28" s="9" t="s">
        <v>1282</v>
      </c>
      <c r="M28" s="9" t="s">
        <v>1283</v>
      </c>
      <c r="N28" s="9" t="s">
        <v>1284</v>
      </c>
      <c r="O28" s="9" t="s">
        <v>1285</v>
      </c>
      <c r="P28" s="9" t="s">
        <v>1286</v>
      </c>
      <c r="Q28" s="9" t="s">
        <v>1287</v>
      </c>
      <c r="R28" s="9" t="s">
        <v>1288</v>
      </c>
    </row>
    <row r="29" spans="1:20">
      <c r="A29" s="5">
        <v>1234614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324</v>
      </c>
      <c r="O29" s="9">
        <v>0</v>
      </c>
      <c r="P29" s="9">
        <v>0</v>
      </c>
      <c r="Q29" s="9">
        <v>0</v>
      </c>
      <c r="R29" s="9">
        <v>0</v>
      </c>
    </row>
    <row r="30" spans="1:20">
      <c r="A30" s="5">
        <v>1206068</v>
      </c>
      <c r="B30" s="9">
        <v>0</v>
      </c>
      <c r="C30" s="9">
        <v>0</v>
      </c>
      <c r="D30" s="9">
        <v>0</v>
      </c>
      <c r="E30" s="9">
        <v>254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20" s="20" customFormat="1">
      <c r="A31" s="20">
        <v>1227306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96</v>
      </c>
      <c r="I31" s="10">
        <v>204</v>
      </c>
      <c r="J31" s="10">
        <v>0</v>
      </c>
      <c r="K31" s="10">
        <v>0</v>
      </c>
      <c r="L31" s="10">
        <v>350</v>
      </c>
      <c r="M31" s="10">
        <v>300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/>
      <c r="T31" s="10"/>
    </row>
    <row r="32" spans="1:20">
      <c r="A32" s="5">
        <v>1229776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90</v>
      </c>
      <c r="O32" s="9">
        <v>0</v>
      </c>
      <c r="P32" s="9">
        <v>0</v>
      </c>
      <c r="Q32" s="9">
        <v>0</v>
      </c>
      <c r="R32" s="9">
        <v>0</v>
      </c>
    </row>
    <row r="33" spans="1:18">
      <c r="A33" s="5">
        <v>1231090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237</v>
      </c>
      <c r="J33" s="9">
        <v>0</v>
      </c>
      <c r="K33" s="9">
        <v>0</v>
      </c>
      <c r="L33" s="9">
        <v>473</v>
      </c>
      <c r="M33" s="9">
        <v>0</v>
      </c>
      <c r="N33" s="9">
        <v>90</v>
      </c>
      <c r="O33" s="9">
        <v>0</v>
      </c>
      <c r="P33" s="9">
        <v>450</v>
      </c>
      <c r="Q33" s="9">
        <v>0</v>
      </c>
      <c r="R33" s="9">
        <v>0</v>
      </c>
    </row>
    <row r="34" spans="1:18">
      <c r="A34" s="5">
        <v>1232066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306</v>
      </c>
      <c r="Q34" s="9">
        <v>0</v>
      </c>
      <c r="R34" s="9">
        <v>0</v>
      </c>
    </row>
    <row r="35" spans="1:18">
      <c r="A35" s="5">
        <v>1232528</v>
      </c>
      <c r="B35" s="9">
        <v>0</v>
      </c>
      <c r="C35" s="9">
        <v>0</v>
      </c>
      <c r="D35" s="9">
        <v>0</v>
      </c>
      <c r="E35" s="9">
        <v>1869</v>
      </c>
      <c r="F35" s="9">
        <v>1882</v>
      </c>
      <c r="G35" s="9">
        <v>0</v>
      </c>
      <c r="H35" s="9">
        <v>1730</v>
      </c>
      <c r="I35" s="9">
        <v>1712</v>
      </c>
      <c r="J35" s="9">
        <v>0</v>
      </c>
      <c r="K35" s="9">
        <v>0</v>
      </c>
      <c r="L35" s="9">
        <v>1952</v>
      </c>
      <c r="M35" s="9">
        <v>2554</v>
      </c>
      <c r="N35" s="9">
        <v>1346</v>
      </c>
      <c r="O35" s="9">
        <v>1868</v>
      </c>
      <c r="P35" s="9">
        <v>4938</v>
      </c>
      <c r="Q35" s="9">
        <v>0</v>
      </c>
      <c r="R35" s="9">
        <v>0</v>
      </c>
    </row>
    <row r="36" spans="1:18">
      <c r="A36" s="5">
        <v>1232846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255</v>
      </c>
      <c r="P36" s="9">
        <v>576</v>
      </c>
      <c r="Q36" s="9">
        <v>0</v>
      </c>
      <c r="R36" s="9">
        <v>0</v>
      </c>
    </row>
    <row r="37" spans="1:18">
      <c r="A37" s="5">
        <v>1229050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269</v>
      </c>
      <c r="J37" s="9">
        <v>0</v>
      </c>
      <c r="K37" s="9">
        <v>0</v>
      </c>
      <c r="L37" s="9">
        <v>126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</row>
    <row r="38" spans="1:18">
      <c r="A38" s="5">
        <v>1220847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197</v>
      </c>
      <c r="J38" s="9">
        <v>0</v>
      </c>
      <c r="K38" s="9">
        <v>0</v>
      </c>
      <c r="L38" s="9">
        <v>467</v>
      </c>
      <c r="M38" s="9">
        <v>548</v>
      </c>
      <c r="N38" s="9">
        <v>0</v>
      </c>
      <c r="O38" s="9">
        <v>0</v>
      </c>
      <c r="P38" s="9">
        <v>2323</v>
      </c>
      <c r="Q38" s="9">
        <v>0</v>
      </c>
      <c r="R38" s="9">
        <v>0</v>
      </c>
    </row>
    <row r="39" spans="1:18">
      <c r="A39" s="5">
        <v>1235097</v>
      </c>
      <c r="B39" s="9">
        <v>0</v>
      </c>
      <c r="C39" s="9">
        <v>0</v>
      </c>
      <c r="D39" s="9">
        <v>0</v>
      </c>
      <c r="E39" s="9">
        <v>276</v>
      </c>
      <c r="F39" s="9">
        <v>24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</row>
    <row r="40" spans="1:18">
      <c r="A40" s="5">
        <v>1235845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330</v>
      </c>
      <c r="Q40" s="9">
        <v>0</v>
      </c>
      <c r="R40" s="9">
        <v>0</v>
      </c>
    </row>
    <row r="41" spans="1:18">
      <c r="A41" s="5">
        <v>1236930</v>
      </c>
      <c r="B41" s="9">
        <v>0</v>
      </c>
      <c r="C41" s="9">
        <v>0</v>
      </c>
      <c r="D41" s="9">
        <v>0</v>
      </c>
      <c r="E41" s="9">
        <v>434</v>
      </c>
      <c r="F41" s="9">
        <v>49</v>
      </c>
      <c r="G41" s="9">
        <v>0</v>
      </c>
      <c r="H41" s="9">
        <v>83</v>
      </c>
      <c r="I41" s="9">
        <v>750</v>
      </c>
      <c r="J41" s="9">
        <v>0</v>
      </c>
      <c r="K41" s="9">
        <v>0</v>
      </c>
      <c r="L41" s="9">
        <v>453</v>
      </c>
      <c r="M41" s="9">
        <v>394</v>
      </c>
      <c r="N41" s="9">
        <v>350</v>
      </c>
      <c r="O41" s="9">
        <v>875</v>
      </c>
      <c r="P41" s="9">
        <v>1093</v>
      </c>
      <c r="Q41" s="9">
        <v>0</v>
      </c>
      <c r="R41" s="9">
        <v>0</v>
      </c>
    </row>
    <row r="42" spans="1:18">
      <c r="A42" s="5">
        <v>1238480</v>
      </c>
      <c r="B42" s="9">
        <v>0</v>
      </c>
      <c r="C42" s="9">
        <v>0</v>
      </c>
      <c r="D42" s="9">
        <v>0</v>
      </c>
      <c r="E42" s="9">
        <v>353</v>
      </c>
      <c r="F42" s="9">
        <v>374</v>
      </c>
      <c r="G42" s="9">
        <v>0</v>
      </c>
      <c r="H42" s="9">
        <v>728</v>
      </c>
      <c r="I42" s="9">
        <v>432</v>
      </c>
      <c r="J42" s="9">
        <v>0</v>
      </c>
      <c r="K42" s="9">
        <v>0</v>
      </c>
      <c r="L42" s="9">
        <v>0</v>
      </c>
      <c r="M42" s="9">
        <v>0</v>
      </c>
      <c r="N42" s="9">
        <v>664</v>
      </c>
      <c r="O42" s="9">
        <v>420</v>
      </c>
      <c r="P42" s="9">
        <v>510</v>
      </c>
      <c r="Q42" s="9">
        <v>0</v>
      </c>
      <c r="R42" s="9">
        <v>0</v>
      </c>
    </row>
    <row r="43" spans="1:18">
      <c r="A43" s="5">
        <v>1232775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392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>
      <c r="A44" s="5">
        <v>1240180</v>
      </c>
      <c r="B44" s="9">
        <v>0</v>
      </c>
      <c r="C44" s="9">
        <v>0</v>
      </c>
      <c r="D44" s="9">
        <v>0</v>
      </c>
      <c r="E44" s="9">
        <v>0</v>
      </c>
      <c r="F44" s="9">
        <v>282</v>
      </c>
      <c r="G44" s="9">
        <v>0</v>
      </c>
      <c r="H44" s="9">
        <v>218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200</v>
      </c>
      <c r="O44" s="9">
        <v>0</v>
      </c>
      <c r="P44" s="9">
        <v>0</v>
      </c>
      <c r="Q44" s="9">
        <v>0</v>
      </c>
      <c r="R44" s="9">
        <v>0</v>
      </c>
    </row>
    <row r="45" spans="1:18">
      <c r="A45" s="5">
        <v>1240184</v>
      </c>
      <c r="B45" s="9">
        <v>0</v>
      </c>
      <c r="C45" s="9">
        <v>0</v>
      </c>
      <c r="D45" s="9">
        <v>0</v>
      </c>
      <c r="E45" s="9">
        <v>0</v>
      </c>
      <c r="F45" s="9">
        <v>282</v>
      </c>
      <c r="G45" s="9">
        <v>0</v>
      </c>
      <c r="H45" s="9">
        <v>218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200</v>
      </c>
      <c r="O45" s="9">
        <v>0</v>
      </c>
      <c r="P45" s="9">
        <v>0</v>
      </c>
      <c r="Q45" s="9">
        <v>0</v>
      </c>
      <c r="R45" s="9">
        <v>0</v>
      </c>
    </row>
    <row r="46" spans="1:18">
      <c r="A46" s="5">
        <v>1237468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468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>
      <c r="A47" s="5">
        <v>1241480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119</v>
      </c>
      <c r="O47" s="9">
        <v>0</v>
      </c>
      <c r="P47" s="9">
        <v>0</v>
      </c>
      <c r="Q47" s="9">
        <v>0</v>
      </c>
      <c r="R47" s="9">
        <v>0</v>
      </c>
    </row>
    <row r="48" spans="1:18">
      <c r="A48" s="5">
        <v>1241474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81</v>
      </c>
      <c r="J48" s="9">
        <v>0</v>
      </c>
      <c r="K48" s="9">
        <v>0</v>
      </c>
      <c r="L48" s="9">
        <v>11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>
      <c r="A49" s="5">
        <v>1241387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107</v>
      </c>
      <c r="O49" s="9">
        <v>0</v>
      </c>
      <c r="P49" s="9">
        <v>0</v>
      </c>
      <c r="Q49" s="9">
        <v>0</v>
      </c>
      <c r="R49" s="9">
        <v>0</v>
      </c>
    </row>
    <row r="50" spans="1:18">
      <c r="A50" s="5">
        <v>1216452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816</v>
      </c>
      <c r="I50" s="9">
        <v>1050</v>
      </c>
      <c r="J50" s="9">
        <v>0</v>
      </c>
      <c r="K50" s="9">
        <v>0</v>
      </c>
      <c r="L50" s="9">
        <v>737</v>
      </c>
      <c r="M50" s="9">
        <v>0</v>
      </c>
      <c r="N50" s="9">
        <v>0</v>
      </c>
      <c r="O50" s="9">
        <v>737</v>
      </c>
      <c r="P50" s="9">
        <v>0</v>
      </c>
      <c r="Q50" s="9">
        <v>0</v>
      </c>
      <c r="R50" s="9">
        <v>0</v>
      </c>
    </row>
    <row r="51" spans="1:18">
      <c r="A51" s="5">
        <v>1232894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255</v>
      </c>
      <c r="P51" s="9">
        <v>576</v>
      </c>
      <c r="Q51" s="9">
        <v>0</v>
      </c>
      <c r="R51" s="9">
        <v>0</v>
      </c>
    </row>
    <row r="52" spans="1:18">
      <c r="A52" s="5">
        <v>1233387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255</v>
      </c>
      <c r="P52" s="9">
        <v>0</v>
      </c>
      <c r="Q52" s="9">
        <v>0</v>
      </c>
      <c r="R52" s="9">
        <v>0</v>
      </c>
    </row>
    <row r="53" spans="1:18">
      <c r="A53" s="5">
        <v>1233385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576</v>
      </c>
      <c r="Q53" s="9">
        <v>0</v>
      </c>
      <c r="R53" s="9">
        <v>0</v>
      </c>
    </row>
  </sheetData>
  <phoneticPr fontId="11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85D7-1A49-476B-ABA4-A317FF7C16E8}">
  <dimension ref="A1:AB69"/>
  <sheetViews>
    <sheetView topLeftCell="A16" zoomScaleNormal="100" workbookViewId="0">
      <selection activeCell="P38" sqref="P38"/>
    </sheetView>
  </sheetViews>
  <sheetFormatPr defaultColWidth="9.33203125" defaultRowHeight="12"/>
  <cols>
    <col min="1" max="1" width="10.1640625" style="244" bestFit="1" customWidth="1"/>
    <col min="2" max="2" width="9.6640625" style="9" bestFit="1" customWidth="1"/>
    <col min="3" max="15" width="9.6640625" style="9" customWidth="1"/>
    <col min="16" max="16" width="10.1640625" style="9" customWidth="1"/>
    <col min="17" max="21" width="9.6640625" style="9" customWidth="1"/>
    <col min="22" max="22" width="9.6640625" style="9" bestFit="1" customWidth="1"/>
    <col min="23" max="28" width="9.33203125" style="9"/>
    <col min="29" max="16384" width="9.33203125" style="5"/>
  </cols>
  <sheetData>
    <row r="1" spans="1:22">
      <c r="A1" s="244" t="s">
        <v>0</v>
      </c>
      <c r="B1" s="9" t="s">
        <v>1274</v>
      </c>
      <c r="C1" s="9" t="s">
        <v>1275</v>
      </c>
      <c r="D1" s="9" t="s">
        <v>1276</v>
      </c>
      <c r="E1" s="9" t="s">
        <v>1277</v>
      </c>
      <c r="F1" s="9" t="s">
        <v>1278</v>
      </c>
      <c r="G1" s="9" t="s">
        <v>1279</v>
      </c>
      <c r="H1" s="9" t="s">
        <v>1280</v>
      </c>
      <c r="I1" s="9" t="s">
        <v>1282</v>
      </c>
      <c r="J1" s="9" t="s">
        <v>1283</v>
      </c>
      <c r="K1" s="9" t="s">
        <v>1284</v>
      </c>
      <c r="L1" s="9" t="s">
        <v>1285</v>
      </c>
      <c r="M1" s="9" t="s">
        <v>1286</v>
      </c>
      <c r="N1" s="9" t="s">
        <v>1287</v>
      </c>
      <c r="O1" s="9" t="s">
        <v>1288</v>
      </c>
      <c r="P1" s="9" t="s">
        <v>1290</v>
      </c>
      <c r="Q1" s="9" t="s">
        <v>1291</v>
      </c>
      <c r="R1" s="9" t="s">
        <v>1292</v>
      </c>
      <c r="S1" s="9" t="s">
        <v>1293</v>
      </c>
      <c r="T1" s="9" t="s">
        <v>1294</v>
      </c>
      <c r="U1" s="9" t="s">
        <v>1295</v>
      </c>
      <c r="V1" s="9" t="s">
        <v>1296</v>
      </c>
    </row>
    <row r="2" spans="1:22">
      <c r="A2" s="244">
        <v>1226384</v>
      </c>
      <c r="B2" s="9">
        <v>160</v>
      </c>
      <c r="C2" s="9">
        <v>350</v>
      </c>
      <c r="D2" s="9">
        <v>0</v>
      </c>
      <c r="E2" s="9">
        <v>250</v>
      </c>
      <c r="F2" s="9">
        <v>300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</row>
    <row r="3" spans="1:22">
      <c r="A3" s="244">
        <v>1226388</v>
      </c>
      <c r="B3" s="9">
        <v>160</v>
      </c>
      <c r="C3" s="9">
        <v>350</v>
      </c>
      <c r="D3" s="9">
        <v>0</v>
      </c>
      <c r="E3" s="9">
        <v>250</v>
      </c>
      <c r="F3" s="9">
        <v>300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</row>
    <row r="4" spans="1:22">
      <c r="A4" s="244">
        <v>1229673</v>
      </c>
      <c r="B4" s="9">
        <v>190</v>
      </c>
      <c r="C4" s="9">
        <v>110</v>
      </c>
      <c r="D4" s="9">
        <v>0</v>
      </c>
      <c r="E4" s="9">
        <v>200</v>
      </c>
      <c r="F4" s="9">
        <v>0</v>
      </c>
      <c r="G4" s="9">
        <v>0</v>
      </c>
      <c r="H4" s="9">
        <v>0</v>
      </c>
      <c r="I4" s="9">
        <v>0</v>
      </c>
      <c r="J4" s="9">
        <v>200</v>
      </c>
      <c r="K4" s="9">
        <v>200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</row>
    <row r="5" spans="1:22">
      <c r="A5" s="244">
        <v>1237088</v>
      </c>
      <c r="B5" s="9">
        <v>472</v>
      </c>
      <c r="C5" s="9">
        <v>496</v>
      </c>
      <c r="D5" s="9">
        <v>0</v>
      </c>
      <c r="E5" s="9">
        <v>716</v>
      </c>
      <c r="F5" s="9">
        <v>866</v>
      </c>
      <c r="G5" s="9">
        <v>0</v>
      </c>
      <c r="H5" s="9">
        <v>0</v>
      </c>
      <c r="I5" s="9">
        <v>562</v>
      </c>
      <c r="J5" s="9">
        <v>304</v>
      </c>
      <c r="K5" s="9">
        <v>634</v>
      </c>
      <c r="L5" s="9">
        <v>794</v>
      </c>
      <c r="M5" s="9">
        <v>268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</row>
    <row r="6" spans="1:22">
      <c r="A6" s="244">
        <v>1237748</v>
      </c>
      <c r="B6" s="9">
        <v>630</v>
      </c>
      <c r="C6" s="9">
        <v>150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</row>
    <row r="7" spans="1:22">
      <c r="A7" s="244">
        <v>1236091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200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</row>
    <row r="8" spans="1:22">
      <c r="A8" s="244">
        <v>1234905</v>
      </c>
      <c r="B8" s="9">
        <v>210</v>
      </c>
      <c r="C8" s="9">
        <v>416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</row>
    <row r="9" spans="1:22">
      <c r="A9" s="244">
        <v>1238128</v>
      </c>
      <c r="B9" s="9">
        <v>1372</v>
      </c>
      <c r="C9" s="9">
        <v>1642</v>
      </c>
      <c r="D9" s="9">
        <v>0</v>
      </c>
      <c r="E9" s="9">
        <v>1770</v>
      </c>
      <c r="F9" s="9">
        <v>2526</v>
      </c>
      <c r="G9" s="9">
        <v>0</v>
      </c>
      <c r="H9" s="9">
        <v>0</v>
      </c>
      <c r="I9" s="9">
        <v>1000</v>
      </c>
      <c r="J9" s="9">
        <v>1000</v>
      </c>
      <c r="K9" s="9">
        <v>1392</v>
      </c>
      <c r="L9" s="9">
        <v>1770</v>
      </c>
      <c r="M9" s="9">
        <v>1770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</row>
    <row r="10" spans="1:22">
      <c r="A10" s="244">
        <v>1236962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200</v>
      </c>
      <c r="K10" s="9">
        <v>0</v>
      </c>
      <c r="L10" s="9">
        <v>300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</row>
    <row r="11" spans="1:22">
      <c r="A11" s="244">
        <v>1233761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200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</row>
    <row r="12" spans="1:22">
      <c r="A12" s="244">
        <v>1239651</v>
      </c>
      <c r="B12" s="9">
        <v>300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300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</row>
    <row r="13" spans="1:22">
      <c r="A13" s="244">
        <v>1240180</v>
      </c>
      <c r="B13" s="9">
        <v>50</v>
      </c>
      <c r="C13" s="9">
        <v>0</v>
      </c>
      <c r="D13" s="9">
        <v>0</v>
      </c>
      <c r="E13" s="9">
        <v>430</v>
      </c>
      <c r="F13" s="9">
        <v>736</v>
      </c>
      <c r="G13" s="9">
        <v>0</v>
      </c>
      <c r="H13" s="9">
        <v>0</v>
      </c>
      <c r="I13" s="9">
        <v>946</v>
      </c>
      <c r="J13" s="9">
        <v>972</v>
      </c>
      <c r="K13" s="9">
        <v>208</v>
      </c>
      <c r="L13" s="9">
        <v>430</v>
      </c>
      <c r="M13" s="9">
        <v>430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</row>
    <row r="14" spans="1:22">
      <c r="A14" s="244">
        <v>1240184</v>
      </c>
      <c r="B14" s="9">
        <v>50</v>
      </c>
      <c r="C14" s="9">
        <v>0</v>
      </c>
      <c r="D14" s="9">
        <v>0</v>
      </c>
      <c r="E14" s="9">
        <v>430</v>
      </c>
      <c r="F14" s="9">
        <v>736</v>
      </c>
      <c r="G14" s="9">
        <v>0</v>
      </c>
      <c r="H14" s="9">
        <v>0</v>
      </c>
      <c r="I14" s="9">
        <v>946</v>
      </c>
      <c r="J14" s="9">
        <v>972</v>
      </c>
      <c r="K14" s="9">
        <v>208</v>
      </c>
      <c r="L14" s="9">
        <v>230</v>
      </c>
      <c r="M14" s="9">
        <v>430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</row>
    <row r="15" spans="1:22">
      <c r="A15" s="244">
        <v>1240308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150</v>
      </c>
      <c r="J15" s="9">
        <v>300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</row>
    <row r="16" spans="1:22">
      <c r="A16" s="244">
        <v>1242242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72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</row>
    <row r="20" spans="1:22">
      <c r="A20" s="244" t="s">
        <v>0</v>
      </c>
      <c r="B20" s="9" t="s">
        <v>1274</v>
      </c>
      <c r="C20" s="9" t="s">
        <v>1275</v>
      </c>
      <c r="D20" s="9" t="s">
        <v>1276</v>
      </c>
      <c r="E20" s="9" t="s">
        <v>1277</v>
      </c>
      <c r="F20" s="9" t="s">
        <v>1278</v>
      </c>
      <c r="G20" s="9" t="s">
        <v>1279</v>
      </c>
      <c r="H20" s="9" t="s">
        <v>1280</v>
      </c>
      <c r="I20" s="9" t="s">
        <v>1282</v>
      </c>
      <c r="J20" s="9" t="s">
        <v>1283</v>
      </c>
      <c r="K20" s="9" t="s">
        <v>1284</v>
      </c>
      <c r="L20" s="9" t="s">
        <v>1285</v>
      </c>
      <c r="M20" s="9" t="s">
        <v>1286</v>
      </c>
      <c r="N20" s="9" t="s">
        <v>1287</v>
      </c>
      <c r="O20" s="9" t="s">
        <v>1288</v>
      </c>
      <c r="P20" s="9" t="s">
        <v>1290</v>
      </c>
      <c r="Q20" s="9" t="s">
        <v>1291</v>
      </c>
      <c r="R20" s="9" t="s">
        <v>1292</v>
      </c>
      <c r="S20" s="9" t="s">
        <v>1293</v>
      </c>
      <c r="T20" s="9" t="s">
        <v>1294</v>
      </c>
      <c r="U20" s="9" t="s">
        <v>1295</v>
      </c>
      <c r="V20" s="9" t="s">
        <v>1296</v>
      </c>
    </row>
    <row r="21" spans="1:22">
      <c r="A21" s="244">
        <v>1237608</v>
      </c>
      <c r="B21" s="9">
        <v>0</v>
      </c>
      <c r="C21" s="9">
        <v>0</v>
      </c>
      <c r="D21" s="9">
        <v>0</v>
      </c>
      <c r="E21" s="9">
        <v>190</v>
      </c>
      <c r="F21" s="9">
        <v>180</v>
      </c>
      <c r="G21" s="9">
        <v>0</v>
      </c>
      <c r="H21" s="9">
        <v>0</v>
      </c>
      <c r="I21" s="9">
        <v>180</v>
      </c>
      <c r="J21" s="9">
        <v>50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</row>
    <row r="22" spans="1:22">
      <c r="A22" s="244">
        <v>1236110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115</v>
      </c>
      <c r="K22" s="9">
        <v>35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</row>
    <row r="23" spans="1:22">
      <c r="A23" s="244">
        <v>1232775</v>
      </c>
      <c r="B23" s="9">
        <v>254</v>
      </c>
      <c r="C23" s="9">
        <v>415</v>
      </c>
      <c r="D23" s="9">
        <v>0</v>
      </c>
      <c r="E23" s="9">
        <v>327</v>
      </c>
      <c r="F23" s="9">
        <v>242</v>
      </c>
      <c r="G23" s="9">
        <v>0</v>
      </c>
      <c r="H23" s="9">
        <v>0</v>
      </c>
      <c r="I23" s="9">
        <v>242</v>
      </c>
      <c r="J23" s="9">
        <v>239</v>
      </c>
      <c r="K23" s="9">
        <v>242</v>
      </c>
      <c r="L23" s="9">
        <v>245</v>
      </c>
      <c r="M23" s="9">
        <v>242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</row>
    <row r="24" spans="1:22">
      <c r="A24" s="244">
        <v>1238605</v>
      </c>
      <c r="B24" s="9">
        <v>0</v>
      </c>
      <c r="C24" s="9">
        <v>0</v>
      </c>
      <c r="D24" s="9">
        <v>0</v>
      </c>
      <c r="E24" s="9">
        <v>107</v>
      </c>
      <c r="F24" s="9">
        <v>191</v>
      </c>
      <c r="G24" s="9">
        <v>0</v>
      </c>
      <c r="H24" s="9">
        <v>0</v>
      </c>
      <c r="I24" s="9">
        <v>193</v>
      </c>
      <c r="J24" s="9">
        <v>191</v>
      </c>
      <c r="K24" s="9">
        <v>191</v>
      </c>
      <c r="L24" s="9">
        <v>191</v>
      </c>
      <c r="M24" s="9">
        <v>191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</row>
    <row r="28" spans="1:22">
      <c r="A28" s="244" t="s">
        <v>0</v>
      </c>
      <c r="B28" s="9" t="s">
        <v>1274</v>
      </c>
      <c r="C28" s="9" t="s">
        <v>1275</v>
      </c>
      <c r="D28" s="9" t="s">
        <v>1276</v>
      </c>
      <c r="E28" s="9" t="s">
        <v>1277</v>
      </c>
      <c r="F28" s="9" t="s">
        <v>1278</v>
      </c>
      <c r="G28" s="9" t="s">
        <v>1279</v>
      </c>
      <c r="H28" s="9" t="s">
        <v>1280</v>
      </c>
      <c r="I28" s="9" t="s">
        <v>1282</v>
      </c>
      <c r="J28" s="9" t="s">
        <v>1283</v>
      </c>
      <c r="K28" s="9" t="s">
        <v>1284</v>
      </c>
      <c r="L28" s="9" t="s">
        <v>1285</v>
      </c>
      <c r="M28" s="9" t="s">
        <v>1286</v>
      </c>
      <c r="N28" s="9" t="s">
        <v>1287</v>
      </c>
      <c r="O28" s="9" t="s">
        <v>1288</v>
      </c>
      <c r="P28" s="9" t="s">
        <v>1290</v>
      </c>
      <c r="Q28" s="9" t="s">
        <v>1291</v>
      </c>
      <c r="R28" s="9" t="s">
        <v>1292</v>
      </c>
      <c r="S28" s="9" t="s">
        <v>1293</v>
      </c>
      <c r="T28" s="9" t="s">
        <v>1294</v>
      </c>
      <c r="U28" s="9" t="s">
        <v>1295</v>
      </c>
      <c r="V28" s="9" t="s">
        <v>1296</v>
      </c>
    </row>
    <row r="29" spans="1:22">
      <c r="A29" s="244">
        <v>1234614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100</v>
      </c>
      <c r="L29" s="9">
        <v>224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460</v>
      </c>
      <c r="S29" s="9">
        <v>686</v>
      </c>
      <c r="T29" s="9">
        <v>2</v>
      </c>
      <c r="U29" s="9">
        <v>0</v>
      </c>
      <c r="V29" s="9">
        <v>0</v>
      </c>
    </row>
    <row r="30" spans="1:22">
      <c r="A30" s="244">
        <v>1206068</v>
      </c>
      <c r="B30" s="9">
        <v>254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</row>
    <row r="31" spans="1:22">
      <c r="A31" s="244">
        <v>1221967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151</v>
      </c>
      <c r="T31" s="9">
        <v>550</v>
      </c>
      <c r="U31" s="9">
        <v>0</v>
      </c>
      <c r="V31" s="9">
        <v>0</v>
      </c>
    </row>
    <row r="32" spans="1:22">
      <c r="A32" s="280">
        <v>1227306</v>
      </c>
      <c r="B32" s="9">
        <v>0</v>
      </c>
      <c r="C32" s="9">
        <v>0</v>
      </c>
      <c r="D32" s="9">
        <v>0</v>
      </c>
      <c r="E32" s="9">
        <v>79</v>
      </c>
      <c r="F32" s="9">
        <v>221</v>
      </c>
      <c r="G32" s="9">
        <v>0</v>
      </c>
      <c r="H32" s="9">
        <v>0</v>
      </c>
      <c r="I32" s="9">
        <v>331</v>
      </c>
      <c r="J32" s="9">
        <v>319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400</v>
      </c>
      <c r="Q32" s="9">
        <v>0</v>
      </c>
      <c r="R32" s="9">
        <v>0</v>
      </c>
      <c r="S32" s="9">
        <v>0</v>
      </c>
      <c r="T32" s="9">
        <v>900</v>
      </c>
      <c r="U32" s="9">
        <v>0</v>
      </c>
      <c r="V32" s="9">
        <v>0</v>
      </c>
    </row>
    <row r="33" spans="1:22">
      <c r="A33" s="244">
        <v>1227359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460</v>
      </c>
      <c r="U33" s="9">
        <v>0</v>
      </c>
      <c r="V33" s="9">
        <v>0</v>
      </c>
    </row>
    <row r="34" spans="1:22">
      <c r="A34" s="244">
        <v>1225464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760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</row>
    <row r="35" spans="1:22">
      <c r="A35" s="244">
        <v>1231797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168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</row>
    <row r="36" spans="1:22">
      <c r="A36" s="244">
        <v>1229776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90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</row>
    <row r="37" spans="1:22">
      <c r="A37" s="244">
        <v>1231090</v>
      </c>
      <c r="B37" s="9">
        <v>0</v>
      </c>
      <c r="C37" s="9">
        <v>0</v>
      </c>
      <c r="D37" s="9">
        <v>0</v>
      </c>
      <c r="E37" s="9">
        <v>0</v>
      </c>
      <c r="F37" s="9">
        <v>237</v>
      </c>
      <c r="G37" s="9">
        <v>0</v>
      </c>
      <c r="H37" s="9">
        <v>0</v>
      </c>
      <c r="I37" s="9">
        <v>473</v>
      </c>
      <c r="J37" s="9">
        <v>90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990</v>
      </c>
      <c r="Q37" s="9">
        <v>0</v>
      </c>
      <c r="R37" s="9">
        <v>0</v>
      </c>
      <c r="S37" s="9">
        <v>0</v>
      </c>
      <c r="T37" s="9">
        <v>450</v>
      </c>
      <c r="U37" s="9">
        <v>0</v>
      </c>
      <c r="V37" s="9">
        <v>0</v>
      </c>
    </row>
    <row r="38" spans="1:22">
      <c r="A38" s="244">
        <v>1232066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306</v>
      </c>
      <c r="N38" s="9">
        <v>0</v>
      </c>
      <c r="O38" s="9">
        <v>0</v>
      </c>
      <c r="P38" s="9">
        <v>450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</row>
    <row r="39" spans="1:22">
      <c r="A39" s="244">
        <v>1231860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100</v>
      </c>
      <c r="U39" s="9">
        <v>0</v>
      </c>
      <c r="V39" s="9">
        <v>0</v>
      </c>
    </row>
    <row r="40" spans="1:22">
      <c r="A40" s="244">
        <v>1232693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2289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</row>
    <row r="41" spans="1:22">
      <c r="A41" s="244">
        <v>1233025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2289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</row>
    <row r="42" spans="1:22">
      <c r="A42" s="244">
        <v>1232528</v>
      </c>
      <c r="B42" s="9">
        <v>1869</v>
      </c>
      <c r="C42" s="9">
        <v>1882</v>
      </c>
      <c r="D42" s="9">
        <v>0</v>
      </c>
      <c r="E42" s="9">
        <v>1730</v>
      </c>
      <c r="F42" s="9">
        <v>1712</v>
      </c>
      <c r="G42" s="9">
        <v>0</v>
      </c>
      <c r="H42" s="9">
        <v>0</v>
      </c>
      <c r="I42" s="9">
        <v>1952</v>
      </c>
      <c r="J42" s="9">
        <v>2554</v>
      </c>
      <c r="K42" s="9">
        <v>1579</v>
      </c>
      <c r="L42" s="9">
        <v>1710</v>
      </c>
      <c r="M42" s="9">
        <v>1878</v>
      </c>
      <c r="N42" s="9">
        <v>0</v>
      </c>
      <c r="O42" s="9">
        <v>0</v>
      </c>
      <c r="P42" s="9">
        <v>3452</v>
      </c>
      <c r="Q42" s="9">
        <v>0</v>
      </c>
      <c r="R42" s="9">
        <v>0</v>
      </c>
      <c r="S42" s="9">
        <v>0</v>
      </c>
      <c r="T42" s="9">
        <v>3070</v>
      </c>
      <c r="U42" s="9">
        <v>0</v>
      </c>
      <c r="V42" s="9">
        <v>0</v>
      </c>
    </row>
    <row r="43" spans="1:22">
      <c r="A43" s="244">
        <v>1232846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639</v>
      </c>
      <c r="M43" s="9">
        <v>192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</row>
    <row r="44" spans="1:22">
      <c r="A44" s="244">
        <v>1229050</v>
      </c>
      <c r="B44" s="9">
        <v>0</v>
      </c>
      <c r="C44" s="9">
        <v>0</v>
      </c>
      <c r="D44" s="9">
        <v>0</v>
      </c>
      <c r="E44" s="9">
        <v>0</v>
      </c>
      <c r="F44" s="9">
        <v>252</v>
      </c>
      <c r="G44" s="9">
        <v>0</v>
      </c>
      <c r="H44" s="9">
        <v>0</v>
      </c>
      <c r="I44" s="9">
        <v>143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</row>
    <row r="45" spans="1:22">
      <c r="A45" s="244">
        <v>1220847</v>
      </c>
      <c r="B45" s="9">
        <v>0</v>
      </c>
      <c r="C45" s="9">
        <v>0</v>
      </c>
      <c r="D45" s="9">
        <v>0</v>
      </c>
      <c r="E45" s="9">
        <v>0</v>
      </c>
      <c r="F45" s="9">
        <v>197</v>
      </c>
      <c r="G45" s="9">
        <v>0</v>
      </c>
      <c r="H45" s="9">
        <v>0</v>
      </c>
      <c r="I45" s="9">
        <v>53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700</v>
      </c>
      <c r="Q45" s="9">
        <v>0</v>
      </c>
      <c r="R45" s="9">
        <v>0</v>
      </c>
      <c r="S45" s="9">
        <v>0</v>
      </c>
      <c r="T45" s="9">
        <v>2585</v>
      </c>
      <c r="U45" s="9">
        <v>0</v>
      </c>
      <c r="V45" s="9">
        <v>0</v>
      </c>
    </row>
    <row r="46" spans="1:22">
      <c r="A46" s="244">
        <v>1234222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60</v>
      </c>
      <c r="S46" s="9">
        <v>0</v>
      </c>
      <c r="T46" s="9">
        <v>0</v>
      </c>
      <c r="U46" s="9">
        <v>0</v>
      </c>
      <c r="V46" s="9">
        <v>0</v>
      </c>
    </row>
    <row r="47" spans="1:22">
      <c r="A47" s="244">
        <v>1234217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270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</row>
    <row r="48" spans="1:22">
      <c r="A48" s="244">
        <v>1234111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270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</row>
    <row r="49" spans="1:22">
      <c r="A49" s="244">
        <v>1234110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270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</row>
    <row r="50" spans="1:22">
      <c r="A50" s="244">
        <v>1235097</v>
      </c>
      <c r="B50" s="9">
        <v>264</v>
      </c>
      <c r="C50" s="9">
        <v>36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500</v>
      </c>
      <c r="Q50" s="9">
        <v>0</v>
      </c>
      <c r="R50" s="9">
        <v>0</v>
      </c>
      <c r="S50" s="9">
        <v>0</v>
      </c>
      <c r="T50" s="9">
        <v>400</v>
      </c>
      <c r="U50" s="9">
        <v>0</v>
      </c>
      <c r="V50" s="9">
        <v>0</v>
      </c>
    </row>
    <row r="51" spans="1:22">
      <c r="A51" s="244">
        <v>1235845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100</v>
      </c>
      <c r="M51" s="9">
        <v>230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</row>
    <row r="52" spans="1:22">
      <c r="A52" s="280">
        <v>1236600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533</v>
      </c>
      <c r="Q52" s="9">
        <v>533</v>
      </c>
      <c r="R52" s="9">
        <v>61</v>
      </c>
      <c r="S52" s="9">
        <v>0</v>
      </c>
      <c r="T52" s="9">
        <v>0</v>
      </c>
      <c r="U52" s="9">
        <v>0</v>
      </c>
      <c r="V52" s="9">
        <v>0</v>
      </c>
    </row>
    <row r="53" spans="1:22">
      <c r="A53" s="244">
        <v>1236930</v>
      </c>
      <c r="B53" s="9">
        <v>434</v>
      </c>
      <c r="C53" s="9">
        <v>49</v>
      </c>
      <c r="D53" s="9">
        <v>0</v>
      </c>
      <c r="E53" s="9">
        <v>83</v>
      </c>
      <c r="F53" s="9">
        <v>750</v>
      </c>
      <c r="G53" s="9">
        <v>0</v>
      </c>
      <c r="H53" s="9">
        <v>0</v>
      </c>
      <c r="I53" s="9">
        <v>420</v>
      </c>
      <c r="J53" s="9">
        <v>505</v>
      </c>
      <c r="K53" s="9">
        <v>542</v>
      </c>
      <c r="L53" s="9">
        <v>493</v>
      </c>
      <c r="M53" s="9">
        <v>350</v>
      </c>
      <c r="N53" s="9">
        <v>0</v>
      </c>
      <c r="O53" s="9">
        <v>0</v>
      </c>
      <c r="P53" s="9">
        <v>3161</v>
      </c>
      <c r="Q53" s="9">
        <v>83</v>
      </c>
      <c r="R53" s="9">
        <v>0</v>
      </c>
      <c r="S53" s="9">
        <v>235</v>
      </c>
      <c r="T53" s="9">
        <v>595</v>
      </c>
      <c r="U53" s="9">
        <v>0</v>
      </c>
      <c r="V53" s="9">
        <v>0</v>
      </c>
    </row>
    <row r="54" spans="1:22">
      <c r="A54" s="244">
        <v>1232982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80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</row>
    <row r="55" spans="1:22">
      <c r="A55" s="244">
        <v>1237468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306</v>
      </c>
      <c r="J55" s="9">
        <v>162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17</v>
      </c>
      <c r="R55" s="9">
        <v>322</v>
      </c>
      <c r="S55" s="9">
        <v>72</v>
      </c>
      <c r="T55" s="9">
        <v>0</v>
      </c>
      <c r="U55" s="9">
        <v>0</v>
      </c>
      <c r="V55" s="9">
        <v>0</v>
      </c>
    </row>
    <row r="56" spans="1:22">
      <c r="A56" s="244">
        <v>1238480</v>
      </c>
      <c r="B56" s="9">
        <v>353</v>
      </c>
      <c r="C56" s="9">
        <v>374</v>
      </c>
      <c r="D56" s="9">
        <v>0</v>
      </c>
      <c r="E56" s="9">
        <v>728</v>
      </c>
      <c r="F56" s="9">
        <v>432</v>
      </c>
      <c r="G56" s="9">
        <v>0</v>
      </c>
      <c r="H56" s="9">
        <v>0</v>
      </c>
      <c r="I56" s="9">
        <v>0</v>
      </c>
      <c r="J56" s="9">
        <v>116</v>
      </c>
      <c r="K56" s="9">
        <v>323</v>
      </c>
      <c r="L56" s="9">
        <v>480</v>
      </c>
      <c r="M56" s="9">
        <v>464</v>
      </c>
      <c r="N56" s="9">
        <v>0</v>
      </c>
      <c r="O56" s="9">
        <v>0</v>
      </c>
      <c r="P56" s="9">
        <v>24328</v>
      </c>
      <c r="Q56" s="9">
        <v>0</v>
      </c>
      <c r="R56" s="9">
        <v>0</v>
      </c>
      <c r="S56" s="9">
        <v>0</v>
      </c>
      <c r="T56" s="9">
        <v>344</v>
      </c>
      <c r="U56" s="9">
        <v>0</v>
      </c>
      <c r="V56" s="9">
        <v>0</v>
      </c>
    </row>
    <row r="57" spans="1:22">
      <c r="A57" s="244">
        <v>1238453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305</v>
      </c>
      <c r="S57" s="9">
        <v>7</v>
      </c>
      <c r="T57" s="9">
        <v>60</v>
      </c>
      <c r="U57" s="9">
        <v>0</v>
      </c>
      <c r="V57" s="9">
        <v>0</v>
      </c>
    </row>
    <row r="58" spans="1:22">
      <c r="A58" s="244">
        <v>1232775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392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276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</row>
    <row r="59" spans="1:22">
      <c r="A59" s="244">
        <v>1240180</v>
      </c>
      <c r="B59" s="9">
        <v>0</v>
      </c>
      <c r="C59" s="9">
        <v>282</v>
      </c>
      <c r="D59" s="9">
        <v>0</v>
      </c>
      <c r="E59" s="9">
        <v>218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189</v>
      </c>
      <c r="M59" s="9">
        <v>320</v>
      </c>
      <c r="N59" s="9">
        <v>0</v>
      </c>
      <c r="O59" s="9">
        <v>0</v>
      </c>
      <c r="P59" s="9">
        <v>191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</row>
    <row r="60" spans="1:22">
      <c r="A60" s="244">
        <v>1240184</v>
      </c>
      <c r="B60" s="9">
        <v>0</v>
      </c>
      <c r="C60" s="9">
        <v>282</v>
      </c>
      <c r="D60" s="9">
        <v>0</v>
      </c>
      <c r="E60" s="9">
        <v>218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189</v>
      </c>
      <c r="M60" s="9">
        <v>320</v>
      </c>
      <c r="N60" s="9">
        <v>0</v>
      </c>
      <c r="O60" s="9">
        <v>0</v>
      </c>
      <c r="P60" s="9">
        <v>191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</row>
    <row r="61" spans="1:22">
      <c r="A61" s="244">
        <v>1241343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36</v>
      </c>
      <c r="U61" s="9">
        <v>0</v>
      </c>
      <c r="V61" s="9">
        <v>0</v>
      </c>
    </row>
    <row r="62" spans="1:22">
      <c r="A62" s="244">
        <v>1241347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36</v>
      </c>
      <c r="U62" s="9">
        <v>0</v>
      </c>
      <c r="V62" s="9">
        <v>0</v>
      </c>
    </row>
    <row r="63" spans="1:22">
      <c r="A63" s="244">
        <v>1241480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26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93</v>
      </c>
      <c r="T63" s="9">
        <v>0</v>
      </c>
      <c r="U63" s="9">
        <v>0</v>
      </c>
      <c r="V63" s="9">
        <v>0</v>
      </c>
    </row>
    <row r="64" spans="1:22">
      <c r="A64" s="244">
        <v>1241474</v>
      </c>
      <c r="B64" s="9">
        <v>0</v>
      </c>
      <c r="C64" s="9">
        <v>0</v>
      </c>
      <c r="D64" s="9">
        <v>0</v>
      </c>
      <c r="E64" s="9">
        <v>0</v>
      </c>
      <c r="F64" s="9">
        <v>81</v>
      </c>
      <c r="G64" s="9">
        <v>0</v>
      </c>
      <c r="H64" s="9">
        <v>0</v>
      </c>
      <c r="I64" s="9">
        <v>11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12</v>
      </c>
      <c r="U64" s="9">
        <v>0</v>
      </c>
      <c r="V64" s="9">
        <v>0</v>
      </c>
    </row>
    <row r="65" spans="1:22">
      <c r="A65" s="244">
        <v>1241387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107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</row>
    <row r="66" spans="1:22">
      <c r="A66" s="244">
        <v>1216452</v>
      </c>
      <c r="B66" s="9">
        <v>0</v>
      </c>
      <c r="C66" s="9">
        <v>0</v>
      </c>
      <c r="D66" s="9">
        <v>0</v>
      </c>
      <c r="E66" s="9">
        <v>816</v>
      </c>
      <c r="F66" s="9">
        <v>1050</v>
      </c>
      <c r="G66" s="9">
        <v>0</v>
      </c>
      <c r="H66" s="9">
        <v>0</v>
      </c>
      <c r="I66" s="9">
        <v>450</v>
      </c>
      <c r="J66" s="9">
        <v>0</v>
      </c>
      <c r="K66" s="9">
        <v>0</v>
      </c>
      <c r="L66" s="9">
        <v>0</v>
      </c>
      <c r="M66" s="9">
        <v>501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</row>
    <row r="67" spans="1:22">
      <c r="A67" s="244">
        <v>1232894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639</v>
      </c>
      <c r="M67" s="9">
        <v>192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</row>
    <row r="68" spans="1:22">
      <c r="A68" s="244">
        <v>1233387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255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</row>
    <row r="69" spans="1:22">
      <c r="A69" s="244">
        <v>1233385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384</v>
      </c>
      <c r="M69" s="9">
        <v>192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</row>
  </sheetData>
  <phoneticPr fontId="11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7BB1-4581-44F8-BBD2-B629C5A79B2C}">
  <dimension ref="A1:U78"/>
  <sheetViews>
    <sheetView zoomScale="145" zoomScaleNormal="145" workbookViewId="0">
      <selection activeCell="I18" sqref="I18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20" width="9.5" style="9" customWidth="1"/>
    <col min="21" max="21" width="9.5" style="9" bestFit="1" customWidth="1"/>
    <col min="22" max="16384" width="9.33203125" style="5"/>
  </cols>
  <sheetData>
    <row r="1" spans="1:21">
      <c r="A1" s="19" t="s">
        <v>0</v>
      </c>
      <c r="B1" s="9" t="s">
        <v>1275</v>
      </c>
      <c r="C1" s="9" t="s">
        <v>1276</v>
      </c>
      <c r="D1" s="9" t="s">
        <v>1277</v>
      </c>
      <c r="E1" s="9" t="s">
        <v>1278</v>
      </c>
      <c r="F1" s="9" t="s">
        <v>1279</v>
      </c>
      <c r="G1" s="9" t="s">
        <v>1280</v>
      </c>
      <c r="H1" s="9" t="s">
        <v>1282</v>
      </c>
      <c r="I1" s="9" t="s">
        <v>1283</v>
      </c>
      <c r="J1" s="9" t="s">
        <v>1284</v>
      </c>
      <c r="K1" s="9" t="s">
        <v>1285</v>
      </c>
      <c r="L1" s="9" t="s">
        <v>1286</v>
      </c>
      <c r="M1" s="9" t="s">
        <v>1287</v>
      </c>
      <c r="N1" s="9" t="s">
        <v>1288</v>
      </c>
      <c r="O1" s="9" t="s">
        <v>1290</v>
      </c>
      <c r="P1" s="9" t="s">
        <v>1291</v>
      </c>
      <c r="Q1" s="9" t="s">
        <v>1292</v>
      </c>
      <c r="R1" s="9" t="s">
        <v>1293</v>
      </c>
      <c r="S1" s="9" t="s">
        <v>1294</v>
      </c>
      <c r="T1" s="9" t="s">
        <v>1295</v>
      </c>
      <c r="U1" s="9" t="s">
        <v>1296</v>
      </c>
    </row>
    <row r="2" spans="1:21">
      <c r="A2" s="19">
        <v>1226384</v>
      </c>
      <c r="B2" s="9">
        <v>350</v>
      </c>
      <c r="C2" s="9">
        <v>0</v>
      </c>
      <c r="D2" s="9">
        <v>250</v>
      </c>
      <c r="E2" s="9">
        <v>300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>
      <c r="A3" s="19">
        <v>1226388</v>
      </c>
      <c r="B3" s="9">
        <v>350</v>
      </c>
      <c r="C3" s="9">
        <v>0</v>
      </c>
      <c r="D3" s="9">
        <v>250</v>
      </c>
      <c r="E3" s="9">
        <v>300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1:21">
      <c r="A4" s="19">
        <v>1229673</v>
      </c>
      <c r="B4" s="9">
        <v>110</v>
      </c>
      <c r="C4" s="9">
        <v>0</v>
      </c>
      <c r="D4" s="9">
        <v>200</v>
      </c>
      <c r="E4" s="9">
        <v>0</v>
      </c>
      <c r="F4" s="9">
        <v>0</v>
      </c>
      <c r="G4" s="9">
        <v>0</v>
      </c>
      <c r="H4" s="9">
        <v>0</v>
      </c>
      <c r="I4" s="9">
        <v>200</v>
      </c>
      <c r="J4" s="9">
        <v>200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</row>
    <row r="5" spans="1:21">
      <c r="A5" s="100">
        <v>1230854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200</v>
      </c>
      <c r="P5" s="9">
        <v>200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>
      <c r="A6" s="19">
        <v>1233492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620</v>
      </c>
      <c r="S6" s="9">
        <v>700</v>
      </c>
      <c r="T6" s="9">
        <v>0</v>
      </c>
      <c r="U6" s="9">
        <v>0</v>
      </c>
    </row>
    <row r="7" spans="1:21">
      <c r="A7" s="19">
        <v>1233498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620</v>
      </c>
      <c r="S7" s="9">
        <v>700</v>
      </c>
      <c r="T7" s="9">
        <v>0</v>
      </c>
      <c r="U7" s="9">
        <v>0</v>
      </c>
    </row>
    <row r="8" spans="1:21">
      <c r="A8" s="19">
        <v>1233623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620</v>
      </c>
      <c r="S8" s="9">
        <v>700</v>
      </c>
      <c r="T8" s="9">
        <v>0</v>
      </c>
      <c r="U8" s="9">
        <v>0</v>
      </c>
    </row>
    <row r="9" spans="1:21">
      <c r="A9" s="19">
        <v>1235623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490</v>
      </c>
      <c r="P9" s="9">
        <v>82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>
      <c r="A10" s="19">
        <v>1237088</v>
      </c>
      <c r="B10" s="9">
        <v>496</v>
      </c>
      <c r="C10" s="9">
        <v>0</v>
      </c>
      <c r="D10" s="9">
        <v>716</v>
      </c>
      <c r="E10" s="9">
        <v>866</v>
      </c>
      <c r="F10" s="9">
        <v>0</v>
      </c>
      <c r="G10" s="9">
        <v>0</v>
      </c>
      <c r="H10" s="9">
        <v>860</v>
      </c>
      <c r="I10" s="9">
        <v>304</v>
      </c>
      <c r="J10" s="9">
        <v>634</v>
      </c>
      <c r="K10" s="9">
        <v>794</v>
      </c>
      <c r="L10" s="9">
        <v>566</v>
      </c>
      <c r="M10" s="9">
        <v>0</v>
      </c>
      <c r="N10" s="9">
        <v>0</v>
      </c>
      <c r="O10" s="9">
        <v>650</v>
      </c>
      <c r="P10" s="9">
        <v>720</v>
      </c>
      <c r="Q10" s="9">
        <v>404</v>
      </c>
      <c r="R10" s="9">
        <v>948</v>
      </c>
      <c r="S10" s="9">
        <v>1026</v>
      </c>
      <c r="T10" s="9">
        <v>0</v>
      </c>
      <c r="U10" s="9">
        <v>0</v>
      </c>
    </row>
    <row r="11" spans="1:21">
      <c r="A11" s="19">
        <v>1237748</v>
      </c>
      <c r="B11" s="9">
        <v>150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</row>
    <row r="12" spans="1:21">
      <c r="A12" s="19">
        <v>1236091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200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200</v>
      </c>
      <c r="R12" s="9">
        <v>0</v>
      </c>
      <c r="S12" s="9">
        <v>0</v>
      </c>
      <c r="T12" s="9">
        <v>0</v>
      </c>
      <c r="U12" s="9">
        <v>0</v>
      </c>
    </row>
    <row r="13" spans="1:21">
      <c r="A13" s="19">
        <v>1234905</v>
      </c>
      <c r="B13" s="9">
        <v>416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</row>
    <row r="14" spans="1:21">
      <c r="A14" s="19">
        <v>1238128</v>
      </c>
      <c r="B14" s="9">
        <v>1642</v>
      </c>
      <c r="C14" s="9">
        <v>0</v>
      </c>
      <c r="D14" s="9">
        <v>1770</v>
      </c>
      <c r="E14" s="9">
        <v>2526</v>
      </c>
      <c r="F14" s="9">
        <v>0</v>
      </c>
      <c r="G14" s="9">
        <v>0</v>
      </c>
      <c r="H14" s="9">
        <v>1000</v>
      </c>
      <c r="I14" s="9">
        <v>1000</v>
      </c>
      <c r="J14" s="9">
        <v>1392</v>
      </c>
      <c r="K14" s="9">
        <v>1770</v>
      </c>
      <c r="L14" s="9">
        <v>1770</v>
      </c>
      <c r="M14" s="9">
        <v>0</v>
      </c>
      <c r="N14" s="9">
        <v>0</v>
      </c>
      <c r="O14" s="9">
        <v>1456</v>
      </c>
      <c r="P14" s="9">
        <v>1180</v>
      </c>
      <c r="Q14" s="9">
        <v>672</v>
      </c>
      <c r="R14" s="9">
        <v>1180</v>
      </c>
      <c r="S14" s="9">
        <v>1180</v>
      </c>
      <c r="T14" s="9">
        <v>0</v>
      </c>
      <c r="U14" s="9">
        <v>0</v>
      </c>
    </row>
    <row r="15" spans="1:21">
      <c r="A15" s="19">
        <v>1236962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200</v>
      </c>
      <c r="J15" s="9">
        <v>0</v>
      </c>
      <c r="K15" s="9">
        <v>300</v>
      </c>
      <c r="L15" s="9">
        <v>0</v>
      </c>
      <c r="M15" s="9">
        <v>0</v>
      </c>
      <c r="N15" s="9">
        <v>0</v>
      </c>
      <c r="O15" s="9">
        <v>0</v>
      </c>
      <c r="P15" s="9">
        <v>300</v>
      </c>
      <c r="Q15" s="9">
        <v>200</v>
      </c>
      <c r="R15" s="9">
        <v>0</v>
      </c>
      <c r="S15" s="9">
        <v>0</v>
      </c>
      <c r="T15" s="9">
        <v>0</v>
      </c>
      <c r="U15" s="9">
        <v>0</v>
      </c>
    </row>
    <row r="16" spans="1:21">
      <c r="A16" s="19">
        <v>1233761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200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150</v>
      </c>
      <c r="S16" s="9">
        <v>0</v>
      </c>
      <c r="T16" s="9">
        <v>0</v>
      </c>
      <c r="U16" s="9">
        <v>0</v>
      </c>
    </row>
    <row r="17" spans="1:21">
      <c r="A17" s="100">
        <v>1236930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174</v>
      </c>
      <c r="P17" s="9">
        <v>358</v>
      </c>
      <c r="Q17" s="9">
        <v>204</v>
      </c>
      <c r="R17" s="9">
        <v>358</v>
      </c>
      <c r="S17" s="9">
        <v>358</v>
      </c>
      <c r="T17" s="9">
        <v>0</v>
      </c>
      <c r="U17" s="9">
        <v>0</v>
      </c>
    </row>
    <row r="18" spans="1:21">
      <c r="A18" s="19">
        <v>1239651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300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384</v>
      </c>
      <c r="T18" s="9">
        <v>0</v>
      </c>
      <c r="U18" s="9">
        <v>0</v>
      </c>
    </row>
    <row r="19" spans="1:21">
      <c r="A19" s="19">
        <v>1240180</v>
      </c>
      <c r="B19" s="9">
        <v>0</v>
      </c>
      <c r="C19" s="9">
        <v>0</v>
      </c>
      <c r="D19" s="9">
        <v>430</v>
      </c>
      <c r="E19" s="9">
        <v>736</v>
      </c>
      <c r="F19" s="9">
        <v>0</v>
      </c>
      <c r="G19" s="9">
        <v>0</v>
      </c>
      <c r="H19" s="9">
        <v>946</v>
      </c>
      <c r="I19" s="9">
        <v>972</v>
      </c>
      <c r="J19" s="9">
        <v>208</v>
      </c>
      <c r="K19" s="9">
        <v>430</v>
      </c>
      <c r="L19" s="9">
        <v>430</v>
      </c>
      <c r="M19" s="9">
        <v>0</v>
      </c>
      <c r="N19" s="9">
        <v>0</v>
      </c>
      <c r="O19" s="9">
        <v>200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</row>
    <row r="20" spans="1:21">
      <c r="A20" s="19">
        <v>1240184</v>
      </c>
      <c r="B20" s="9">
        <v>0</v>
      </c>
      <c r="C20" s="9">
        <v>0</v>
      </c>
      <c r="D20" s="9">
        <v>430</v>
      </c>
      <c r="E20" s="9">
        <v>736</v>
      </c>
      <c r="F20" s="9">
        <v>0</v>
      </c>
      <c r="G20" s="9">
        <v>0</v>
      </c>
      <c r="H20" s="9">
        <v>946</v>
      </c>
      <c r="I20" s="9">
        <v>972</v>
      </c>
      <c r="J20" s="9">
        <v>208</v>
      </c>
      <c r="K20" s="9">
        <v>230</v>
      </c>
      <c r="L20" s="9">
        <v>430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</row>
    <row r="21" spans="1:21">
      <c r="A21" s="19">
        <v>1240308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150</v>
      </c>
      <c r="I21" s="9">
        <v>300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300</v>
      </c>
      <c r="S21" s="9">
        <v>0</v>
      </c>
      <c r="T21" s="9">
        <v>0</v>
      </c>
      <c r="U21" s="9">
        <v>0</v>
      </c>
    </row>
    <row r="22" spans="1:21">
      <c r="A22" s="19">
        <v>1242242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72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</row>
    <row r="30" spans="1:21">
      <c r="A30" s="19" t="s">
        <v>0</v>
      </c>
      <c r="B30" s="9" t="s">
        <v>1275</v>
      </c>
      <c r="C30" s="9" t="s">
        <v>1276</v>
      </c>
      <c r="D30" s="9" t="s">
        <v>1277</v>
      </c>
      <c r="E30" s="9" t="s">
        <v>1278</v>
      </c>
      <c r="F30" s="9" t="s">
        <v>1279</v>
      </c>
      <c r="G30" s="9" t="s">
        <v>1280</v>
      </c>
      <c r="H30" s="9" t="s">
        <v>1282</v>
      </c>
      <c r="I30" s="9" t="s">
        <v>1283</v>
      </c>
      <c r="J30" s="9" t="s">
        <v>1284</v>
      </c>
      <c r="K30" s="9" t="s">
        <v>1285</v>
      </c>
      <c r="L30" s="9" t="s">
        <v>1286</v>
      </c>
      <c r="M30" s="9" t="s">
        <v>1287</v>
      </c>
      <c r="N30" s="9" t="s">
        <v>1288</v>
      </c>
      <c r="O30" s="9" t="s">
        <v>1290</v>
      </c>
      <c r="P30" s="9" t="s">
        <v>1291</v>
      </c>
      <c r="Q30" s="9" t="s">
        <v>1292</v>
      </c>
      <c r="R30" s="9" t="s">
        <v>1293</v>
      </c>
      <c r="S30" s="9" t="s">
        <v>1294</v>
      </c>
      <c r="T30" s="9" t="s">
        <v>1295</v>
      </c>
      <c r="U30" s="9" t="s">
        <v>1296</v>
      </c>
    </row>
    <row r="31" spans="1:21">
      <c r="A31" s="19">
        <v>1237608</v>
      </c>
      <c r="B31" s="9">
        <v>0</v>
      </c>
      <c r="C31" s="9">
        <v>0</v>
      </c>
      <c r="D31" s="9">
        <v>190</v>
      </c>
      <c r="E31" s="9">
        <v>180</v>
      </c>
      <c r="F31" s="9">
        <v>0</v>
      </c>
      <c r="G31" s="9">
        <v>0</v>
      </c>
      <c r="H31" s="9">
        <v>180</v>
      </c>
      <c r="I31" s="9">
        <v>50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</row>
    <row r="32" spans="1:21">
      <c r="A32" s="19">
        <v>1236110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115</v>
      </c>
      <c r="J32" s="9">
        <v>35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</row>
    <row r="33" spans="1:21">
      <c r="A33" s="100">
        <v>1236387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117</v>
      </c>
      <c r="Q33" s="9">
        <v>293</v>
      </c>
      <c r="R33" s="9">
        <v>0</v>
      </c>
      <c r="S33" s="9">
        <v>0</v>
      </c>
      <c r="T33" s="9">
        <v>0</v>
      </c>
      <c r="U33" s="9">
        <v>0</v>
      </c>
    </row>
    <row r="34" spans="1:21">
      <c r="A34" s="19">
        <v>1232775</v>
      </c>
      <c r="B34" s="9">
        <v>415</v>
      </c>
      <c r="C34" s="9">
        <v>0</v>
      </c>
      <c r="D34" s="9">
        <v>327</v>
      </c>
      <c r="E34" s="9">
        <v>242</v>
      </c>
      <c r="F34" s="9">
        <v>0</v>
      </c>
      <c r="G34" s="9">
        <v>0</v>
      </c>
      <c r="H34" s="9">
        <v>242</v>
      </c>
      <c r="I34" s="9">
        <v>239</v>
      </c>
      <c r="J34" s="9">
        <v>242</v>
      </c>
      <c r="K34" s="9">
        <v>245</v>
      </c>
      <c r="L34" s="9">
        <v>242</v>
      </c>
      <c r="M34" s="9">
        <v>0</v>
      </c>
      <c r="N34" s="9">
        <v>0</v>
      </c>
      <c r="O34" s="9">
        <v>245</v>
      </c>
      <c r="P34" s="9">
        <v>242</v>
      </c>
      <c r="Q34" s="9">
        <v>242</v>
      </c>
      <c r="R34" s="9">
        <v>242</v>
      </c>
      <c r="S34" s="9">
        <v>200</v>
      </c>
      <c r="T34" s="9">
        <v>0</v>
      </c>
      <c r="U34" s="9">
        <v>0</v>
      </c>
    </row>
    <row r="35" spans="1:21">
      <c r="A35" s="19">
        <v>1238605</v>
      </c>
      <c r="B35" s="9">
        <v>0</v>
      </c>
      <c r="C35" s="9">
        <v>0</v>
      </c>
      <c r="D35" s="9">
        <v>107</v>
      </c>
      <c r="E35" s="9">
        <v>191</v>
      </c>
      <c r="F35" s="9">
        <v>0</v>
      </c>
      <c r="G35" s="9">
        <v>0</v>
      </c>
      <c r="H35" s="9">
        <v>193</v>
      </c>
      <c r="I35" s="9">
        <v>191</v>
      </c>
      <c r="J35" s="9">
        <v>191</v>
      </c>
      <c r="K35" s="9">
        <v>193</v>
      </c>
      <c r="L35" s="9">
        <v>191</v>
      </c>
      <c r="M35" s="9">
        <v>0</v>
      </c>
      <c r="N35" s="9">
        <v>0</v>
      </c>
      <c r="O35" s="9">
        <v>191</v>
      </c>
      <c r="P35" s="9">
        <v>109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>
      <c r="A36" s="19">
        <v>1230685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58</v>
      </c>
      <c r="R36" s="9">
        <v>330</v>
      </c>
      <c r="S36" s="9">
        <v>12</v>
      </c>
      <c r="T36" s="9">
        <v>0</v>
      </c>
      <c r="U36" s="9">
        <v>0</v>
      </c>
    </row>
    <row r="41" spans="1:21">
      <c r="A41" s="19" t="s">
        <v>0</v>
      </c>
      <c r="B41" s="9" t="s">
        <v>1275</v>
      </c>
      <c r="C41" s="9" t="s">
        <v>1276</v>
      </c>
      <c r="D41" s="9" t="s">
        <v>1277</v>
      </c>
      <c r="E41" s="9" t="s">
        <v>1278</v>
      </c>
      <c r="F41" s="9" t="s">
        <v>1279</v>
      </c>
      <c r="G41" s="9" t="s">
        <v>1280</v>
      </c>
      <c r="H41" s="9" t="s">
        <v>1282</v>
      </c>
      <c r="I41" s="9" t="s">
        <v>1283</v>
      </c>
      <c r="J41" s="9" t="s">
        <v>1284</v>
      </c>
      <c r="K41" s="9" t="s">
        <v>1285</v>
      </c>
      <c r="L41" s="9" t="s">
        <v>1286</v>
      </c>
      <c r="M41" s="9" t="s">
        <v>1287</v>
      </c>
      <c r="N41" s="9" t="s">
        <v>1288</v>
      </c>
      <c r="O41" s="9" t="s">
        <v>1290</v>
      </c>
      <c r="P41" s="9" t="s">
        <v>1291</v>
      </c>
      <c r="Q41" s="9" t="s">
        <v>1292</v>
      </c>
      <c r="R41" s="9" t="s">
        <v>1293</v>
      </c>
      <c r="S41" s="9" t="s">
        <v>1294</v>
      </c>
      <c r="T41" s="9" t="s">
        <v>1295</v>
      </c>
      <c r="U41" s="9" t="s">
        <v>1296</v>
      </c>
    </row>
    <row r="42" spans="1:21">
      <c r="A42" s="19">
        <v>1234614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39</v>
      </c>
      <c r="K42" s="9">
        <v>285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500</v>
      </c>
      <c r="S42" s="9">
        <v>648</v>
      </c>
      <c r="T42" s="9">
        <v>0</v>
      </c>
      <c r="U42" s="9">
        <v>0</v>
      </c>
    </row>
    <row r="43" spans="1:21">
      <c r="A43" s="19">
        <v>1227306</v>
      </c>
      <c r="B43" s="9">
        <v>0</v>
      </c>
      <c r="C43" s="9">
        <v>0</v>
      </c>
      <c r="D43" s="9">
        <v>79</v>
      </c>
      <c r="E43" s="9">
        <v>221</v>
      </c>
      <c r="F43" s="9">
        <v>0</v>
      </c>
      <c r="G43" s="9">
        <v>0</v>
      </c>
      <c r="H43" s="9">
        <v>331</v>
      </c>
      <c r="I43" s="9">
        <v>319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360</v>
      </c>
      <c r="S43" s="9">
        <v>440</v>
      </c>
      <c r="T43" s="9">
        <v>0</v>
      </c>
      <c r="U43" s="9">
        <v>0</v>
      </c>
    </row>
    <row r="44" spans="1:21">
      <c r="A44" s="19">
        <v>1225464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295</v>
      </c>
      <c r="P44" s="9">
        <v>465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19">
        <v>1231797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168</v>
      </c>
      <c r="S45" s="9">
        <v>0</v>
      </c>
      <c r="T45" s="9">
        <v>0</v>
      </c>
      <c r="U45" s="9">
        <v>0</v>
      </c>
    </row>
    <row r="46" spans="1:21">
      <c r="A46" s="19">
        <v>1229776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85</v>
      </c>
      <c r="J46" s="9">
        <v>5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>
      <c r="A47" s="19">
        <v>1231090</v>
      </c>
      <c r="B47" s="9">
        <v>0</v>
      </c>
      <c r="C47" s="9">
        <v>0</v>
      </c>
      <c r="D47" s="9">
        <v>0</v>
      </c>
      <c r="E47" s="9">
        <v>237</v>
      </c>
      <c r="F47" s="9">
        <v>0</v>
      </c>
      <c r="G47" s="9">
        <v>0</v>
      </c>
      <c r="H47" s="9">
        <v>473</v>
      </c>
      <c r="I47" s="9">
        <v>85</v>
      </c>
      <c r="J47" s="9">
        <v>5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19">
        <v>1232066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257</v>
      </c>
      <c r="M48" s="9">
        <v>0</v>
      </c>
      <c r="N48" s="9">
        <v>0</v>
      </c>
      <c r="O48" s="9">
        <v>499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>
      <c r="A49" s="19">
        <v>1231860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100</v>
      </c>
      <c r="T49" s="9">
        <v>0</v>
      </c>
      <c r="U49" s="9">
        <v>0</v>
      </c>
    </row>
    <row r="50" spans="1:21">
      <c r="A50" s="19">
        <v>1232693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1200</v>
      </c>
      <c r="T50" s="9">
        <v>0</v>
      </c>
      <c r="U50" s="9">
        <v>0</v>
      </c>
    </row>
    <row r="51" spans="1:21">
      <c r="A51" s="19">
        <v>1233025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1200</v>
      </c>
      <c r="T51" s="9">
        <v>0</v>
      </c>
      <c r="U51" s="9">
        <v>0</v>
      </c>
    </row>
    <row r="52" spans="1:21">
      <c r="A52" s="19">
        <v>1232528</v>
      </c>
      <c r="B52" s="9">
        <v>1882</v>
      </c>
      <c r="C52" s="9">
        <v>0</v>
      </c>
      <c r="D52" s="9">
        <v>1730</v>
      </c>
      <c r="E52" s="9">
        <v>1712</v>
      </c>
      <c r="F52" s="9">
        <v>0</v>
      </c>
      <c r="G52" s="9">
        <v>0</v>
      </c>
      <c r="H52" s="9">
        <v>1947</v>
      </c>
      <c r="I52" s="9">
        <v>2250</v>
      </c>
      <c r="J52" s="9">
        <v>1586</v>
      </c>
      <c r="K52" s="9">
        <v>558</v>
      </c>
      <c r="L52" s="9">
        <v>570</v>
      </c>
      <c r="M52" s="9">
        <v>0</v>
      </c>
      <c r="N52" s="9">
        <v>0</v>
      </c>
      <c r="O52" s="9">
        <v>265</v>
      </c>
      <c r="P52" s="9">
        <v>686</v>
      </c>
      <c r="Q52" s="9">
        <v>539</v>
      </c>
      <c r="R52" s="9">
        <v>793</v>
      </c>
      <c r="S52" s="9">
        <v>1336</v>
      </c>
      <c r="T52" s="9">
        <v>0</v>
      </c>
      <c r="U52" s="9">
        <v>0</v>
      </c>
    </row>
    <row r="53" spans="1:21">
      <c r="A53" s="19">
        <v>1232846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377</v>
      </c>
      <c r="L53" s="9">
        <v>454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19">
        <v>1229050</v>
      </c>
      <c r="B54" s="9">
        <v>0</v>
      </c>
      <c r="C54" s="9">
        <v>0</v>
      </c>
      <c r="D54" s="9">
        <v>0</v>
      </c>
      <c r="E54" s="9">
        <v>252</v>
      </c>
      <c r="F54" s="9">
        <v>0</v>
      </c>
      <c r="G54" s="9">
        <v>0</v>
      </c>
      <c r="H54" s="9">
        <v>143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19">
        <v>1220847</v>
      </c>
      <c r="B55" s="9">
        <v>0</v>
      </c>
      <c r="C55" s="9">
        <v>0</v>
      </c>
      <c r="D55" s="9">
        <v>0</v>
      </c>
      <c r="E55" s="9">
        <v>197</v>
      </c>
      <c r="F55" s="9">
        <v>0</v>
      </c>
      <c r="G55" s="9">
        <v>0</v>
      </c>
      <c r="H55" s="9">
        <v>256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270</v>
      </c>
      <c r="R55" s="9">
        <v>227</v>
      </c>
      <c r="S55" s="9">
        <v>0</v>
      </c>
      <c r="T55" s="9">
        <v>0</v>
      </c>
      <c r="U55" s="9">
        <v>0</v>
      </c>
    </row>
    <row r="56" spans="1:21">
      <c r="A56" s="19">
        <v>1234222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60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</row>
    <row r="57" spans="1:21">
      <c r="A57" s="19">
        <v>1234217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270</v>
      </c>
      <c r="S57" s="9">
        <v>0</v>
      </c>
      <c r="T57" s="9">
        <v>0</v>
      </c>
      <c r="U57" s="9">
        <v>0</v>
      </c>
    </row>
    <row r="58" spans="1:21">
      <c r="A58" s="100">
        <v>1234111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270</v>
      </c>
      <c r="S58" s="9">
        <v>0</v>
      </c>
      <c r="T58" s="9">
        <v>0</v>
      </c>
      <c r="U58" s="9">
        <v>0</v>
      </c>
    </row>
    <row r="59" spans="1:21">
      <c r="A59" s="19">
        <v>1234110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270</v>
      </c>
      <c r="S59" s="9">
        <v>0</v>
      </c>
      <c r="T59" s="9">
        <v>0</v>
      </c>
      <c r="U59" s="9">
        <v>0</v>
      </c>
    </row>
    <row r="60" spans="1:21">
      <c r="A60" s="19">
        <v>1235097</v>
      </c>
      <c r="B60" s="9">
        <v>36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160</v>
      </c>
      <c r="Q60" s="9">
        <v>269</v>
      </c>
      <c r="R60" s="9">
        <v>71</v>
      </c>
      <c r="S60" s="9">
        <v>0</v>
      </c>
      <c r="T60" s="9">
        <v>0</v>
      </c>
      <c r="U60" s="9">
        <v>0</v>
      </c>
    </row>
    <row r="61" spans="1:21">
      <c r="A61" s="19">
        <v>1235845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330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19">
        <v>1236600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101</v>
      </c>
      <c r="P62" s="9">
        <v>533</v>
      </c>
      <c r="Q62" s="9">
        <v>420</v>
      </c>
      <c r="R62" s="9">
        <v>73</v>
      </c>
      <c r="S62" s="9">
        <v>0</v>
      </c>
      <c r="T62" s="9">
        <v>0</v>
      </c>
      <c r="U62" s="9">
        <v>0</v>
      </c>
    </row>
    <row r="63" spans="1:21">
      <c r="A63" s="19">
        <v>1236930</v>
      </c>
      <c r="B63" s="9">
        <v>49</v>
      </c>
      <c r="C63" s="9">
        <v>0</v>
      </c>
      <c r="D63" s="9">
        <v>83</v>
      </c>
      <c r="E63" s="9">
        <v>750</v>
      </c>
      <c r="F63" s="9">
        <v>0</v>
      </c>
      <c r="G63" s="9">
        <v>0</v>
      </c>
      <c r="H63" s="9">
        <v>420</v>
      </c>
      <c r="I63" s="9">
        <v>502</v>
      </c>
      <c r="J63" s="9">
        <v>539</v>
      </c>
      <c r="K63" s="9">
        <v>457</v>
      </c>
      <c r="L63" s="9">
        <v>314</v>
      </c>
      <c r="M63" s="9">
        <v>0</v>
      </c>
      <c r="N63" s="9">
        <v>0</v>
      </c>
      <c r="O63" s="9">
        <v>317</v>
      </c>
      <c r="P63" s="9">
        <v>456</v>
      </c>
      <c r="Q63" s="9">
        <v>331</v>
      </c>
      <c r="R63" s="9">
        <v>420</v>
      </c>
      <c r="S63" s="9">
        <v>432</v>
      </c>
      <c r="T63" s="9">
        <v>0</v>
      </c>
      <c r="U63" s="9">
        <v>0</v>
      </c>
    </row>
    <row r="64" spans="1:21">
      <c r="A64" s="19">
        <v>1238480</v>
      </c>
      <c r="B64" s="9">
        <v>374</v>
      </c>
      <c r="C64" s="9">
        <v>0</v>
      </c>
      <c r="D64" s="9">
        <v>728</v>
      </c>
      <c r="E64" s="9">
        <v>432</v>
      </c>
      <c r="F64" s="9">
        <v>0</v>
      </c>
      <c r="G64" s="9">
        <v>0</v>
      </c>
      <c r="H64" s="9">
        <v>0</v>
      </c>
      <c r="I64" s="9">
        <v>0</v>
      </c>
      <c r="J64" s="9">
        <v>308</v>
      </c>
      <c r="K64" s="9">
        <v>1177</v>
      </c>
      <c r="L64" s="9">
        <v>1225</v>
      </c>
      <c r="M64" s="9">
        <v>0</v>
      </c>
      <c r="N64" s="9">
        <v>0</v>
      </c>
      <c r="O64" s="9">
        <v>1477</v>
      </c>
      <c r="P64" s="9">
        <v>969</v>
      </c>
      <c r="Q64" s="9">
        <v>578</v>
      </c>
      <c r="R64" s="9">
        <v>429</v>
      </c>
      <c r="S64" s="9">
        <v>339</v>
      </c>
      <c r="T64" s="9">
        <v>0</v>
      </c>
      <c r="U64" s="9">
        <v>0</v>
      </c>
    </row>
    <row r="65" spans="1:21">
      <c r="A65" s="19">
        <v>1238453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37</v>
      </c>
      <c r="M65" s="9">
        <v>0</v>
      </c>
      <c r="N65" s="9">
        <v>0</v>
      </c>
      <c r="O65" s="9">
        <v>275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19">
        <v>1232775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392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60</v>
      </c>
      <c r="S66" s="9">
        <v>216</v>
      </c>
      <c r="T66" s="9">
        <v>0</v>
      </c>
      <c r="U66" s="9">
        <v>0</v>
      </c>
    </row>
    <row r="67" spans="1:21">
      <c r="A67" s="19">
        <v>1240180</v>
      </c>
      <c r="B67" s="9">
        <v>282</v>
      </c>
      <c r="C67" s="9">
        <v>0</v>
      </c>
      <c r="D67" s="9">
        <v>218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191</v>
      </c>
      <c r="L67" s="9">
        <v>279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</row>
    <row r="68" spans="1:21">
      <c r="A68" s="19">
        <v>1240184</v>
      </c>
      <c r="B68" s="9">
        <v>282</v>
      </c>
      <c r="C68" s="9">
        <v>0</v>
      </c>
      <c r="D68" s="9">
        <v>218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191</v>
      </c>
      <c r="L68" s="9">
        <v>279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</row>
    <row r="69" spans="1:21">
      <c r="A69" s="19">
        <v>1237468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152</v>
      </c>
      <c r="I69" s="9">
        <v>316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200</v>
      </c>
      <c r="Q69" s="9">
        <v>124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19">
        <v>1241343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36</v>
      </c>
      <c r="T70" s="9">
        <v>0</v>
      </c>
      <c r="U70" s="9">
        <v>0</v>
      </c>
    </row>
    <row r="71" spans="1:21">
      <c r="A71" s="19">
        <v>1241347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36</v>
      </c>
      <c r="T71" s="9">
        <v>0</v>
      </c>
      <c r="U71" s="9">
        <v>0</v>
      </c>
    </row>
    <row r="72" spans="1:21">
      <c r="A72" s="100">
        <v>1241480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26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</row>
    <row r="73" spans="1:21">
      <c r="A73" s="100">
        <v>1241474</v>
      </c>
      <c r="B73" s="9">
        <v>0</v>
      </c>
      <c r="C73" s="9">
        <v>0</v>
      </c>
      <c r="D73" s="9">
        <v>0</v>
      </c>
      <c r="E73" s="9">
        <v>81</v>
      </c>
      <c r="F73" s="9">
        <v>0</v>
      </c>
      <c r="G73" s="9">
        <v>0</v>
      </c>
      <c r="H73" s="9">
        <v>11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</row>
    <row r="74" spans="1:21">
      <c r="A74" s="19">
        <v>1241387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107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</row>
    <row r="75" spans="1:21">
      <c r="A75" s="19">
        <v>1216452</v>
      </c>
      <c r="B75" s="9">
        <v>0</v>
      </c>
      <c r="C75" s="9">
        <v>0</v>
      </c>
      <c r="D75" s="9">
        <v>816</v>
      </c>
      <c r="E75" s="9">
        <v>1050</v>
      </c>
      <c r="F75" s="9">
        <v>0</v>
      </c>
      <c r="G75" s="9">
        <v>0</v>
      </c>
      <c r="H75" s="9">
        <v>450</v>
      </c>
      <c r="I75" s="9">
        <v>0</v>
      </c>
      <c r="J75" s="9">
        <v>0</v>
      </c>
      <c r="K75" s="9">
        <v>0</v>
      </c>
      <c r="L75" s="9">
        <v>362</v>
      </c>
      <c r="M75" s="9">
        <v>0</v>
      </c>
      <c r="N75" s="9">
        <v>0</v>
      </c>
      <c r="O75" s="9">
        <v>662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</row>
    <row r="76" spans="1:21">
      <c r="A76" s="19">
        <v>1232894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377</v>
      </c>
      <c r="L76" s="9">
        <v>454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</row>
    <row r="77" spans="1:21">
      <c r="A77" s="19">
        <v>1233387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255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</row>
    <row r="78" spans="1:21">
      <c r="A78" s="19">
        <v>1233385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122</v>
      </c>
      <c r="L78" s="9">
        <v>454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</row>
  </sheetData>
  <phoneticPr fontId="11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6BDB-21B8-4D8E-AFD2-DA44C1985F64}">
  <dimension ref="A1:V72"/>
  <sheetViews>
    <sheetView topLeftCell="A33" zoomScale="160" zoomScaleNormal="160" workbookViewId="0">
      <selection activeCell="K46" sqref="K46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22" width="9.33203125" style="9"/>
    <col min="23" max="16384" width="9.33203125" style="5"/>
  </cols>
  <sheetData>
    <row r="1" spans="1:19">
      <c r="A1" s="5" t="s">
        <v>0</v>
      </c>
      <c r="B1" s="9" t="s">
        <v>1277</v>
      </c>
      <c r="C1" s="9" t="s">
        <v>1278</v>
      </c>
      <c r="D1" s="9" t="s">
        <v>1279</v>
      </c>
      <c r="E1" s="9" t="s">
        <v>1280</v>
      </c>
      <c r="F1" s="9" t="s">
        <v>1282</v>
      </c>
      <c r="G1" s="9" t="s">
        <v>1283</v>
      </c>
      <c r="H1" s="9" t="s">
        <v>1284</v>
      </c>
      <c r="I1" s="9" t="s">
        <v>1285</v>
      </c>
      <c r="J1" s="9" t="s">
        <v>1286</v>
      </c>
      <c r="K1" s="9" t="s">
        <v>1287</v>
      </c>
      <c r="L1" s="9" t="s">
        <v>1288</v>
      </c>
      <c r="M1" s="9" t="s">
        <v>1290</v>
      </c>
      <c r="N1" s="9" t="s">
        <v>1291</v>
      </c>
      <c r="O1" s="9" t="s">
        <v>1292</v>
      </c>
      <c r="P1" s="9" t="s">
        <v>1293</v>
      </c>
      <c r="Q1" s="9" t="s">
        <v>1294</v>
      </c>
      <c r="R1" s="9" t="s">
        <v>1295</v>
      </c>
      <c r="S1" s="9" t="s">
        <v>1296</v>
      </c>
    </row>
    <row r="2" spans="1:19">
      <c r="A2" s="5">
        <v>1226384</v>
      </c>
      <c r="B2" s="9">
        <v>250</v>
      </c>
      <c r="C2" s="9">
        <v>300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</row>
    <row r="3" spans="1:19">
      <c r="A3" s="5">
        <v>1226388</v>
      </c>
      <c r="B3" s="9">
        <v>250</v>
      </c>
      <c r="C3" s="9">
        <v>300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19">
      <c r="A4" s="5">
        <v>1229673</v>
      </c>
      <c r="B4" s="9">
        <v>200</v>
      </c>
      <c r="C4" s="9">
        <v>0</v>
      </c>
      <c r="D4" s="9">
        <v>0</v>
      </c>
      <c r="E4" s="9">
        <v>0</v>
      </c>
      <c r="F4" s="9">
        <v>0</v>
      </c>
      <c r="G4" s="9">
        <v>200</v>
      </c>
      <c r="H4" s="9">
        <v>200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</row>
    <row r="5" spans="1:19">
      <c r="A5" s="5">
        <v>1230854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200</v>
      </c>
      <c r="N5" s="9">
        <v>200</v>
      </c>
      <c r="O5" s="9">
        <v>0</v>
      </c>
      <c r="P5" s="9">
        <v>0</v>
      </c>
      <c r="Q5" s="9">
        <v>0</v>
      </c>
      <c r="R5" s="9">
        <v>0</v>
      </c>
      <c r="S5" s="9">
        <v>0</v>
      </c>
    </row>
    <row r="6" spans="1:19">
      <c r="A6" s="5">
        <v>1233492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620</v>
      </c>
      <c r="Q6" s="9">
        <v>700</v>
      </c>
      <c r="R6" s="9">
        <v>0</v>
      </c>
      <c r="S6" s="9">
        <v>0</v>
      </c>
    </row>
    <row r="7" spans="1:19">
      <c r="A7" s="5">
        <v>1233498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620</v>
      </c>
      <c r="Q7" s="9">
        <v>700</v>
      </c>
      <c r="R7" s="9">
        <v>0</v>
      </c>
      <c r="S7" s="9">
        <v>0</v>
      </c>
    </row>
    <row r="8" spans="1:19">
      <c r="A8" s="5">
        <v>1233623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620</v>
      </c>
      <c r="Q8" s="9">
        <v>700</v>
      </c>
      <c r="R8" s="9">
        <v>0</v>
      </c>
      <c r="S8" s="9">
        <v>0</v>
      </c>
    </row>
    <row r="9" spans="1:19">
      <c r="A9" s="5">
        <v>1235623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490</v>
      </c>
      <c r="N9" s="9">
        <v>82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>
      <c r="A10" s="5">
        <v>1237088</v>
      </c>
      <c r="B10" s="9">
        <v>716</v>
      </c>
      <c r="C10" s="9">
        <v>866</v>
      </c>
      <c r="D10" s="9">
        <v>0</v>
      </c>
      <c r="E10" s="9">
        <v>0</v>
      </c>
      <c r="F10" s="9">
        <v>860</v>
      </c>
      <c r="G10" s="9">
        <v>304</v>
      </c>
      <c r="H10" s="9">
        <v>634</v>
      </c>
      <c r="I10" s="9">
        <v>794</v>
      </c>
      <c r="J10" s="9">
        <v>566</v>
      </c>
      <c r="K10" s="9">
        <v>0</v>
      </c>
      <c r="L10" s="9">
        <v>0</v>
      </c>
      <c r="M10" s="9">
        <v>820</v>
      </c>
      <c r="N10" s="9">
        <v>720</v>
      </c>
      <c r="O10" s="9">
        <v>476</v>
      </c>
      <c r="P10" s="9">
        <v>948</v>
      </c>
      <c r="Q10" s="9">
        <v>1040</v>
      </c>
      <c r="R10" s="9">
        <v>0</v>
      </c>
      <c r="S10" s="9">
        <v>0</v>
      </c>
    </row>
    <row r="11" spans="1:19">
      <c r="A11" s="5">
        <v>1236091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200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200</v>
      </c>
      <c r="P11" s="9">
        <v>0</v>
      </c>
      <c r="Q11" s="9">
        <v>0</v>
      </c>
      <c r="R11" s="9">
        <v>0</v>
      </c>
      <c r="S11" s="9">
        <v>0</v>
      </c>
    </row>
    <row r="12" spans="1:19">
      <c r="A12" s="5">
        <v>1238128</v>
      </c>
      <c r="B12" s="9">
        <v>1770</v>
      </c>
      <c r="C12" s="9">
        <v>2526</v>
      </c>
      <c r="D12" s="9">
        <v>0</v>
      </c>
      <c r="E12" s="9">
        <v>0</v>
      </c>
      <c r="F12" s="9">
        <v>1000</v>
      </c>
      <c r="G12" s="9">
        <v>1000</v>
      </c>
      <c r="H12" s="9">
        <v>1392</v>
      </c>
      <c r="I12" s="9">
        <v>1770</v>
      </c>
      <c r="J12" s="9">
        <v>1770</v>
      </c>
      <c r="K12" s="9">
        <v>0</v>
      </c>
      <c r="L12" s="9">
        <v>0</v>
      </c>
      <c r="M12" s="9">
        <v>1456</v>
      </c>
      <c r="N12" s="9">
        <v>1180</v>
      </c>
      <c r="O12" s="9">
        <v>672</v>
      </c>
      <c r="P12" s="9">
        <v>1180</v>
      </c>
      <c r="Q12" s="9">
        <v>1180</v>
      </c>
      <c r="R12" s="9">
        <v>0</v>
      </c>
      <c r="S12" s="9">
        <v>0</v>
      </c>
    </row>
    <row r="13" spans="1:19">
      <c r="A13" s="5">
        <v>1236962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200</v>
      </c>
      <c r="H13" s="9">
        <v>0</v>
      </c>
      <c r="I13" s="9">
        <v>300</v>
      </c>
      <c r="J13" s="9">
        <v>0</v>
      </c>
      <c r="K13" s="9">
        <v>0</v>
      </c>
      <c r="L13" s="9">
        <v>0</v>
      </c>
      <c r="M13" s="9">
        <v>0</v>
      </c>
      <c r="N13" s="9">
        <v>300</v>
      </c>
      <c r="O13" s="9">
        <v>0</v>
      </c>
      <c r="P13" s="9">
        <v>0</v>
      </c>
      <c r="Q13" s="9">
        <v>200</v>
      </c>
      <c r="R13" s="9">
        <v>0</v>
      </c>
      <c r="S13" s="9">
        <v>0</v>
      </c>
    </row>
    <row r="14" spans="1:19">
      <c r="A14" s="5">
        <v>1233761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200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150</v>
      </c>
      <c r="Q14" s="9">
        <v>0</v>
      </c>
      <c r="R14" s="9">
        <v>0</v>
      </c>
      <c r="S14" s="9">
        <v>0</v>
      </c>
    </row>
    <row r="15" spans="1:19">
      <c r="A15" s="5">
        <v>1236930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174</v>
      </c>
      <c r="N15" s="9">
        <v>358</v>
      </c>
      <c r="O15" s="9">
        <v>204</v>
      </c>
      <c r="P15" s="9">
        <v>358</v>
      </c>
      <c r="Q15" s="9">
        <v>358</v>
      </c>
      <c r="R15" s="9">
        <v>0</v>
      </c>
      <c r="S15" s="9">
        <v>0</v>
      </c>
    </row>
    <row r="16" spans="1:19">
      <c r="A16" s="5">
        <v>1239651</v>
      </c>
      <c r="B16" s="9">
        <v>0</v>
      </c>
      <c r="C16" s="9">
        <v>0</v>
      </c>
      <c r="D16" s="9">
        <v>0</v>
      </c>
      <c r="E16" s="9">
        <v>0</v>
      </c>
      <c r="F16" s="9">
        <v>300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384</v>
      </c>
      <c r="R16" s="9">
        <v>0</v>
      </c>
      <c r="S16" s="9">
        <v>0</v>
      </c>
    </row>
    <row r="17" spans="1:19">
      <c r="A17" s="5">
        <v>1240180</v>
      </c>
      <c r="B17" s="9">
        <v>430</v>
      </c>
      <c r="C17" s="9">
        <v>736</v>
      </c>
      <c r="D17" s="9">
        <v>0</v>
      </c>
      <c r="E17" s="9">
        <v>0</v>
      </c>
      <c r="F17" s="9">
        <v>946</v>
      </c>
      <c r="G17" s="9">
        <v>972</v>
      </c>
      <c r="H17" s="9">
        <v>208</v>
      </c>
      <c r="I17" s="9">
        <v>430</v>
      </c>
      <c r="J17" s="9">
        <v>430</v>
      </c>
      <c r="K17" s="9">
        <v>0</v>
      </c>
      <c r="L17" s="9">
        <v>0</v>
      </c>
      <c r="M17" s="9">
        <v>200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</row>
    <row r="18" spans="1:19">
      <c r="A18" s="5">
        <v>1240184</v>
      </c>
      <c r="B18" s="9">
        <v>430</v>
      </c>
      <c r="C18" s="9">
        <v>736</v>
      </c>
      <c r="D18" s="9">
        <v>0</v>
      </c>
      <c r="E18" s="9">
        <v>0</v>
      </c>
      <c r="F18" s="9">
        <v>946</v>
      </c>
      <c r="G18" s="9">
        <v>972</v>
      </c>
      <c r="H18" s="9">
        <v>208</v>
      </c>
      <c r="I18" s="9">
        <v>230</v>
      </c>
      <c r="J18" s="9">
        <v>430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</row>
    <row r="19" spans="1:19">
      <c r="A19" s="5">
        <v>1240308</v>
      </c>
      <c r="B19" s="9">
        <v>0</v>
      </c>
      <c r="C19" s="9">
        <v>0</v>
      </c>
      <c r="D19" s="9">
        <v>0</v>
      </c>
      <c r="E19" s="9">
        <v>0</v>
      </c>
      <c r="F19" s="9">
        <v>150</v>
      </c>
      <c r="G19" s="9">
        <v>300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300</v>
      </c>
      <c r="Q19" s="9">
        <v>0</v>
      </c>
      <c r="R19" s="9">
        <v>0</v>
      </c>
      <c r="S19" s="9">
        <v>0</v>
      </c>
    </row>
    <row r="20" spans="1:19">
      <c r="A20" s="5">
        <v>1242242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72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</row>
    <row r="26" spans="1:19">
      <c r="A26" s="5" t="s">
        <v>0</v>
      </c>
      <c r="B26" s="9" t="s">
        <v>1277</v>
      </c>
      <c r="C26" s="9" t="s">
        <v>1278</v>
      </c>
      <c r="D26" s="9" t="s">
        <v>1279</v>
      </c>
      <c r="E26" s="9" t="s">
        <v>1280</v>
      </c>
      <c r="F26" s="9" t="s">
        <v>1282</v>
      </c>
      <c r="G26" s="9" t="s">
        <v>1283</v>
      </c>
      <c r="H26" s="9" t="s">
        <v>1284</v>
      </c>
      <c r="I26" s="9" t="s">
        <v>1285</v>
      </c>
      <c r="J26" s="9" t="s">
        <v>1286</v>
      </c>
      <c r="K26" s="9" t="s">
        <v>1287</v>
      </c>
      <c r="L26" s="9" t="s">
        <v>1288</v>
      </c>
      <c r="M26" s="9" t="s">
        <v>1290</v>
      </c>
      <c r="N26" s="9" t="s">
        <v>1291</v>
      </c>
      <c r="O26" s="9" t="s">
        <v>1292</v>
      </c>
      <c r="P26" s="9" t="s">
        <v>1293</v>
      </c>
      <c r="Q26" s="9" t="s">
        <v>1294</v>
      </c>
      <c r="R26" s="9" t="s">
        <v>1295</v>
      </c>
      <c r="S26" s="9" t="s">
        <v>1296</v>
      </c>
    </row>
    <row r="27" spans="1:19">
      <c r="A27" s="5">
        <v>1237608</v>
      </c>
      <c r="B27" s="9">
        <v>190</v>
      </c>
      <c r="C27" s="9">
        <v>180</v>
      </c>
      <c r="D27" s="9">
        <v>0</v>
      </c>
      <c r="E27" s="9">
        <v>0</v>
      </c>
      <c r="F27" s="9">
        <v>180</v>
      </c>
      <c r="G27" s="9">
        <v>50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</row>
    <row r="28" spans="1:19">
      <c r="A28" s="5">
        <v>1236110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115</v>
      </c>
      <c r="H28" s="9">
        <v>35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29" spans="1:19">
      <c r="A29" s="5">
        <v>1236387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117</v>
      </c>
      <c r="O29" s="9">
        <v>293</v>
      </c>
      <c r="P29" s="9">
        <v>0</v>
      </c>
      <c r="Q29" s="9">
        <v>0</v>
      </c>
      <c r="R29" s="9">
        <v>0</v>
      </c>
      <c r="S29" s="9">
        <v>0</v>
      </c>
    </row>
    <row r="30" spans="1:19">
      <c r="A30" s="5">
        <v>1232775</v>
      </c>
      <c r="B30" s="9">
        <v>327</v>
      </c>
      <c r="C30" s="9">
        <v>242</v>
      </c>
      <c r="D30" s="9">
        <v>0</v>
      </c>
      <c r="E30" s="9">
        <v>0</v>
      </c>
      <c r="F30" s="9">
        <v>242</v>
      </c>
      <c r="G30" s="9">
        <v>239</v>
      </c>
      <c r="H30" s="9">
        <v>242</v>
      </c>
      <c r="I30" s="9">
        <v>245</v>
      </c>
      <c r="J30" s="9">
        <v>242</v>
      </c>
      <c r="K30" s="9">
        <v>0</v>
      </c>
      <c r="L30" s="9">
        <v>0</v>
      </c>
      <c r="M30" s="9">
        <v>245</v>
      </c>
      <c r="N30" s="9">
        <v>242</v>
      </c>
      <c r="O30" s="9">
        <v>242</v>
      </c>
      <c r="P30" s="9">
        <v>242</v>
      </c>
      <c r="Q30" s="9">
        <v>200</v>
      </c>
      <c r="R30" s="9">
        <v>0</v>
      </c>
      <c r="S30" s="9">
        <v>0</v>
      </c>
    </row>
    <row r="31" spans="1:19">
      <c r="A31" s="5">
        <v>1238605</v>
      </c>
      <c r="B31" s="9">
        <v>107</v>
      </c>
      <c r="C31" s="9">
        <v>191</v>
      </c>
      <c r="D31" s="9">
        <v>0</v>
      </c>
      <c r="E31" s="9">
        <v>0</v>
      </c>
      <c r="F31" s="9">
        <v>193</v>
      </c>
      <c r="G31" s="9">
        <v>191</v>
      </c>
      <c r="H31" s="9">
        <v>191</v>
      </c>
      <c r="I31" s="9">
        <v>193</v>
      </c>
      <c r="J31" s="9">
        <v>191</v>
      </c>
      <c r="K31" s="9">
        <v>0</v>
      </c>
      <c r="L31" s="9">
        <v>0</v>
      </c>
      <c r="M31" s="9">
        <v>191</v>
      </c>
      <c r="N31" s="9">
        <v>109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1:19">
      <c r="A32" s="5">
        <v>1230685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58</v>
      </c>
      <c r="P32" s="9">
        <v>330</v>
      </c>
      <c r="Q32" s="9">
        <v>12</v>
      </c>
      <c r="R32" s="9">
        <v>0</v>
      </c>
      <c r="S32" s="9">
        <v>0</v>
      </c>
    </row>
    <row r="37" spans="1:19">
      <c r="A37" s="5" t="s">
        <v>0</v>
      </c>
      <c r="B37" s="9" t="s">
        <v>1277</v>
      </c>
      <c r="C37" s="9" t="s">
        <v>1278</v>
      </c>
      <c r="D37" s="9" t="s">
        <v>1279</v>
      </c>
      <c r="E37" s="9" t="s">
        <v>1280</v>
      </c>
      <c r="F37" s="9" t="s">
        <v>1282</v>
      </c>
      <c r="G37" s="9" t="s">
        <v>1283</v>
      </c>
      <c r="H37" s="9" t="s">
        <v>1284</v>
      </c>
      <c r="I37" s="9" t="s">
        <v>1285</v>
      </c>
      <c r="J37" s="9" t="s">
        <v>1286</v>
      </c>
      <c r="K37" s="9" t="s">
        <v>1287</v>
      </c>
      <c r="L37" s="9" t="s">
        <v>1288</v>
      </c>
      <c r="M37" s="9" t="s">
        <v>1290</v>
      </c>
      <c r="N37" s="9" t="s">
        <v>1291</v>
      </c>
      <c r="O37" s="9" t="s">
        <v>1292</v>
      </c>
      <c r="P37" s="9" t="s">
        <v>1293</v>
      </c>
      <c r="Q37" s="9" t="s">
        <v>1294</v>
      </c>
      <c r="R37" s="9" t="s">
        <v>1295</v>
      </c>
      <c r="S37" s="9" t="s">
        <v>1296</v>
      </c>
    </row>
    <row r="38" spans="1:19">
      <c r="A38" s="5">
        <v>1234614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39</v>
      </c>
      <c r="I38" s="9">
        <v>285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500</v>
      </c>
      <c r="Q38" s="9">
        <v>648</v>
      </c>
      <c r="R38" s="9">
        <v>0</v>
      </c>
      <c r="S38" s="9">
        <v>0</v>
      </c>
    </row>
    <row r="39" spans="1:19">
      <c r="A39" s="5">
        <v>1227306</v>
      </c>
      <c r="B39" s="9">
        <v>79</v>
      </c>
      <c r="C39" s="9">
        <v>221</v>
      </c>
      <c r="D39" s="9">
        <v>0</v>
      </c>
      <c r="E39" s="9">
        <v>0</v>
      </c>
      <c r="F39" s="9">
        <v>331</v>
      </c>
      <c r="G39" s="9">
        <v>319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360</v>
      </c>
      <c r="Q39" s="9">
        <v>440</v>
      </c>
      <c r="R39" s="9">
        <v>0</v>
      </c>
      <c r="S39" s="9">
        <v>0</v>
      </c>
    </row>
    <row r="40" spans="1:19">
      <c r="A40" s="5">
        <v>1225464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295</v>
      </c>
      <c r="N40" s="9">
        <v>465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5">
        <v>1231797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168</v>
      </c>
      <c r="Q41" s="9">
        <v>0</v>
      </c>
      <c r="R41" s="9">
        <v>0</v>
      </c>
      <c r="S41" s="9">
        <v>0</v>
      </c>
    </row>
    <row r="42" spans="1:19">
      <c r="A42" s="5">
        <v>1229776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85</v>
      </c>
      <c r="H42" s="9">
        <v>5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5">
        <v>1231090</v>
      </c>
      <c r="B43" s="9">
        <v>0</v>
      </c>
      <c r="C43" s="9">
        <v>229</v>
      </c>
      <c r="D43" s="9">
        <v>0</v>
      </c>
      <c r="E43" s="9">
        <v>0</v>
      </c>
      <c r="F43" s="9">
        <v>481</v>
      </c>
      <c r="G43" s="9">
        <v>85</v>
      </c>
      <c r="H43" s="9">
        <v>5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450</v>
      </c>
      <c r="R43" s="9">
        <v>0</v>
      </c>
      <c r="S43" s="9">
        <v>0</v>
      </c>
    </row>
    <row r="44" spans="1:19">
      <c r="A44" s="5">
        <v>1232066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257</v>
      </c>
      <c r="K44" s="9">
        <v>0</v>
      </c>
      <c r="L44" s="9">
        <v>0</v>
      </c>
      <c r="M44" s="9">
        <v>499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1:19">
      <c r="A45" s="5">
        <v>1231860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100</v>
      </c>
      <c r="R45" s="9">
        <v>0</v>
      </c>
      <c r="S45" s="9">
        <v>0</v>
      </c>
    </row>
    <row r="46" spans="1:19">
      <c r="A46" s="5">
        <v>1232693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1200</v>
      </c>
      <c r="R46" s="9">
        <v>0</v>
      </c>
      <c r="S46" s="9">
        <v>0</v>
      </c>
    </row>
    <row r="47" spans="1:19">
      <c r="A47" s="5">
        <v>1233025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1200</v>
      </c>
      <c r="R47" s="9">
        <v>0</v>
      </c>
      <c r="S47" s="9">
        <v>0</v>
      </c>
    </row>
    <row r="48" spans="1:19">
      <c r="A48" s="5">
        <v>1232528</v>
      </c>
      <c r="B48" s="9">
        <v>1730</v>
      </c>
      <c r="C48" s="9">
        <v>1712</v>
      </c>
      <c r="D48" s="9">
        <v>0</v>
      </c>
      <c r="E48" s="9">
        <v>0</v>
      </c>
      <c r="F48" s="9">
        <v>1937</v>
      </c>
      <c r="G48" s="9">
        <v>2250</v>
      </c>
      <c r="H48" s="9">
        <v>1586</v>
      </c>
      <c r="I48" s="9">
        <v>568</v>
      </c>
      <c r="J48" s="9">
        <v>570</v>
      </c>
      <c r="K48" s="9">
        <v>0</v>
      </c>
      <c r="L48" s="9">
        <v>0</v>
      </c>
      <c r="M48" s="9">
        <v>265</v>
      </c>
      <c r="N48" s="9">
        <v>673</v>
      </c>
      <c r="O48" s="9">
        <v>539</v>
      </c>
      <c r="P48" s="9">
        <v>793</v>
      </c>
      <c r="Q48" s="9">
        <v>3796</v>
      </c>
      <c r="R48" s="9">
        <v>0</v>
      </c>
      <c r="S48" s="9">
        <v>0</v>
      </c>
    </row>
    <row r="49" spans="1:19">
      <c r="A49" s="5">
        <v>1232846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377</v>
      </c>
      <c r="J49" s="9">
        <v>454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19">
      <c r="A50" s="5">
        <v>1229050</v>
      </c>
      <c r="B50" s="9">
        <v>0</v>
      </c>
      <c r="C50" s="9">
        <v>252</v>
      </c>
      <c r="D50" s="9">
        <v>0</v>
      </c>
      <c r="E50" s="9">
        <v>0</v>
      </c>
      <c r="F50" s="9">
        <v>143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</row>
    <row r="51" spans="1:19">
      <c r="A51" s="5">
        <v>1220847</v>
      </c>
      <c r="B51" s="9">
        <v>0</v>
      </c>
      <c r="C51" s="9">
        <v>197</v>
      </c>
      <c r="D51" s="9">
        <v>0</v>
      </c>
      <c r="E51" s="9">
        <v>0</v>
      </c>
      <c r="F51" s="9">
        <v>256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270</v>
      </c>
      <c r="P51" s="9">
        <v>227</v>
      </c>
      <c r="Q51" s="9">
        <v>2585</v>
      </c>
      <c r="R51" s="9">
        <v>0</v>
      </c>
      <c r="S51" s="9">
        <v>0</v>
      </c>
    </row>
    <row r="52" spans="1:19">
      <c r="A52" s="5">
        <v>1234222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60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19">
      <c r="A53" s="5">
        <v>1234217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270</v>
      </c>
      <c r="Q53" s="9">
        <v>0</v>
      </c>
      <c r="R53" s="9">
        <v>0</v>
      </c>
      <c r="S53" s="9">
        <v>0</v>
      </c>
    </row>
    <row r="54" spans="1:19">
      <c r="A54" s="5">
        <v>1234111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270</v>
      </c>
      <c r="Q54" s="9">
        <v>0</v>
      </c>
      <c r="R54" s="9">
        <v>0</v>
      </c>
      <c r="S54" s="9">
        <v>0</v>
      </c>
    </row>
    <row r="55" spans="1:19">
      <c r="A55" s="5">
        <v>1234110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270</v>
      </c>
      <c r="Q55" s="9">
        <v>0</v>
      </c>
      <c r="R55" s="9">
        <v>0</v>
      </c>
      <c r="S55" s="9">
        <v>0</v>
      </c>
    </row>
    <row r="56" spans="1:19">
      <c r="A56" s="5">
        <v>1235097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151</v>
      </c>
      <c r="O56" s="9">
        <v>269</v>
      </c>
      <c r="P56" s="9">
        <v>80</v>
      </c>
      <c r="Q56" s="9">
        <v>0</v>
      </c>
      <c r="R56" s="9">
        <v>0</v>
      </c>
      <c r="S56" s="9">
        <v>0</v>
      </c>
    </row>
    <row r="57" spans="1:19">
      <c r="A57" s="5">
        <v>1235845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330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</row>
    <row r="58" spans="1:19">
      <c r="A58" s="5">
        <v>1236600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91</v>
      </c>
      <c r="N58" s="9">
        <v>533</v>
      </c>
      <c r="O58" s="9">
        <v>420</v>
      </c>
      <c r="P58" s="9">
        <v>83</v>
      </c>
      <c r="Q58" s="9">
        <v>0</v>
      </c>
      <c r="R58" s="9">
        <v>0</v>
      </c>
      <c r="S58" s="9">
        <v>0</v>
      </c>
    </row>
    <row r="59" spans="1:19">
      <c r="A59" s="5">
        <v>1236930</v>
      </c>
      <c r="B59" s="9">
        <v>83</v>
      </c>
      <c r="C59" s="9">
        <v>750</v>
      </c>
      <c r="D59" s="9">
        <v>0</v>
      </c>
      <c r="E59" s="9">
        <v>0</v>
      </c>
      <c r="F59" s="9">
        <v>420</v>
      </c>
      <c r="G59" s="9">
        <v>502</v>
      </c>
      <c r="H59" s="9">
        <v>539</v>
      </c>
      <c r="I59" s="9">
        <v>457</v>
      </c>
      <c r="J59" s="9">
        <v>314</v>
      </c>
      <c r="K59" s="9">
        <v>0</v>
      </c>
      <c r="L59" s="9">
        <v>0</v>
      </c>
      <c r="M59" s="9">
        <v>317</v>
      </c>
      <c r="N59" s="9">
        <v>456</v>
      </c>
      <c r="O59" s="9">
        <v>331</v>
      </c>
      <c r="P59" s="9">
        <v>420</v>
      </c>
      <c r="Q59" s="9">
        <v>612</v>
      </c>
      <c r="R59" s="9">
        <v>0</v>
      </c>
      <c r="S59" s="9">
        <v>0</v>
      </c>
    </row>
    <row r="60" spans="1:19">
      <c r="A60" s="5">
        <v>1238480</v>
      </c>
      <c r="B60" s="9">
        <v>722</v>
      </c>
      <c r="C60" s="9">
        <v>438</v>
      </c>
      <c r="D60" s="9">
        <v>0</v>
      </c>
      <c r="E60" s="9">
        <v>0</v>
      </c>
      <c r="F60" s="9">
        <v>0</v>
      </c>
      <c r="G60" s="9">
        <v>0</v>
      </c>
      <c r="H60" s="9">
        <v>308</v>
      </c>
      <c r="I60" s="9">
        <v>1171</v>
      </c>
      <c r="J60" s="9">
        <v>1225</v>
      </c>
      <c r="K60" s="9">
        <v>0</v>
      </c>
      <c r="L60" s="9">
        <v>0</v>
      </c>
      <c r="M60" s="9">
        <v>1464</v>
      </c>
      <c r="N60" s="9">
        <v>972</v>
      </c>
      <c r="O60" s="9">
        <v>578</v>
      </c>
      <c r="P60" s="9">
        <v>429</v>
      </c>
      <c r="Q60" s="9">
        <v>639</v>
      </c>
      <c r="R60" s="9">
        <v>0</v>
      </c>
      <c r="S60" s="9">
        <v>0</v>
      </c>
    </row>
    <row r="61" spans="1:19">
      <c r="A61" s="5">
        <v>1238453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37</v>
      </c>
      <c r="K61" s="9">
        <v>0</v>
      </c>
      <c r="L61" s="9">
        <v>0</v>
      </c>
      <c r="M61" s="9">
        <v>275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5">
        <v>1232775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392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60</v>
      </c>
      <c r="Q62" s="9">
        <v>216</v>
      </c>
      <c r="R62" s="9">
        <v>0</v>
      </c>
      <c r="S62" s="9">
        <v>0</v>
      </c>
    </row>
    <row r="63" spans="1:19">
      <c r="A63" s="5">
        <v>1240180</v>
      </c>
      <c r="B63" s="9">
        <v>218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191</v>
      </c>
      <c r="J63" s="9">
        <v>279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19">
      <c r="A64" s="5">
        <v>1240184</v>
      </c>
      <c r="B64" s="9">
        <v>218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191</v>
      </c>
      <c r="J64" s="9">
        <v>279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5">
        <v>1237468</v>
      </c>
      <c r="B65" s="9">
        <v>0</v>
      </c>
      <c r="C65" s="9">
        <v>0</v>
      </c>
      <c r="D65" s="9">
        <v>0</v>
      </c>
      <c r="E65" s="9">
        <v>0</v>
      </c>
      <c r="F65" s="9">
        <v>152</v>
      </c>
      <c r="G65" s="9">
        <v>316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200</v>
      </c>
      <c r="O65" s="9">
        <v>124</v>
      </c>
      <c r="P65" s="9">
        <v>0</v>
      </c>
      <c r="Q65" s="9">
        <v>0</v>
      </c>
      <c r="R65" s="9">
        <v>0</v>
      </c>
      <c r="S65" s="9">
        <v>0</v>
      </c>
    </row>
    <row r="66" spans="1:19">
      <c r="A66" s="5">
        <v>1241480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26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>
      <c r="A67" s="5">
        <v>1241474</v>
      </c>
      <c r="B67" s="9">
        <v>0</v>
      </c>
      <c r="C67" s="9">
        <v>81</v>
      </c>
      <c r="D67" s="9">
        <v>0</v>
      </c>
      <c r="E67" s="9">
        <v>0</v>
      </c>
      <c r="F67" s="9">
        <v>11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>
      <c r="A68" s="5">
        <v>1241387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107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>
      <c r="A69" s="5">
        <v>1216452</v>
      </c>
      <c r="B69" s="9">
        <v>816</v>
      </c>
      <c r="C69" s="9">
        <v>1050</v>
      </c>
      <c r="D69" s="9">
        <v>0</v>
      </c>
      <c r="E69" s="9">
        <v>0</v>
      </c>
      <c r="F69" s="9">
        <v>450</v>
      </c>
      <c r="G69" s="9">
        <v>0</v>
      </c>
      <c r="H69" s="9">
        <v>0</v>
      </c>
      <c r="I69" s="9">
        <v>0</v>
      </c>
      <c r="J69" s="9">
        <v>362</v>
      </c>
      <c r="K69" s="9">
        <v>0</v>
      </c>
      <c r="L69" s="9">
        <v>0</v>
      </c>
      <c r="M69" s="9">
        <v>662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 spans="1:19">
      <c r="A70" s="5">
        <v>1232894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377</v>
      </c>
      <c r="J70" s="9">
        <v>454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</row>
    <row r="71" spans="1:19">
      <c r="A71" s="5">
        <v>1233387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255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</row>
    <row r="72" spans="1:19">
      <c r="A72" s="5">
        <v>1233385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122</v>
      </c>
      <c r="J72" s="9">
        <v>454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</row>
  </sheetData>
  <phoneticPr fontId="11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2B6C-7C71-4F71-AD45-7A25B845A90D}">
  <dimension ref="A1:S70"/>
  <sheetViews>
    <sheetView topLeftCell="A47" zoomScale="175" zoomScaleNormal="175" workbookViewId="0">
      <selection activeCell="F62" sqref="F62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19" width="9.33203125" style="9"/>
    <col min="20" max="16384" width="9.33203125" style="5"/>
  </cols>
  <sheetData>
    <row r="1" spans="1:18">
      <c r="A1" s="74" t="s">
        <v>0</v>
      </c>
      <c r="B1" s="69" t="s">
        <v>1278</v>
      </c>
      <c r="C1" s="69" t="s">
        <v>1279</v>
      </c>
      <c r="D1" s="70" t="s">
        <v>1280</v>
      </c>
      <c r="E1" s="69" t="s">
        <v>1282</v>
      </c>
      <c r="F1" s="69" t="s">
        <v>1283</v>
      </c>
      <c r="G1" s="69" t="s">
        <v>1284</v>
      </c>
      <c r="H1" s="69" t="s">
        <v>1285</v>
      </c>
      <c r="I1" s="69" t="s">
        <v>1286</v>
      </c>
      <c r="J1" s="69" t="s">
        <v>1287</v>
      </c>
      <c r="K1" s="70" t="s">
        <v>1288</v>
      </c>
      <c r="L1" s="69" t="s">
        <v>1290</v>
      </c>
      <c r="M1" s="69" t="s">
        <v>1291</v>
      </c>
      <c r="N1" s="69" t="s">
        <v>1292</v>
      </c>
      <c r="O1" s="69" t="s">
        <v>1293</v>
      </c>
      <c r="P1" s="69" t="s">
        <v>1294</v>
      </c>
      <c r="Q1" s="69" t="s">
        <v>1295</v>
      </c>
      <c r="R1" s="70" t="s">
        <v>1296</v>
      </c>
    </row>
    <row r="2" spans="1:18">
      <c r="A2" s="30">
        <v>1226384</v>
      </c>
      <c r="B2" s="32">
        <v>300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2">
        <v>0</v>
      </c>
      <c r="R2" s="32">
        <v>0</v>
      </c>
    </row>
    <row r="3" spans="1:18">
      <c r="A3" s="30">
        <v>1226388</v>
      </c>
      <c r="B3" s="32">
        <v>300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</row>
    <row r="4" spans="1:18">
      <c r="A4" s="30">
        <v>1229673</v>
      </c>
      <c r="B4" s="32">
        <v>0</v>
      </c>
      <c r="C4" s="32">
        <v>0</v>
      </c>
      <c r="D4" s="32">
        <v>0</v>
      </c>
      <c r="E4" s="32">
        <v>0</v>
      </c>
      <c r="F4" s="32">
        <v>200</v>
      </c>
      <c r="G4" s="32">
        <v>200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</row>
    <row r="5" spans="1:18">
      <c r="A5" s="30">
        <v>1230854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200</v>
      </c>
      <c r="M5" s="32">
        <v>200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</row>
    <row r="6" spans="1:18">
      <c r="A6" s="30">
        <v>1233492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620</v>
      </c>
      <c r="P6" s="32">
        <v>700</v>
      </c>
      <c r="Q6" s="32">
        <v>0</v>
      </c>
      <c r="R6" s="32">
        <v>0</v>
      </c>
    </row>
    <row r="7" spans="1:18">
      <c r="A7" s="30">
        <v>1233498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620</v>
      </c>
      <c r="P7" s="32">
        <v>700</v>
      </c>
      <c r="Q7" s="32">
        <v>0</v>
      </c>
      <c r="R7" s="32">
        <v>0</v>
      </c>
    </row>
    <row r="8" spans="1:18">
      <c r="A8" s="30">
        <v>1233623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620</v>
      </c>
      <c r="P8" s="32">
        <v>700</v>
      </c>
      <c r="Q8" s="32">
        <v>0</v>
      </c>
      <c r="R8" s="32">
        <v>0</v>
      </c>
    </row>
    <row r="9" spans="1:18">
      <c r="A9" s="30">
        <v>1235623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490</v>
      </c>
      <c r="M9" s="32">
        <v>82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</row>
    <row r="10" spans="1:18">
      <c r="A10" s="30">
        <v>1237088</v>
      </c>
      <c r="B10" s="32">
        <v>866</v>
      </c>
      <c r="C10" s="32">
        <v>0</v>
      </c>
      <c r="D10" s="32">
        <v>0</v>
      </c>
      <c r="E10" s="32">
        <v>860</v>
      </c>
      <c r="F10" s="32">
        <v>304</v>
      </c>
      <c r="G10" s="32">
        <v>634</v>
      </c>
      <c r="H10" s="32">
        <v>794</v>
      </c>
      <c r="I10" s="32">
        <v>566</v>
      </c>
      <c r="J10" s="32">
        <v>0</v>
      </c>
      <c r="K10" s="32">
        <v>0</v>
      </c>
      <c r="L10" s="32">
        <v>820</v>
      </c>
      <c r="M10" s="32">
        <v>720</v>
      </c>
      <c r="N10" s="32">
        <v>476</v>
      </c>
      <c r="O10" s="32">
        <v>948</v>
      </c>
      <c r="P10" s="32">
        <v>1040</v>
      </c>
      <c r="Q10" s="32">
        <v>0</v>
      </c>
      <c r="R10" s="32">
        <v>0</v>
      </c>
    </row>
    <row r="11" spans="1:18">
      <c r="A11" s="30">
        <v>1236091</v>
      </c>
      <c r="B11" s="32">
        <v>0</v>
      </c>
      <c r="C11" s="32">
        <v>0</v>
      </c>
      <c r="D11" s="32">
        <v>0</v>
      </c>
      <c r="E11" s="32">
        <v>0</v>
      </c>
      <c r="F11" s="32">
        <v>200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200</v>
      </c>
      <c r="O11" s="32">
        <v>0</v>
      </c>
      <c r="P11" s="32">
        <v>0</v>
      </c>
      <c r="Q11" s="32">
        <v>0</v>
      </c>
      <c r="R11" s="32">
        <v>0</v>
      </c>
    </row>
    <row r="12" spans="1:18">
      <c r="A12" s="30">
        <v>1238128</v>
      </c>
      <c r="B12" s="32">
        <v>2526</v>
      </c>
      <c r="C12" s="32">
        <v>0</v>
      </c>
      <c r="D12" s="32">
        <v>0</v>
      </c>
      <c r="E12" s="32">
        <v>1000</v>
      </c>
      <c r="F12" s="32">
        <v>1000</v>
      </c>
      <c r="G12" s="32">
        <v>1392</v>
      </c>
      <c r="H12" s="32">
        <v>1770</v>
      </c>
      <c r="I12" s="32">
        <v>1770</v>
      </c>
      <c r="J12" s="32">
        <v>0</v>
      </c>
      <c r="K12" s="32">
        <v>0</v>
      </c>
      <c r="L12" s="32">
        <v>1456</v>
      </c>
      <c r="M12" s="32">
        <v>1180</v>
      </c>
      <c r="N12" s="32">
        <v>672</v>
      </c>
      <c r="O12" s="32">
        <v>1180</v>
      </c>
      <c r="P12" s="32">
        <v>1180</v>
      </c>
      <c r="Q12" s="32">
        <v>0</v>
      </c>
      <c r="R12" s="32">
        <v>0</v>
      </c>
    </row>
    <row r="13" spans="1:18">
      <c r="A13" s="30">
        <v>1236962</v>
      </c>
      <c r="B13" s="32">
        <v>0</v>
      </c>
      <c r="C13" s="32">
        <v>0</v>
      </c>
      <c r="D13" s="32">
        <v>0</v>
      </c>
      <c r="E13" s="32">
        <v>0</v>
      </c>
      <c r="F13" s="32">
        <v>200</v>
      </c>
      <c r="G13" s="32">
        <v>0</v>
      </c>
      <c r="H13" s="32">
        <v>300</v>
      </c>
      <c r="I13" s="32">
        <v>0</v>
      </c>
      <c r="J13" s="32">
        <v>0</v>
      </c>
      <c r="K13" s="32">
        <v>0</v>
      </c>
      <c r="L13" s="32">
        <v>0</v>
      </c>
      <c r="M13" s="32">
        <v>300</v>
      </c>
      <c r="N13" s="32">
        <v>0</v>
      </c>
      <c r="O13" s="32">
        <v>0</v>
      </c>
      <c r="P13" s="32">
        <v>200</v>
      </c>
      <c r="Q13" s="32">
        <v>0</v>
      </c>
      <c r="R13" s="32">
        <v>0</v>
      </c>
    </row>
    <row r="14" spans="1:18">
      <c r="A14" s="30">
        <v>1233761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200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150</v>
      </c>
      <c r="P14" s="32">
        <v>0</v>
      </c>
      <c r="Q14" s="32">
        <v>0</v>
      </c>
      <c r="R14" s="32">
        <v>0</v>
      </c>
    </row>
    <row r="15" spans="1:18">
      <c r="A15" s="30">
        <v>1236930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174</v>
      </c>
      <c r="M15" s="32">
        <v>358</v>
      </c>
      <c r="N15" s="32">
        <v>204</v>
      </c>
      <c r="O15" s="32">
        <v>358</v>
      </c>
      <c r="P15" s="32">
        <v>358</v>
      </c>
      <c r="Q15" s="32">
        <v>0</v>
      </c>
      <c r="R15" s="32">
        <v>0</v>
      </c>
    </row>
    <row r="16" spans="1:18">
      <c r="A16" s="30">
        <v>1239651</v>
      </c>
      <c r="B16" s="32">
        <v>0</v>
      </c>
      <c r="C16" s="32">
        <v>0</v>
      </c>
      <c r="D16" s="32">
        <v>0</v>
      </c>
      <c r="E16" s="32">
        <v>300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384</v>
      </c>
      <c r="Q16" s="32">
        <v>0</v>
      </c>
      <c r="R16" s="32">
        <v>0</v>
      </c>
    </row>
    <row r="17" spans="1:18">
      <c r="A17" s="30">
        <v>1240180</v>
      </c>
      <c r="B17" s="32">
        <v>736</v>
      </c>
      <c r="C17" s="32">
        <v>0</v>
      </c>
      <c r="D17" s="32">
        <v>0</v>
      </c>
      <c r="E17" s="32">
        <v>946</v>
      </c>
      <c r="F17" s="32">
        <v>972</v>
      </c>
      <c r="G17" s="32">
        <v>208</v>
      </c>
      <c r="H17" s="32">
        <v>430</v>
      </c>
      <c r="I17" s="32">
        <v>430</v>
      </c>
      <c r="J17" s="32">
        <v>0</v>
      </c>
      <c r="K17" s="32">
        <v>0</v>
      </c>
      <c r="L17" s="32">
        <v>200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</row>
    <row r="18" spans="1:18">
      <c r="A18" s="30">
        <v>1240184</v>
      </c>
      <c r="B18" s="32">
        <v>736</v>
      </c>
      <c r="C18" s="32">
        <v>0</v>
      </c>
      <c r="D18" s="32">
        <v>0</v>
      </c>
      <c r="E18" s="32">
        <v>946</v>
      </c>
      <c r="F18" s="32">
        <v>972</v>
      </c>
      <c r="G18" s="32">
        <v>208</v>
      </c>
      <c r="H18" s="32">
        <v>230</v>
      </c>
      <c r="I18" s="32">
        <v>430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</row>
    <row r="19" spans="1:18">
      <c r="A19" s="30">
        <v>1240308</v>
      </c>
      <c r="B19" s="32">
        <v>0</v>
      </c>
      <c r="C19" s="32">
        <v>0</v>
      </c>
      <c r="D19" s="32">
        <v>0</v>
      </c>
      <c r="E19" s="32">
        <v>150</v>
      </c>
      <c r="F19" s="32">
        <v>300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300</v>
      </c>
      <c r="P19" s="32">
        <v>0</v>
      </c>
      <c r="Q19" s="32">
        <v>0</v>
      </c>
      <c r="R19" s="32">
        <v>0</v>
      </c>
    </row>
    <row r="20" spans="1:18">
      <c r="A20" s="30">
        <v>1242242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72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</row>
    <row r="25" spans="1:18">
      <c r="A25" s="5" t="s">
        <v>0</v>
      </c>
      <c r="B25" s="9" t="s">
        <v>1278</v>
      </c>
      <c r="C25" s="9" t="s">
        <v>1279</v>
      </c>
      <c r="D25" s="9" t="s">
        <v>1280</v>
      </c>
      <c r="E25" s="9" t="s">
        <v>1282</v>
      </c>
      <c r="F25" s="9" t="s">
        <v>1283</v>
      </c>
      <c r="G25" s="9" t="s">
        <v>1284</v>
      </c>
      <c r="H25" s="9" t="s">
        <v>1285</v>
      </c>
      <c r="I25" s="9" t="s">
        <v>1286</v>
      </c>
      <c r="J25" s="9" t="s">
        <v>1287</v>
      </c>
      <c r="K25" s="9" t="s">
        <v>1288</v>
      </c>
      <c r="L25" s="9" t="s">
        <v>1290</v>
      </c>
      <c r="M25" s="9" t="s">
        <v>1291</v>
      </c>
      <c r="N25" s="9" t="s">
        <v>1292</v>
      </c>
      <c r="O25" s="9" t="s">
        <v>1293</v>
      </c>
      <c r="P25" s="9" t="s">
        <v>1294</v>
      </c>
      <c r="Q25" s="9" t="s">
        <v>1295</v>
      </c>
      <c r="R25" s="9" t="s">
        <v>1296</v>
      </c>
    </row>
    <row r="26" spans="1:18">
      <c r="A26" s="5">
        <v>1237608</v>
      </c>
      <c r="B26" s="9">
        <v>180</v>
      </c>
      <c r="C26" s="9">
        <v>0</v>
      </c>
      <c r="D26" s="9">
        <v>0</v>
      </c>
      <c r="E26" s="9">
        <v>180</v>
      </c>
      <c r="F26" s="9">
        <v>50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7" spans="1:18">
      <c r="A27" s="5">
        <v>1236110</v>
      </c>
      <c r="B27" s="9">
        <v>0</v>
      </c>
      <c r="C27" s="9">
        <v>0</v>
      </c>
      <c r="D27" s="9">
        <v>0</v>
      </c>
      <c r="E27" s="9">
        <v>0</v>
      </c>
      <c r="F27" s="9">
        <v>115</v>
      </c>
      <c r="G27" s="9">
        <v>35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</row>
    <row r="28" spans="1:18">
      <c r="A28" s="5">
        <v>1236387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117</v>
      </c>
      <c r="N28" s="9">
        <v>293</v>
      </c>
      <c r="O28" s="9">
        <v>0</v>
      </c>
      <c r="P28" s="9">
        <v>0</v>
      </c>
      <c r="Q28" s="9">
        <v>0</v>
      </c>
      <c r="R28" s="9">
        <v>0</v>
      </c>
    </row>
    <row r="29" spans="1:18">
      <c r="A29" s="5">
        <v>1232775</v>
      </c>
      <c r="B29" s="9">
        <v>242</v>
      </c>
      <c r="C29" s="9">
        <v>0</v>
      </c>
      <c r="D29" s="9">
        <v>0</v>
      </c>
      <c r="E29" s="9">
        <v>242</v>
      </c>
      <c r="F29" s="9">
        <v>239</v>
      </c>
      <c r="G29" s="9">
        <v>242</v>
      </c>
      <c r="H29" s="9">
        <v>245</v>
      </c>
      <c r="I29" s="9">
        <v>242</v>
      </c>
      <c r="J29" s="9">
        <v>0</v>
      </c>
      <c r="K29" s="9">
        <v>0</v>
      </c>
      <c r="L29" s="9">
        <v>245</v>
      </c>
      <c r="M29" s="9">
        <v>242</v>
      </c>
      <c r="N29" s="9">
        <v>242</v>
      </c>
      <c r="O29" s="9">
        <v>242</v>
      </c>
      <c r="P29" s="9">
        <v>200</v>
      </c>
      <c r="Q29" s="9">
        <v>0</v>
      </c>
      <c r="R29" s="9">
        <v>0</v>
      </c>
    </row>
    <row r="30" spans="1:18">
      <c r="A30" s="5">
        <v>1238605</v>
      </c>
      <c r="B30" s="9">
        <v>191</v>
      </c>
      <c r="C30" s="9">
        <v>0</v>
      </c>
      <c r="D30" s="9">
        <v>0</v>
      </c>
      <c r="E30" s="9">
        <v>193</v>
      </c>
      <c r="F30" s="9">
        <v>191</v>
      </c>
      <c r="G30" s="9">
        <v>191</v>
      </c>
      <c r="H30" s="9">
        <v>193</v>
      </c>
      <c r="I30" s="9">
        <v>191</v>
      </c>
      <c r="J30" s="9">
        <v>0</v>
      </c>
      <c r="K30" s="9">
        <v>0</v>
      </c>
      <c r="L30" s="9">
        <v>191</v>
      </c>
      <c r="M30" s="9">
        <v>109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>
      <c r="A31" s="5">
        <v>1230685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58</v>
      </c>
      <c r="O31" s="9">
        <v>330</v>
      </c>
      <c r="P31" s="9">
        <v>12</v>
      </c>
      <c r="Q31" s="9">
        <v>0</v>
      </c>
      <c r="R31" s="9">
        <v>0</v>
      </c>
    </row>
    <row r="35" spans="1:18">
      <c r="A35" s="5" t="s">
        <v>0</v>
      </c>
      <c r="B35" s="9" t="s">
        <v>1278</v>
      </c>
      <c r="C35" s="9" t="s">
        <v>1279</v>
      </c>
      <c r="D35" s="9" t="s">
        <v>1280</v>
      </c>
      <c r="E35" s="9" t="s">
        <v>1282</v>
      </c>
      <c r="F35" s="9" t="s">
        <v>1283</v>
      </c>
      <c r="G35" s="9" t="s">
        <v>1284</v>
      </c>
      <c r="H35" s="9" t="s">
        <v>1285</v>
      </c>
      <c r="I35" s="9" t="s">
        <v>1286</v>
      </c>
      <c r="J35" s="9" t="s">
        <v>1287</v>
      </c>
      <c r="K35" s="9" t="s">
        <v>1288</v>
      </c>
      <c r="L35" s="9" t="s">
        <v>1290</v>
      </c>
      <c r="M35" s="9" t="s">
        <v>1291</v>
      </c>
      <c r="N35" s="9" t="s">
        <v>1292</v>
      </c>
      <c r="O35" s="9" t="s">
        <v>1293</v>
      </c>
      <c r="P35" s="9" t="s">
        <v>1294</v>
      </c>
      <c r="Q35" s="9" t="s">
        <v>1295</v>
      </c>
      <c r="R35" s="9" t="s">
        <v>1296</v>
      </c>
    </row>
    <row r="36" spans="1:18">
      <c r="A36" s="5">
        <v>1234614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39</v>
      </c>
      <c r="H36" s="9">
        <v>285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500</v>
      </c>
      <c r="P36" s="9">
        <v>648</v>
      </c>
      <c r="Q36" s="9">
        <v>0</v>
      </c>
      <c r="R36" s="9">
        <v>0</v>
      </c>
    </row>
    <row r="37" spans="1:18">
      <c r="A37" s="5">
        <v>1227306</v>
      </c>
      <c r="B37" s="9">
        <v>221</v>
      </c>
      <c r="C37" s="9">
        <v>0</v>
      </c>
      <c r="D37" s="9">
        <v>0</v>
      </c>
      <c r="E37" s="9">
        <v>331</v>
      </c>
      <c r="F37" s="9">
        <v>319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360</v>
      </c>
      <c r="P37" s="9">
        <v>440</v>
      </c>
      <c r="Q37" s="9">
        <v>0</v>
      </c>
      <c r="R37" s="9">
        <v>0</v>
      </c>
    </row>
    <row r="38" spans="1:18">
      <c r="A38" s="5">
        <v>1225464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295</v>
      </c>
      <c r="M38" s="9">
        <v>465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>
      <c r="A39" s="5">
        <v>1231797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168</v>
      </c>
      <c r="P39" s="9">
        <v>0</v>
      </c>
      <c r="Q39" s="9">
        <v>0</v>
      </c>
      <c r="R39" s="9">
        <v>0</v>
      </c>
    </row>
    <row r="40" spans="1:18">
      <c r="A40" s="5">
        <v>1229776</v>
      </c>
      <c r="B40" s="9">
        <v>0</v>
      </c>
      <c r="C40" s="9">
        <v>0</v>
      </c>
      <c r="D40" s="9">
        <v>0</v>
      </c>
      <c r="E40" s="9">
        <v>0</v>
      </c>
      <c r="F40" s="9">
        <v>81</v>
      </c>
      <c r="G40" s="9">
        <v>9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>
      <c r="A41" s="5">
        <v>1231090</v>
      </c>
      <c r="B41" s="9">
        <v>229</v>
      </c>
      <c r="C41" s="9">
        <v>0</v>
      </c>
      <c r="D41" s="9">
        <v>0</v>
      </c>
      <c r="E41" s="9">
        <v>481</v>
      </c>
      <c r="F41" s="9">
        <v>81</v>
      </c>
      <c r="G41" s="9">
        <v>9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450</v>
      </c>
      <c r="Q41" s="9">
        <v>0</v>
      </c>
      <c r="R41" s="9">
        <v>0</v>
      </c>
    </row>
    <row r="42" spans="1:18">
      <c r="A42" s="5">
        <v>1232066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257</v>
      </c>
      <c r="J42" s="9">
        <v>0</v>
      </c>
      <c r="K42" s="9">
        <v>0</v>
      </c>
      <c r="L42" s="9">
        <v>499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>
      <c r="A43" s="5">
        <v>1231860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100</v>
      </c>
      <c r="Q43" s="9">
        <v>0</v>
      </c>
      <c r="R43" s="9">
        <v>0</v>
      </c>
    </row>
    <row r="44" spans="1:18">
      <c r="A44" s="5">
        <v>1232693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1200</v>
      </c>
      <c r="Q44" s="9">
        <v>0</v>
      </c>
      <c r="R44" s="9">
        <v>0</v>
      </c>
    </row>
    <row r="45" spans="1:18">
      <c r="A45" s="5">
        <v>1233025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1200</v>
      </c>
      <c r="Q45" s="9">
        <v>0</v>
      </c>
      <c r="R45" s="9">
        <v>0</v>
      </c>
    </row>
    <row r="46" spans="1:18">
      <c r="A46" s="5">
        <v>1232528</v>
      </c>
      <c r="B46" s="9">
        <v>1712</v>
      </c>
      <c r="C46" s="9">
        <v>0</v>
      </c>
      <c r="D46" s="9">
        <v>0</v>
      </c>
      <c r="E46" s="9">
        <v>1937</v>
      </c>
      <c r="F46" s="9">
        <v>2250</v>
      </c>
      <c r="G46" s="9">
        <v>1586</v>
      </c>
      <c r="H46" s="9">
        <v>568</v>
      </c>
      <c r="I46" s="9">
        <v>570</v>
      </c>
      <c r="J46" s="9">
        <v>0</v>
      </c>
      <c r="K46" s="9">
        <v>0</v>
      </c>
      <c r="L46" s="9">
        <v>265</v>
      </c>
      <c r="M46" s="9">
        <v>673</v>
      </c>
      <c r="N46" s="9">
        <v>539</v>
      </c>
      <c r="O46" s="9">
        <v>793</v>
      </c>
      <c r="P46" s="9">
        <v>3796</v>
      </c>
      <c r="Q46" s="9">
        <v>0</v>
      </c>
      <c r="R46" s="9">
        <v>0</v>
      </c>
    </row>
    <row r="47" spans="1:18">
      <c r="A47" s="5">
        <v>1232846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377</v>
      </c>
      <c r="I47" s="9">
        <v>454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</row>
    <row r="48" spans="1:18">
      <c r="A48" s="5">
        <v>1229050</v>
      </c>
      <c r="B48" s="9">
        <v>252</v>
      </c>
      <c r="C48" s="9">
        <v>0</v>
      </c>
      <c r="D48" s="9">
        <v>0</v>
      </c>
      <c r="E48" s="9">
        <v>143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>
      <c r="A49" s="5">
        <v>1220847</v>
      </c>
      <c r="B49" s="9">
        <v>197</v>
      </c>
      <c r="C49" s="9">
        <v>0</v>
      </c>
      <c r="D49" s="9">
        <v>0</v>
      </c>
      <c r="E49" s="9">
        <v>256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270</v>
      </c>
      <c r="O49" s="9">
        <v>227</v>
      </c>
      <c r="P49" s="9">
        <v>2585</v>
      </c>
      <c r="Q49" s="9">
        <v>0</v>
      </c>
      <c r="R49" s="9">
        <v>0</v>
      </c>
    </row>
    <row r="50" spans="1:18">
      <c r="A50" s="5">
        <v>1234222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60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>
      <c r="A51" s="5">
        <v>1234217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270</v>
      </c>
      <c r="P51" s="9">
        <v>0</v>
      </c>
      <c r="Q51" s="9">
        <v>0</v>
      </c>
      <c r="R51" s="9">
        <v>0</v>
      </c>
    </row>
    <row r="52" spans="1:18">
      <c r="A52" s="5">
        <v>1234111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270</v>
      </c>
      <c r="P52" s="9">
        <v>0</v>
      </c>
      <c r="Q52" s="9">
        <v>0</v>
      </c>
      <c r="R52" s="9">
        <v>0</v>
      </c>
    </row>
    <row r="53" spans="1:18">
      <c r="A53" s="5">
        <v>1234110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270</v>
      </c>
      <c r="P53" s="9">
        <v>0</v>
      </c>
      <c r="Q53" s="9">
        <v>0</v>
      </c>
      <c r="R53" s="9">
        <v>0</v>
      </c>
    </row>
    <row r="54" spans="1:18">
      <c r="A54" s="5">
        <v>1235097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151</v>
      </c>
      <c r="N54" s="9">
        <v>269</v>
      </c>
      <c r="O54" s="9">
        <v>80</v>
      </c>
      <c r="P54" s="9">
        <v>0</v>
      </c>
      <c r="Q54" s="9">
        <v>0</v>
      </c>
      <c r="R54" s="9">
        <v>0</v>
      </c>
    </row>
    <row r="55" spans="1:18">
      <c r="A55" s="5">
        <v>1235845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330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</row>
    <row r="56" spans="1:18">
      <c r="A56" s="5">
        <v>1236600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91</v>
      </c>
      <c r="M56" s="9">
        <v>533</v>
      </c>
      <c r="N56" s="9">
        <v>420</v>
      </c>
      <c r="O56" s="9">
        <v>83</v>
      </c>
      <c r="P56" s="9">
        <v>0</v>
      </c>
      <c r="Q56" s="9">
        <v>0</v>
      </c>
      <c r="R56" s="9">
        <v>0</v>
      </c>
    </row>
    <row r="57" spans="1:18">
      <c r="A57" s="5">
        <v>1236930</v>
      </c>
      <c r="B57" s="9">
        <v>750</v>
      </c>
      <c r="C57" s="9">
        <v>0</v>
      </c>
      <c r="D57" s="9">
        <v>0</v>
      </c>
      <c r="E57" s="9">
        <v>420</v>
      </c>
      <c r="F57" s="9">
        <v>502</v>
      </c>
      <c r="G57" s="9">
        <v>539</v>
      </c>
      <c r="H57" s="9">
        <v>457</v>
      </c>
      <c r="I57" s="9">
        <v>314</v>
      </c>
      <c r="J57" s="9">
        <v>0</v>
      </c>
      <c r="K57" s="9">
        <v>0</v>
      </c>
      <c r="L57" s="9">
        <v>317</v>
      </c>
      <c r="M57" s="9">
        <v>456</v>
      </c>
      <c r="N57" s="9">
        <v>331</v>
      </c>
      <c r="O57" s="9">
        <v>420</v>
      </c>
      <c r="P57" s="9">
        <v>612</v>
      </c>
      <c r="Q57" s="9">
        <v>0</v>
      </c>
      <c r="R57" s="9">
        <v>0</v>
      </c>
    </row>
    <row r="58" spans="1:18">
      <c r="A58" s="5">
        <v>1238480</v>
      </c>
      <c r="B58" s="9">
        <v>438</v>
      </c>
      <c r="C58" s="9">
        <v>0</v>
      </c>
      <c r="D58" s="9">
        <v>0</v>
      </c>
      <c r="E58" s="9">
        <v>0</v>
      </c>
      <c r="F58" s="9">
        <v>0</v>
      </c>
      <c r="G58" s="9">
        <v>305</v>
      </c>
      <c r="H58" s="9">
        <v>1171</v>
      </c>
      <c r="I58" s="9">
        <v>1225</v>
      </c>
      <c r="J58" s="9">
        <v>0</v>
      </c>
      <c r="K58" s="9">
        <v>0</v>
      </c>
      <c r="L58" s="9">
        <v>1467</v>
      </c>
      <c r="M58" s="9">
        <v>972</v>
      </c>
      <c r="N58" s="9">
        <v>578</v>
      </c>
      <c r="O58" s="9">
        <v>429</v>
      </c>
      <c r="P58" s="9">
        <v>639</v>
      </c>
      <c r="Q58" s="9">
        <v>0</v>
      </c>
      <c r="R58" s="9">
        <v>0</v>
      </c>
    </row>
    <row r="59" spans="1:18">
      <c r="A59" s="5">
        <v>1238453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37</v>
      </c>
      <c r="J59" s="9">
        <v>0</v>
      </c>
      <c r="K59" s="9">
        <v>0</v>
      </c>
      <c r="L59" s="9">
        <v>275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</row>
    <row r="60" spans="1:18">
      <c r="A60" s="5">
        <v>1232775</v>
      </c>
      <c r="B60" s="9">
        <v>0</v>
      </c>
      <c r="C60" s="9">
        <v>0</v>
      </c>
      <c r="D60" s="9">
        <v>0</v>
      </c>
      <c r="E60" s="9">
        <v>0</v>
      </c>
      <c r="F60" s="9">
        <v>392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60</v>
      </c>
      <c r="P60" s="9">
        <v>216</v>
      </c>
      <c r="Q60" s="9">
        <v>0</v>
      </c>
      <c r="R60" s="9">
        <v>0</v>
      </c>
    </row>
    <row r="61" spans="1:18">
      <c r="A61" s="5">
        <v>1240180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191</v>
      </c>
      <c r="I61" s="9">
        <v>279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</row>
    <row r="62" spans="1:18">
      <c r="A62" s="5">
        <v>1240184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191</v>
      </c>
      <c r="I62" s="9">
        <v>279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</row>
    <row r="63" spans="1:18">
      <c r="A63" s="5">
        <v>1237468</v>
      </c>
      <c r="B63" s="9">
        <v>0</v>
      </c>
      <c r="C63" s="9">
        <v>0</v>
      </c>
      <c r="D63" s="9">
        <v>0</v>
      </c>
      <c r="E63" s="9">
        <v>148</v>
      </c>
      <c r="F63" s="9">
        <v>320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200</v>
      </c>
      <c r="N63" s="9">
        <v>124</v>
      </c>
      <c r="O63" s="9">
        <v>0</v>
      </c>
      <c r="P63" s="9">
        <v>0</v>
      </c>
      <c r="Q63" s="9">
        <v>0</v>
      </c>
      <c r="R63" s="9">
        <v>0</v>
      </c>
    </row>
    <row r="64" spans="1:18">
      <c r="A64" s="5">
        <v>1241480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26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</row>
    <row r="65" spans="1:18">
      <c r="A65" s="5">
        <v>1241474</v>
      </c>
      <c r="B65" s="9">
        <v>81</v>
      </c>
      <c r="C65" s="9">
        <v>0</v>
      </c>
      <c r="D65" s="9">
        <v>0</v>
      </c>
      <c r="E65" s="9">
        <v>11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</row>
    <row r="66" spans="1:18">
      <c r="A66" s="5">
        <v>1241387</v>
      </c>
      <c r="B66" s="9">
        <v>0</v>
      </c>
      <c r="C66" s="9">
        <v>0</v>
      </c>
      <c r="D66" s="9">
        <v>0</v>
      </c>
      <c r="E66" s="9">
        <v>0</v>
      </c>
      <c r="F66" s="9">
        <v>107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</row>
    <row r="67" spans="1:18">
      <c r="A67" s="5">
        <v>1216452</v>
      </c>
      <c r="B67" s="9">
        <v>1050</v>
      </c>
      <c r="C67" s="9">
        <v>0</v>
      </c>
      <c r="D67" s="9">
        <v>0</v>
      </c>
      <c r="E67" s="9">
        <v>450</v>
      </c>
      <c r="F67" s="9">
        <v>0</v>
      </c>
      <c r="G67" s="9">
        <v>0</v>
      </c>
      <c r="H67" s="9">
        <v>0</v>
      </c>
      <c r="I67" s="9">
        <v>362</v>
      </c>
      <c r="J67" s="9">
        <v>0</v>
      </c>
      <c r="K67" s="9">
        <v>0</v>
      </c>
      <c r="L67" s="9">
        <v>662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</row>
    <row r="68" spans="1:18">
      <c r="A68" s="5">
        <v>1232894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377</v>
      </c>
      <c r="I68" s="9">
        <v>454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</row>
    <row r="69" spans="1:18">
      <c r="A69" s="5">
        <v>1233387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255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</row>
    <row r="70" spans="1:18">
      <c r="A70" s="5">
        <v>1233385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122</v>
      </c>
      <c r="I70" s="9">
        <v>454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</row>
  </sheetData>
  <phoneticPr fontId="11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F99F-BCCB-4DF7-B6F4-0779BF746FCF}">
  <sheetPr>
    <tabColor rgb="FFFFFF00"/>
  </sheetPr>
  <dimension ref="A1:S104"/>
  <sheetViews>
    <sheetView zoomScale="130" zoomScaleNormal="130" workbookViewId="0">
      <pane xSplit="2" ySplit="8" topLeftCell="C10" activePane="bottomRight" state="frozen"/>
      <selection pane="topRight" activeCell="C1" sqref="C1"/>
      <selection pane="bottomLeft" activeCell="A9" sqref="A9"/>
      <selection pane="bottomRight" activeCell="B23" sqref="A23:XFD23"/>
    </sheetView>
  </sheetViews>
  <sheetFormatPr defaultColWidth="9.33203125" defaultRowHeight="12"/>
  <cols>
    <col min="1" max="1" width="4.5" style="5" customWidth="1"/>
    <col min="2" max="2" width="11.6640625" style="19" customWidth="1"/>
    <col min="3" max="12" width="12.83203125" style="9" customWidth="1"/>
    <col min="13" max="13" width="7.5" style="108" customWidth="1"/>
    <col min="14" max="14" width="10" style="9" bestFit="1" customWidth="1"/>
    <col min="15" max="18" width="9.33203125" style="9"/>
    <col min="19" max="16384" width="9.33203125" style="5"/>
  </cols>
  <sheetData>
    <row r="1" spans="1:19" s="80" customFormat="1">
      <c r="A1" s="81"/>
      <c r="B1" s="81" t="s">
        <v>730</v>
      </c>
      <c r="C1" s="9">
        <f>+C2-C3</f>
        <v>-45051</v>
      </c>
      <c r="D1" s="9">
        <f t="shared" ref="D1:L1" si="0">+D2-D3</f>
        <v>-54939</v>
      </c>
      <c r="E1" s="9">
        <f t="shared" si="0"/>
        <v>-54068</v>
      </c>
      <c r="F1" s="9">
        <f t="shared" si="0"/>
        <v>-49688</v>
      </c>
      <c r="G1" s="9">
        <f t="shared" si="0"/>
        <v>-32174</v>
      </c>
      <c r="H1" s="9">
        <f t="shared" si="0"/>
        <v>-16098</v>
      </c>
      <c r="I1" s="9">
        <f t="shared" si="0"/>
        <v>-13890</v>
      </c>
      <c r="J1" s="9">
        <f t="shared" si="0"/>
        <v>-62544</v>
      </c>
      <c r="K1" s="9">
        <f t="shared" si="0"/>
        <v>-49668</v>
      </c>
      <c r="L1" s="9">
        <f t="shared" si="0"/>
        <v>-32147</v>
      </c>
      <c r="M1" s="108"/>
      <c r="N1" s="193"/>
      <c r="O1" s="194"/>
      <c r="P1" s="194"/>
      <c r="Q1" s="194"/>
      <c r="R1" s="194"/>
      <c r="S1" s="194"/>
    </row>
    <row r="2" spans="1:19" s="80" customFormat="1">
      <c r="A2" s="81"/>
      <c r="B2" s="81" t="s">
        <v>729</v>
      </c>
      <c r="C2" s="9"/>
      <c r="D2" s="9"/>
      <c r="E2" s="9"/>
      <c r="F2" s="9"/>
      <c r="G2" s="9"/>
      <c r="H2" s="9"/>
      <c r="I2" s="9"/>
      <c r="J2" s="9"/>
      <c r="K2" s="9"/>
      <c r="L2" s="9"/>
      <c r="M2" s="108"/>
      <c r="N2" s="193">
        <v>0</v>
      </c>
      <c r="O2" s="194"/>
      <c r="P2" s="194"/>
      <c r="Q2" s="194"/>
      <c r="R2" s="194"/>
      <c r="S2" s="194"/>
    </row>
    <row r="3" spans="1:19" s="196" customFormat="1">
      <c r="A3" s="195"/>
      <c r="B3" s="195" t="s">
        <v>30</v>
      </c>
      <c r="C3" s="63">
        <f>+C4+C5</f>
        <v>45051</v>
      </c>
      <c r="D3" s="63">
        <f t="shared" ref="D3:L3" si="1">+D4+D5</f>
        <v>54939</v>
      </c>
      <c r="E3" s="63">
        <f t="shared" si="1"/>
        <v>54068</v>
      </c>
      <c r="F3" s="63">
        <f t="shared" si="1"/>
        <v>49688</v>
      </c>
      <c r="G3" s="63">
        <f t="shared" si="1"/>
        <v>32174</v>
      </c>
      <c r="H3" s="63">
        <f t="shared" si="1"/>
        <v>16098</v>
      </c>
      <c r="I3" s="63">
        <f t="shared" si="1"/>
        <v>13890</v>
      </c>
      <c r="J3" s="63">
        <f t="shared" si="1"/>
        <v>62544</v>
      </c>
      <c r="K3" s="63">
        <f t="shared" si="1"/>
        <v>49668</v>
      </c>
      <c r="L3" s="63">
        <f t="shared" si="1"/>
        <v>32147</v>
      </c>
      <c r="M3" s="289"/>
      <c r="N3" s="197"/>
      <c r="O3" s="198"/>
      <c r="P3" s="198"/>
      <c r="Q3" s="198"/>
      <c r="R3" s="198"/>
      <c r="S3" s="198"/>
    </row>
    <row r="4" spans="1:19" s="80" customFormat="1">
      <c r="A4" s="81"/>
      <c r="B4" s="81" t="s">
        <v>31</v>
      </c>
      <c r="C4" s="9">
        <f>SUM(C9:C39)</f>
        <v>26120</v>
      </c>
      <c r="D4" s="9">
        <f t="shared" ref="D4:L4" si="2">SUM(D9:D39)</f>
        <v>37411</v>
      </c>
      <c r="E4" s="9">
        <f t="shared" si="2"/>
        <v>35609</v>
      </c>
      <c r="F4" s="9">
        <f t="shared" si="2"/>
        <v>28457</v>
      </c>
      <c r="G4" s="9">
        <f t="shared" si="2"/>
        <v>19521</v>
      </c>
      <c r="H4" s="9">
        <f t="shared" si="2"/>
        <v>8656</v>
      </c>
      <c r="I4" s="9">
        <f t="shared" si="2"/>
        <v>12876</v>
      </c>
      <c r="J4" s="9">
        <f t="shared" si="2"/>
        <v>31394</v>
      </c>
      <c r="K4" s="9">
        <f t="shared" si="2"/>
        <v>27775</v>
      </c>
      <c r="L4" s="9">
        <f t="shared" si="2"/>
        <v>19030</v>
      </c>
      <c r="M4" s="108"/>
      <c r="N4" s="193"/>
      <c r="O4" s="194"/>
      <c r="P4" s="194"/>
      <c r="Q4" s="194"/>
      <c r="R4" s="194"/>
      <c r="S4" s="194"/>
    </row>
    <row r="5" spans="1:19" s="80" customFormat="1">
      <c r="A5" s="81"/>
      <c r="B5" s="81" t="s">
        <v>27</v>
      </c>
      <c r="C5" s="9">
        <f>SUM(C47:C104)</f>
        <v>18931</v>
      </c>
      <c r="D5" s="9">
        <f t="shared" ref="D5:L5" si="3">SUM(D47:D104)</f>
        <v>17528</v>
      </c>
      <c r="E5" s="9">
        <f t="shared" si="3"/>
        <v>18459</v>
      </c>
      <c r="F5" s="9">
        <f t="shared" si="3"/>
        <v>21231</v>
      </c>
      <c r="G5" s="9">
        <f t="shared" si="3"/>
        <v>12653</v>
      </c>
      <c r="H5" s="9">
        <f t="shared" si="3"/>
        <v>7442</v>
      </c>
      <c r="I5" s="9">
        <f t="shared" si="3"/>
        <v>1014</v>
      </c>
      <c r="J5" s="9">
        <f t="shared" si="3"/>
        <v>31150</v>
      </c>
      <c r="K5" s="9">
        <f t="shared" si="3"/>
        <v>21893</v>
      </c>
      <c r="L5" s="9">
        <f t="shared" si="3"/>
        <v>13117</v>
      </c>
      <c r="M5" s="108"/>
      <c r="N5" s="193"/>
      <c r="O5" s="194"/>
      <c r="P5" s="194"/>
      <c r="Q5" s="194"/>
      <c r="R5" s="194"/>
      <c r="S5" s="194"/>
    </row>
    <row r="7" spans="1:19" s="22" customFormat="1">
      <c r="B7" s="284" t="s">
        <v>0</v>
      </c>
      <c r="C7" s="285" t="s">
        <v>1152</v>
      </c>
      <c r="D7" s="285" t="s">
        <v>1212</v>
      </c>
      <c r="E7" s="285" t="s">
        <v>1239</v>
      </c>
      <c r="F7" s="285" t="s">
        <v>1255</v>
      </c>
      <c r="G7" s="285" t="s">
        <v>12</v>
      </c>
      <c r="H7" s="285" t="s">
        <v>13</v>
      </c>
      <c r="I7" s="285" t="s">
        <v>14</v>
      </c>
      <c r="J7" s="285" t="s">
        <v>15</v>
      </c>
      <c r="K7" s="285" t="s">
        <v>16</v>
      </c>
      <c r="L7" s="285" t="s">
        <v>17</v>
      </c>
      <c r="M7" s="290"/>
      <c r="N7" s="87"/>
      <c r="O7" s="87"/>
      <c r="P7" s="87"/>
      <c r="Q7" s="87"/>
      <c r="R7" s="87"/>
    </row>
    <row r="8" spans="1:19" s="22" customFormat="1">
      <c r="B8" s="284"/>
      <c r="C8" s="285" t="s">
        <v>1153</v>
      </c>
      <c r="D8" s="285" t="s">
        <v>1213</v>
      </c>
      <c r="E8" s="285" t="s">
        <v>1240</v>
      </c>
      <c r="F8" s="285" t="s">
        <v>1256</v>
      </c>
      <c r="G8" s="285" t="s">
        <v>1257</v>
      </c>
      <c r="H8" s="285" t="s">
        <v>1265</v>
      </c>
      <c r="I8" s="285" t="s">
        <v>1273</v>
      </c>
      <c r="J8" s="285" t="s">
        <v>1281</v>
      </c>
      <c r="K8" s="285" t="s">
        <v>1289</v>
      </c>
      <c r="L8" s="285" t="s">
        <v>1297</v>
      </c>
      <c r="M8" s="290"/>
      <c r="N8" s="87"/>
      <c r="O8" s="87"/>
      <c r="P8" s="87"/>
      <c r="Q8" s="87"/>
      <c r="R8" s="87"/>
    </row>
    <row r="9" spans="1:19">
      <c r="B9" s="19">
        <v>1221154</v>
      </c>
      <c r="C9" s="9">
        <v>0</v>
      </c>
      <c r="D9" s="9">
        <v>0</v>
      </c>
      <c r="E9" s="9">
        <v>0</v>
      </c>
      <c r="F9" s="9">
        <v>50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N9" s="9">
        <f t="shared" ref="N9:N41" si="4">SUM(C9:L9)</f>
        <v>50</v>
      </c>
    </row>
    <row r="10" spans="1:19">
      <c r="B10" s="19">
        <v>1226384</v>
      </c>
      <c r="C10" s="9">
        <v>0</v>
      </c>
      <c r="D10" s="9">
        <v>0</v>
      </c>
      <c r="E10" s="9">
        <v>3075</v>
      </c>
      <c r="F10" s="9">
        <v>0</v>
      </c>
      <c r="G10" s="9">
        <v>0</v>
      </c>
      <c r="H10" s="9">
        <v>0</v>
      </c>
      <c r="I10" s="9">
        <v>0</v>
      </c>
      <c r="J10" s="9">
        <v>1360</v>
      </c>
      <c r="K10" s="9">
        <v>0</v>
      </c>
      <c r="L10" s="9">
        <v>0</v>
      </c>
      <c r="N10" s="9">
        <f t="shared" si="4"/>
        <v>4435</v>
      </c>
    </row>
    <row r="11" spans="1:19">
      <c r="B11" s="19">
        <v>1226388</v>
      </c>
      <c r="C11" s="9">
        <v>0</v>
      </c>
      <c r="D11" s="9">
        <v>0</v>
      </c>
      <c r="E11" s="9">
        <v>3075</v>
      </c>
      <c r="F11" s="9">
        <v>0</v>
      </c>
      <c r="G11" s="9">
        <v>0</v>
      </c>
      <c r="H11" s="9">
        <v>0</v>
      </c>
      <c r="I11" s="9">
        <v>0</v>
      </c>
      <c r="J11" s="9">
        <v>1360</v>
      </c>
      <c r="K11" s="9">
        <v>0</v>
      </c>
      <c r="L11" s="9">
        <v>0</v>
      </c>
      <c r="N11" s="9">
        <f t="shared" si="4"/>
        <v>4435</v>
      </c>
    </row>
    <row r="12" spans="1:19">
      <c r="B12" s="19">
        <v>1229673</v>
      </c>
      <c r="C12" s="9">
        <v>0</v>
      </c>
      <c r="D12" s="9">
        <v>500</v>
      </c>
      <c r="E12" s="9">
        <v>500</v>
      </c>
      <c r="F12" s="9">
        <v>500</v>
      </c>
      <c r="G12" s="9">
        <v>500</v>
      </c>
      <c r="H12" s="9">
        <v>0</v>
      </c>
      <c r="I12" s="9">
        <v>0</v>
      </c>
      <c r="J12" s="9">
        <v>800</v>
      </c>
      <c r="K12" s="9">
        <v>800</v>
      </c>
      <c r="L12" s="9">
        <v>800</v>
      </c>
      <c r="N12" s="9">
        <f t="shared" si="4"/>
        <v>4400</v>
      </c>
    </row>
    <row r="13" spans="1:19">
      <c r="B13" s="19">
        <v>1230692</v>
      </c>
      <c r="C13" s="9">
        <v>216</v>
      </c>
      <c r="D13" s="9">
        <v>1300</v>
      </c>
      <c r="E13" s="9">
        <v>500</v>
      </c>
      <c r="F13" s="9">
        <v>500</v>
      </c>
      <c r="G13" s="9">
        <v>600</v>
      </c>
      <c r="H13" s="9">
        <v>0</v>
      </c>
      <c r="I13" s="9">
        <v>900</v>
      </c>
      <c r="J13" s="9">
        <v>900</v>
      </c>
      <c r="K13" s="9">
        <v>900</v>
      </c>
      <c r="L13" s="9">
        <v>900</v>
      </c>
      <c r="N13" s="9">
        <f t="shared" si="4"/>
        <v>6716</v>
      </c>
    </row>
    <row r="14" spans="1:19">
      <c r="B14" s="19">
        <v>1230696</v>
      </c>
      <c r="C14" s="9">
        <v>0</v>
      </c>
      <c r="D14" s="9">
        <v>292</v>
      </c>
      <c r="E14" s="9">
        <v>200</v>
      </c>
      <c r="F14" s="9">
        <v>0</v>
      </c>
      <c r="G14" s="9">
        <v>0</v>
      </c>
      <c r="H14" s="9">
        <v>0</v>
      </c>
      <c r="I14" s="9">
        <v>100</v>
      </c>
      <c r="J14" s="9">
        <v>200</v>
      </c>
      <c r="K14" s="9">
        <v>100</v>
      </c>
      <c r="L14" s="9">
        <v>0</v>
      </c>
      <c r="N14" s="9">
        <f t="shared" si="4"/>
        <v>892</v>
      </c>
    </row>
    <row r="15" spans="1:19">
      <c r="B15" s="19">
        <v>1230854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400</v>
      </c>
      <c r="K15" s="9">
        <v>0</v>
      </c>
      <c r="L15" s="9">
        <v>0</v>
      </c>
      <c r="N15" s="9">
        <f t="shared" si="4"/>
        <v>400</v>
      </c>
    </row>
    <row r="16" spans="1:19">
      <c r="B16" s="19">
        <v>1231202</v>
      </c>
      <c r="C16" s="9">
        <v>0</v>
      </c>
      <c r="D16" s="9">
        <v>0</v>
      </c>
      <c r="E16" s="9">
        <v>0</v>
      </c>
      <c r="F16" s="9">
        <v>100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N16" s="9">
        <f t="shared" si="4"/>
        <v>100</v>
      </c>
    </row>
    <row r="17" spans="2:14">
      <c r="B17" s="19">
        <v>1231898</v>
      </c>
      <c r="C17" s="9">
        <v>2240</v>
      </c>
      <c r="D17" s="9">
        <v>2236</v>
      </c>
      <c r="E17" s="9">
        <v>1792</v>
      </c>
      <c r="F17" s="9">
        <v>1344</v>
      </c>
      <c r="G17" s="9">
        <v>600</v>
      </c>
      <c r="H17" s="9">
        <v>0</v>
      </c>
      <c r="I17" s="9">
        <v>2688</v>
      </c>
      <c r="J17" s="9">
        <v>1792</v>
      </c>
      <c r="K17" s="9">
        <v>1792</v>
      </c>
      <c r="L17" s="9">
        <v>2240</v>
      </c>
      <c r="N17" s="9">
        <f t="shared" si="4"/>
        <v>16724</v>
      </c>
    </row>
    <row r="18" spans="2:14">
      <c r="B18" s="19">
        <v>1233492</v>
      </c>
      <c r="C18" s="9">
        <v>1300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N18" s="9">
        <f t="shared" si="4"/>
        <v>1300</v>
      </c>
    </row>
    <row r="19" spans="2:14">
      <c r="B19" s="19">
        <v>1233498</v>
      </c>
      <c r="C19" s="9">
        <v>1300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N19" s="9">
        <f t="shared" si="4"/>
        <v>1300</v>
      </c>
    </row>
    <row r="20" spans="2:14">
      <c r="B20" s="19">
        <v>1233623</v>
      </c>
      <c r="C20" s="9">
        <v>1300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N20" s="9">
        <f t="shared" si="4"/>
        <v>1300</v>
      </c>
    </row>
    <row r="21" spans="2:14">
      <c r="B21" s="19">
        <v>1233761</v>
      </c>
      <c r="C21" s="9">
        <v>0</v>
      </c>
      <c r="D21" s="9">
        <v>0</v>
      </c>
      <c r="E21" s="9">
        <v>100</v>
      </c>
      <c r="F21" s="9">
        <v>150</v>
      </c>
      <c r="G21" s="9">
        <v>100</v>
      </c>
      <c r="H21" s="9">
        <v>0</v>
      </c>
      <c r="I21" s="9">
        <v>0</v>
      </c>
      <c r="J21" s="9">
        <v>150</v>
      </c>
      <c r="K21" s="9">
        <v>200</v>
      </c>
      <c r="L21" s="9">
        <v>100</v>
      </c>
      <c r="N21" s="9">
        <f t="shared" si="4"/>
        <v>800</v>
      </c>
    </row>
    <row r="22" spans="2:14">
      <c r="B22" s="19">
        <v>1234905</v>
      </c>
      <c r="C22" s="9">
        <v>200</v>
      </c>
      <c r="D22" s="9">
        <v>0</v>
      </c>
      <c r="E22" s="9">
        <v>1300</v>
      </c>
      <c r="F22" s="9">
        <v>1100</v>
      </c>
      <c r="G22" s="9">
        <v>700</v>
      </c>
      <c r="H22" s="9">
        <v>700</v>
      </c>
      <c r="I22" s="9">
        <v>0</v>
      </c>
      <c r="J22" s="9">
        <v>900</v>
      </c>
      <c r="K22" s="9">
        <v>1350</v>
      </c>
      <c r="L22" s="9">
        <v>750</v>
      </c>
      <c r="N22" s="9">
        <f t="shared" si="4"/>
        <v>7000</v>
      </c>
    </row>
    <row r="23" spans="2:14">
      <c r="B23" s="19">
        <v>1235623</v>
      </c>
      <c r="C23" s="9">
        <v>1300</v>
      </c>
      <c r="D23" s="9">
        <v>0</v>
      </c>
      <c r="E23" s="9">
        <v>0</v>
      </c>
      <c r="F23" s="9">
        <v>2288</v>
      </c>
      <c r="G23" s="9">
        <v>0</v>
      </c>
      <c r="H23" s="9">
        <v>0</v>
      </c>
      <c r="I23" s="9">
        <v>0</v>
      </c>
      <c r="J23" s="9">
        <v>0</v>
      </c>
      <c r="K23" s="9">
        <v>1872</v>
      </c>
      <c r="L23" s="9">
        <v>0</v>
      </c>
      <c r="N23" s="9">
        <f t="shared" si="4"/>
        <v>5460</v>
      </c>
    </row>
    <row r="24" spans="2:14">
      <c r="B24" s="19">
        <v>1236091</v>
      </c>
      <c r="C24" s="9">
        <v>0</v>
      </c>
      <c r="D24" s="9">
        <v>0</v>
      </c>
      <c r="E24" s="9">
        <v>200</v>
      </c>
      <c r="F24" s="9">
        <v>200</v>
      </c>
      <c r="G24" s="9">
        <v>0</v>
      </c>
      <c r="H24" s="9">
        <v>0</v>
      </c>
      <c r="I24" s="9">
        <v>0</v>
      </c>
      <c r="J24" s="9">
        <v>250</v>
      </c>
      <c r="K24" s="9">
        <v>250</v>
      </c>
      <c r="L24" s="9">
        <v>150</v>
      </c>
      <c r="N24" s="9">
        <f t="shared" si="4"/>
        <v>1050</v>
      </c>
    </row>
    <row r="25" spans="2:14">
      <c r="B25" s="19">
        <v>1236488</v>
      </c>
      <c r="C25" s="9">
        <v>384</v>
      </c>
      <c r="D25" s="9">
        <v>888</v>
      </c>
      <c r="E25" s="9">
        <v>700</v>
      </c>
      <c r="F25" s="9">
        <v>700</v>
      </c>
      <c r="G25" s="9">
        <v>700</v>
      </c>
      <c r="H25" s="9">
        <v>0</v>
      </c>
      <c r="I25" s="9">
        <v>0</v>
      </c>
      <c r="J25" s="9">
        <v>700</v>
      </c>
      <c r="K25" s="9">
        <v>600</v>
      </c>
      <c r="L25" s="9">
        <v>600</v>
      </c>
      <c r="N25" s="9">
        <f t="shared" si="4"/>
        <v>5272</v>
      </c>
    </row>
    <row r="26" spans="2:14">
      <c r="B26" s="19">
        <v>1236534</v>
      </c>
      <c r="C26" s="9">
        <v>0</v>
      </c>
      <c r="D26" s="9">
        <v>116</v>
      </c>
      <c r="E26" s="9">
        <v>200</v>
      </c>
      <c r="F26" s="9">
        <v>200</v>
      </c>
      <c r="G26" s="9">
        <v>0</v>
      </c>
      <c r="H26" s="9">
        <v>0</v>
      </c>
      <c r="I26" s="9">
        <v>0</v>
      </c>
      <c r="J26" s="9">
        <v>400</v>
      </c>
      <c r="K26" s="9">
        <v>0</v>
      </c>
      <c r="L26" s="9">
        <v>0</v>
      </c>
      <c r="N26" s="9">
        <f t="shared" si="4"/>
        <v>916</v>
      </c>
    </row>
    <row r="27" spans="2:14">
      <c r="B27" s="19">
        <v>1236962</v>
      </c>
      <c r="C27" s="9">
        <v>500</v>
      </c>
      <c r="D27" s="9">
        <v>500</v>
      </c>
      <c r="E27" s="9">
        <v>600</v>
      </c>
      <c r="F27" s="9">
        <v>600</v>
      </c>
      <c r="G27" s="9">
        <v>700</v>
      </c>
      <c r="H27" s="9">
        <v>0</v>
      </c>
      <c r="I27" s="9">
        <v>0</v>
      </c>
      <c r="J27" s="9">
        <v>600</v>
      </c>
      <c r="K27" s="9">
        <v>600</v>
      </c>
      <c r="L27" s="9">
        <v>700</v>
      </c>
      <c r="N27" s="9">
        <f t="shared" si="4"/>
        <v>4800</v>
      </c>
    </row>
    <row r="28" spans="2:14">
      <c r="B28" s="19">
        <v>1237088</v>
      </c>
      <c r="C28" s="9">
        <v>2128</v>
      </c>
      <c r="D28" s="9">
        <v>3236</v>
      </c>
      <c r="E28" s="9">
        <v>3520</v>
      </c>
      <c r="F28" s="9">
        <v>3740</v>
      </c>
      <c r="G28" s="9">
        <v>2058</v>
      </c>
      <c r="H28" s="9">
        <v>2086</v>
      </c>
      <c r="I28" s="9">
        <v>0</v>
      </c>
      <c r="J28" s="9">
        <v>0</v>
      </c>
      <c r="K28" s="9">
        <v>0</v>
      </c>
      <c r="L28" s="9">
        <v>0</v>
      </c>
      <c r="N28" s="9">
        <f t="shared" si="4"/>
        <v>16768</v>
      </c>
    </row>
    <row r="29" spans="2:14">
      <c r="B29" s="19">
        <v>1237586</v>
      </c>
      <c r="C29" s="9">
        <v>2240</v>
      </c>
      <c r="D29" s="9">
        <v>2236</v>
      </c>
      <c r="E29" s="9">
        <v>1792</v>
      </c>
      <c r="F29" s="9">
        <v>1344</v>
      </c>
      <c r="G29" s="9">
        <v>600</v>
      </c>
      <c r="H29" s="9">
        <v>0</v>
      </c>
      <c r="I29" s="9">
        <v>2688</v>
      </c>
      <c r="J29" s="9">
        <v>1792</v>
      </c>
      <c r="K29" s="9">
        <v>1792</v>
      </c>
      <c r="L29" s="9">
        <v>2240</v>
      </c>
      <c r="N29" s="9">
        <f t="shared" si="4"/>
        <v>16724</v>
      </c>
    </row>
    <row r="30" spans="2:14">
      <c r="B30" s="127">
        <v>1237748</v>
      </c>
      <c r="C30" s="9">
        <v>776</v>
      </c>
      <c r="D30" s="9">
        <v>676</v>
      </c>
      <c r="E30" s="9">
        <v>260</v>
      </c>
      <c r="F30" s="9">
        <v>52</v>
      </c>
      <c r="G30" s="9">
        <v>824</v>
      </c>
      <c r="H30" s="9">
        <v>0</v>
      </c>
      <c r="I30" s="9">
        <v>0</v>
      </c>
      <c r="J30" s="9">
        <v>508</v>
      </c>
      <c r="K30" s="9">
        <v>0</v>
      </c>
      <c r="L30" s="9">
        <v>520</v>
      </c>
      <c r="N30" s="9">
        <f t="shared" si="4"/>
        <v>3616</v>
      </c>
    </row>
    <row r="31" spans="2:14">
      <c r="B31" s="127">
        <v>1237765</v>
      </c>
      <c r="C31" s="9">
        <v>0</v>
      </c>
      <c r="D31" s="9">
        <v>0</v>
      </c>
      <c r="E31" s="9">
        <v>300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200</v>
      </c>
      <c r="N31" s="9">
        <f t="shared" si="4"/>
        <v>500</v>
      </c>
    </row>
    <row r="32" spans="2:14">
      <c r="B32" s="19">
        <v>1238128</v>
      </c>
      <c r="C32" s="9">
        <v>3482</v>
      </c>
      <c r="D32" s="9">
        <v>5483</v>
      </c>
      <c r="E32" s="9">
        <v>4345</v>
      </c>
      <c r="F32" s="9">
        <v>2789</v>
      </c>
      <c r="G32" s="9">
        <v>2139</v>
      </c>
      <c r="H32" s="9">
        <v>738</v>
      </c>
      <c r="I32" s="9">
        <v>0</v>
      </c>
      <c r="J32" s="9">
        <v>3532</v>
      </c>
      <c r="K32" s="9">
        <v>3019</v>
      </c>
      <c r="L32" s="9">
        <v>1630</v>
      </c>
      <c r="N32" s="9">
        <f t="shared" si="4"/>
        <v>27157</v>
      </c>
    </row>
    <row r="33" spans="1:18">
      <c r="B33" s="127">
        <v>1239651</v>
      </c>
      <c r="C33" s="9">
        <v>216</v>
      </c>
      <c r="D33" s="9">
        <v>400</v>
      </c>
      <c r="E33" s="9">
        <v>400</v>
      </c>
      <c r="F33" s="9">
        <v>650</v>
      </c>
      <c r="G33" s="9">
        <v>400</v>
      </c>
      <c r="H33" s="9">
        <v>600</v>
      </c>
      <c r="I33" s="9">
        <v>0</v>
      </c>
      <c r="J33" s="9">
        <v>950</v>
      </c>
      <c r="K33" s="9">
        <v>800</v>
      </c>
      <c r="L33" s="9">
        <v>800</v>
      </c>
      <c r="N33" s="9">
        <f t="shared" si="4"/>
        <v>5216</v>
      </c>
    </row>
    <row r="34" spans="1:18">
      <c r="B34" s="19">
        <v>1239988</v>
      </c>
      <c r="C34" s="9">
        <v>0</v>
      </c>
      <c r="D34" s="9">
        <v>2700</v>
      </c>
      <c r="E34" s="9">
        <v>2700</v>
      </c>
      <c r="F34" s="9">
        <v>2100</v>
      </c>
      <c r="G34" s="9">
        <v>2100</v>
      </c>
      <c r="H34" s="9">
        <v>1600</v>
      </c>
      <c r="I34" s="9">
        <v>2000</v>
      </c>
      <c r="J34" s="9">
        <v>3000</v>
      </c>
      <c r="K34" s="9">
        <v>2700</v>
      </c>
      <c r="L34" s="9">
        <v>1300</v>
      </c>
      <c r="N34" s="9">
        <f t="shared" si="4"/>
        <v>20200</v>
      </c>
    </row>
    <row r="35" spans="1:18">
      <c r="B35" s="19">
        <v>1240180</v>
      </c>
      <c r="C35" s="9">
        <v>1416</v>
      </c>
      <c r="D35" s="9">
        <v>4504</v>
      </c>
      <c r="E35" s="9">
        <v>2800</v>
      </c>
      <c r="F35" s="9">
        <v>2300</v>
      </c>
      <c r="G35" s="9">
        <v>1500</v>
      </c>
      <c r="H35" s="9">
        <v>166</v>
      </c>
      <c r="I35" s="9">
        <v>0</v>
      </c>
      <c r="J35" s="9">
        <v>2950</v>
      </c>
      <c r="K35" s="9">
        <v>2900</v>
      </c>
      <c r="L35" s="9">
        <v>700</v>
      </c>
      <c r="N35" s="9">
        <f t="shared" si="4"/>
        <v>19236</v>
      </c>
    </row>
    <row r="36" spans="1:18">
      <c r="B36" s="19">
        <v>1240184</v>
      </c>
      <c r="C36" s="9">
        <v>1416</v>
      </c>
      <c r="D36" s="9">
        <v>4504</v>
      </c>
      <c r="E36" s="9">
        <v>2300</v>
      </c>
      <c r="F36" s="9">
        <v>2300</v>
      </c>
      <c r="G36" s="9">
        <v>1300</v>
      </c>
      <c r="H36" s="9">
        <v>166</v>
      </c>
      <c r="I36" s="9">
        <v>0</v>
      </c>
      <c r="J36" s="9">
        <v>2500</v>
      </c>
      <c r="K36" s="9">
        <v>2500</v>
      </c>
      <c r="L36" s="9">
        <v>500</v>
      </c>
      <c r="N36" s="9">
        <f t="shared" si="4"/>
        <v>17486</v>
      </c>
    </row>
    <row r="37" spans="1:18">
      <c r="B37" s="19">
        <v>1240308</v>
      </c>
      <c r="C37" s="9">
        <v>0</v>
      </c>
      <c r="D37" s="9">
        <v>0</v>
      </c>
      <c r="E37" s="9">
        <v>450</v>
      </c>
      <c r="F37" s="9">
        <v>650</v>
      </c>
      <c r="G37" s="9">
        <v>0</v>
      </c>
      <c r="H37" s="9">
        <v>0</v>
      </c>
      <c r="I37" s="9">
        <v>0</v>
      </c>
      <c r="J37" s="9">
        <v>750</v>
      </c>
      <c r="K37" s="9">
        <v>600</v>
      </c>
      <c r="L37" s="9">
        <v>300</v>
      </c>
      <c r="N37" s="9">
        <f t="shared" si="4"/>
        <v>2750</v>
      </c>
    </row>
    <row r="38" spans="1:18">
      <c r="B38" s="19">
        <v>1241601</v>
      </c>
      <c r="C38" s="9">
        <v>5706</v>
      </c>
      <c r="D38" s="9">
        <v>7840</v>
      </c>
      <c r="E38" s="9">
        <v>3500</v>
      </c>
      <c r="F38" s="9">
        <v>3800</v>
      </c>
      <c r="G38" s="9">
        <v>3500</v>
      </c>
      <c r="H38" s="9">
        <v>2000</v>
      </c>
      <c r="I38" s="9">
        <v>4500</v>
      </c>
      <c r="J38" s="9">
        <v>4800</v>
      </c>
      <c r="K38" s="9">
        <v>4500</v>
      </c>
      <c r="L38" s="9">
        <v>3900</v>
      </c>
      <c r="N38" s="9">
        <f t="shared" si="4"/>
        <v>44046</v>
      </c>
    </row>
    <row r="39" spans="1:18">
      <c r="B39" s="19">
        <v>1242242</v>
      </c>
      <c r="C39" s="9">
        <v>0</v>
      </c>
      <c r="D39" s="9">
        <v>0</v>
      </c>
      <c r="E39" s="9">
        <v>1000</v>
      </c>
      <c r="F39" s="9">
        <v>1000</v>
      </c>
      <c r="G39" s="9">
        <v>1200</v>
      </c>
      <c r="H39" s="9">
        <v>600</v>
      </c>
      <c r="I39" s="9">
        <v>0</v>
      </c>
      <c r="J39" s="9">
        <v>800</v>
      </c>
      <c r="K39" s="9">
        <v>500</v>
      </c>
      <c r="L39" s="9">
        <v>700</v>
      </c>
      <c r="N39" s="9">
        <f t="shared" si="4"/>
        <v>5800</v>
      </c>
    </row>
    <row r="40" spans="1:18" s="7" customFormat="1">
      <c r="B40" s="288">
        <v>3112438</v>
      </c>
      <c r="C40" s="76">
        <v>7000</v>
      </c>
      <c r="D40" s="76">
        <v>4000</v>
      </c>
      <c r="E40" s="76">
        <v>4000</v>
      </c>
      <c r="F40" s="76">
        <v>3500</v>
      </c>
      <c r="G40" s="76">
        <v>3500</v>
      </c>
      <c r="H40" s="76">
        <v>3500</v>
      </c>
      <c r="I40" s="76">
        <v>4500</v>
      </c>
      <c r="J40" s="76">
        <v>4500</v>
      </c>
      <c r="K40" s="76">
        <v>4000</v>
      </c>
      <c r="L40" s="76">
        <v>4000</v>
      </c>
      <c r="M40" s="291"/>
      <c r="N40" s="76">
        <f t="shared" si="4"/>
        <v>42500</v>
      </c>
      <c r="O40" s="76"/>
      <c r="P40" s="76"/>
      <c r="Q40" s="76"/>
      <c r="R40" s="76"/>
    </row>
    <row r="41" spans="1:18" s="7" customFormat="1">
      <c r="B41" s="288">
        <v>3112440</v>
      </c>
      <c r="C41" s="76">
        <v>700</v>
      </c>
      <c r="D41" s="76">
        <v>700</v>
      </c>
      <c r="E41" s="76">
        <v>700</v>
      </c>
      <c r="F41" s="76">
        <v>700</v>
      </c>
      <c r="G41" s="76">
        <v>700</v>
      </c>
      <c r="H41" s="76">
        <v>700</v>
      </c>
      <c r="I41" s="76">
        <v>950</v>
      </c>
      <c r="J41" s="76">
        <v>950</v>
      </c>
      <c r="K41" s="76">
        <v>900</v>
      </c>
      <c r="L41" s="76">
        <v>800</v>
      </c>
      <c r="M41" s="291"/>
      <c r="N41" s="76">
        <f t="shared" si="4"/>
        <v>7800</v>
      </c>
      <c r="O41" s="76"/>
      <c r="P41" s="76"/>
      <c r="Q41" s="76"/>
      <c r="R41" s="76"/>
    </row>
    <row r="45" spans="1:18" s="22" customFormat="1">
      <c r="B45" s="284" t="s">
        <v>0</v>
      </c>
      <c r="C45" s="285" t="s">
        <v>1152</v>
      </c>
      <c r="D45" s="285" t="s">
        <v>1212</v>
      </c>
      <c r="E45" s="285" t="s">
        <v>1239</v>
      </c>
      <c r="F45" s="285" t="s">
        <v>1255</v>
      </c>
      <c r="G45" s="285" t="s">
        <v>12</v>
      </c>
      <c r="H45" s="285" t="s">
        <v>13</v>
      </c>
      <c r="I45" s="285" t="s">
        <v>14</v>
      </c>
      <c r="J45" s="285" t="s">
        <v>15</v>
      </c>
      <c r="K45" s="285" t="s">
        <v>16</v>
      </c>
      <c r="L45" s="285" t="s">
        <v>17</v>
      </c>
      <c r="M45" s="290"/>
      <c r="N45" s="87"/>
      <c r="O45" s="87"/>
      <c r="P45" s="87"/>
      <c r="Q45" s="87"/>
      <c r="R45" s="87"/>
    </row>
    <row r="46" spans="1:18" s="22" customFormat="1">
      <c r="B46" s="284"/>
      <c r="C46" s="285" t="s">
        <v>1153</v>
      </c>
      <c r="D46" s="285" t="s">
        <v>1213</v>
      </c>
      <c r="E46" s="285" t="s">
        <v>1240</v>
      </c>
      <c r="F46" s="285" t="s">
        <v>1256</v>
      </c>
      <c r="G46" s="285" t="s">
        <v>1257</v>
      </c>
      <c r="H46" s="285" t="s">
        <v>1265</v>
      </c>
      <c r="I46" s="285" t="s">
        <v>1273</v>
      </c>
      <c r="J46" s="285" t="s">
        <v>1281</v>
      </c>
      <c r="K46" s="285" t="s">
        <v>1289</v>
      </c>
      <c r="L46" s="285" t="s">
        <v>1297</v>
      </c>
      <c r="M46" s="290"/>
      <c r="N46" s="87"/>
      <c r="O46" s="87"/>
      <c r="P46" s="87"/>
      <c r="Q46" s="87"/>
      <c r="R46" s="87"/>
    </row>
    <row r="47" spans="1:18">
      <c r="A47" s="29"/>
      <c r="B47" s="30">
        <v>1206068</v>
      </c>
      <c r="C47" s="32">
        <v>28</v>
      </c>
      <c r="D47" s="32">
        <v>0</v>
      </c>
      <c r="E47" s="32">
        <v>0</v>
      </c>
      <c r="F47" s="32">
        <v>828</v>
      </c>
      <c r="G47" s="32">
        <v>28</v>
      </c>
      <c r="H47" s="32">
        <v>0</v>
      </c>
      <c r="I47" s="32">
        <v>414</v>
      </c>
      <c r="J47" s="32">
        <v>0</v>
      </c>
      <c r="K47" s="32">
        <v>0</v>
      </c>
      <c r="L47" s="32">
        <v>856</v>
      </c>
      <c r="M47" s="292"/>
      <c r="N47" s="9">
        <f t="shared" ref="N47:N78" si="5">SUM(C47:L47)</f>
        <v>2154</v>
      </c>
    </row>
    <row r="48" spans="1:18">
      <c r="A48" s="29"/>
      <c r="B48" s="89">
        <v>1216452</v>
      </c>
      <c r="C48" s="32">
        <v>1170</v>
      </c>
      <c r="D48" s="32">
        <v>324</v>
      </c>
      <c r="E48" s="32">
        <v>168</v>
      </c>
      <c r="F48" s="32">
        <v>1170</v>
      </c>
      <c r="G48" s="32">
        <v>0</v>
      </c>
      <c r="H48" s="32">
        <v>1584</v>
      </c>
      <c r="I48" s="32">
        <v>0</v>
      </c>
      <c r="J48" s="32">
        <v>1340</v>
      </c>
      <c r="K48" s="32">
        <v>0</v>
      </c>
      <c r="L48" s="32">
        <v>0</v>
      </c>
      <c r="M48" s="292"/>
      <c r="N48" s="9">
        <f t="shared" si="5"/>
        <v>5756</v>
      </c>
    </row>
    <row r="49" spans="1:18">
      <c r="A49" s="29"/>
      <c r="B49" s="30">
        <v>1220847</v>
      </c>
      <c r="C49" s="32">
        <v>2000</v>
      </c>
      <c r="D49" s="32">
        <v>0</v>
      </c>
      <c r="E49" s="32">
        <v>1435</v>
      </c>
      <c r="F49" s="32">
        <v>310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292"/>
      <c r="N49" s="9">
        <f t="shared" si="5"/>
        <v>3745</v>
      </c>
    </row>
    <row r="50" spans="1:18">
      <c r="A50" s="29"/>
      <c r="B50" s="30">
        <v>1221967</v>
      </c>
      <c r="C50" s="32">
        <v>701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67</v>
      </c>
      <c r="K50" s="32">
        <v>0</v>
      </c>
      <c r="L50" s="32">
        <v>0</v>
      </c>
      <c r="M50" s="292"/>
      <c r="N50" s="9">
        <f t="shared" si="5"/>
        <v>768</v>
      </c>
    </row>
    <row r="51" spans="1:18">
      <c r="A51" s="29"/>
      <c r="B51" s="30">
        <v>1225464</v>
      </c>
      <c r="C51" s="32">
        <v>0</v>
      </c>
      <c r="D51" s="32">
        <v>0</v>
      </c>
      <c r="E51" s="32">
        <v>756</v>
      </c>
      <c r="F51" s="32">
        <v>0</v>
      </c>
      <c r="G51" s="32">
        <v>0</v>
      </c>
      <c r="H51" s="32">
        <v>0</v>
      </c>
      <c r="I51" s="32">
        <v>0</v>
      </c>
      <c r="J51" s="32">
        <v>1512</v>
      </c>
      <c r="K51" s="32">
        <v>0</v>
      </c>
      <c r="L51" s="32">
        <v>0</v>
      </c>
      <c r="M51" s="292"/>
      <c r="N51" s="9">
        <f t="shared" si="5"/>
        <v>2268</v>
      </c>
    </row>
    <row r="52" spans="1:18">
      <c r="A52" s="29"/>
      <c r="B52" s="30">
        <v>1227306</v>
      </c>
      <c r="C52" s="32">
        <v>500</v>
      </c>
      <c r="D52" s="32">
        <v>400</v>
      </c>
      <c r="E52" s="32">
        <v>800</v>
      </c>
      <c r="F52" s="32">
        <v>400</v>
      </c>
      <c r="G52" s="32">
        <v>400</v>
      </c>
      <c r="H52" s="32">
        <v>0</v>
      </c>
      <c r="I52" s="32">
        <v>0</v>
      </c>
      <c r="J52" s="32">
        <v>550</v>
      </c>
      <c r="K52" s="32">
        <v>700</v>
      </c>
      <c r="L52" s="32">
        <v>600</v>
      </c>
      <c r="M52" s="292"/>
      <c r="N52" s="9">
        <f t="shared" si="5"/>
        <v>4350</v>
      </c>
    </row>
    <row r="53" spans="1:18">
      <c r="A53" s="29"/>
      <c r="B53" s="30">
        <v>1229050</v>
      </c>
      <c r="C53" s="32">
        <v>0</v>
      </c>
      <c r="D53" s="32">
        <v>195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80</v>
      </c>
      <c r="K53" s="32">
        <v>200</v>
      </c>
      <c r="L53" s="32">
        <v>0</v>
      </c>
      <c r="M53" s="292"/>
      <c r="N53" s="9">
        <f t="shared" si="5"/>
        <v>475</v>
      </c>
    </row>
    <row r="54" spans="1:18">
      <c r="A54" s="29"/>
      <c r="B54" s="30">
        <v>1229088</v>
      </c>
      <c r="C54" s="32">
        <v>0</v>
      </c>
      <c r="D54" s="32">
        <v>0</v>
      </c>
      <c r="E54" s="32">
        <v>100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500</v>
      </c>
      <c r="L54" s="32">
        <v>0</v>
      </c>
      <c r="M54" s="292"/>
      <c r="N54" s="9">
        <f t="shared" si="5"/>
        <v>600</v>
      </c>
    </row>
    <row r="55" spans="1:18">
      <c r="A55" s="29"/>
      <c r="B55" s="30">
        <v>1229776</v>
      </c>
      <c r="C55" s="32">
        <v>150</v>
      </c>
      <c r="D55" s="32">
        <v>200</v>
      </c>
      <c r="E55" s="32">
        <v>90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180</v>
      </c>
      <c r="L55" s="32">
        <v>0</v>
      </c>
      <c r="M55" s="292"/>
      <c r="N55" s="9">
        <f t="shared" si="5"/>
        <v>620</v>
      </c>
    </row>
    <row r="56" spans="1:18">
      <c r="A56" s="29"/>
      <c r="B56" s="30">
        <v>1230685</v>
      </c>
      <c r="C56" s="32">
        <v>0</v>
      </c>
      <c r="D56" s="32">
        <v>0</v>
      </c>
      <c r="E56" s="32">
        <v>0</v>
      </c>
      <c r="F56" s="32">
        <v>0</v>
      </c>
      <c r="G56" s="32">
        <v>400</v>
      </c>
      <c r="H56" s="32">
        <v>0</v>
      </c>
      <c r="I56" s="32">
        <v>0</v>
      </c>
      <c r="J56" s="32">
        <v>300</v>
      </c>
      <c r="K56" s="32">
        <v>0</v>
      </c>
      <c r="L56" s="32">
        <v>0</v>
      </c>
      <c r="M56" s="292"/>
      <c r="N56" s="9">
        <f t="shared" si="5"/>
        <v>700</v>
      </c>
    </row>
    <row r="57" spans="1:18">
      <c r="A57" s="29"/>
      <c r="B57" s="30">
        <v>1230791</v>
      </c>
      <c r="C57" s="32">
        <v>0</v>
      </c>
      <c r="D57" s="32">
        <v>0</v>
      </c>
      <c r="E57" s="32">
        <v>51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292"/>
      <c r="N57" s="9">
        <f t="shared" si="5"/>
        <v>51</v>
      </c>
    </row>
    <row r="58" spans="1:18">
      <c r="A58" s="29"/>
      <c r="B58" s="30">
        <v>1231011</v>
      </c>
      <c r="C58" s="32">
        <v>0</v>
      </c>
      <c r="D58" s="32">
        <v>0</v>
      </c>
      <c r="E58" s="32">
        <v>0</v>
      </c>
      <c r="F58" s="32">
        <v>300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292"/>
      <c r="N58" s="9">
        <f t="shared" si="5"/>
        <v>300</v>
      </c>
    </row>
    <row r="59" spans="1:18">
      <c r="A59" s="29"/>
      <c r="B59" s="30">
        <v>1231090</v>
      </c>
      <c r="C59" s="32">
        <v>1320</v>
      </c>
      <c r="D59" s="32">
        <v>470</v>
      </c>
      <c r="E59" s="32">
        <v>545</v>
      </c>
      <c r="F59" s="32">
        <v>0</v>
      </c>
      <c r="G59" s="32">
        <v>0</v>
      </c>
      <c r="H59" s="32">
        <v>0</v>
      </c>
      <c r="I59" s="32">
        <v>0</v>
      </c>
      <c r="J59" s="32">
        <v>500</v>
      </c>
      <c r="K59" s="32">
        <v>635</v>
      </c>
      <c r="L59" s="32">
        <v>0</v>
      </c>
      <c r="M59" s="292"/>
      <c r="N59" s="9">
        <f t="shared" si="5"/>
        <v>3470</v>
      </c>
    </row>
    <row r="60" spans="1:18">
      <c r="A60" s="29"/>
      <c r="B60" s="30">
        <v>1231578</v>
      </c>
      <c r="C60" s="32">
        <v>0</v>
      </c>
      <c r="D60" s="32">
        <v>0</v>
      </c>
      <c r="E60" s="32">
        <v>200</v>
      </c>
      <c r="F60" s="32">
        <v>200</v>
      </c>
      <c r="G60" s="32">
        <v>200</v>
      </c>
      <c r="H60" s="32">
        <v>0</v>
      </c>
      <c r="I60" s="32">
        <v>0</v>
      </c>
      <c r="J60" s="32">
        <v>200</v>
      </c>
      <c r="K60" s="32">
        <v>400</v>
      </c>
      <c r="L60" s="32">
        <v>0</v>
      </c>
      <c r="M60" s="292"/>
      <c r="N60" s="9">
        <f t="shared" si="5"/>
        <v>1200</v>
      </c>
    </row>
    <row r="61" spans="1:18">
      <c r="A61" s="29"/>
      <c r="B61" s="30">
        <v>1231797</v>
      </c>
      <c r="C61" s="32">
        <v>0</v>
      </c>
      <c r="D61" s="32">
        <v>0</v>
      </c>
      <c r="E61" s="32">
        <v>0</v>
      </c>
      <c r="F61" s="32">
        <v>128</v>
      </c>
      <c r="G61" s="32">
        <v>0</v>
      </c>
      <c r="H61" s="32">
        <v>0</v>
      </c>
      <c r="I61" s="32">
        <v>0</v>
      </c>
      <c r="J61" s="32">
        <v>106</v>
      </c>
      <c r="K61" s="32">
        <v>0</v>
      </c>
      <c r="L61" s="32">
        <v>0</v>
      </c>
      <c r="M61" s="292"/>
      <c r="N61" s="9">
        <f t="shared" si="5"/>
        <v>234</v>
      </c>
    </row>
    <row r="62" spans="1:18">
      <c r="A62" s="29"/>
      <c r="B62" s="30">
        <v>1232066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188</v>
      </c>
      <c r="K62" s="32">
        <v>0</v>
      </c>
      <c r="L62" s="32">
        <v>0</v>
      </c>
      <c r="M62" s="292"/>
      <c r="N62" s="9">
        <f t="shared" si="5"/>
        <v>188</v>
      </c>
    </row>
    <row r="63" spans="1:18" s="20" customFormat="1">
      <c r="A63" s="88"/>
      <c r="B63" s="66">
        <v>1232528</v>
      </c>
      <c r="C63" s="61">
        <v>1250</v>
      </c>
      <c r="D63" s="61">
        <v>3163</v>
      </c>
      <c r="E63" s="61">
        <v>3080</v>
      </c>
      <c r="F63" s="61">
        <v>3000</v>
      </c>
      <c r="G63" s="61">
        <v>2000</v>
      </c>
      <c r="H63" s="61">
        <v>3000</v>
      </c>
      <c r="I63" s="61">
        <v>0</v>
      </c>
      <c r="J63" s="61">
        <v>3644</v>
      </c>
      <c r="K63" s="61">
        <v>3650</v>
      </c>
      <c r="L63" s="61">
        <v>2000</v>
      </c>
      <c r="M63" s="293"/>
      <c r="N63" s="10">
        <f t="shared" si="5"/>
        <v>24787</v>
      </c>
      <c r="O63" s="10"/>
      <c r="P63" s="10"/>
      <c r="Q63" s="10"/>
      <c r="R63" s="10"/>
    </row>
    <row r="64" spans="1:18">
      <c r="A64" s="29"/>
      <c r="B64" s="30">
        <v>1232553</v>
      </c>
      <c r="C64" s="32">
        <v>0</v>
      </c>
      <c r="D64" s="32">
        <v>108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108</v>
      </c>
      <c r="L64" s="32">
        <v>0</v>
      </c>
      <c r="M64" s="292"/>
      <c r="N64" s="9">
        <f t="shared" si="5"/>
        <v>216</v>
      </c>
    </row>
    <row r="65" spans="1:14">
      <c r="A65" s="29"/>
      <c r="B65" s="30">
        <v>1232693</v>
      </c>
      <c r="C65" s="32">
        <v>500</v>
      </c>
      <c r="D65" s="32">
        <v>589</v>
      </c>
      <c r="E65" s="32">
        <v>1000</v>
      </c>
      <c r="F65" s="32">
        <v>1000</v>
      </c>
      <c r="G65" s="32">
        <v>0</v>
      </c>
      <c r="H65" s="32">
        <v>0</v>
      </c>
      <c r="I65" s="32">
        <v>0</v>
      </c>
      <c r="J65" s="32">
        <v>1056</v>
      </c>
      <c r="K65" s="32">
        <v>1037</v>
      </c>
      <c r="L65" s="32">
        <v>0</v>
      </c>
      <c r="M65" s="292"/>
      <c r="N65" s="9">
        <f t="shared" si="5"/>
        <v>5182</v>
      </c>
    </row>
    <row r="66" spans="1:14">
      <c r="A66" s="29"/>
      <c r="B66" s="30">
        <v>1232775</v>
      </c>
      <c r="C66" s="32">
        <v>1036</v>
      </c>
      <c r="D66" s="32">
        <v>690</v>
      </c>
      <c r="E66" s="32">
        <v>150</v>
      </c>
      <c r="F66" s="32">
        <v>424</v>
      </c>
      <c r="G66" s="32">
        <v>452</v>
      </c>
      <c r="H66" s="32">
        <v>0</v>
      </c>
      <c r="I66" s="32">
        <v>0</v>
      </c>
      <c r="J66" s="32">
        <v>810</v>
      </c>
      <c r="K66" s="32">
        <v>1200</v>
      </c>
      <c r="L66" s="32">
        <v>553</v>
      </c>
      <c r="M66" s="292"/>
      <c r="N66" s="9">
        <f t="shared" si="5"/>
        <v>5315</v>
      </c>
    </row>
    <row r="67" spans="1:14">
      <c r="A67" s="29"/>
      <c r="B67" s="30">
        <v>1232846</v>
      </c>
      <c r="C67" s="32">
        <v>283</v>
      </c>
      <c r="D67" s="32">
        <v>612</v>
      </c>
      <c r="E67" s="32">
        <v>0</v>
      </c>
      <c r="F67" s="32">
        <v>273</v>
      </c>
      <c r="G67" s="32">
        <v>450</v>
      </c>
      <c r="H67" s="32">
        <v>0</v>
      </c>
      <c r="I67" s="32">
        <v>0</v>
      </c>
      <c r="J67" s="32">
        <v>845</v>
      </c>
      <c r="K67" s="32">
        <v>400</v>
      </c>
      <c r="L67" s="32">
        <v>0</v>
      </c>
      <c r="M67" s="292"/>
      <c r="N67" s="9">
        <f t="shared" si="5"/>
        <v>2863</v>
      </c>
    </row>
    <row r="68" spans="1:14">
      <c r="A68" s="29"/>
      <c r="B68" s="30">
        <v>1232894</v>
      </c>
      <c r="C68" s="32">
        <v>0</v>
      </c>
      <c r="D68" s="32">
        <v>512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303</v>
      </c>
      <c r="K68" s="32">
        <v>200</v>
      </c>
      <c r="L68" s="32">
        <v>0</v>
      </c>
      <c r="M68" s="292"/>
      <c r="N68" s="9">
        <f t="shared" si="5"/>
        <v>1015</v>
      </c>
    </row>
    <row r="69" spans="1:14">
      <c r="A69" s="29"/>
      <c r="B69" s="30">
        <v>1232895</v>
      </c>
      <c r="C69" s="32">
        <v>283</v>
      </c>
      <c r="D69" s="32">
        <v>100</v>
      </c>
      <c r="E69" s="32">
        <v>0</v>
      </c>
      <c r="F69" s="32">
        <v>273</v>
      </c>
      <c r="G69" s="32">
        <v>450</v>
      </c>
      <c r="H69" s="32">
        <v>0</v>
      </c>
      <c r="I69" s="32">
        <v>0</v>
      </c>
      <c r="J69" s="32">
        <v>542</v>
      </c>
      <c r="K69" s="32">
        <v>200</v>
      </c>
      <c r="L69" s="32">
        <v>0</v>
      </c>
      <c r="M69" s="292"/>
      <c r="N69" s="9">
        <f t="shared" si="5"/>
        <v>1848</v>
      </c>
    </row>
    <row r="70" spans="1:14">
      <c r="A70" s="29"/>
      <c r="B70" s="89">
        <v>1232922</v>
      </c>
      <c r="C70" s="32">
        <v>283</v>
      </c>
      <c r="D70" s="32">
        <v>100</v>
      </c>
      <c r="E70" s="32">
        <v>0</v>
      </c>
      <c r="F70" s="32">
        <v>273</v>
      </c>
      <c r="G70" s="32">
        <v>0</v>
      </c>
      <c r="H70" s="32">
        <v>0</v>
      </c>
      <c r="I70" s="32">
        <v>0</v>
      </c>
      <c r="J70" s="32">
        <v>242</v>
      </c>
      <c r="K70" s="32">
        <v>0</v>
      </c>
      <c r="L70" s="32">
        <v>0</v>
      </c>
      <c r="M70" s="292"/>
      <c r="N70" s="9">
        <f t="shared" si="5"/>
        <v>898</v>
      </c>
    </row>
    <row r="71" spans="1:14">
      <c r="A71" s="29"/>
      <c r="B71" s="30">
        <v>1232982</v>
      </c>
      <c r="C71" s="32">
        <v>80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100</v>
      </c>
      <c r="M71" s="292"/>
      <c r="N71" s="9">
        <f t="shared" si="5"/>
        <v>180</v>
      </c>
    </row>
    <row r="72" spans="1:14">
      <c r="A72" s="29"/>
      <c r="B72" s="30">
        <v>1233025</v>
      </c>
      <c r="C72" s="32">
        <v>500</v>
      </c>
      <c r="D72" s="32">
        <v>589</v>
      </c>
      <c r="E72" s="32">
        <v>1000</v>
      </c>
      <c r="F72" s="32">
        <v>1000</v>
      </c>
      <c r="G72" s="32">
        <v>0</v>
      </c>
      <c r="H72" s="32">
        <v>0</v>
      </c>
      <c r="I72" s="32">
        <v>0</v>
      </c>
      <c r="J72" s="32">
        <v>1056</v>
      </c>
      <c r="K72" s="32">
        <v>1037</v>
      </c>
      <c r="L72" s="32">
        <v>0</v>
      </c>
      <c r="M72" s="292"/>
      <c r="N72" s="9">
        <f t="shared" si="5"/>
        <v>5182</v>
      </c>
    </row>
    <row r="73" spans="1:14">
      <c r="A73" s="29"/>
      <c r="B73" s="30">
        <v>1233165</v>
      </c>
      <c r="C73" s="32">
        <v>0</v>
      </c>
      <c r="D73" s="32">
        <v>250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292"/>
      <c r="N73" s="9">
        <f t="shared" si="5"/>
        <v>250</v>
      </c>
    </row>
    <row r="74" spans="1:14">
      <c r="A74" s="29"/>
      <c r="B74" s="30">
        <v>1233383</v>
      </c>
      <c r="C74" s="32">
        <v>150</v>
      </c>
      <c r="D74" s="32">
        <v>0</v>
      </c>
      <c r="E74" s="32">
        <v>0</v>
      </c>
      <c r="F74" s="32">
        <v>42</v>
      </c>
      <c r="G74" s="32">
        <v>0</v>
      </c>
      <c r="H74" s="32">
        <v>0</v>
      </c>
      <c r="I74" s="32">
        <v>0</v>
      </c>
      <c r="J74" s="32">
        <v>122</v>
      </c>
      <c r="K74" s="32">
        <v>0</v>
      </c>
      <c r="L74" s="32">
        <v>0</v>
      </c>
      <c r="M74" s="292"/>
      <c r="N74" s="9">
        <f t="shared" si="5"/>
        <v>314</v>
      </c>
    </row>
    <row r="75" spans="1:14">
      <c r="A75" s="29"/>
      <c r="B75" s="30">
        <v>1233384</v>
      </c>
      <c r="C75" s="32">
        <v>0</v>
      </c>
      <c r="D75" s="32">
        <v>0</v>
      </c>
      <c r="E75" s="32">
        <v>0</v>
      </c>
      <c r="F75" s="32">
        <v>0</v>
      </c>
      <c r="G75" s="32">
        <v>450</v>
      </c>
      <c r="H75" s="32">
        <v>0</v>
      </c>
      <c r="I75" s="32">
        <v>0</v>
      </c>
      <c r="J75" s="32">
        <v>300</v>
      </c>
      <c r="K75" s="32">
        <v>200</v>
      </c>
      <c r="L75" s="32">
        <v>0</v>
      </c>
      <c r="M75" s="292"/>
      <c r="N75" s="9">
        <f t="shared" si="5"/>
        <v>950</v>
      </c>
    </row>
    <row r="76" spans="1:14">
      <c r="A76" s="29"/>
      <c r="B76" s="30">
        <v>1233385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240</v>
      </c>
      <c r="K76" s="32">
        <v>0</v>
      </c>
      <c r="L76" s="32">
        <v>0</v>
      </c>
      <c r="M76" s="292"/>
      <c r="N76" s="9">
        <f t="shared" si="5"/>
        <v>240</v>
      </c>
    </row>
    <row r="77" spans="1:14">
      <c r="A77" s="29"/>
      <c r="B77" s="89">
        <v>1233386</v>
      </c>
      <c r="C77" s="32">
        <v>0</v>
      </c>
      <c r="D77" s="32">
        <v>512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200</v>
      </c>
      <c r="L77" s="32">
        <v>0</v>
      </c>
      <c r="M77" s="292"/>
      <c r="N77" s="9">
        <f t="shared" si="5"/>
        <v>712</v>
      </c>
    </row>
    <row r="78" spans="1:14">
      <c r="A78" s="29"/>
      <c r="B78" s="30">
        <v>1233387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63</v>
      </c>
      <c r="K78" s="32">
        <v>0</v>
      </c>
      <c r="L78" s="32">
        <v>0</v>
      </c>
      <c r="M78" s="292"/>
      <c r="N78" s="9">
        <f t="shared" si="5"/>
        <v>63</v>
      </c>
    </row>
    <row r="79" spans="1:14">
      <c r="A79" s="29"/>
      <c r="B79" s="30">
        <v>1233580</v>
      </c>
      <c r="C79" s="32">
        <v>200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292"/>
      <c r="N79" s="9">
        <f t="shared" ref="N79:N104" si="6">SUM(C79:L79)</f>
        <v>200</v>
      </c>
    </row>
    <row r="80" spans="1:14">
      <c r="A80" s="29"/>
      <c r="B80" s="30">
        <v>1233587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20</v>
      </c>
      <c r="M80" s="292"/>
      <c r="N80" s="9">
        <f t="shared" si="6"/>
        <v>20</v>
      </c>
    </row>
    <row r="81" spans="1:14">
      <c r="A81" s="29"/>
      <c r="B81" s="30">
        <v>1234222</v>
      </c>
      <c r="C81" s="32">
        <v>777</v>
      </c>
      <c r="D81" s="32">
        <v>0</v>
      </c>
      <c r="E81" s="32">
        <v>0</v>
      </c>
      <c r="F81" s="32">
        <v>0</v>
      </c>
      <c r="G81" s="32">
        <v>868</v>
      </c>
      <c r="H81" s="32">
        <v>0</v>
      </c>
      <c r="I81" s="32">
        <v>0</v>
      </c>
      <c r="J81" s="32">
        <v>0</v>
      </c>
      <c r="K81" s="32">
        <v>0</v>
      </c>
      <c r="L81" s="32">
        <v>868</v>
      </c>
      <c r="M81" s="292"/>
      <c r="N81" s="9">
        <f t="shared" si="6"/>
        <v>2513</v>
      </c>
    </row>
    <row r="82" spans="1:14">
      <c r="A82" s="29"/>
      <c r="B82" s="30">
        <v>1234614</v>
      </c>
      <c r="C82" s="32">
        <v>0</v>
      </c>
      <c r="D82" s="32">
        <v>300</v>
      </c>
      <c r="E82" s="32">
        <v>300</v>
      </c>
      <c r="F82" s="32">
        <v>200</v>
      </c>
      <c r="G82" s="32">
        <v>0</v>
      </c>
      <c r="H82" s="32">
        <v>0</v>
      </c>
      <c r="I82" s="32">
        <v>0</v>
      </c>
      <c r="J82" s="32">
        <v>400</v>
      </c>
      <c r="K82" s="32">
        <v>624</v>
      </c>
      <c r="L82" s="32">
        <v>0</v>
      </c>
      <c r="M82" s="292"/>
      <c r="N82" s="9">
        <f t="shared" si="6"/>
        <v>1824</v>
      </c>
    </row>
    <row r="83" spans="1:14">
      <c r="A83" s="29"/>
      <c r="B83" s="30">
        <v>1235097</v>
      </c>
      <c r="C83" s="32">
        <v>0</v>
      </c>
      <c r="D83" s="32">
        <v>300</v>
      </c>
      <c r="E83" s="32">
        <v>400</v>
      </c>
      <c r="F83" s="32">
        <v>400</v>
      </c>
      <c r="G83" s="32">
        <v>400</v>
      </c>
      <c r="H83" s="32">
        <v>0</v>
      </c>
      <c r="I83" s="32">
        <v>0</v>
      </c>
      <c r="J83" s="32">
        <v>500</v>
      </c>
      <c r="K83" s="32">
        <v>600</v>
      </c>
      <c r="L83" s="32">
        <v>0</v>
      </c>
      <c r="M83" s="292"/>
      <c r="N83" s="9">
        <f t="shared" si="6"/>
        <v>2600</v>
      </c>
    </row>
    <row r="84" spans="1:14">
      <c r="A84" s="29"/>
      <c r="B84" s="30">
        <v>1235845</v>
      </c>
      <c r="C84" s="32">
        <v>0</v>
      </c>
      <c r="D84" s="32">
        <v>0</v>
      </c>
      <c r="E84" s="32">
        <v>0</v>
      </c>
      <c r="F84" s="32">
        <v>0</v>
      </c>
      <c r="G84" s="32">
        <v>382</v>
      </c>
      <c r="H84" s="32">
        <v>0</v>
      </c>
      <c r="I84" s="32">
        <v>0</v>
      </c>
      <c r="J84" s="32">
        <v>0</v>
      </c>
      <c r="K84" s="32">
        <v>0</v>
      </c>
      <c r="L84" s="32">
        <v>790</v>
      </c>
      <c r="M84" s="292"/>
      <c r="N84" s="9">
        <f t="shared" si="6"/>
        <v>1172</v>
      </c>
    </row>
    <row r="85" spans="1:14">
      <c r="A85" s="29"/>
      <c r="B85" s="30">
        <v>1235958</v>
      </c>
      <c r="C85" s="32">
        <v>0</v>
      </c>
      <c r="D85" s="32">
        <v>0</v>
      </c>
      <c r="E85" s="32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5</v>
      </c>
      <c r="M85" s="292"/>
      <c r="N85" s="9">
        <f t="shared" si="6"/>
        <v>5</v>
      </c>
    </row>
    <row r="86" spans="1:14">
      <c r="A86" s="29"/>
      <c r="B86" s="30">
        <v>1236387</v>
      </c>
      <c r="C86" s="32">
        <v>450</v>
      </c>
      <c r="D86" s="32">
        <v>440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200</v>
      </c>
      <c r="L86" s="32">
        <v>200</v>
      </c>
      <c r="M86" s="292"/>
      <c r="N86" s="9">
        <f t="shared" si="6"/>
        <v>1290</v>
      </c>
    </row>
    <row r="87" spans="1:14">
      <c r="A87" s="29"/>
      <c r="B87" s="30">
        <v>1236600</v>
      </c>
      <c r="C87" s="32">
        <v>0</v>
      </c>
      <c r="D87" s="32">
        <v>0</v>
      </c>
      <c r="E87" s="32">
        <v>0</v>
      </c>
      <c r="F87" s="32">
        <v>829</v>
      </c>
      <c r="G87" s="32">
        <v>0</v>
      </c>
      <c r="H87" s="32">
        <v>0</v>
      </c>
      <c r="I87" s="32">
        <v>0</v>
      </c>
      <c r="J87" s="32">
        <v>748</v>
      </c>
      <c r="K87" s="32">
        <v>0</v>
      </c>
      <c r="L87" s="32">
        <v>0</v>
      </c>
      <c r="M87" s="292"/>
      <c r="N87" s="9">
        <f t="shared" si="6"/>
        <v>1577</v>
      </c>
    </row>
    <row r="88" spans="1:14">
      <c r="A88" s="29"/>
      <c r="B88" s="30">
        <v>1236601</v>
      </c>
      <c r="C88" s="32">
        <v>100</v>
      </c>
      <c r="D88" s="32">
        <v>0</v>
      </c>
      <c r="E88" s="32">
        <v>0</v>
      </c>
      <c r="F88" s="32">
        <v>100</v>
      </c>
      <c r="G88" s="32">
        <v>0</v>
      </c>
      <c r="H88" s="32">
        <v>0</v>
      </c>
      <c r="I88" s="32">
        <v>0</v>
      </c>
      <c r="J88" s="32">
        <v>84</v>
      </c>
      <c r="K88" s="32">
        <v>0</v>
      </c>
      <c r="L88" s="32">
        <v>0</v>
      </c>
      <c r="M88" s="292"/>
      <c r="N88" s="9">
        <f t="shared" si="6"/>
        <v>284</v>
      </c>
    </row>
    <row r="89" spans="1:14">
      <c r="A89" s="29"/>
      <c r="B89" s="30">
        <v>1236619</v>
      </c>
      <c r="C89" s="32">
        <v>0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540</v>
      </c>
      <c r="K89" s="32">
        <v>0</v>
      </c>
      <c r="L89" s="32">
        <v>0</v>
      </c>
      <c r="M89" s="292"/>
      <c r="N89" s="9">
        <f t="shared" si="6"/>
        <v>540</v>
      </c>
    </row>
    <row r="90" spans="1:14">
      <c r="A90" s="29"/>
      <c r="B90" s="30">
        <v>1236930</v>
      </c>
      <c r="C90" s="32">
        <v>852</v>
      </c>
      <c r="D90" s="32">
        <v>1500</v>
      </c>
      <c r="E90" s="32">
        <v>1946</v>
      </c>
      <c r="F90" s="32">
        <v>2400</v>
      </c>
      <c r="G90" s="32">
        <v>950</v>
      </c>
      <c r="H90" s="32">
        <v>248</v>
      </c>
      <c r="I90" s="32">
        <v>0</v>
      </c>
      <c r="J90" s="32">
        <v>2658</v>
      </c>
      <c r="K90" s="32">
        <v>1938</v>
      </c>
      <c r="L90" s="32">
        <v>1840</v>
      </c>
      <c r="M90" s="292"/>
      <c r="N90" s="9">
        <f t="shared" si="6"/>
        <v>14332</v>
      </c>
    </row>
    <row r="91" spans="1:14">
      <c r="A91" s="29"/>
      <c r="B91" s="30">
        <v>1237210</v>
      </c>
      <c r="C91" s="32">
        <v>0</v>
      </c>
      <c r="D91" s="32">
        <v>0</v>
      </c>
      <c r="E91" s="32">
        <v>196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2">
        <v>0</v>
      </c>
      <c r="L91" s="32">
        <v>375</v>
      </c>
      <c r="M91" s="292"/>
      <c r="N91" s="9">
        <f t="shared" si="6"/>
        <v>571</v>
      </c>
    </row>
    <row r="92" spans="1:14">
      <c r="A92" s="29"/>
      <c r="B92" s="30">
        <v>1237386</v>
      </c>
      <c r="C92" s="32">
        <v>0</v>
      </c>
      <c r="D92" s="32">
        <v>0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795</v>
      </c>
      <c r="K92" s="32">
        <v>0</v>
      </c>
      <c r="L92" s="32">
        <v>0</v>
      </c>
      <c r="M92" s="292"/>
      <c r="N92" s="9">
        <f t="shared" si="6"/>
        <v>795</v>
      </c>
    </row>
    <row r="93" spans="1:14">
      <c r="A93" s="29"/>
      <c r="B93" s="30">
        <v>1237457</v>
      </c>
      <c r="C93" s="32">
        <v>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270</v>
      </c>
      <c r="K93" s="32">
        <v>0</v>
      </c>
      <c r="L93" s="32">
        <v>0</v>
      </c>
      <c r="M93" s="292"/>
      <c r="N93" s="9">
        <f t="shared" si="6"/>
        <v>270</v>
      </c>
    </row>
    <row r="94" spans="1:14">
      <c r="A94" s="29"/>
      <c r="B94" s="30">
        <v>1237468</v>
      </c>
      <c r="C94" s="32">
        <v>87</v>
      </c>
      <c r="D94" s="32">
        <v>180</v>
      </c>
      <c r="E94" s="32">
        <v>0</v>
      </c>
      <c r="F94" s="32">
        <v>295</v>
      </c>
      <c r="G94" s="32">
        <v>216</v>
      </c>
      <c r="H94" s="32">
        <v>0</v>
      </c>
      <c r="I94" s="32">
        <v>0</v>
      </c>
      <c r="J94" s="32">
        <v>70</v>
      </c>
      <c r="K94" s="32">
        <v>432</v>
      </c>
      <c r="L94" s="32">
        <v>0</v>
      </c>
      <c r="M94" s="292"/>
      <c r="N94" s="9">
        <f t="shared" si="6"/>
        <v>1280</v>
      </c>
    </row>
    <row r="95" spans="1:14">
      <c r="A95" s="29"/>
      <c r="B95" s="89">
        <v>1238092</v>
      </c>
      <c r="C95" s="32">
        <v>0</v>
      </c>
      <c r="D95" s="32">
        <v>0</v>
      </c>
      <c r="E95" s="32">
        <v>144</v>
      </c>
      <c r="F95" s="32">
        <v>0</v>
      </c>
      <c r="G95" s="32">
        <v>0</v>
      </c>
      <c r="H95" s="32">
        <v>0</v>
      </c>
      <c r="I95" s="32">
        <v>0</v>
      </c>
      <c r="J95" s="32">
        <v>144</v>
      </c>
      <c r="K95" s="32">
        <v>0</v>
      </c>
      <c r="L95" s="32">
        <v>0</v>
      </c>
      <c r="M95" s="292"/>
      <c r="N95" s="9">
        <f t="shared" si="6"/>
        <v>288</v>
      </c>
    </row>
    <row r="96" spans="1:14">
      <c r="A96" s="29"/>
      <c r="B96" s="30">
        <v>1238453</v>
      </c>
      <c r="C96" s="32">
        <v>610</v>
      </c>
      <c r="D96" s="32">
        <v>0</v>
      </c>
      <c r="E96" s="32">
        <v>0</v>
      </c>
      <c r="F96" s="32">
        <v>122</v>
      </c>
      <c r="G96" s="32">
        <v>0</v>
      </c>
      <c r="H96" s="32">
        <v>0</v>
      </c>
      <c r="I96" s="32">
        <v>0</v>
      </c>
      <c r="J96" s="32">
        <v>113</v>
      </c>
      <c r="K96" s="32">
        <v>0</v>
      </c>
      <c r="L96" s="32">
        <v>0</v>
      </c>
      <c r="M96" s="292"/>
      <c r="N96" s="9">
        <f t="shared" si="6"/>
        <v>845</v>
      </c>
    </row>
    <row r="97" spans="1:14">
      <c r="A97" s="29"/>
      <c r="B97" s="30">
        <v>1238480</v>
      </c>
      <c r="C97" s="32">
        <v>4684</v>
      </c>
      <c r="D97" s="32">
        <v>5594</v>
      </c>
      <c r="E97" s="32">
        <v>4998</v>
      </c>
      <c r="F97" s="32">
        <v>6014</v>
      </c>
      <c r="G97" s="32">
        <v>5007</v>
      </c>
      <c r="H97" s="32">
        <v>2610</v>
      </c>
      <c r="I97" s="32">
        <v>600</v>
      </c>
      <c r="J97" s="32">
        <v>7898</v>
      </c>
      <c r="K97" s="32">
        <v>6022</v>
      </c>
      <c r="L97" s="32">
        <v>4910</v>
      </c>
      <c r="M97" s="292"/>
      <c r="N97" s="9">
        <f t="shared" si="6"/>
        <v>48337</v>
      </c>
    </row>
    <row r="98" spans="1:14">
      <c r="A98" s="29"/>
      <c r="B98" s="30">
        <v>1238605</v>
      </c>
      <c r="C98" s="32">
        <v>0</v>
      </c>
      <c r="D98" s="32">
        <v>0</v>
      </c>
      <c r="E98" s="32">
        <v>0</v>
      </c>
      <c r="F98" s="32">
        <v>150</v>
      </c>
      <c r="G98" s="32">
        <v>0</v>
      </c>
      <c r="H98" s="32">
        <v>0</v>
      </c>
      <c r="I98" s="32">
        <v>0</v>
      </c>
      <c r="J98" s="32">
        <v>500</v>
      </c>
      <c r="K98" s="32">
        <v>30</v>
      </c>
      <c r="L98" s="32">
        <v>0</v>
      </c>
      <c r="M98" s="292"/>
      <c r="N98" s="9">
        <f t="shared" si="6"/>
        <v>680</v>
      </c>
    </row>
    <row r="99" spans="1:14">
      <c r="A99" s="29"/>
      <c r="B99" s="30">
        <v>1240180</v>
      </c>
      <c r="C99" s="32">
        <v>380</v>
      </c>
      <c r="D99" s="32">
        <v>200</v>
      </c>
      <c r="E99" s="32">
        <v>550</v>
      </c>
      <c r="F99" s="32">
        <v>550</v>
      </c>
      <c r="G99" s="32">
        <v>0</v>
      </c>
      <c r="H99" s="32">
        <v>0</v>
      </c>
      <c r="I99" s="32">
        <v>0</v>
      </c>
      <c r="J99" s="32">
        <v>1182</v>
      </c>
      <c r="K99" s="32">
        <v>600</v>
      </c>
      <c r="L99" s="32">
        <v>0</v>
      </c>
      <c r="M99" s="292"/>
      <c r="N99" s="9">
        <f t="shared" si="6"/>
        <v>3462</v>
      </c>
    </row>
    <row r="100" spans="1:14">
      <c r="A100" s="29"/>
      <c r="B100" s="30">
        <v>1240184</v>
      </c>
      <c r="C100" s="32">
        <v>380</v>
      </c>
      <c r="D100" s="32">
        <v>200</v>
      </c>
      <c r="E100" s="32">
        <v>550</v>
      </c>
      <c r="F100" s="32">
        <v>550</v>
      </c>
      <c r="G100" s="32">
        <v>0</v>
      </c>
      <c r="H100" s="32">
        <v>0</v>
      </c>
      <c r="I100" s="32">
        <v>0</v>
      </c>
      <c r="J100" s="32">
        <v>1182</v>
      </c>
      <c r="K100" s="32">
        <v>600</v>
      </c>
      <c r="L100" s="32">
        <v>0</v>
      </c>
      <c r="M100" s="292"/>
      <c r="N100" s="9">
        <f t="shared" si="6"/>
        <v>3462</v>
      </c>
    </row>
    <row r="101" spans="1:14">
      <c r="A101" s="29"/>
      <c r="B101" s="89">
        <v>1241343</v>
      </c>
      <c r="C101" s="32">
        <v>36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M101" s="292"/>
      <c r="N101" s="9">
        <f t="shared" si="6"/>
        <v>36</v>
      </c>
    </row>
    <row r="102" spans="1:14">
      <c r="A102" s="29"/>
      <c r="B102" s="89">
        <v>1241347</v>
      </c>
      <c r="C102" s="32">
        <v>36</v>
      </c>
      <c r="D102" s="32">
        <v>0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292"/>
      <c r="N102" s="9">
        <f t="shared" si="6"/>
        <v>36</v>
      </c>
    </row>
    <row r="103" spans="1:14">
      <c r="A103" s="29"/>
      <c r="B103" s="89">
        <v>1241474</v>
      </c>
      <c r="C103" s="32">
        <v>12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292"/>
      <c r="N103" s="9">
        <f t="shared" si="6"/>
        <v>12</v>
      </c>
    </row>
    <row r="104" spans="1:14">
      <c r="A104" s="29"/>
      <c r="B104" s="89">
        <v>1241480</v>
      </c>
      <c r="C104" s="32">
        <v>93</v>
      </c>
      <c r="D104" s="32">
        <v>0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292"/>
      <c r="N104" s="9">
        <f t="shared" si="6"/>
        <v>93</v>
      </c>
    </row>
  </sheetData>
  <phoneticPr fontId="11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919A-67CE-4822-9504-C52EDEFC030A}">
  <dimension ref="A1:V69"/>
  <sheetViews>
    <sheetView zoomScale="145" zoomScaleNormal="145" workbookViewId="0">
      <selection activeCell="K11" sqref="K11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4" width="9.5" style="9" customWidth="1"/>
    <col min="15" max="15" width="9.5" style="9" bestFit="1" customWidth="1"/>
    <col min="16" max="22" width="9.33203125" style="9"/>
    <col min="23" max="16384" width="9.33203125" style="5"/>
  </cols>
  <sheetData>
    <row r="1" spans="1:15">
      <c r="A1" s="19" t="s">
        <v>0</v>
      </c>
      <c r="B1" s="9" t="s">
        <v>1282</v>
      </c>
      <c r="C1" s="9" t="s">
        <v>1283</v>
      </c>
      <c r="D1" s="9" t="s">
        <v>1284</v>
      </c>
      <c r="E1" s="9" t="s">
        <v>1285</v>
      </c>
      <c r="F1" s="9" t="s">
        <v>1286</v>
      </c>
      <c r="G1" s="9" t="s">
        <v>1287</v>
      </c>
      <c r="H1" s="9" t="s">
        <v>1288</v>
      </c>
      <c r="I1" s="9" t="s">
        <v>1290</v>
      </c>
      <c r="J1" s="9" t="s">
        <v>1291</v>
      </c>
      <c r="K1" s="9" t="s">
        <v>1292</v>
      </c>
      <c r="L1" s="9" t="s">
        <v>1293</v>
      </c>
      <c r="M1" s="9" t="s">
        <v>1294</v>
      </c>
      <c r="N1" s="9" t="s">
        <v>1295</v>
      </c>
      <c r="O1" s="9" t="s">
        <v>1296</v>
      </c>
    </row>
    <row r="2" spans="1:15">
      <c r="A2" s="19">
        <v>1229673</v>
      </c>
      <c r="B2" s="9">
        <v>0</v>
      </c>
      <c r="C2" s="9">
        <v>200</v>
      </c>
      <c r="D2" s="9">
        <v>200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</row>
    <row r="3" spans="1:15">
      <c r="A3" s="19">
        <v>1230854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200</v>
      </c>
      <c r="J3" s="9">
        <v>200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>
      <c r="A4" s="19">
        <v>1233492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620</v>
      </c>
      <c r="M4" s="9">
        <v>700</v>
      </c>
      <c r="N4" s="9">
        <v>0</v>
      </c>
      <c r="O4" s="9">
        <v>0</v>
      </c>
    </row>
    <row r="5" spans="1:15">
      <c r="A5" s="19">
        <v>1233498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620</v>
      </c>
      <c r="M5" s="9">
        <v>700</v>
      </c>
      <c r="N5" s="9">
        <v>0</v>
      </c>
      <c r="O5" s="9">
        <v>0</v>
      </c>
    </row>
    <row r="6" spans="1:15">
      <c r="A6" s="19">
        <v>1233623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620</v>
      </c>
      <c r="M6" s="9">
        <v>700</v>
      </c>
      <c r="N6" s="9">
        <v>0</v>
      </c>
      <c r="O6" s="9">
        <v>0</v>
      </c>
    </row>
    <row r="7" spans="1:15">
      <c r="A7" s="19">
        <v>1235623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490</v>
      </c>
      <c r="J7" s="9">
        <v>82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>
      <c r="A8" s="19">
        <v>1237088</v>
      </c>
      <c r="B8" s="9">
        <v>860</v>
      </c>
      <c r="C8" s="9">
        <v>304</v>
      </c>
      <c r="D8" s="9">
        <v>634</v>
      </c>
      <c r="E8" s="9">
        <v>794</v>
      </c>
      <c r="F8" s="9">
        <v>566</v>
      </c>
      <c r="G8" s="9">
        <v>0</v>
      </c>
      <c r="H8" s="9">
        <v>0</v>
      </c>
      <c r="I8" s="9">
        <v>820</v>
      </c>
      <c r="J8" s="9">
        <v>720</v>
      </c>
      <c r="K8" s="9">
        <v>476</v>
      </c>
      <c r="L8" s="9">
        <v>948</v>
      </c>
      <c r="M8" s="9">
        <v>1040</v>
      </c>
      <c r="N8" s="9">
        <v>0</v>
      </c>
      <c r="O8" s="9">
        <v>0</v>
      </c>
    </row>
    <row r="9" spans="1:15">
      <c r="A9" s="19">
        <v>1236091</v>
      </c>
      <c r="B9" s="9">
        <v>0</v>
      </c>
      <c r="C9" s="9">
        <v>200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200</v>
      </c>
      <c r="L9" s="9">
        <v>0</v>
      </c>
      <c r="M9" s="9">
        <v>0</v>
      </c>
      <c r="N9" s="9">
        <v>0</v>
      </c>
      <c r="O9" s="9">
        <v>0</v>
      </c>
    </row>
    <row r="10" spans="1:15">
      <c r="A10" s="19">
        <v>1238128</v>
      </c>
      <c r="B10" s="9">
        <v>1000</v>
      </c>
      <c r="C10" s="9">
        <v>1000</v>
      </c>
      <c r="D10" s="9">
        <v>1392</v>
      </c>
      <c r="E10" s="9">
        <v>1770</v>
      </c>
      <c r="F10" s="9">
        <v>1770</v>
      </c>
      <c r="G10" s="9">
        <v>0</v>
      </c>
      <c r="H10" s="9">
        <v>0</v>
      </c>
      <c r="I10" s="9">
        <v>1456</v>
      </c>
      <c r="J10" s="9">
        <v>1180</v>
      </c>
      <c r="K10" s="9">
        <v>672</v>
      </c>
      <c r="L10" s="9">
        <v>1180</v>
      </c>
      <c r="M10" s="9">
        <v>1180</v>
      </c>
      <c r="N10" s="9">
        <v>0</v>
      </c>
      <c r="O10" s="9">
        <v>0</v>
      </c>
    </row>
    <row r="11" spans="1:15">
      <c r="A11" s="19">
        <v>1236962</v>
      </c>
      <c r="B11" s="9">
        <v>0</v>
      </c>
      <c r="C11" s="9">
        <v>200</v>
      </c>
      <c r="D11" s="9">
        <v>0</v>
      </c>
      <c r="E11" s="9">
        <v>300</v>
      </c>
      <c r="F11" s="9">
        <v>0</v>
      </c>
      <c r="G11" s="9">
        <v>0</v>
      </c>
      <c r="H11" s="9">
        <v>0</v>
      </c>
      <c r="I11" s="9">
        <v>0</v>
      </c>
      <c r="J11" s="9">
        <v>300</v>
      </c>
      <c r="K11" s="9">
        <v>0</v>
      </c>
      <c r="L11" s="9">
        <v>0</v>
      </c>
      <c r="M11" s="9">
        <v>200</v>
      </c>
      <c r="N11" s="9">
        <v>0</v>
      </c>
      <c r="O11" s="9">
        <v>0</v>
      </c>
    </row>
    <row r="12" spans="1:15">
      <c r="A12" s="19">
        <v>1233761</v>
      </c>
      <c r="B12" s="9">
        <v>0</v>
      </c>
      <c r="C12" s="9">
        <v>0</v>
      </c>
      <c r="D12" s="9">
        <v>0</v>
      </c>
      <c r="E12" s="9">
        <v>0</v>
      </c>
      <c r="F12" s="9">
        <v>200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150</v>
      </c>
      <c r="M12" s="9">
        <v>0</v>
      </c>
      <c r="N12" s="9">
        <v>0</v>
      </c>
      <c r="O12" s="9">
        <v>0</v>
      </c>
    </row>
    <row r="13" spans="1:15">
      <c r="A13" s="19">
        <v>1236930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174</v>
      </c>
      <c r="J13" s="9">
        <v>358</v>
      </c>
      <c r="K13" s="9">
        <v>204</v>
      </c>
      <c r="L13" s="9">
        <v>358</v>
      </c>
      <c r="M13" s="9">
        <v>358</v>
      </c>
      <c r="N13" s="9">
        <v>0</v>
      </c>
      <c r="O13" s="9">
        <v>0</v>
      </c>
    </row>
    <row r="14" spans="1:15">
      <c r="A14" s="19">
        <v>1239651</v>
      </c>
      <c r="B14" s="9">
        <v>300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384</v>
      </c>
      <c r="N14" s="9">
        <v>0</v>
      </c>
      <c r="O14" s="9">
        <v>0</v>
      </c>
    </row>
    <row r="15" spans="1:15">
      <c r="A15" s="19">
        <v>1240180</v>
      </c>
      <c r="B15" s="9">
        <v>946</v>
      </c>
      <c r="C15" s="9">
        <v>972</v>
      </c>
      <c r="D15" s="9">
        <v>208</v>
      </c>
      <c r="E15" s="9">
        <v>430</v>
      </c>
      <c r="F15" s="9">
        <v>430</v>
      </c>
      <c r="G15" s="9">
        <v>0</v>
      </c>
      <c r="H15" s="9">
        <v>0</v>
      </c>
      <c r="I15" s="9">
        <v>200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</row>
    <row r="16" spans="1:15">
      <c r="A16" s="19">
        <v>1240184</v>
      </c>
      <c r="B16" s="9">
        <v>946</v>
      </c>
      <c r="C16" s="9">
        <v>972</v>
      </c>
      <c r="D16" s="9">
        <v>208</v>
      </c>
      <c r="E16" s="9">
        <v>230</v>
      </c>
      <c r="F16" s="9">
        <v>430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</row>
    <row r="17" spans="1:15">
      <c r="A17" s="19">
        <v>1240308</v>
      </c>
      <c r="B17" s="9">
        <v>150</v>
      </c>
      <c r="C17" s="9">
        <v>300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300</v>
      </c>
      <c r="M17" s="9">
        <v>0</v>
      </c>
      <c r="N17" s="9">
        <v>0</v>
      </c>
      <c r="O17" s="9">
        <v>0</v>
      </c>
    </row>
    <row r="18" spans="1:15">
      <c r="A18" s="19">
        <v>1242242</v>
      </c>
      <c r="B18" s="9">
        <v>0</v>
      </c>
      <c r="C18" s="9">
        <v>0</v>
      </c>
      <c r="D18" s="9">
        <v>72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</row>
    <row r="23" spans="1:15">
      <c r="A23" s="19" t="s">
        <v>0</v>
      </c>
      <c r="B23" s="9" t="s">
        <v>1282</v>
      </c>
      <c r="C23" s="9" t="s">
        <v>1283</v>
      </c>
      <c r="D23" s="9" t="s">
        <v>1284</v>
      </c>
      <c r="E23" s="9" t="s">
        <v>1285</v>
      </c>
      <c r="F23" s="9" t="s">
        <v>1286</v>
      </c>
      <c r="G23" s="9" t="s">
        <v>1287</v>
      </c>
      <c r="H23" s="9" t="s">
        <v>1288</v>
      </c>
      <c r="I23" s="9" t="s">
        <v>1290</v>
      </c>
      <c r="J23" s="9" t="s">
        <v>1291</v>
      </c>
      <c r="K23" s="9" t="s">
        <v>1292</v>
      </c>
      <c r="L23" s="9" t="s">
        <v>1293</v>
      </c>
      <c r="M23" s="9" t="s">
        <v>1294</v>
      </c>
      <c r="N23" s="9" t="s">
        <v>1295</v>
      </c>
      <c r="O23" s="9" t="s">
        <v>1296</v>
      </c>
    </row>
    <row r="24" spans="1:15">
      <c r="A24" s="19">
        <v>1237608</v>
      </c>
      <c r="B24" s="9">
        <v>180</v>
      </c>
      <c r="C24" s="9">
        <v>50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</row>
    <row r="25" spans="1:15">
      <c r="A25" s="19">
        <v>1236110</v>
      </c>
      <c r="B25" s="9">
        <v>0</v>
      </c>
      <c r="C25" s="9">
        <v>115</v>
      </c>
      <c r="D25" s="9">
        <v>35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1:15">
      <c r="A26" s="19">
        <v>1236387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117</v>
      </c>
      <c r="K26" s="9">
        <v>293</v>
      </c>
      <c r="L26" s="9">
        <v>0</v>
      </c>
      <c r="M26" s="9">
        <v>0</v>
      </c>
      <c r="N26" s="9">
        <v>0</v>
      </c>
      <c r="O26" s="9">
        <v>0</v>
      </c>
    </row>
    <row r="27" spans="1:15">
      <c r="A27" s="19">
        <v>1232775</v>
      </c>
      <c r="B27" s="9">
        <v>242</v>
      </c>
      <c r="C27" s="9">
        <v>239</v>
      </c>
      <c r="D27" s="9">
        <v>242</v>
      </c>
      <c r="E27" s="9">
        <v>245</v>
      </c>
      <c r="F27" s="9">
        <v>242</v>
      </c>
      <c r="G27" s="9">
        <v>0</v>
      </c>
      <c r="H27" s="9">
        <v>0</v>
      </c>
      <c r="I27" s="9">
        <v>245</v>
      </c>
      <c r="J27" s="9">
        <v>242</v>
      </c>
      <c r="K27" s="9">
        <v>242</v>
      </c>
      <c r="L27" s="9">
        <v>242</v>
      </c>
      <c r="M27" s="9">
        <v>200</v>
      </c>
      <c r="N27" s="9">
        <v>0</v>
      </c>
      <c r="O27" s="9">
        <v>0</v>
      </c>
    </row>
    <row r="28" spans="1:15">
      <c r="A28" s="19">
        <v>1238605</v>
      </c>
      <c r="B28" s="9">
        <v>193</v>
      </c>
      <c r="C28" s="9">
        <v>191</v>
      </c>
      <c r="D28" s="9">
        <v>191</v>
      </c>
      <c r="E28" s="9">
        <v>193</v>
      </c>
      <c r="F28" s="9">
        <v>191</v>
      </c>
      <c r="G28" s="9">
        <v>0</v>
      </c>
      <c r="H28" s="9">
        <v>0</v>
      </c>
      <c r="I28" s="9">
        <v>191</v>
      </c>
      <c r="J28" s="9">
        <v>109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5">
      <c r="A29" s="19">
        <v>1230685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58</v>
      </c>
      <c r="L29" s="9">
        <v>330</v>
      </c>
      <c r="M29" s="9">
        <v>12</v>
      </c>
      <c r="N29" s="9">
        <v>0</v>
      </c>
      <c r="O29" s="9">
        <v>0</v>
      </c>
    </row>
    <row r="33" spans="1:15">
      <c r="A33" s="19" t="s">
        <v>0</v>
      </c>
      <c r="B33" s="9" t="s">
        <v>1282</v>
      </c>
      <c r="C33" s="9" t="s">
        <v>1283</v>
      </c>
      <c r="D33" s="9" t="s">
        <v>1284</v>
      </c>
      <c r="E33" s="9" t="s">
        <v>1285</v>
      </c>
      <c r="F33" s="9" t="s">
        <v>1286</v>
      </c>
      <c r="G33" s="9" t="s">
        <v>1287</v>
      </c>
      <c r="H33" s="9" t="s">
        <v>1288</v>
      </c>
      <c r="I33" s="9" t="s">
        <v>1290</v>
      </c>
      <c r="J33" s="9" t="s">
        <v>1291</v>
      </c>
      <c r="K33" s="9" t="s">
        <v>1292</v>
      </c>
      <c r="L33" s="9" t="s">
        <v>1293</v>
      </c>
      <c r="M33" s="9" t="s">
        <v>1294</v>
      </c>
      <c r="N33" s="9" t="s">
        <v>1295</v>
      </c>
      <c r="O33" s="9" t="s">
        <v>1296</v>
      </c>
    </row>
    <row r="34" spans="1:15">
      <c r="A34" s="19">
        <v>1234614</v>
      </c>
      <c r="B34" s="9">
        <v>0</v>
      </c>
      <c r="C34" s="9">
        <v>0</v>
      </c>
      <c r="D34" s="9">
        <v>39</v>
      </c>
      <c r="E34" s="9">
        <v>285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500</v>
      </c>
      <c r="M34" s="9">
        <v>648</v>
      </c>
      <c r="N34" s="9">
        <v>0</v>
      </c>
      <c r="O34" s="9">
        <v>0</v>
      </c>
    </row>
    <row r="35" spans="1:15">
      <c r="A35" s="19">
        <v>1221967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701</v>
      </c>
      <c r="N35" s="9">
        <v>0</v>
      </c>
      <c r="O35" s="9">
        <v>0</v>
      </c>
    </row>
    <row r="36" spans="1:15">
      <c r="A36" s="19">
        <v>1227306</v>
      </c>
      <c r="B36" s="9">
        <v>331</v>
      </c>
      <c r="C36" s="9">
        <v>319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360</v>
      </c>
      <c r="M36" s="9">
        <v>440</v>
      </c>
      <c r="N36" s="9">
        <v>0</v>
      </c>
      <c r="O36" s="9">
        <v>0</v>
      </c>
    </row>
    <row r="37" spans="1:15">
      <c r="A37" s="19">
        <v>1225464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295</v>
      </c>
      <c r="J37" s="9">
        <v>465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>
      <c r="A38" s="19">
        <v>1231797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168</v>
      </c>
      <c r="M38" s="9">
        <v>0</v>
      </c>
      <c r="N38" s="9">
        <v>0</v>
      </c>
      <c r="O38" s="9">
        <v>0</v>
      </c>
    </row>
    <row r="39" spans="1:15">
      <c r="A39" s="19">
        <v>1229776</v>
      </c>
      <c r="B39" s="9">
        <v>0</v>
      </c>
      <c r="C39" s="9">
        <v>81</v>
      </c>
      <c r="D39" s="9">
        <v>9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>
      <c r="A40" s="19">
        <v>1231090</v>
      </c>
      <c r="B40" s="9">
        <v>481</v>
      </c>
      <c r="C40" s="9">
        <v>81</v>
      </c>
      <c r="D40" s="9">
        <v>9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450</v>
      </c>
      <c r="N40" s="9">
        <v>0</v>
      </c>
      <c r="O40" s="9">
        <v>0</v>
      </c>
    </row>
    <row r="41" spans="1:15">
      <c r="A41" s="19">
        <v>1232066</v>
      </c>
      <c r="B41" s="9">
        <v>0</v>
      </c>
      <c r="C41" s="9">
        <v>0</v>
      </c>
      <c r="D41" s="9">
        <v>0</v>
      </c>
      <c r="E41" s="9">
        <v>0</v>
      </c>
      <c r="F41" s="9">
        <v>257</v>
      </c>
      <c r="G41" s="9">
        <v>0</v>
      </c>
      <c r="H41" s="9">
        <v>0</v>
      </c>
      <c r="I41" s="9">
        <v>499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>
      <c r="A42" s="19">
        <v>1231860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100</v>
      </c>
      <c r="N42" s="9">
        <v>0</v>
      </c>
      <c r="O42" s="9">
        <v>0</v>
      </c>
    </row>
    <row r="43" spans="1:15">
      <c r="A43" s="19">
        <v>1232693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1200</v>
      </c>
      <c r="N43" s="9">
        <v>0</v>
      </c>
      <c r="O43" s="9">
        <v>0</v>
      </c>
    </row>
    <row r="44" spans="1:15">
      <c r="A44" s="19">
        <v>1233025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1200</v>
      </c>
      <c r="N44" s="9">
        <v>0</v>
      </c>
      <c r="O44" s="9">
        <v>0</v>
      </c>
    </row>
    <row r="45" spans="1:15">
      <c r="A45" s="19">
        <v>1232528</v>
      </c>
      <c r="B45" s="9">
        <v>1937</v>
      </c>
      <c r="C45" s="9">
        <v>2250</v>
      </c>
      <c r="D45" s="9">
        <v>1586</v>
      </c>
      <c r="E45" s="9">
        <v>568</v>
      </c>
      <c r="F45" s="9">
        <v>570</v>
      </c>
      <c r="G45" s="9">
        <v>0</v>
      </c>
      <c r="H45" s="9">
        <v>0</v>
      </c>
      <c r="I45" s="9">
        <v>265</v>
      </c>
      <c r="J45" s="9">
        <v>673</v>
      </c>
      <c r="K45" s="9">
        <v>539</v>
      </c>
      <c r="L45" s="9">
        <v>793</v>
      </c>
      <c r="M45" s="9">
        <v>3796</v>
      </c>
      <c r="N45" s="9">
        <v>0</v>
      </c>
      <c r="O45" s="9">
        <v>0</v>
      </c>
    </row>
    <row r="46" spans="1:15">
      <c r="A46" s="19">
        <v>1232846</v>
      </c>
      <c r="B46" s="9">
        <v>0</v>
      </c>
      <c r="C46" s="9">
        <v>0</v>
      </c>
      <c r="D46" s="9">
        <v>0</v>
      </c>
      <c r="E46" s="9">
        <v>377</v>
      </c>
      <c r="F46" s="9">
        <v>454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19">
        <v>1229050</v>
      </c>
      <c r="B47" s="9">
        <v>143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>
      <c r="A48" s="19">
        <v>1220847</v>
      </c>
      <c r="B48" s="9">
        <v>256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3082</v>
      </c>
      <c r="N48" s="9">
        <v>0</v>
      </c>
      <c r="O48" s="9">
        <v>0</v>
      </c>
    </row>
    <row r="49" spans="1:22">
      <c r="A49" s="19">
        <v>1234222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60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22">
      <c r="A50" s="19">
        <v>1234217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270</v>
      </c>
      <c r="M50" s="9">
        <v>0</v>
      </c>
      <c r="N50" s="9">
        <v>0</v>
      </c>
      <c r="O50" s="9">
        <v>0</v>
      </c>
    </row>
    <row r="51" spans="1:22">
      <c r="A51" s="19">
        <v>1234111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270</v>
      </c>
      <c r="M51" s="9">
        <v>0</v>
      </c>
      <c r="N51" s="9">
        <v>0</v>
      </c>
      <c r="O51" s="9">
        <v>0</v>
      </c>
    </row>
    <row r="52" spans="1:22">
      <c r="A52" s="19">
        <v>1234110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270</v>
      </c>
      <c r="M52" s="9">
        <v>0</v>
      </c>
      <c r="N52" s="9">
        <v>0</v>
      </c>
      <c r="O52" s="9">
        <v>0</v>
      </c>
    </row>
    <row r="53" spans="1:22">
      <c r="A53" s="19">
        <v>1235097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151</v>
      </c>
      <c r="K53" s="9">
        <v>269</v>
      </c>
      <c r="L53" s="9">
        <v>80</v>
      </c>
      <c r="M53" s="9">
        <v>0</v>
      </c>
      <c r="N53" s="9">
        <v>0</v>
      </c>
      <c r="O53" s="9">
        <v>0</v>
      </c>
    </row>
    <row r="54" spans="1:22" s="20" customFormat="1">
      <c r="A54" s="101">
        <v>1235845</v>
      </c>
      <c r="B54" s="10">
        <v>0</v>
      </c>
      <c r="C54" s="10">
        <v>0</v>
      </c>
      <c r="D54" s="10">
        <v>0</v>
      </c>
      <c r="E54" s="10">
        <v>0</v>
      </c>
      <c r="F54" s="10">
        <v>330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/>
      <c r="Q54" s="10"/>
      <c r="R54" s="10"/>
      <c r="S54" s="10"/>
      <c r="T54" s="10"/>
      <c r="U54" s="10"/>
      <c r="V54" s="10"/>
    </row>
    <row r="55" spans="1:22">
      <c r="A55" s="19">
        <v>1236600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91</v>
      </c>
      <c r="J55" s="9">
        <v>533</v>
      </c>
      <c r="K55" s="9">
        <v>420</v>
      </c>
      <c r="L55" s="9">
        <v>83</v>
      </c>
      <c r="M55" s="9">
        <v>0</v>
      </c>
      <c r="N55" s="9">
        <v>0</v>
      </c>
      <c r="O55" s="9">
        <v>0</v>
      </c>
    </row>
    <row r="56" spans="1:22">
      <c r="A56" s="19">
        <v>1236930</v>
      </c>
      <c r="B56" s="9">
        <v>420</v>
      </c>
      <c r="C56" s="9">
        <v>502</v>
      </c>
      <c r="D56" s="9">
        <v>539</v>
      </c>
      <c r="E56" s="9">
        <v>457</v>
      </c>
      <c r="F56" s="9">
        <v>314</v>
      </c>
      <c r="G56" s="9">
        <v>0</v>
      </c>
      <c r="H56" s="9">
        <v>0</v>
      </c>
      <c r="I56" s="9">
        <v>317</v>
      </c>
      <c r="J56" s="9">
        <v>456</v>
      </c>
      <c r="K56" s="9">
        <v>331</v>
      </c>
      <c r="L56" s="9">
        <v>420</v>
      </c>
      <c r="M56" s="9">
        <v>612</v>
      </c>
      <c r="N56" s="9">
        <v>0</v>
      </c>
      <c r="O56" s="9">
        <v>0</v>
      </c>
    </row>
    <row r="57" spans="1:22">
      <c r="A57" s="19">
        <v>1238480</v>
      </c>
      <c r="B57" s="9">
        <v>0</v>
      </c>
      <c r="C57" s="9">
        <v>0</v>
      </c>
      <c r="D57" s="9">
        <v>305</v>
      </c>
      <c r="E57" s="9">
        <v>1171</v>
      </c>
      <c r="F57" s="9">
        <v>1225</v>
      </c>
      <c r="G57" s="9">
        <v>0</v>
      </c>
      <c r="H57" s="9">
        <v>0</v>
      </c>
      <c r="I57" s="9">
        <v>1467</v>
      </c>
      <c r="J57" s="9">
        <v>972</v>
      </c>
      <c r="K57" s="9">
        <v>578</v>
      </c>
      <c r="L57" s="9">
        <v>429</v>
      </c>
      <c r="M57" s="9">
        <v>639</v>
      </c>
      <c r="N57" s="9">
        <v>0</v>
      </c>
      <c r="O57" s="9">
        <v>0</v>
      </c>
    </row>
    <row r="58" spans="1:22">
      <c r="A58" s="19">
        <v>1238453</v>
      </c>
      <c r="B58" s="9">
        <v>0</v>
      </c>
      <c r="C58" s="9">
        <v>0</v>
      </c>
      <c r="D58" s="9">
        <v>0</v>
      </c>
      <c r="E58" s="9">
        <v>0</v>
      </c>
      <c r="F58" s="9">
        <v>37</v>
      </c>
      <c r="G58" s="9">
        <v>0</v>
      </c>
      <c r="H58" s="9">
        <v>0</v>
      </c>
      <c r="I58" s="9">
        <v>275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  <row r="59" spans="1:22">
      <c r="A59" s="19">
        <v>1232775</v>
      </c>
      <c r="B59" s="9">
        <v>0</v>
      </c>
      <c r="C59" s="9">
        <v>392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60</v>
      </c>
      <c r="M59" s="9">
        <v>216</v>
      </c>
      <c r="N59" s="9">
        <v>0</v>
      </c>
      <c r="O59" s="9">
        <v>0</v>
      </c>
    </row>
    <row r="60" spans="1:22">
      <c r="A60" s="19">
        <v>1240180</v>
      </c>
      <c r="B60" s="9">
        <v>0</v>
      </c>
      <c r="C60" s="9">
        <v>0</v>
      </c>
      <c r="D60" s="9">
        <v>0</v>
      </c>
      <c r="E60" s="9">
        <v>191</v>
      </c>
      <c r="F60" s="9">
        <v>279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</row>
    <row r="61" spans="1:22">
      <c r="A61" s="19">
        <v>1240184</v>
      </c>
      <c r="B61" s="9">
        <v>0</v>
      </c>
      <c r="C61" s="9">
        <v>0</v>
      </c>
      <c r="D61" s="9">
        <v>0</v>
      </c>
      <c r="E61" s="9">
        <v>191</v>
      </c>
      <c r="F61" s="9">
        <v>279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22">
      <c r="A62" s="19">
        <v>1237468</v>
      </c>
      <c r="B62" s="9">
        <v>148</v>
      </c>
      <c r="C62" s="9">
        <v>320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200</v>
      </c>
      <c r="K62" s="9">
        <v>124</v>
      </c>
      <c r="L62" s="9">
        <v>0</v>
      </c>
      <c r="M62" s="9">
        <v>0</v>
      </c>
      <c r="N62" s="9">
        <v>0</v>
      </c>
      <c r="O62" s="9">
        <v>0</v>
      </c>
    </row>
    <row r="63" spans="1:22">
      <c r="A63" s="19">
        <v>1241480</v>
      </c>
      <c r="B63" s="9">
        <v>0</v>
      </c>
      <c r="C63" s="9">
        <v>0</v>
      </c>
      <c r="D63" s="9">
        <v>26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22">
      <c r="A64" s="19">
        <v>1241474</v>
      </c>
      <c r="B64" s="9">
        <v>11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</row>
    <row r="65" spans="1:15">
      <c r="A65" s="19">
        <v>1241387</v>
      </c>
      <c r="B65" s="9">
        <v>0</v>
      </c>
      <c r="C65" s="9">
        <v>107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</row>
    <row r="66" spans="1:15">
      <c r="A66" s="19">
        <v>1216452</v>
      </c>
      <c r="B66" s="9">
        <v>450</v>
      </c>
      <c r="C66" s="9">
        <v>0</v>
      </c>
      <c r="D66" s="9">
        <v>0</v>
      </c>
      <c r="E66" s="9">
        <v>0</v>
      </c>
      <c r="F66" s="9">
        <v>362</v>
      </c>
      <c r="G66" s="9">
        <v>0</v>
      </c>
      <c r="H66" s="9">
        <v>0</v>
      </c>
      <c r="I66" s="9">
        <v>662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</row>
    <row r="67" spans="1:15">
      <c r="A67" s="19">
        <v>1232894</v>
      </c>
      <c r="B67" s="9">
        <v>0</v>
      </c>
      <c r="C67" s="9">
        <v>0</v>
      </c>
      <c r="D67" s="9">
        <v>0</v>
      </c>
      <c r="E67" s="9">
        <v>377</v>
      </c>
      <c r="F67" s="9">
        <v>454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</row>
    <row r="68" spans="1:15">
      <c r="A68" s="19">
        <v>1233387</v>
      </c>
      <c r="B68" s="9">
        <v>0</v>
      </c>
      <c r="C68" s="9">
        <v>0</v>
      </c>
      <c r="D68" s="9">
        <v>0</v>
      </c>
      <c r="E68" s="9">
        <v>255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>
      <c r="A69" s="19">
        <v>1233385</v>
      </c>
      <c r="B69" s="9">
        <v>0</v>
      </c>
      <c r="C69" s="9">
        <v>0</v>
      </c>
      <c r="D69" s="9">
        <v>0</v>
      </c>
      <c r="E69" s="9">
        <v>122</v>
      </c>
      <c r="F69" s="9">
        <v>454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</row>
  </sheetData>
  <phoneticPr fontId="11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FC7E-D274-4752-B604-B13569D27DA5}">
  <dimension ref="A1:X86"/>
  <sheetViews>
    <sheetView topLeftCell="A10" zoomScale="145" zoomScaleNormal="145" workbookViewId="0">
      <selection activeCell="N27" sqref="N27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20" width="9.5" style="9" customWidth="1"/>
    <col min="21" max="21" width="9.5" style="9" bestFit="1" customWidth="1"/>
    <col min="22" max="24" width="9.33203125" style="9"/>
    <col min="25" max="16384" width="9.33203125" style="5"/>
  </cols>
  <sheetData>
    <row r="1" spans="1:21">
      <c r="A1" s="74" t="s">
        <v>0</v>
      </c>
      <c r="B1" s="69" t="s">
        <v>1283</v>
      </c>
      <c r="C1" s="69" t="s">
        <v>1284</v>
      </c>
      <c r="D1" s="69" t="s">
        <v>1285</v>
      </c>
      <c r="E1" s="69" t="s">
        <v>1286</v>
      </c>
      <c r="F1" s="69" t="s">
        <v>1287</v>
      </c>
      <c r="G1" s="70" t="s">
        <v>1288</v>
      </c>
      <c r="H1" s="69" t="s">
        <v>1290</v>
      </c>
      <c r="I1" s="69" t="s">
        <v>1291</v>
      </c>
      <c r="J1" s="69" t="s">
        <v>1292</v>
      </c>
      <c r="K1" s="69" t="s">
        <v>1293</v>
      </c>
      <c r="L1" s="69" t="s">
        <v>1294</v>
      </c>
      <c r="M1" s="69" t="s">
        <v>1295</v>
      </c>
      <c r="N1" s="70" t="s">
        <v>1296</v>
      </c>
      <c r="O1" s="69" t="s">
        <v>1298</v>
      </c>
      <c r="P1" s="69" t="s">
        <v>1299</v>
      </c>
      <c r="Q1" s="69" t="s">
        <v>1300</v>
      </c>
      <c r="R1" s="69" t="s">
        <v>1301</v>
      </c>
      <c r="S1" s="69" t="s">
        <v>1302</v>
      </c>
      <c r="T1" s="69" t="s">
        <v>1303</v>
      </c>
      <c r="U1" s="70" t="s">
        <v>1304</v>
      </c>
    </row>
    <row r="2" spans="1:21">
      <c r="A2" s="30">
        <v>1229673</v>
      </c>
      <c r="B2" s="32">
        <v>200</v>
      </c>
      <c r="C2" s="32">
        <v>200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200</v>
      </c>
      <c r="P2" s="32">
        <v>200</v>
      </c>
      <c r="Q2" s="32">
        <v>200</v>
      </c>
      <c r="R2" s="32">
        <v>200</v>
      </c>
      <c r="S2" s="32">
        <v>200</v>
      </c>
      <c r="T2" s="32">
        <v>0</v>
      </c>
      <c r="U2" s="32">
        <v>0</v>
      </c>
    </row>
    <row r="3" spans="1:21">
      <c r="A3" s="30">
        <v>1230854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200</v>
      </c>
      <c r="I3" s="32">
        <v>200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</row>
    <row r="4" spans="1:21">
      <c r="A4" s="30">
        <v>1233492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620</v>
      </c>
      <c r="L4" s="32">
        <v>700</v>
      </c>
      <c r="M4" s="32">
        <v>0</v>
      </c>
      <c r="N4" s="32">
        <v>0</v>
      </c>
      <c r="O4" s="32">
        <v>700</v>
      </c>
      <c r="P4" s="32">
        <v>600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</row>
    <row r="5" spans="1:21">
      <c r="A5" s="30">
        <v>1233498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620</v>
      </c>
      <c r="L5" s="32">
        <v>700</v>
      </c>
      <c r="M5" s="32">
        <v>0</v>
      </c>
      <c r="N5" s="32">
        <v>0</v>
      </c>
      <c r="O5" s="32">
        <v>700</v>
      </c>
      <c r="P5" s="32">
        <v>600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</row>
    <row r="6" spans="1:21">
      <c r="A6" s="30">
        <v>1233623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620</v>
      </c>
      <c r="L6" s="32">
        <v>700</v>
      </c>
      <c r="M6" s="32">
        <v>0</v>
      </c>
      <c r="N6" s="32">
        <v>0</v>
      </c>
      <c r="O6" s="32">
        <v>700</v>
      </c>
      <c r="P6" s="32">
        <v>600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</row>
    <row r="7" spans="1:21">
      <c r="A7" s="30">
        <v>1235623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490</v>
      </c>
      <c r="I7" s="32">
        <v>82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106</v>
      </c>
      <c r="Q7" s="32">
        <v>712</v>
      </c>
      <c r="R7" s="32">
        <v>482</v>
      </c>
      <c r="S7" s="32">
        <v>0</v>
      </c>
      <c r="T7" s="32">
        <v>0</v>
      </c>
      <c r="U7" s="32">
        <v>0</v>
      </c>
    </row>
    <row r="8" spans="1:21">
      <c r="A8" s="111">
        <v>1236976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2</v>
      </c>
      <c r="R8" s="32">
        <v>0</v>
      </c>
      <c r="S8" s="32">
        <v>0</v>
      </c>
      <c r="T8" s="32">
        <v>0</v>
      </c>
      <c r="U8" s="32">
        <v>0</v>
      </c>
    </row>
    <row r="9" spans="1:21">
      <c r="A9" s="30">
        <v>1237088</v>
      </c>
      <c r="B9" s="32">
        <v>304</v>
      </c>
      <c r="C9" s="32">
        <v>634</v>
      </c>
      <c r="D9" s="32">
        <v>794</v>
      </c>
      <c r="E9" s="32">
        <v>566</v>
      </c>
      <c r="F9" s="32">
        <v>0</v>
      </c>
      <c r="G9" s="32">
        <v>0</v>
      </c>
      <c r="H9" s="32">
        <v>1318</v>
      </c>
      <c r="I9" s="32">
        <v>1076</v>
      </c>
      <c r="J9" s="32">
        <v>476</v>
      </c>
      <c r="K9" s="32">
        <v>704</v>
      </c>
      <c r="L9" s="32">
        <v>794</v>
      </c>
      <c r="M9" s="32">
        <v>0</v>
      </c>
      <c r="N9" s="32">
        <v>0</v>
      </c>
      <c r="O9" s="32">
        <v>1100</v>
      </c>
      <c r="P9" s="32">
        <v>692</v>
      </c>
      <c r="Q9" s="32">
        <v>496</v>
      </c>
      <c r="R9" s="32">
        <v>948</v>
      </c>
      <c r="S9" s="32">
        <v>444</v>
      </c>
      <c r="T9" s="32">
        <v>0</v>
      </c>
      <c r="U9" s="32">
        <v>0</v>
      </c>
    </row>
    <row r="10" spans="1:21">
      <c r="A10" s="111">
        <v>1237748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404</v>
      </c>
      <c r="S10" s="32">
        <v>840</v>
      </c>
      <c r="T10" s="32">
        <v>0</v>
      </c>
      <c r="U10" s="32">
        <v>0</v>
      </c>
    </row>
    <row r="11" spans="1:21">
      <c r="A11" s="30">
        <v>1231898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300</v>
      </c>
      <c r="T11" s="32">
        <v>0</v>
      </c>
      <c r="U11" s="32">
        <v>0</v>
      </c>
    </row>
    <row r="12" spans="1:21">
      <c r="A12" s="30">
        <v>1237586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300</v>
      </c>
      <c r="T12" s="32">
        <v>0</v>
      </c>
      <c r="U12" s="32">
        <v>0</v>
      </c>
    </row>
    <row r="13" spans="1:21">
      <c r="A13" s="30">
        <v>1236091</v>
      </c>
      <c r="B13" s="32">
        <v>200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200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</row>
    <row r="14" spans="1:21">
      <c r="A14" s="30">
        <v>1234905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366</v>
      </c>
      <c r="P14" s="32">
        <v>436</v>
      </c>
      <c r="Q14" s="32">
        <v>296</v>
      </c>
      <c r="R14" s="32">
        <v>382</v>
      </c>
      <c r="S14" s="32">
        <v>436</v>
      </c>
      <c r="T14" s="32">
        <v>0</v>
      </c>
      <c r="U14" s="32">
        <v>0</v>
      </c>
    </row>
    <row r="15" spans="1:21">
      <c r="A15" s="30">
        <v>1238128</v>
      </c>
      <c r="B15" s="32">
        <v>1000</v>
      </c>
      <c r="C15" s="32">
        <v>1392</v>
      </c>
      <c r="D15" s="32">
        <v>1770</v>
      </c>
      <c r="E15" s="32">
        <v>1770</v>
      </c>
      <c r="F15" s="32">
        <v>0</v>
      </c>
      <c r="G15" s="32">
        <v>0</v>
      </c>
      <c r="H15" s="32">
        <v>1456</v>
      </c>
      <c r="I15" s="32">
        <v>1180</v>
      </c>
      <c r="J15" s="32">
        <v>672</v>
      </c>
      <c r="K15" s="32">
        <v>1180</v>
      </c>
      <c r="L15" s="32">
        <v>1180</v>
      </c>
      <c r="M15" s="32">
        <v>0</v>
      </c>
      <c r="N15" s="32">
        <v>0</v>
      </c>
      <c r="O15" s="32">
        <v>1180</v>
      </c>
      <c r="P15" s="32">
        <v>1180</v>
      </c>
      <c r="Q15" s="32">
        <v>872</v>
      </c>
      <c r="R15" s="32">
        <v>1180</v>
      </c>
      <c r="S15" s="32">
        <v>1180</v>
      </c>
      <c r="T15" s="32">
        <v>0</v>
      </c>
      <c r="U15" s="32">
        <v>0</v>
      </c>
    </row>
    <row r="16" spans="1:21">
      <c r="A16" s="30">
        <v>1236962</v>
      </c>
      <c r="B16" s="32">
        <v>200</v>
      </c>
      <c r="C16" s="32">
        <v>0</v>
      </c>
      <c r="D16" s="32">
        <v>300</v>
      </c>
      <c r="E16" s="32">
        <v>0</v>
      </c>
      <c r="F16" s="32">
        <v>0</v>
      </c>
      <c r="G16" s="32">
        <v>0</v>
      </c>
      <c r="H16" s="32">
        <v>0</v>
      </c>
      <c r="I16" s="32">
        <v>300</v>
      </c>
      <c r="J16" s="32">
        <v>0</v>
      </c>
      <c r="K16" s="32">
        <v>0</v>
      </c>
      <c r="L16" s="32">
        <v>200</v>
      </c>
      <c r="M16" s="32">
        <v>0</v>
      </c>
      <c r="N16" s="32">
        <v>0</v>
      </c>
      <c r="O16" s="32">
        <v>0</v>
      </c>
      <c r="P16" s="32">
        <v>0</v>
      </c>
      <c r="Q16" s="32">
        <v>300</v>
      </c>
      <c r="R16" s="32">
        <v>200</v>
      </c>
      <c r="S16" s="32">
        <v>320</v>
      </c>
      <c r="T16" s="32">
        <v>0</v>
      </c>
      <c r="U16" s="32">
        <v>0</v>
      </c>
    </row>
    <row r="17" spans="1:21">
      <c r="A17" s="30">
        <v>1233761</v>
      </c>
      <c r="B17" s="32">
        <v>0</v>
      </c>
      <c r="C17" s="32">
        <v>0</v>
      </c>
      <c r="D17" s="32">
        <v>0</v>
      </c>
      <c r="E17" s="32">
        <v>200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150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</row>
    <row r="18" spans="1:21">
      <c r="A18" s="30">
        <v>1236930</v>
      </c>
      <c r="B18" s="32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174</v>
      </c>
      <c r="I18" s="32">
        <v>358</v>
      </c>
      <c r="J18" s="32">
        <v>204</v>
      </c>
      <c r="K18" s="32">
        <v>358</v>
      </c>
      <c r="L18" s="32">
        <v>358</v>
      </c>
      <c r="M18" s="32">
        <v>0</v>
      </c>
      <c r="N18" s="32">
        <v>0</v>
      </c>
      <c r="O18" s="32">
        <v>50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</row>
    <row r="19" spans="1:21">
      <c r="A19" s="30">
        <v>1239651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384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217</v>
      </c>
      <c r="T19" s="32">
        <v>0</v>
      </c>
      <c r="U19" s="32">
        <v>0</v>
      </c>
    </row>
    <row r="20" spans="1:21">
      <c r="A20" s="30">
        <v>1240180</v>
      </c>
      <c r="B20" s="32">
        <v>972</v>
      </c>
      <c r="C20" s="32">
        <v>208</v>
      </c>
      <c r="D20" s="32">
        <v>430</v>
      </c>
      <c r="E20" s="32">
        <v>430</v>
      </c>
      <c r="F20" s="32">
        <v>0</v>
      </c>
      <c r="G20" s="32">
        <v>0</v>
      </c>
      <c r="H20" s="32">
        <v>200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</row>
    <row r="21" spans="1:21">
      <c r="A21" s="30">
        <v>1240184</v>
      </c>
      <c r="B21" s="32">
        <v>972</v>
      </c>
      <c r="C21" s="32">
        <v>208</v>
      </c>
      <c r="D21" s="32">
        <v>230</v>
      </c>
      <c r="E21" s="32">
        <v>430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</row>
    <row r="22" spans="1:21">
      <c r="A22" s="111">
        <v>1239988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50</v>
      </c>
      <c r="R22" s="32">
        <v>50</v>
      </c>
      <c r="S22" s="32">
        <v>0</v>
      </c>
      <c r="T22" s="32">
        <v>0</v>
      </c>
      <c r="U22" s="32">
        <v>0</v>
      </c>
    </row>
    <row r="23" spans="1:21">
      <c r="A23" s="30">
        <v>1240308</v>
      </c>
      <c r="B23" s="32">
        <v>300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300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</row>
    <row r="24" spans="1:21">
      <c r="A24" s="30">
        <v>1242242</v>
      </c>
      <c r="B24" s="32">
        <v>0</v>
      </c>
      <c r="C24" s="32">
        <v>72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</row>
    <row r="30" spans="1:21">
      <c r="A30" s="5" t="s">
        <v>0</v>
      </c>
      <c r="B30" s="9" t="s">
        <v>1283</v>
      </c>
      <c r="C30" s="9" t="s">
        <v>1284</v>
      </c>
      <c r="D30" s="9" t="s">
        <v>1285</v>
      </c>
      <c r="E30" s="9" t="s">
        <v>1286</v>
      </c>
      <c r="F30" s="9" t="s">
        <v>1287</v>
      </c>
      <c r="G30" s="9" t="s">
        <v>1288</v>
      </c>
      <c r="H30" s="9" t="s">
        <v>1290</v>
      </c>
      <c r="I30" s="9" t="s">
        <v>1291</v>
      </c>
      <c r="J30" s="9" t="s">
        <v>1292</v>
      </c>
      <c r="K30" s="9" t="s">
        <v>1293</v>
      </c>
      <c r="L30" s="9" t="s">
        <v>1294</v>
      </c>
      <c r="M30" s="9" t="s">
        <v>1295</v>
      </c>
      <c r="N30" s="9" t="s">
        <v>1296</v>
      </c>
      <c r="O30" s="9" t="s">
        <v>1298</v>
      </c>
      <c r="P30" s="9" t="s">
        <v>1299</v>
      </c>
      <c r="Q30" s="9" t="s">
        <v>1300</v>
      </c>
      <c r="R30" s="9" t="s">
        <v>1301</v>
      </c>
      <c r="S30" s="9" t="s">
        <v>1302</v>
      </c>
      <c r="T30" s="9" t="s">
        <v>1303</v>
      </c>
      <c r="U30" s="9" t="s">
        <v>1304</v>
      </c>
    </row>
    <row r="31" spans="1:21">
      <c r="A31" s="5">
        <v>1237608</v>
      </c>
      <c r="B31" s="9">
        <v>50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</row>
    <row r="32" spans="1:21">
      <c r="A32" s="5">
        <v>1233165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88</v>
      </c>
      <c r="Q32" s="9">
        <v>162</v>
      </c>
      <c r="R32" s="9">
        <v>0</v>
      </c>
      <c r="S32" s="9">
        <v>0</v>
      </c>
      <c r="T32" s="9">
        <v>0</v>
      </c>
      <c r="U32" s="9">
        <v>0</v>
      </c>
    </row>
    <row r="33" spans="1:21">
      <c r="A33" s="5">
        <v>1236110</v>
      </c>
      <c r="B33" s="9">
        <v>115</v>
      </c>
      <c r="C33" s="9">
        <v>35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</row>
    <row r="34" spans="1:21">
      <c r="A34" s="5">
        <v>1236387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117</v>
      </c>
      <c r="J34" s="9">
        <v>293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110</v>
      </c>
      <c r="R34" s="9">
        <v>377</v>
      </c>
      <c r="S34" s="9">
        <v>377</v>
      </c>
      <c r="T34" s="9">
        <v>0</v>
      </c>
      <c r="U34" s="9">
        <v>0</v>
      </c>
    </row>
    <row r="35" spans="1:21">
      <c r="A35" s="5">
        <v>1232775</v>
      </c>
      <c r="B35" s="9">
        <v>239</v>
      </c>
      <c r="C35" s="9">
        <v>242</v>
      </c>
      <c r="D35" s="9">
        <v>245</v>
      </c>
      <c r="E35" s="9">
        <v>242</v>
      </c>
      <c r="F35" s="9">
        <v>0</v>
      </c>
      <c r="G35" s="9">
        <v>0</v>
      </c>
      <c r="H35" s="9">
        <v>245</v>
      </c>
      <c r="I35" s="9">
        <v>242</v>
      </c>
      <c r="J35" s="9">
        <v>242</v>
      </c>
      <c r="K35" s="9">
        <v>242</v>
      </c>
      <c r="L35" s="9">
        <v>200</v>
      </c>
      <c r="M35" s="9">
        <v>0</v>
      </c>
      <c r="N35" s="9">
        <v>0</v>
      </c>
      <c r="O35" s="9">
        <v>487</v>
      </c>
      <c r="P35" s="9">
        <v>300</v>
      </c>
      <c r="Q35" s="9">
        <v>71</v>
      </c>
      <c r="R35" s="9">
        <v>245</v>
      </c>
      <c r="S35" s="9">
        <v>245</v>
      </c>
      <c r="T35" s="9">
        <v>0</v>
      </c>
      <c r="U35" s="9">
        <v>0</v>
      </c>
    </row>
    <row r="36" spans="1:21">
      <c r="A36" s="5">
        <v>1238605</v>
      </c>
      <c r="B36" s="9">
        <v>191</v>
      </c>
      <c r="C36" s="9">
        <v>191</v>
      </c>
      <c r="D36" s="9">
        <v>193</v>
      </c>
      <c r="E36" s="9">
        <v>191</v>
      </c>
      <c r="F36" s="9">
        <v>0</v>
      </c>
      <c r="G36" s="9">
        <v>0</v>
      </c>
      <c r="H36" s="9">
        <v>191</v>
      </c>
      <c r="I36" s="9">
        <v>109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5">
        <v>1230685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58</v>
      </c>
      <c r="K37" s="9">
        <v>330</v>
      </c>
      <c r="L37" s="9">
        <v>12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42" spans="1:21">
      <c r="A42" s="5" t="s">
        <v>0</v>
      </c>
      <c r="B42" s="9" t="s">
        <v>1283</v>
      </c>
      <c r="C42" s="9" t="s">
        <v>1284</v>
      </c>
      <c r="D42" s="9" t="s">
        <v>1285</v>
      </c>
      <c r="E42" s="9" t="s">
        <v>1286</v>
      </c>
      <c r="F42" s="9" t="s">
        <v>1287</v>
      </c>
      <c r="G42" s="9" t="s">
        <v>1288</v>
      </c>
      <c r="H42" s="9" t="s">
        <v>1290</v>
      </c>
      <c r="I42" s="9" t="s">
        <v>1291</v>
      </c>
      <c r="J42" s="9" t="s">
        <v>1292</v>
      </c>
      <c r="K42" s="9" t="s">
        <v>1293</v>
      </c>
      <c r="L42" s="9" t="s">
        <v>1294</v>
      </c>
      <c r="M42" s="9" t="s">
        <v>1295</v>
      </c>
      <c r="N42" s="9" t="s">
        <v>1296</v>
      </c>
      <c r="O42" s="9" t="s">
        <v>1298</v>
      </c>
      <c r="P42" s="9" t="s">
        <v>1299</v>
      </c>
      <c r="Q42" s="9" t="s">
        <v>1300</v>
      </c>
      <c r="R42" s="9" t="s">
        <v>1301</v>
      </c>
      <c r="S42" s="9" t="s">
        <v>1302</v>
      </c>
      <c r="T42" s="9" t="s">
        <v>1303</v>
      </c>
      <c r="U42" s="9" t="s">
        <v>1304</v>
      </c>
    </row>
    <row r="43" spans="1:21">
      <c r="A43" s="5">
        <v>1234614</v>
      </c>
      <c r="B43" s="9">
        <v>0</v>
      </c>
      <c r="C43" s="9">
        <v>39</v>
      </c>
      <c r="D43" s="9">
        <v>285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500</v>
      </c>
      <c r="L43" s="9">
        <v>348</v>
      </c>
      <c r="M43" s="9">
        <v>0</v>
      </c>
      <c r="N43" s="9">
        <v>0</v>
      </c>
      <c r="O43" s="9">
        <v>300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5">
        <v>1221967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430</v>
      </c>
      <c r="L44" s="9">
        <v>271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5">
        <v>1227306</v>
      </c>
      <c r="B45" s="9">
        <v>319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360</v>
      </c>
      <c r="L45" s="9">
        <v>440</v>
      </c>
      <c r="M45" s="9">
        <v>0</v>
      </c>
      <c r="N45" s="9">
        <v>0</v>
      </c>
      <c r="O45" s="9">
        <v>0</v>
      </c>
      <c r="P45" s="9">
        <v>0</v>
      </c>
      <c r="Q45" s="9">
        <v>150</v>
      </c>
      <c r="R45" s="9">
        <v>500</v>
      </c>
      <c r="S45" s="9">
        <v>50</v>
      </c>
      <c r="T45" s="9">
        <v>0</v>
      </c>
      <c r="U45" s="9">
        <v>0</v>
      </c>
    </row>
    <row r="46" spans="1:21">
      <c r="A46" s="5">
        <v>1227359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360</v>
      </c>
      <c r="Q46" s="9">
        <v>100</v>
      </c>
      <c r="R46" s="9">
        <v>0</v>
      </c>
      <c r="S46" s="9">
        <v>0</v>
      </c>
      <c r="T46" s="9">
        <v>0</v>
      </c>
      <c r="U46" s="9">
        <v>0</v>
      </c>
    </row>
    <row r="47" spans="1:21">
      <c r="A47" s="5">
        <v>1225464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295</v>
      </c>
      <c r="I47" s="9">
        <v>465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5">
        <v>1231797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168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>
      <c r="A49" s="5">
        <v>1229776</v>
      </c>
      <c r="B49" s="9">
        <v>81</v>
      </c>
      <c r="C49" s="9">
        <v>9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>
      <c r="A50" s="5">
        <v>1231090</v>
      </c>
      <c r="B50" s="9">
        <v>81</v>
      </c>
      <c r="C50" s="9">
        <v>9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190</v>
      </c>
      <c r="Q50" s="9">
        <v>400</v>
      </c>
      <c r="R50" s="9">
        <v>511</v>
      </c>
      <c r="S50" s="9">
        <v>865</v>
      </c>
      <c r="T50" s="9">
        <v>0</v>
      </c>
      <c r="U50" s="9">
        <v>0</v>
      </c>
    </row>
    <row r="51" spans="1:21">
      <c r="A51" s="5">
        <v>1232066</v>
      </c>
      <c r="B51" s="9">
        <v>0</v>
      </c>
      <c r="C51" s="9">
        <v>0</v>
      </c>
      <c r="D51" s="9">
        <v>0</v>
      </c>
      <c r="E51" s="9">
        <v>257</v>
      </c>
      <c r="F51" s="9">
        <v>0</v>
      </c>
      <c r="G51" s="9">
        <v>0</v>
      </c>
      <c r="H51" s="9">
        <v>499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5">
        <v>1231860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30</v>
      </c>
      <c r="M52" s="9">
        <v>0</v>
      </c>
      <c r="N52" s="9">
        <v>0</v>
      </c>
      <c r="O52" s="9">
        <v>70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5">
        <v>1232693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1200</v>
      </c>
      <c r="M53" s="9">
        <v>0</v>
      </c>
      <c r="N53" s="9">
        <v>0</v>
      </c>
      <c r="O53" s="9">
        <v>1089</v>
      </c>
      <c r="P53" s="9">
        <v>1827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>
      <c r="A54" s="58">
        <v>1233025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1200</v>
      </c>
      <c r="M54" s="9">
        <v>0</v>
      </c>
      <c r="N54" s="9">
        <v>0</v>
      </c>
      <c r="O54" s="9">
        <v>1089</v>
      </c>
      <c r="P54" s="9">
        <v>1827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5">
        <v>1232528</v>
      </c>
      <c r="B55" s="9">
        <v>2250</v>
      </c>
      <c r="C55" s="9">
        <v>1586</v>
      </c>
      <c r="D55" s="9">
        <v>568</v>
      </c>
      <c r="E55" s="9">
        <v>570</v>
      </c>
      <c r="F55" s="9">
        <v>0</v>
      </c>
      <c r="G55" s="9">
        <v>0</v>
      </c>
      <c r="H55" s="9">
        <v>265</v>
      </c>
      <c r="I55" s="9">
        <v>673</v>
      </c>
      <c r="J55" s="9">
        <v>539</v>
      </c>
      <c r="K55" s="9">
        <v>793</v>
      </c>
      <c r="L55" s="9">
        <v>1336</v>
      </c>
      <c r="M55" s="9">
        <v>0</v>
      </c>
      <c r="N55" s="9">
        <v>0</v>
      </c>
      <c r="O55" s="9">
        <v>1306</v>
      </c>
      <c r="P55" s="9">
        <v>1176</v>
      </c>
      <c r="Q55" s="9">
        <v>450</v>
      </c>
      <c r="R55" s="9">
        <v>268</v>
      </c>
      <c r="S55" s="9">
        <v>0</v>
      </c>
      <c r="T55" s="9">
        <v>0</v>
      </c>
      <c r="U55" s="9">
        <v>0</v>
      </c>
    </row>
    <row r="56" spans="1:21">
      <c r="A56" s="5">
        <v>1232846</v>
      </c>
      <c r="B56" s="9">
        <v>0</v>
      </c>
      <c r="C56" s="9">
        <v>0</v>
      </c>
      <c r="D56" s="9">
        <v>377</v>
      </c>
      <c r="E56" s="9">
        <v>454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48</v>
      </c>
      <c r="T56" s="9">
        <v>0</v>
      </c>
      <c r="U56" s="9">
        <v>0</v>
      </c>
    </row>
    <row r="57" spans="1:21">
      <c r="A57" s="5">
        <v>1229050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140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5">
        <v>1220847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372</v>
      </c>
      <c r="P58" s="9">
        <v>542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>
      <c r="A59" s="5">
        <v>1234222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60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>
      <c r="A60" s="5">
        <v>1234217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270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>
      <c r="A61" s="5">
        <v>1234111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270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5">
        <v>1234110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270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5">
        <v>1235097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151</v>
      </c>
      <c r="J63" s="9">
        <v>269</v>
      </c>
      <c r="K63" s="9">
        <v>80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5">
        <v>1235958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2</v>
      </c>
      <c r="R64" s="9">
        <v>0</v>
      </c>
      <c r="S64" s="9">
        <v>0</v>
      </c>
      <c r="T64" s="9">
        <v>0</v>
      </c>
      <c r="U64" s="9">
        <v>0</v>
      </c>
    </row>
    <row r="65" spans="1:21">
      <c r="A65" s="5">
        <v>1235845</v>
      </c>
      <c r="B65" s="9">
        <v>0</v>
      </c>
      <c r="C65" s="9">
        <v>0</v>
      </c>
      <c r="D65" s="9">
        <v>0</v>
      </c>
      <c r="E65" s="9">
        <v>330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>
      <c r="A66" s="5">
        <v>1236600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91</v>
      </c>
      <c r="I66" s="9">
        <v>533</v>
      </c>
      <c r="J66" s="9">
        <v>420</v>
      </c>
      <c r="K66" s="9">
        <v>83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</row>
    <row r="67" spans="1:21">
      <c r="A67" s="58">
        <v>1236619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162</v>
      </c>
      <c r="R67" s="9">
        <v>0</v>
      </c>
      <c r="S67" s="9">
        <v>0</v>
      </c>
      <c r="T67" s="9">
        <v>0</v>
      </c>
      <c r="U67" s="9">
        <v>0</v>
      </c>
    </row>
    <row r="68" spans="1:21">
      <c r="A68" s="5">
        <v>1236930</v>
      </c>
      <c r="B68" s="9">
        <v>502</v>
      </c>
      <c r="C68" s="9">
        <v>539</v>
      </c>
      <c r="D68" s="9">
        <v>457</v>
      </c>
      <c r="E68" s="9">
        <v>314</v>
      </c>
      <c r="F68" s="9">
        <v>0</v>
      </c>
      <c r="G68" s="9">
        <v>0</v>
      </c>
      <c r="H68" s="9">
        <v>317</v>
      </c>
      <c r="I68" s="9">
        <v>456</v>
      </c>
      <c r="J68" s="9">
        <v>331</v>
      </c>
      <c r="K68" s="9">
        <v>420</v>
      </c>
      <c r="L68" s="9">
        <v>432</v>
      </c>
      <c r="M68" s="9">
        <v>0</v>
      </c>
      <c r="N68" s="9">
        <v>0</v>
      </c>
      <c r="O68" s="9">
        <v>104</v>
      </c>
      <c r="P68" s="9">
        <v>300</v>
      </c>
      <c r="Q68" s="9">
        <v>0</v>
      </c>
      <c r="R68" s="9">
        <v>300</v>
      </c>
      <c r="S68" s="9">
        <v>720</v>
      </c>
      <c r="T68" s="9">
        <v>0</v>
      </c>
      <c r="U68" s="9">
        <v>0</v>
      </c>
    </row>
    <row r="69" spans="1:21">
      <c r="A69" s="5">
        <v>1232982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80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5">
        <v>1237457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36</v>
      </c>
      <c r="S70" s="9">
        <v>0</v>
      </c>
      <c r="T70" s="9">
        <v>0</v>
      </c>
      <c r="U70" s="9">
        <v>0</v>
      </c>
    </row>
    <row r="71" spans="1:21">
      <c r="A71" s="58">
        <v>1237386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280</v>
      </c>
      <c r="P71" s="9">
        <v>80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</row>
    <row r="72" spans="1:21">
      <c r="A72" s="5">
        <v>1238480</v>
      </c>
      <c r="B72" s="9">
        <v>0</v>
      </c>
      <c r="C72" s="9">
        <v>305</v>
      </c>
      <c r="D72" s="9">
        <v>1171</v>
      </c>
      <c r="E72" s="9">
        <v>1225</v>
      </c>
      <c r="F72" s="9">
        <v>0</v>
      </c>
      <c r="G72" s="9">
        <v>0</v>
      </c>
      <c r="H72" s="9">
        <v>1467</v>
      </c>
      <c r="I72" s="9">
        <v>1010</v>
      </c>
      <c r="J72" s="9">
        <v>578</v>
      </c>
      <c r="K72" s="9">
        <v>429</v>
      </c>
      <c r="L72" s="9">
        <v>339</v>
      </c>
      <c r="M72" s="9">
        <v>0</v>
      </c>
      <c r="N72" s="9">
        <v>0</v>
      </c>
      <c r="O72" s="9">
        <v>589</v>
      </c>
      <c r="P72" s="9">
        <v>774</v>
      </c>
      <c r="Q72" s="9">
        <v>647</v>
      </c>
      <c r="R72" s="9">
        <v>1075</v>
      </c>
      <c r="S72" s="9">
        <v>1049</v>
      </c>
      <c r="T72" s="9">
        <v>0</v>
      </c>
      <c r="U72" s="9">
        <v>0</v>
      </c>
    </row>
    <row r="73" spans="1:21">
      <c r="A73" s="5">
        <v>1238453</v>
      </c>
      <c r="B73" s="9">
        <v>0</v>
      </c>
      <c r="C73" s="9">
        <v>0</v>
      </c>
      <c r="D73" s="9">
        <v>0</v>
      </c>
      <c r="E73" s="9">
        <v>37</v>
      </c>
      <c r="F73" s="9">
        <v>0</v>
      </c>
      <c r="G73" s="9">
        <v>0</v>
      </c>
      <c r="H73" s="9">
        <v>275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</row>
    <row r="74" spans="1:21">
      <c r="A74" s="5">
        <v>1232775</v>
      </c>
      <c r="B74" s="9">
        <v>392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60</v>
      </c>
      <c r="L74" s="9">
        <v>216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142</v>
      </c>
      <c r="S74" s="9">
        <v>0</v>
      </c>
      <c r="T74" s="9">
        <v>0</v>
      </c>
      <c r="U74" s="9">
        <v>0</v>
      </c>
    </row>
    <row r="75" spans="1:21">
      <c r="A75" s="5">
        <v>1240180</v>
      </c>
      <c r="B75" s="9">
        <v>0</v>
      </c>
      <c r="C75" s="9">
        <v>0</v>
      </c>
      <c r="D75" s="9">
        <v>191</v>
      </c>
      <c r="E75" s="9">
        <v>279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290</v>
      </c>
      <c r="P75" s="9">
        <v>90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</row>
    <row r="76" spans="1:21">
      <c r="A76" s="5">
        <v>1240184</v>
      </c>
      <c r="B76" s="9">
        <v>0</v>
      </c>
      <c r="C76" s="9">
        <v>0</v>
      </c>
      <c r="D76" s="9">
        <v>191</v>
      </c>
      <c r="E76" s="9">
        <v>279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290</v>
      </c>
      <c r="P76" s="9">
        <v>90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</row>
    <row r="77" spans="1:21">
      <c r="A77" s="5">
        <v>1237468</v>
      </c>
      <c r="B77" s="9">
        <v>320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184</v>
      </c>
      <c r="M77" s="9">
        <v>0</v>
      </c>
      <c r="N77" s="9">
        <v>0</v>
      </c>
      <c r="O77" s="9">
        <v>140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</row>
    <row r="78" spans="1:21">
      <c r="A78" s="58">
        <v>1241343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36</v>
      </c>
      <c r="R78" s="9">
        <v>0</v>
      </c>
      <c r="S78" s="9">
        <v>0</v>
      </c>
      <c r="T78" s="9">
        <v>0</v>
      </c>
      <c r="U78" s="9">
        <v>0</v>
      </c>
    </row>
    <row r="79" spans="1:21">
      <c r="A79" s="5">
        <v>1241347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36</v>
      </c>
      <c r="R79" s="9">
        <v>0</v>
      </c>
      <c r="S79" s="9">
        <v>0</v>
      </c>
      <c r="T79" s="9">
        <v>0</v>
      </c>
      <c r="U79" s="9">
        <v>0</v>
      </c>
    </row>
    <row r="80" spans="1:21">
      <c r="A80" s="5">
        <v>1241480</v>
      </c>
      <c r="B80" s="9">
        <v>0</v>
      </c>
      <c r="C80" s="9">
        <v>26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</row>
    <row r="81" spans="1:21">
      <c r="A81" s="5">
        <v>1241387</v>
      </c>
      <c r="B81" s="9">
        <v>107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</row>
    <row r="82" spans="1:21">
      <c r="A82" s="5">
        <v>1216452</v>
      </c>
      <c r="B82" s="9">
        <v>0</v>
      </c>
      <c r="C82" s="9">
        <v>0</v>
      </c>
      <c r="D82" s="9">
        <v>0</v>
      </c>
      <c r="E82" s="9">
        <v>362</v>
      </c>
      <c r="F82" s="9">
        <v>0</v>
      </c>
      <c r="G82" s="9">
        <v>0</v>
      </c>
      <c r="H82" s="9">
        <v>662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414</v>
      </c>
      <c r="T82" s="9">
        <v>0</v>
      </c>
      <c r="U82" s="9">
        <v>0</v>
      </c>
    </row>
    <row r="83" spans="1:21">
      <c r="A83" s="5">
        <v>1232894</v>
      </c>
      <c r="B83" s="9">
        <v>0</v>
      </c>
      <c r="C83" s="9">
        <v>0</v>
      </c>
      <c r="D83" s="9">
        <v>377</v>
      </c>
      <c r="E83" s="9">
        <v>454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48</v>
      </c>
      <c r="T83" s="9">
        <v>0</v>
      </c>
      <c r="U83" s="9">
        <v>0</v>
      </c>
    </row>
    <row r="84" spans="1:21">
      <c r="A84" s="5">
        <v>1233387</v>
      </c>
      <c r="B84" s="9">
        <v>0</v>
      </c>
      <c r="C84" s="9">
        <v>0</v>
      </c>
      <c r="D84" s="9">
        <v>255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</row>
    <row r="85" spans="1:21">
      <c r="A85" s="5">
        <v>1233385</v>
      </c>
      <c r="B85" s="9">
        <v>0</v>
      </c>
      <c r="C85" s="9">
        <v>0</v>
      </c>
      <c r="D85" s="9">
        <v>122</v>
      </c>
      <c r="E85" s="9">
        <v>454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48</v>
      </c>
      <c r="T85" s="9">
        <v>0</v>
      </c>
      <c r="U85" s="9">
        <v>0</v>
      </c>
    </row>
    <row r="86" spans="1:21">
      <c r="A86" s="58">
        <v>1233580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200</v>
      </c>
      <c r="R86" s="9">
        <v>0</v>
      </c>
      <c r="S86" s="9">
        <v>0</v>
      </c>
      <c r="T86" s="9">
        <v>0</v>
      </c>
      <c r="U86" s="9">
        <v>0</v>
      </c>
    </row>
  </sheetData>
  <phoneticPr fontId="11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9D95-66A4-4A10-8E35-7ECC40A2AC0A}">
  <sheetPr>
    <tabColor rgb="FFFFFF00"/>
  </sheetPr>
  <dimension ref="A1:W96"/>
  <sheetViews>
    <sheetView zoomScale="130" zoomScaleNormal="130" workbookViewId="0">
      <selection activeCell="G26" sqref="G26"/>
    </sheetView>
  </sheetViews>
  <sheetFormatPr defaultColWidth="9.33203125" defaultRowHeight="12"/>
  <cols>
    <col min="1" max="1" width="9.5" style="5" bestFit="1" customWidth="1"/>
    <col min="2" max="2" width="10.1640625" style="19" bestFit="1" customWidth="1"/>
    <col min="3" max="3" width="10" style="9" bestFit="1" customWidth="1"/>
    <col min="4" max="11" width="9.5" style="9" customWidth="1"/>
    <col min="12" max="12" width="9.5" style="9" bestFit="1" customWidth="1"/>
    <col min="13" max="13" width="9.33203125" style="9"/>
    <col min="14" max="14" width="11.33203125" style="9" bestFit="1" customWidth="1"/>
    <col min="15" max="23" width="9.33203125" style="9"/>
    <col min="24" max="16384" width="9.33203125" style="5"/>
  </cols>
  <sheetData>
    <row r="1" spans="1:23" s="80" customFormat="1">
      <c r="A1" s="81"/>
      <c r="B1" s="81" t="s">
        <v>730</v>
      </c>
      <c r="C1" s="9">
        <f>+C2-C3</f>
        <v>-70396</v>
      </c>
      <c r="D1" s="9">
        <f t="shared" ref="D1:L1" si="0">+D2-D3</f>
        <v>-59991</v>
      </c>
      <c r="E1" s="9">
        <f t="shared" si="0"/>
        <v>-42679</v>
      </c>
      <c r="F1" s="9">
        <f t="shared" si="0"/>
        <v>-27303</v>
      </c>
      <c r="G1" s="9">
        <f t="shared" si="0"/>
        <v>-19046</v>
      </c>
      <c r="H1" s="9">
        <f t="shared" si="0"/>
        <v>-2782</v>
      </c>
      <c r="I1" s="9">
        <f t="shared" si="0"/>
        <v>-58874</v>
      </c>
      <c r="J1" s="9">
        <f t="shared" si="0"/>
        <v>-48957</v>
      </c>
      <c r="K1" s="9">
        <f t="shared" si="0"/>
        <v>-31313</v>
      </c>
      <c r="L1" s="9">
        <f t="shared" si="0"/>
        <v>-35990</v>
      </c>
      <c r="M1" s="193"/>
      <c r="N1" s="194"/>
      <c r="O1" s="194"/>
      <c r="P1" s="194"/>
      <c r="Q1" s="194"/>
      <c r="R1" s="194"/>
      <c r="S1" s="9"/>
      <c r="T1" s="9"/>
      <c r="U1" s="9"/>
      <c r="V1" s="9"/>
      <c r="W1" s="9"/>
    </row>
    <row r="2" spans="1:23" s="80" customFormat="1">
      <c r="A2" s="81"/>
      <c r="B2" s="81" t="s">
        <v>729</v>
      </c>
      <c r="C2" s="9"/>
      <c r="D2" s="9"/>
      <c r="E2" s="9"/>
      <c r="F2" s="9"/>
      <c r="G2" s="9"/>
      <c r="H2" s="9"/>
      <c r="I2" s="9"/>
      <c r="J2" s="9"/>
      <c r="K2" s="9"/>
      <c r="L2" s="9"/>
      <c r="M2" s="193">
        <v>0</v>
      </c>
      <c r="N2" s="194"/>
      <c r="O2" s="194"/>
      <c r="P2" s="194"/>
      <c r="Q2" s="194"/>
      <c r="R2" s="194"/>
      <c r="S2" s="9"/>
      <c r="T2" s="9"/>
      <c r="U2" s="9"/>
      <c r="V2" s="9"/>
      <c r="W2" s="9"/>
    </row>
    <row r="3" spans="1:23" s="196" customFormat="1">
      <c r="A3" s="195"/>
      <c r="B3" s="195" t="s">
        <v>30</v>
      </c>
      <c r="C3" s="63">
        <f>+C4+C5</f>
        <v>70396</v>
      </c>
      <c r="D3" s="63">
        <f t="shared" ref="D3:L3" si="1">+D4+D5</f>
        <v>59991</v>
      </c>
      <c r="E3" s="63">
        <f t="shared" si="1"/>
        <v>42679</v>
      </c>
      <c r="F3" s="63">
        <f t="shared" si="1"/>
        <v>27303</v>
      </c>
      <c r="G3" s="63">
        <f t="shared" si="1"/>
        <v>19046</v>
      </c>
      <c r="H3" s="63">
        <f t="shared" si="1"/>
        <v>2782</v>
      </c>
      <c r="I3" s="63">
        <f t="shared" si="1"/>
        <v>58874</v>
      </c>
      <c r="J3" s="63">
        <f t="shared" si="1"/>
        <v>48957</v>
      </c>
      <c r="K3" s="63">
        <f t="shared" si="1"/>
        <v>31313</v>
      </c>
      <c r="L3" s="63">
        <f t="shared" si="1"/>
        <v>35990</v>
      </c>
      <c r="M3" s="197"/>
      <c r="N3" s="9">
        <f>SUM(C3:L3)</f>
        <v>397331</v>
      </c>
      <c r="O3" s="198"/>
      <c r="P3" s="198"/>
      <c r="Q3" s="198"/>
      <c r="R3" s="198"/>
      <c r="S3" s="10"/>
      <c r="T3" s="10"/>
      <c r="U3" s="10"/>
      <c r="V3" s="10"/>
      <c r="W3" s="10"/>
    </row>
    <row r="4" spans="1:23" s="80" customFormat="1">
      <c r="A4" s="81"/>
      <c r="B4" s="81" t="s">
        <v>31</v>
      </c>
      <c r="C4" s="9">
        <f>SUM(C9:C36)</f>
        <v>39557</v>
      </c>
      <c r="D4" s="9">
        <f t="shared" ref="D4:L4" si="2">SUM(D9:D36)</f>
        <v>29899</v>
      </c>
      <c r="E4" s="9">
        <f t="shared" si="2"/>
        <v>22478</v>
      </c>
      <c r="F4" s="9">
        <f t="shared" si="2"/>
        <v>15640</v>
      </c>
      <c r="G4" s="9">
        <f t="shared" si="2"/>
        <v>11578</v>
      </c>
      <c r="H4" s="9">
        <f t="shared" si="2"/>
        <v>52</v>
      </c>
      <c r="I4" s="9">
        <f t="shared" si="2"/>
        <v>34069</v>
      </c>
      <c r="J4" s="9">
        <f t="shared" si="2"/>
        <v>29940</v>
      </c>
      <c r="K4" s="9">
        <f t="shared" si="2"/>
        <v>19822</v>
      </c>
      <c r="L4" s="9">
        <f t="shared" si="2"/>
        <v>21400</v>
      </c>
      <c r="M4" s="193"/>
      <c r="N4" s="194"/>
      <c r="O4" s="194"/>
      <c r="P4" s="194"/>
      <c r="Q4" s="194"/>
      <c r="R4" s="194"/>
      <c r="S4" s="9"/>
      <c r="T4" s="9"/>
      <c r="U4" s="9"/>
      <c r="V4" s="9"/>
      <c r="W4" s="9"/>
    </row>
    <row r="5" spans="1:23" s="80" customFormat="1">
      <c r="A5" s="81"/>
      <c r="B5" s="81" t="s">
        <v>27</v>
      </c>
      <c r="C5" s="9">
        <f>SUM(C43:C95)</f>
        <v>30839</v>
      </c>
      <c r="D5" s="9">
        <f t="shared" ref="D5:L5" si="3">SUM(D43:D95)</f>
        <v>30092</v>
      </c>
      <c r="E5" s="9">
        <f t="shared" si="3"/>
        <v>20201</v>
      </c>
      <c r="F5" s="9">
        <f t="shared" si="3"/>
        <v>11663</v>
      </c>
      <c r="G5" s="9">
        <f t="shared" si="3"/>
        <v>7468</v>
      </c>
      <c r="H5" s="9">
        <f t="shared" si="3"/>
        <v>2730</v>
      </c>
      <c r="I5" s="9">
        <f t="shared" si="3"/>
        <v>24805</v>
      </c>
      <c r="J5" s="9">
        <f t="shared" si="3"/>
        <v>19017</v>
      </c>
      <c r="K5" s="9">
        <f t="shared" si="3"/>
        <v>11491</v>
      </c>
      <c r="L5" s="9">
        <f t="shared" si="3"/>
        <v>14590</v>
      </c>
      <c r="M5" s="193"/>
      <c r="N5" s="194"/>
      <c r="O5" s="194"/>
      <c r="P5" s="194"/>
      <c r="Q5" s="194"/>
      <c r="R5" s="194"/>
      <c r="S5" s="9"/>
      <c r="T5" s="9"/>
      <c r="U5" s="9"/>
      <c r="V5" s="9"/>
      <c r="W5" s="9"/>
    </row>
    <row r="6" spans="1:23">
      <c r="B6" s="5"/>
      <c r="M6" s="5"/>
    </row>
    <row r="7" spans="1:23" s="22" customFormat="1">
      <c r="B7" s="284" t="s">
        <v>0</v>
      </c>
      <c r="C7" s="285" t="s">
        <v>1212</v>
      </c>
      <c r="D7" s="285" t="s">
        <v>1239</v>
      </c>
      <c r="E7" s="285" t="s">
        <v>1255</v>
      </c>
      <c r="F7" s="285" t="s">
        <v>12</v>
      </c>
      <c r="G7" s="285" t="s">
        <v>13</v>
      </c>
      <c r="H7" s="285" t="s">
        <v>14</v>
      </c>
      <c r="I7" s="285" t="s">
        <v>15</v>
      </c>
      <c r="J7" s="285" t="s">
        <v>16</v>
      </c>
      <c r="K7" s="285" t="s">
        <v>17</v>
      </c>
      <c r="L7" s="285" t="s">
        <v>18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s="22" customFormat="1" ht="14.25">
      <c r="B8" s="284"/>
      <c r="C8" s="285" t="s">
        <v>1213</v>
      </c>
      <c r="D8" s="285" t="s">
        <v>1240</v>
      </c>
      <c r="E8" s="285" t="s">
        <v>1256</v>
      </c>
      <c r="F8" s="285" t="s">
        <v>1257</v>
      </c>
      <c r="G8" s="285" t="s">
        <v>1265</v>
      </c>
      <c r="H8" s="285" t="s">
        <v>1273</v>
      </c>
      <c r="I8" s="285" t="s">
        <v>1281</v>
      </c>
      <c r="J8" s="285" t="s">
        <v>1289</v>
      </c>
      <c r="K8" s="285" t="s">
        <v>1297</v>
      </c>
      <c r="L8" s="285" t="s">
        <v>1305</v>
      </c>
      <c r="M8" s="87"/>
      <c r="N8" s="294" t="s">
        <v>1306</v>
      </c>
      <c r="O8" s="87"/>
      <c r="P8" s="87"/>
      <c r="Q8" s="87"/>
      <c r="R8" s="87"/>
      <c r="S8" s="87"/>
      <c r="T8" s="87"/>
      <c r="U8" s="87"/>
      <c r="V8" s="87"/>
      <c r="W8" s="87"/>
    </row>
    <row r="9" spans="1:23">
      <c r="B9" s="19">
        <v>1221154</v>
      </c>
      <c r="C9" s="9">
        <v>0</v>
      </c>
      <c r="D9" s="9">
        <v>0</v>
      </c>
      <c r="E9" s="9">
        <v>50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N9" s="9">
        <v>50</v>
      </c>
    </row>
    <row r="10" spans="1:23">
      <c r="B10" s="19">
        <v>1226384</v>
      </c>
      <c r="C10" s="9">
        <v>0</v>
      </c>
      <c r="D10" s="9">
        <v>560</v>
      </c>
      <c r="E10" s="9">
        <v>0</v>
      </c>
      <c r="F10" s="9">
        <v>0</v>
      </c>
      <c r="G10" s="9">
        <v>800</v>
      </c>
      <c r="H10" s="9">
        <v>0</v>
      </c>
      <c r="I10" s="9">
        <v>1360</v>
      </c>
      <c r="J10" s="9">
        <v>0</v>
      </c>
      <c r="K10" s="9">
        <v>0</v>
      </c>
      <c r="L10" s="9">
        <v>1360</v>
      </c>
      <c r="N10" s="9">
        <v>4080</v>
      </c>
    </row>
    <row r="11" spans="1:23">
      <c r="B11" s="19">
        <v>1226388</v>
      </c>
      <c r="C11" s="9">
        <v>0</v>
      </c>
      <c r="D11" s="9">
        <v>560</v>
      </c>
      <c r="E11" s="9">
        <v>0</v>
      </c>
      <c r="F11" s="9">
        <v>0</v>
      </c>
      <c r="G11" s="9">
        <v>800</v>
      </c>
      <c r="H11" s="9">
        <v>0</v>
      </c>
      <c r="I11" s="9">
        <v>1360</v>
      </c>
      <c r="J11" s="9">
        <v>0</v>
      </c>
      <c r="K11" s="9">
        <v>0</v>
      </c>
      <c r="L11" s="9">
        <v>1360</v>
      </c>
      <c r="N11" s="9">
        <v>4080</v>
      </c>
    </row>
    <row r="12" spans="1:23">
      <c r="B12" s="19">
        <v>1229673</v>
      </c>
      <c r="C12" s="9">
        <v>500</v>
      </c>
      <c r="D12" s="9">
        <v>500</v>
      </c>
      <c r="E12" s="9">
        <v>500</v>
      </c>
      <c r="F12" s="9">
        <v>500</v>
      </c>
      <c r="G12" s="9">
        <v>0</v>
      </c>
      <c r="H12" s="9">
        <v>0</v>
      </c>
      <c r="I12" s="9">
        <v>800</v>
      </c>
      <c r="J12" s="9">
        <v>800</v>
      </c>
      <c r="K12" s="9">
        <v>800</v>
      </c>
      <c r="L12" s="9">
        <v>500</v>
      </c>
      <c r="N12" s="9">
        <v>4900</v>
      </c>
    </row>
    <row r="13" spans="1:23">
      <c r="B13" s="19">
        <v>1230692</v>
      </c>
      <c r="C13" s="9">
        <v>1300</v>
      </c>
      <c r="D13" s="9">
        <v>500</v>
      </c>
      <c r="E13" s="9">
        <v>500</v>
      </c>
      <c r="F13" s="9">
        <v>600</v>
      </c>
      <c r="G13" s="9">
        <v>500</v>
      </c>
      <c r="H13" s="9">
        <v>0</v>
      </c>
      <c r="I13" s="9">
        <v>900</v>
      </c>
      <c r="J13" s="9">
        <v>900</v>
      </c>
      <c r="K13" s="9">
        <v>900</v>
      </c>
      <c r="L13" s="9">
        <v>1300</v>
      </c>
      <c r="N13" s="9">
        <v>7400</v>
      </c>
    </row>
    <row r="14" spans="1:23">
      <c r="B14" s="19">
        <v>1230696</v>
      </c>
      <c r="C14" s="9">
        <v>292</v>
      </c>
      <c r="D14" s="9">
        <v>200</v>
      </c>
      <c r="E14" s="9">
        <v>0</v>
      </c>
      <c r="F14" s="9">
        <v>0</v>
      </c>
      <c r="G14" s="9">
        <v>0</v>
      </c>
      <c r="H14" s="9">
        <v>0</v>
      </c>
      <c r="I14" s="9">
        <v>200</v>
      </c>
      <c r="J14" s="9">
        <v>200</v>
      </c>
      <c r="K14" s="9">
        <v>0</v>
      </c>
      <c r="L14" s="9">
        <v>200</v>
      </c>
      <c r="N14" s="9">
        <v>1092</v>
      </c>
    </row>
    <row r="15" spans="1:23">
      <c r="B15" s="19">
        <v>1231202</v>
      </c>
      <c r="C15" s="9">
        <v>0</v>
      </c>
      <c r="D15" s="9">
        <v>0</v>
      </c>
      <c r="E15" s="9">
        <v>200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N15" s="9">
        <v>200</v>
      </c>
    </row>
    <row r="16" spans="1:23">
      <c r="B16" s="127">
        <v>1231898</v>
      </c>
      <c r="C16" s="9">
        <v>2236</v>
      </c>
      <c r="D16" s="9">
        <v>1792</v>
      </c>
      <c r="E16" s="9">
        <v>0</v>
      </c>
      <c r="F16" s="9">
        <v>0</v>
      </c>
      <c r="G16" s="9">
        <v>0</v>
      </c>
      <c r="H16" s="9">
        <v>0</v>
      </c>
      <c r="I16" s="9">
        <v>2240</v>
      </c>
      <c r="J16" s="9">
        <v>2240</v>
      </c>
      <c r="K16" s="9">
        <v>896</v>
      </c>
      <c r="L16" s="9">
        <v>124</v>
      </c>
      <c r="N16" s="9">
        <v>9528</v>
      </c>
    </row>
    <row r="17" spans="2:14">
      <c r="B17" s="19">
        <v>1233761</v>
      </c>
      <c r="C17" s="9">
        <v>0</v>
      </c>
      <c r="D17" s="9">
        <v>100</v>
      </c>
      <c r="E17" s="9">
        <v>150</v>
      </c>
      <c r="F17" s="9">
        <v>100</v>
      </c>
      <c r="G17" s="9">
        <v>0</v>
      </c>
      <c r="H17" s="9">
        <v>0</v>
      </c>
      <c r="I17" s="9">
        <v>150</v>
      </c>
      <c r="J17" s="9">
        <v>200</v>
      </c>
      <c r="K17" s="9">
        <v>100</v>
      </c>
      <c r="L17" s="9">
        <v>0</v>
      </c>
      <c r="N17" s="9">
        <v>800</v>
      </c>
    </row>
    <row r="18" spans="2:14">
      <c r="B18" s="19">
        <v>1234905</v>
      </c>
      <c r="C18" s="9">
        <v>0</v>
      </c>
      <c r="D18" s="9">
        <v>1300</v>
      </c>
      <c r="E18" s="9">
        <v>1100</v>
      </c>
      <c r="F18" s="9">
        <v>700</v>
      </c>
      <c r="G18" s="9">
        <v>950</v>
      </c>
      <c r="H18" s="9">
        <v>0</v>
      </c>
      <c r="I18" s="9">
        <v>900</v>
      </c>
      <c r="J18" s="9">
        <v>1350</v>
      </c>
      <c r="K18" s="9">
        <v>750</v>
      </c>
      <c r="L18" s="9">
        <v>500</v>
      </c>
      <c r="N18" s="9">
        <v>7550</v>
      </c>
    </row>
    <row r="19" spans="2:14">
      <c r="B19" s="19">
        <v>1235623</v>
      </c>
      <c r="C19" s="9">
        <v>0</v>
      </c>
      <c r="D19" s="9">
        <v>0</v>
      </c>
      <c r="E19" s="9">
        <v>2288</v>
      </c>
      <c r="F19" s="9">
        <v>0</v>
      </c>
      <c r="G19" s="9">
        <v>936</v>
      </c>
      <c r="H19" s="9">
        <v>0</v>
      </c>
      <c r="I19" s="9">
        <v>0</v>
      </c>
      <c r="J19" s="9">
        <v>936</v>
      </c>
      <c r="K19" s="9">
        <v>0</v>
      </c>
      <c r="L19" s="9">
        <v>0</v>
      </c>
      <c r="N19" s="9">
        <v>4160</v>
      </c>
    </row>
    <row r="20" spans="2:14">
      <c r="B20" s="19">
        <v>1236091</v>
      </c>
      <c r="C20" s="9">
        <v>0</v>
      </c>
      <c r="D20" s="9">
        <v>200</v>
      </c>
      <c r="E20" s="9">
        <v>200</v>
      </c>
      <c r="F20" s="9">
        <v>0</v>
      </c>
      <c r="G20" s="9">
        <v>0</v>
      </c>
      <c r="H20" s="9">
        <v>0</v>
      </c>
      <c r="I20" s="9">
        <v>400</v>
      </c>
      <c r="J20" s="9">
        <v>250</v>
      </c>
      <c r="K20" s="9">
        <v>0</v>
      </c>
      <c r="L20" s="9">
        <v>0</v>
      </c>
      <c r="N20" s="9">
        <v>1050</v>
      </c>
    </row>
    <row r="21" spans="2:14">
      <c r="B21" s="19">
        <v>1236488</v>
      </c>
      <c r="C21" s="9">
        <v>888</v>
      </c>
      <c r="D21" s="9">
        <v>700</v>
      </c>
      <c r="E21" s="9">
        <v>700</v>
      </c>
      <c r="F21" s="9">
        <v>300</v>
      </c>
      <c r="G21" s="9">
        <v>0</v>
      </c>
      <c r="H21" s="9">
        <v>0</v>
      </c>
      <c r="I21" s="9">
        <v>700</v>
      </c>
      <c r="J21" s="9">
        <v>600</v>
      </c>
      <c r="K21" s="9">
        <v>600</v>
      </c>
      <c r="L21" s="9">
        <v>1100</v>
      </c>
      <c r="N21" s="9">
        <v>5588</v>
      </c>
    </row>
    <row r="22" spans="2:14">
      <c r="B22" s="19">
        <v>1236534</v>
      </c>
      <c r="C22" s="9">
        <v>116</v>
      </c>
      <c r="D22" s="9">
        <v>200</v>
      </c>
      <c r="E22" s="9">
        <v>0</v>
      </c>
      <c r="F22" s="9">
        <v>0</v>
      </c>
      <c r="G22" s="9">
        <v>0</v>
      </c>
      <c r="H22" s="9">
        <v>0</v>
      </c>
      <c r="I22" s="9">
        <v>500</v>
      </c>
      <c r="J22" s="9">
        <v>0</v>
      </c>
      <c r="K22" s="9">
        <v>0</v>
      </c>
      <c r="L22" s="9">
        <v>0</v>
      </c>
      <c r="N22" s="9">
        <v>816</v>
      </c>
    </row>
    <row r="23" spans="2:14">
      <c r="B23" s="19">
        <v>1236962</v>
      </c>
      <c r="C23" s="9">
        <v>500</v>
      </c>
      <c r="D23" s="9">
        <v>600</v>
      </c>
      <c r="E23" s="9">
        <v>600</v>
      </c>
      <c r="F23" s="9">
        <v>700</v>
      </c>
      <c r="G23" s="9">
        <v>0</v>
      </c>
      <c r="H23" s="9">
        <v>0</v>
      </c>
      <c r="I23" s="9">
        <v>600</v>
      </c>
      <c r="J23" s="9">
        <v>600</v>
      </c>
      <c r="K23" s="9">
        <v>700</v>
      </c>
      <c r="L23" s="9">
        <v>700</v>
      </c>
      <c r="N23" s="9">
        <v>5000</v>
      </c>
    </row>
    <row r="24" spans="2:14">
      <c r="B24" s="19">
        <v>1237088</v>
      </c>
      <c r="C24" s="9">
        <v>3256</v>
      </c>
      <c r="D24" s="9">
        <v>3520</v>
      </c>
      <c r="E24" s="9">
        <v>3292</v>
      </c>
      <c r="F24" s="9">
        <v>1000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N24" s="9">
        <v>11068</v>
      </c>
    </row>
    <row r="25" spans="2:14">
      <c r="B25" s="127">
        <v>1237586</v>
      </c>
      <c r="C25" s="9">
        <v>2236</v>
      </c>
      <c r="D25" s="9">
        <v>1792</v>
      </c>
      <c r="E25" s="9">
        <v>0</v>
      </c>
      <c r="F25" s="9">
        <v>0</v>
      </c>
      <c r="G25" s="9">
        <v>0</v>
      </c>
      <c r="H25" s="9">
        <v>0</v>
      </c>
      <c r="I25" s="9">
        <v>2240</v>
      </c>
      <c r="J25" s="9">
        <v>2240</v>
      </c>
      <c r="K25" s="9">
        <v>896</v>
      </c>
      <c r="L25" s="9">
        <v>124</v>
      </c>
      <c r="N25" s="9">
        <v>9528</v>
      </c>
    </row>
    <row r="26" spans="2:14">
      <c r="B26" s="19">
        <v>1237748</v>
      </c>
      <c r="C26" s="9">
        <v>1196</v>
      </c>
      <c r="D26" s="9">
        <v>520</v>
      </c>
      <c r="E26" s="9">
        <v>52</v>
      </c>
      <c r="F26" s="9">
        <v>728</v>
      </c>
      <c r="G26" s="9">
        <v>260</v>
      </c>
      <c r="H26" s="9">
        <v>52</v>
      </c>
      <c r="I26" s="9">
        <v>312</v>
      </c>
      <c r="J26" s="9">
        <v>0</v>
      </c>
      <c r="K26" s="9">
        <v>572</v>
      </c>
      <c r="L26" s="9">
        <v>468</v>
      </c>
      <c r="N26" s="9">
        <v>4160</v>
      </c>
    </row>
    <row r="27" spans="2:14">
      <c r="B27" s="19">
        <v>1237765</v>
      </c>
      <c r="C27" s="9">
        <v>0</v>
      </c>
      <c r="D27" s="9">
        <v>300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N27" s="9">
        <v>300</v>
      </c>
    </row>
    <row r="28" spans="2:14">
      <c r="B28" s="19">
        <v>1238128</v>
      </c>
      <c r="C28" s="9">
        <v>4699</v>
      </c>
      <c r="D28" s="9">
        <v>2805</v>
      </c>
      <c r="E28" s="9">
        <v>96</v>
      </c>
      <c r="F28" s="9">
        <v>512</v>
      </c>
      <c r="G28" s="9">
        <v>0</v>
      </c>
      <c r="H28" s="9">
        <v>0</v>
      </c>
      <c r="I28" s="9">
        <v>3352</v>
      </c>
      <c r="J28" s="9">
        <v>2424</v>
      </c>
      <c r="K28" s="9">
        <v>3108</v>
      </c>
      <c r="L28" s="9">
        <v>2164</v>
      </c>
      <c r="N28" s="9">
        <v>19160</v>
      </c>
    </row>
    <row r="29" spans="2:14">
      <c r="B29" s="19">
        <v>1238480</v>
      </c>
      <c r="C29" s="9">
        <v>2390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1305</v>
      </c>
      <c r="J29" s="9">
        <v>1300</v>
      </c>
      <c r="K29" s="9">
        <v>0</v>
      </c>
      <c r="L29" s="9">
        <v>0</v>
      </c>
      <c r="N29" s="9">
        <v>4995</v>
      </c>
    </row>
    <row r="30" spans="2:14">
      <c r="B30" s="19">
        <v>1239651</v>
      </c>
      <c r="C30" s="9">
        <v>400</v>
      </c>
      <c r="D30" s="9">
        <v>400</v>
      </c>
      <c r="E30" s="9">
        <v>400</v>
      </c>
      <c r="F30" s="9">
        <v>400</v>
      </c>
      <c r="G30" s="9">
        <v>600</v>
      </c>
      <c r="H30" s="9">
        <v>0</v>
      </c>
      <c r="I30" s="9">
        <v>950</v>
      </c>
      <c r="J30" s="9">
        <v>800</v>
      </c>
      <c r="K30" s="9">
        <v>800</v>
      </c>
      <c r="L30" s="9">
        <v>0</v>
      </c>
      <c r="N30" s="9">
        <v>4750</v>
      </c>
    </row>
    <row r="31" spans="2:14">
      <c r="B31" s="19">
        <v>1239988</v>
      </c>
      <c r="C31" s="9">
        <v>2700</v>
      </c>
      <c r="D31" s="9">
        <v>2700</v>
      </c>
      <c r="E31" s="9">
        <v>2100</v>
      </c>
      <c r="F31" s="9">
        <v>2100</v>
      </c>
      <c r="G31" s="9">
        <v>2500</v>
      </c>
      <c r="H31" s="9">
        <v>0</v>
      </c>
      <c r="I31" s="9">
        <v>3100</v>
      </c>
      <c r="J31" s="9">
        <v>3200</v>
      </c>
      <c r="K31" s="9">
        <v>2400</v>
      </c>
      <c r="L31" s="9">
        <v>1300</v>
      </c>
      <c r="N31" s="9">
        <v>22100</v>
      </c>
    </row>
    <row r="32" spans="2:14">
      <c r="B32" s="19">
        <v>1240180</v>
      </c>
      <c r="C32" s="9">
        <v>4504</v>
      </c>
      <c r="D32" s="9">
        <v>2800</v>
      </c>
      <c r="E32" s="9">
        <v>2300</v>
      </c>
      <c r="F32" s="9">
        <v>1500</v>
      </c>
      <c r="G32" s="9">
        <v>166</v>
      </c>
      <c r="H32" s="9">
        <v>0</v>
      </c>
      <c r="I32" s="9">
        <v>3150</v>
      </c>
      <c r="J32" s="9">
        <v>3100</v>
      </c>
      <c r="K32" s="9">
        <v>800</v>
      </c>
      <c r="L32" s="9">
        <v>1600</v>
      </c>
      <c r="N32" s="9">
        <v>19920</v>
      </c>
    </row>
    <row r="33" spans="2:23">
      <c r="B33" s="19">
        <v>1240184</v>
      </c>
      <c r="C33" s="9">
        <v>4504</v>
      </c>
      <c r="D33" s="9">
        <v>2300</v>
      </c>
      <c r="E33" s="9">
        <v>2300</v>
      </c>
      <c r="F33" s="9">
        <v>1300</v>
      </c>
      <c r="G33" s="9">
        <v>166</v>
      </c>
      <c r="H33" s="9">
        <v>0</v>
      </c>
      <c r="I33" s="9">
        <v>2700</v>
      </c>
      <c r="J33" s="9">
        <v>2700</v>
      </c>
      <c r="K33" s="9">
        <v>600</v>
      </c>
      <c r="L33" s="9">
        <v>1600</v>
      </c>
      <c r="N33" s="9">
        <v>18170</v>
      </c>
    </row>
    <row r="34" spans="2:23">
      <c r="B34" s="19">
        <v>1240308</v>
      </c>
      <c r="C34" s="9">
        <v>0</v>
      </c>
      <c r="D34" s="9">
        <v>450</v>
      </c>
      <c r="E34" s="9">
        <v>650</v>
      </c>
      <c r="F34" s="9">
        <v>0</v>
      </c>
      <c r="G34" s="9">
        <v>0</v>
      </c>
      <c r="H34" s="9">
        <v>0</v>
      </c>
      <c r="I34" s="9">
        <v>750</v>
      </c>
      <c r="J34" s="9">
        <v>600</v>
      </c>
      <c r="K34" s="9">
        <v>300</v>
      </c>
      <c r="L34" s="9">
        <v>500</v>
      </c>
      <c r="N34" s="9">
        <v>3250</v>
      </c>
    </row>
    <row r="35" spans="2:23">
      <c r="B35" s="19">
        <v>1241601</v>
      </c>
      <c r="C35" s="9">
        <v>7840</v>
      </c>
      <c r="D35" s="9">
        <v>4100</v>
      </c>
      <c r="E35" s="9">
        <v>4000</v>
      </c>
      <c r="F35" s="9">
        <v>4000</v>
      </c>
      <c r="G35" s="9">
        <v>3300</v>
      </c>
      <c r="H35" s="9">
        <v>0</v>
      </c>
      <c r="I35" s="9">
        <v>5300</v>
      </c>
      <c r="J35" s="9">
        <v>5000</v>
      </c>
      <c r="K35" s="9">
        <v>4900</v>
      </c>
      <c r="L35" s="9">
        <v>6500</v>
      </c>
      <c r="N35" s="9">
        <v>44940</v>
      </c>
    </row>
    <row r="36" spans="2:23">
      <c r="B36" s="19">
        <v>1242242</v>
      </c>
      <c r="C36" s="9">
        <v>0</v>
      </c>
      <c r="D36" s="9">
        <v>1000</v>
      </c>
      <c r="E36" s="9">
        <v>1000</v>
      </c>
      <c r="F36" s="9">
        <v>1200</v>
      </c>
      <c r="G36" s="9">
        <v>600</v>
      </c>
      <c r="H36" s="9">
        <v>0</v>
      </c>
      <c r="I36" s="9">
        <v>800</v>
      </c>
      <c r="J36" s="9">
        <v>500</v>
      </c>
      <c r="K36" s="9">
        <v>700</v>
      </c>
      <c r="L36" s="9">
        <v>0</v>
      </c>
      <c r="N36" s="9">
        <v>5800</v>
      </c>
    </row>
    <row r="37" spans="2:23">
      <c r="N37" s="10">
        <f>SUM(N9:N36)</f>
        <v>224435</v>
      </c>
    </row>
    <row r="41" spans="2:23" s="22" customFormat="1">
      <c r="B41" s="284" t="s">
        <v>0</v>
      </c>
      <c r="C41" s="285" t="s">
        <v>1212</v>
      </c>
      <c r="D41" s="285" t="s">
        <v>1239</v>
      </c>
      <c r="E41" s="285" t="s">
        <v>1255</v>
      </c>
      <c r="F41" s="285" t="s">
        <v>12</v>
      </c>
      <c r="G41" s="285" t="s">
        <v>13</v>
      </c>
      <c r="H41" s="285" t="s">
        <v>14</v>
      </c>
      <c r="I41" s="285" t="s">
        <v>15</v>
      </c>
      <c r="J41" s="285" t="s">
        <v>16</v>
      </c>
      <c r="K41" s="285" t="s">
        <v>17</v>
      </c>
      <c r="L41" s="285" t="s">
        <v>18</v>
      </c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</row>
    <row r="42" spans="2:23" s="22" customFormat="1">
      <c r="B42" s="284"/>
      <c r="C42" s="285" t="s">
        <v>1213</v>
      </c>
      <c r="D42" s="285" t="s">
        <v>1240</v>
      </c>
      <c r="E42" s="285" t="s">
        <v>1256</v>
      </c>
      <c r="F42" s="285" t="s">
        <v>1257</v>
      </c>
      <c r="G42" s="285" t="s">
        <v>1265</v>
      </c>
      <c r="H42" s="285" t="s">
        <v>1273</v>
      </c>
      <c r="I42" s="285" t="s">
        <v>1281</v>
      </c>
      <c r="J42" s="285" t="s">
        <v>1289</v>
      </c>
      <c r="K42" s="285" t="s">
        <v>1297</v>
      </c>
      <c r="L42" s="285" t="s">
        <v>1305</v>
      </c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</row>
    <row r="43" spans="2:23">
      <c r="B43" s="19">
        <v>1206068</v>
      </c>
      <c r="C43" s="9">
        <v>0</v>
      </c>
      <c r="D43" s="9">
        <v>0</v>
      </c>
      <c r="E43" s="9">
        <v>828</v>
      </c>
      <c r="F43" s="9">
        <v>28</v>
      </c>
      <c r="G43" s="9">
        <v>0</v>
      </c>
      <c r="H43" s="9">
        <v>414</v>
      </c>
      <c r="I43" s="9">
        <v>0</v>
      </c>
      <c r="J43" s="9">
        <v>0</v>
      </c>
      <c r="K43" s="9">
        <v>856</v>
      </c>
      <c r="L43" s="9">
        <v>0</v>
      </c>
      <c r="N43" s="9">
        <v>2126</v>
      </c>
    </row>
    <row r="44" spans="2:23">
      <c r="B44" s="19">
        <v>1216452</v>
      </c>
      <c r="C44" s="9">
        <v>324</v>
      </c>
      <c r="D44" s="9">
        <v>168</v>
      </c>
      <c r="E44" s="9">
        <v>1170</v>
      </c>
      <c r="F44" s="9">
        <v>0</v>
      </c>
      <c r="G44" s="9">
        <v>1620</v>
      </c>
      <c r="H44" s="9">
        <v>0</v>
      </c>
      <c r="I44" s="9">
        <v>1340</v>
      </c>
      <c r="J44" s="9">
        <v>0</v>
      </c>
      <c r="K44" s="9">
        <v>0</v>
      </c>
      <c r="L44" s="9">
        <v>0</v>
      </c>
      <c r="N44" s="9">
        <v>4622</v>
      </c>
    </row>
    <row r="45" spans="2:23">
      <c r="B45" s="19">
        <v>1220847</v>
      </c>
      <c r="C45" s="9">
        <v>1434</v>
      </c>
      <c r="D45" s="9">
        <v>1500</v>
      </c>
      <c r="E45" s="9">
        <v>0</v>
      </c>
      <c r="F45" s="9">
        <v>0</v>
      </c>
      <c r="G45" s="9">
        <v>0</v>
      </c>
      <c r="H45" s="9">
        <v>9</v>
      </c>
      <c r="I45" s="9">
        <v>0</v>
      </c>
      <c r="J45" s="9">
        <v>0</v>
      </c>
      <c r="K45" s="9">
        <v>0</v>
      </c>
      <c r="L45" s="9">
        <v>1500</v>
      </c>
      <c r="N45" s="9">
        <v>4443</v>
      </c>
    </row>
    <row r="46" spans="2:23">
      <c r="B46" s="19">
        <v>1221967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17</v>
      </c>
      <c r="J46" s="9">
        <v>35</v>
      </c>
      <c r="K46" s="9">
        <v>0</v>
      </c>
      <c r="L46" s="9">
        <v>0</v>
      </c>
      <c r="N46" s="9">
        <v>52</v>
      </c>
    </row>
    <row r="47" spans="2:23">
      <c r="B47" s="19">
        <v>1225464</v>
      </c>
      <c r="C47" s="9">
        <v>0</v>
      </c>
      <c r="D47" s="9">
        <v>760</v>
      </c>
      <c r="E47" s="9">
        <v>0</v>
      </c>
      <c r="F47" s="9">
        <v>0</v>
      </c>
      <c r="G47" s="9">
        <v>0</v>
      </c>
      <c r="H47" s="9">
        <v>11</v>
      </c>
      <c r="I47" s="9">
        <v>0</v>
      </c>
      <c r="J47" s="9">
        <v>0</v>
      </c>
      <c r="K47" s="9">
        <v>0</v>
      </c>
      <c r="L47" s="9">
        <v>0</v>
      </c>
      <c r="N47" s="9">
        <v>771</v>
      </c>
    </row>
    <row r="48" spans="2:23">
      <c r="B48" s="19">
        <v>1227306</v>
      </c>
      <c r="C48" s="9">
        <v>700</v>
      </c>
      <c r="D48" s="9">
        <v>800</v>
      </c>
      <c r="E48" s="9">
        <v>400</v>
      </c>
      <c r="F48" s="9">
        <v>400</v>
      </c>
      <c r="G48" s="9">
        <v>0</v>
      </c>
      <c r="H48" s="9">
        <v>0</v>
      </c>
      <c r="I48" s="9">
        <v>550</v>
      </c>
      <c r="J48" s="9">
        <v>700</v>
      </c>
      <c r="K48" s="9">
        <v>600</v>
      </c>
      <c r="L48" s="9">
        <v>400</v>
      </c>
      <c r="N48" s="9">
        <v>4550</v>
      </c>
    </row>
    <row r="49" spans="2:14">
      <c r="B49" s="19">
        <v>1229050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235</v>
      </c>
      <c r="J49" s="9">
        <v>0</v>
      </c>
      <c r="K49" s="9">
        <v>0</v>
      </c>
      <c r="L49" s="9">
        <v>0</v>
      </c>
      <c r="N49" s="9">
        <v>235</v>
      </c>
    </row>
    <row r="50" spans="2:14">
      <c r="B50" s="19">
        <v>1229088</v>
      </c>
      <c r="C50" s="9">
        <v>0</v>
      </c>
      <c r="D50" s="9">
        <v>100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500</v>
      </c>
      <c r="K50" s="9">
        <v>0</v>
      </c>
      <c r="L50" s="9">
        <v>0</v>
      </c>
      <c r="N50" s="9">
        <v>600</v>
      </c>
    </row>
    <row r="51" spans="2:14">
      <c r="B51" s="19">
        <v>1229776</v>
      </c>
      <c r="C51" s="9">
        <v>150</v>
      </c>
      <c r="D51" s="9">
        <v>90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180</v>
      </c>
      <c r="K51" s="9">
        <v>0</v>
      </c>
      <c r="L51" s="9">
        <v>0</v>
      </c>
      <c r="N51" s="9">
        <v>420</v>
      </c>
    </row>
    <row r="52" spans="2:14">
      <c r="B52" s="19">
        <v>1230685</v>
      </c>
      <c r="C52" s="9">
        <v>300</v>
      </c>
      <c r="D52" s="9">
        <v>400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N52" s="9">
        <v>700</v>
      </c>
    </row>
    <row r="53" spans="2:14">
      <c r="B53" s="19">
        <v>1230791</v>
      </c>
      <c r="C53" s="9">
        <v>0</v>
      </c>
      <c r="D53" s="9">
        <v>54</v>
      </c>
      <c r="E53" s="9">
        <v>72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N53" s="9">
        <v>126</v>
      </c>
    </row>
    <row r="54" spans="2:14">
      <c r="B54" s="19">
        <v>1231011</v>
      </c>
      <c r="C54" s="9">
        <v>0</v>
      </c>
      <c r="D54" s="9">
        <v>0</v>
      </c>
      <c r="E54" s="9">
        <v>300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N54" s="9">
        <v>300</v>
      </c>
    </row>
    <row r="55" spans="2:14">
      <c r="B55" s="127">
        <v>1231090</v>
      </c>
      <c r="C55" s="9">
        <v>870</v>
      </c>
      <c r="D55" s="9">
        <v>545</v>
      </c>
      <c r="E55" s="9">
        <v>0</v>
      </c>
      <c r="F55" s="9">
        <v>0</v>
      </c>
      <c r="G55" s="9">
        <v>0</v>
      </c>
      <c r="H55" s="9">
        <v>0</v>
      </c>
      <c r="I55" s="9">
        <v>521</v>
      </c>
      <c r="J55" s="9">
        <v>635</v>
      </c>
      <c r="K55" s="9">
        <v>0</v>
      </c>
      <c r="L55" s="9">
        <v>1211</v>
      </c>
      <c r="N55" s="9">
        <v>3782</v>
      </c>
    </row>
    <row r="56" spans="2:14">
      <c r="B56" s="19">
        <v>1231578</v>
      </c>
      <c r="C56" s="9">
        <v>0</v>
      </c>
      <c r="D56" s="9">
        <v>200</v>
      </c>
      <c r="E56" s="9">
        <v>100</v>
      </c>
      <c r="F56" s="9">
        <v>200</v>
      </c>
      <c r="G56" s="9">
        <v>0</v>
      </c>
      <c r="H56" s="9">
        <v>0</v>
      </c>
      <c r="I56" s="9">
        <v>200</v>
      </c>
      <c r="J56" s="9">
        <v>400</v>
      </c>
      <c r="K56" s="9">
        <v>0</v>
      </c>
      <c r="L56" s="9">
        <v>0</v>
      </c>
      <c r="N56" s="9">
        <v>1100</v>
      </c>
    </row>
    <row r="57" spans="2:14">
      <c r="B57" s="19">
        <v>1231797</v>
      </c>
      <c r="C57" s="9">
        <v>0</v>
      </c>
      <c r="D57" s="9">
        <v>0</v>
      </c>
      <c r="E57" s="9">
        <v>128</v>
      </c>
      <c r="F57" s="9">
        <v>0</v>
      </c>
      <c r="G57" s="9">
        <v>0</v>
      </c>
      <c r="H57" s="9">
        <v>0</v>
      </c>
      <c r="I57" s="9">
        <v>106</v>
      </c>
      <c r="J57" s="9">
        <v>0</v>
      </c>
      <c r="K57" s="9">
        <v>0</v>
      </c>
      <c r="L57" s="9">
        <v>0</v>
      </c>
      <c r="N57" s="9">
        <v>234</v>
      </c>
    </row>
    <row r="58" spans="2:14">
      <c r="B58" s="19">
        <v>1232066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72</v>
      </c>
      <c r="K58" s="9">
        <v>180</v>
      </c>
      <c r="L58" s="9">
        <v>0</v>
      </c>
      <c r="N58" s="9">
        <v>252</v>
      </c>
    </row>
    <row r="59" spans="2:14">
      <c r="B59" s="127">
        <v>1232528</v>
      </c>
      <c r="C59" s="9">
        <v>4765</v>
      </c>
      <c r="D59" s="9">
        <v>6383</v>
      </c>
      <c r="E59" s="9">
        <v>5000</v>
      </c>
      <c r="F59" s="9">
        <v>3000</v>
      </c>
      <c r="G59" s="9">
        <v>3000</v>
      </c>
      <c r="H59" s="9">
        <v>0</v>
      </c>
      <c r="I59" s="9">
        <v>3509</v>
      </c>
      <c r="J59" s="9">
        <v>3773</v>
      </c>
      <c r="K59" s="9">
        <v>1427</v>
      </c>
      <c r="L59" s="9">
        <v>3000</v>
      </c>
      <c r="N59" s="9">
        <v>33857</v>
      </c>
    </row>
    <row r="60" spans="2:14">
      <c r="B60" s="19">
        <v>1232553</v>
      </c>
      <c r="C60" s="9">
        <v>108</v>
      </c>
      <c r="D60" s="9">
        <v>0</v>
      </c>
      <c r="E60" s="9">
        <v>0</v>
      </c>
      <c r="F60" s="9">
        <v>0</v>
      </c>
      <c r="G60" s="9">
        <v>108</v>
      </c>
      <c r="H60" s="9">
        <v>0</v>
      </c>
      <c r="I60" s="9">
        <v>0</v>
      </c>
      <c r="J60" s="9">
        <v>108</v>
      </c>
      <c r="K60" s="9">
        <v>0</v>
      </c>
      <c r="L60" s="9">
        <v>0</v>
      </c>
      <c r="N60" s="9">
        <v>324</v>
      </c>
    </row>
    <row r="61" spans="2:14">
      <c r="B61" s="19">
        <v>1232693</v>
      </c>
      <c r="C61" s="9">
        <v>2089</v>
      </c>
      <c r="D61" s="9">
        <v>827</v>
      </c>
      <c r="E61" s="9">
        <v>0</v>
      </c>
      <c r="F61" s="9">
        <v>0</v>
      </c>
      <c r="G61" s="9">
        <v>0</v>
      </c>
      <c r="H61" s="9">
        <v>0</v>
      </c>
      <c r="I61" s="9">
        <v>1000</v>
      </c>
      <c r="J61" s="9">
        <v>974</v>
      </c>
      <c r="K61" s="9">
        <v>0</v>
      </c>
      <c r="L61" s="9">
        <v>1000</v>
      </c>
      <c r="N61" s="9">
        <v>5890</v>
      </c>
    </row>
    <row r="62" spans="2:14">
      <c r="B62" s="19">
        <v>1232775</v>
      </c>
      <c r="C62" s="9">
        <v>1250</v>
      </c>
      <c r="D62" s="9">
        <v>650</v>
      </c>
      <c r="E62" s="9">
        <v>1016</v>
      </c>
      <c r="F62" s="9">
        <v>947</v>
      </c>
      <c r="G62" s="9">
        <v>498</v>
      </c>
      <c r="H62" s="9">
        <v>286</v>
      </c>
      <c r="I62" s="9">
        <v>60</v>
      </c>
      <c r="J62" s="9">
        <v>0</v>
      </c>
      <c r="K62" s="9">
        <v>0</v>
      </c>
      <c r="L62" s="9">
        <v>600</v>
      </c>
      <c r="N62" s="9">
        <v>5307</v>
      </c>
    </row>
    <row r="63" spans="2:14">
      <c r="B63" s="127">
        <v>1232846</v>
      </c>
      <c r="C63" s="9">
        <v>895</v>
      </c>
      <c r="D63" s="9">
        <v>1728</v>
      </c>
      <c r="E63" s="9">
        <v>273</v>
      </c>
      <c r="F63" s="9">
        <v>450</v>
      </c>
      <c r="G63" s="9">
        <v>0</v>
      </c>
      <c r="H63" s="9">
        <v>288</v>
      </c>
      <c r="I63" s="9">
        <v>542</v>
      </c>
      <c r="J63" s="9">
        <v>200</v>
      </c>
      <c r="K63" s="9">
        <v>0</v>
      </c>
      <c r="L63" s="9">
        <v>168</v>
      </c>
      <c r="N63" s="9">
        <v>4544</v>
      </c>
    </row>
    <row r="64" spans="2:14">
      <c r="B64" s="127">
        <v>1232894</v>
      </c>
      <c r="C64" s="9">
        <v>512</v>
      </c>
      <c r="D64" s="9">
        <v>1728</v>
      </c>
      <c r="E64" s="9">
        <v>0</v>
      </c>
      <c r="F64" s="9">
        <v>0</v>
      </c>
      <c r="G64" s="9">
        <v>0</v>
      </c>
      <c r="H64" s="9">
        <v>288</v>
      </c>
      <c r="I64" s="9">
        <v>0</v>
      </c>
      <c r="J64" s="9">
        <v>0</v>
      </c>
      <c r="K64" s="9">
        <v>0</v>
      </c>
      <c r="L64" s="9">
        <v>168</v>
      </c>
      <c r="N64" s="9">
        <v>2696</v>
      </c>
    </row>
    <row r="65" spans="2:14">
      <c r="B65" s="19">
        <v>1232895</v>
      </c>
      <c r="C65" s="9">
        <v>383</v>
      </c>
      <c r="D65" s="9">
        <v>0</v>
      </c>
      <c r="E65" s="9">
        <v>273</v>
      </c>
      <c r="F65" s="9">
        <v>450</v>
      </c>
      <c r="G65" s="9">
        <v>0</v>
      </c>
      <c r="H65" s="9">
        <v>0</v>
      </c>
      <c r="I65" s="9">
        <v>542</v>
      </c>
      <c r="J65" s="9">
        <v>200</v>
      </c>
      <c r="K65" s="9">
        <v>0</v>
      </c>
      <c r="L65" s="9">
        <v>0</v>
      </c>
      <c r="N65" s="9">
        <v>1848</v>
      </c>
    </row>
    <row r="66" spans="2:14">
      <c r="B66" s="127">
        <v>1232922</v>
      </c>
      <c r="C66" s="9">
        <v>383</v>
      </c>
      <c r="D66" s="9">
        <v>0</v>
      </c>
      <c r="E66" s="9">
        <v>273</v>
      </c>
      <c r="F66" s="9">
        <v>0</v>
      </c>
      <c r="G66" s="9">
        <v>0</v>
      </c>
      <c r="H66" s="9">
        <v>0</v>
      </c>
      <c r="I66" s="9">
        <v>242</v>
      </c>
      <c r="J66" s="9">
        <v>0</v>
      </c>
      <c r="K66" s="9">
        <v>0</v>
      </c>
      <c r="L66" s="9">
        <v>0</v>
      </c>
      <c r="N66" s="9">
        <v>898</v>
      </c>
    </row>
    <row r="67" spans="2:14">
      <c r="B67" s="19">
        <v>1232982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100</v>
      </c>
      <c r="L67" s="9">
        <v>0</v>
      </c>
      <c r="N67" s="9">
        <v>100</v>
      </c>
    </row>
    <row r="68" spans="2:14">
      <c r="B68" s="19">
        <v>1233025</v>
      </c>
      <c r="C68" s="9">
        <v>2089</v>
      </c>
      <c r="D68" s="9">
        <v>827</v>
      </c>
      <c r="E68" s="9">
        <v>0</v>
      </c>
      <c r="F68" s="9">
        <v>0</v>
      </c>
      <c r="G68" s="9">
        <v>0</v>
      </c>
      <c r="H68" s="9">
        <v>0</v>
      </c>
      <c r="I68" s="9">
        <v>1000</v>
      </c>
      <c r="J68" s="9">
        <v>974</v>
      </c>
      <c r="K68" s="9">
        <v>0</v>
      </c>
      <c r="L68" s="9">
        <v>1000</v>
      </c>
      <c r="N68" s="9">
        <v>5890</v>
      </c>
    </row>
    <row r="69" spans="2:14">
      <c r="B69" s="19">
        <v>1233165</v>
      </c>
      <c r="C69" s="9">
        <v>250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N69" s="9">
        <v>250</v>
      </c>
    </row>
    <row r="70" spans="2:14">
      <c r="B70" s="19">
        <v>1233383</v>
      </c>
      <c r="C70" s="9">
        <v>150</v>
      </c>
      <c r="D70" s="9">
        <v>0</v>
      </c>
      <c r="E70" s="9">
        <v>42</v>
      </c>
      <c r="F70" s="9">
        <v>0</v>
      </c>
      <c r="G70" s="9">
        <v>0</v>
      </c>
      <c r="H70" s="9">
        <v>0</v>
      </c>
      <c r="I70" s="9">
        <v>122</v>
      </c>
      <c r="J70" s="9">
        <v>0</v>
      </c>
      <c r="K70" s="9">
        <v>0</v>
      </c>
      <c r="L70" s="9">
        <v>0</v>
      </c>
      <c r="N70" s="9">
        <v>314</v>
      </c>
    </row>
    <row r="71" spans="2:14">
      <c r="B71" s="19">
        <v>1233384</v>
      </c>
      <c r="C71" s="9">
        <v>0</v>
      </c>
      <c r="D71" s="9">
        <v>0</v>
      </c>
      <c r="E71" s="9">
        <v>0</v>
      </c>
      <c r="F71" s="9">
        <v>450</v>
      </c>
      <c r="G71" s="9">
        <v>0</v>
      </c>
      <c r="H71" s="9">
        <v>0</v>
      </c>
      <c r="I71" s="9">
        <v>300</v>
      </c>
      <c r="J71" s="9">
        <v>200</v>
      </c>
      <c r="K71" s="9">
        <v>0</v>
      </c>
      <c r="L71" s="9">
        <v>0</v>
      </c>
      <c r="N71" s="9">
        <v>950</v>
      </c>
    </row>
    <row r="72" spans="2:14">
      <c r="B72" s="127">
        <v>1233385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168</v>
      </c>
      <c r="N72" s="9">
        <v>168</v>
      </c>
    </row>
    <row r="73" spans="2:14">
      <c r="B73" s="127">
        <v>1233386</v>
      </c>
      <c r="C73" s="9">
        <v>512</v>
      </c>
      <c r="D73" s="9">
        <v>0</v>
      </c>
      <c r="E73" s="9">
        <v>0</v>
      </c>
      <c r="F73" s="9">
        <v>0</v>
      </c>
      <c r="G73" s="9">
        <v>0</v>
      </c>
      <c r="H73" s="9">
        <v>288</v>
      </c>
      <c r="I73" s="9">
        <v>0</v>
      </c>
      <c r="J73" s="9">
        <v>0</v>
      </c>
      <c r="K73" s="9">
        <v>0</v>
      </c>
      <c r="L73" s="9">
        <v>0</v>
      </c>
      <c r="N73" s="9">
        <v>800</v>
      </c>
    </row>
    <row r="74" spans="2:14">
      <c r="B74" s="127">
        <v>1233387</v>
      </c>
      <c r="C74" s="9">
        <v>0</v>
      </c>
      <c r="D74" s="9">
        <v>1728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N74" s="9">
        <v>1728</v>
      </c>
    </row>
    <row r="75" spans="2:14">
      <c r="B75" s="19">
        <v>1233587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20</v>
      </c>
      <c r="L75" s="9">
        <v>0</v>
      </c>
      <c r="N75" s="9">
        <v>20</v>
      </c>
    </row>
    <row r="76" spans="2:14">
      <c r="B76" s="19">
        <v>1234222</v>
      </c>
      <c r="C76" s="9">
        <v>768</v>
      </c>
      <c r="D76" s="9">
        <v>0</v>
      </c>
      <c r="E76" s="9">
        <v>0</v>
      </c>
      <c r="F76" s="9">
        <v>868</v>
      </c>
      <c r="G76" s="9">
        <v>0</v>
      </c>
      <c r="H76" s="9">
        <v>0</v>
      </c>
      <c r="I76" s="9">
        <v>0</v>
      </c>
      <c r="J76" s="9">
        <v>0</v>
      </c>
      <c r="K76" s="9">
        <v>868</v>
      </c>
      <c r="L76" s="9">
        <v>0</v>
      </c>
      <c r="N76" s="9">
        <v>2504</v>
      </c>
    </row>
    <row r="77" spans="2:14">
      <c r="B77" s="19">
        <v>1234614</v>
      </c>
      <c r="C77" s="9">
        <v>300</v>
      </c>
      <c r="D77" s="9">
        <v>300</v>
      </c>
      <c r="E77" s="9">
        <v>200</v>
      </c>
      <c r="F77" s="9">
        <v>0</v>
      </c>
      <c r="G77" s="9">
        <v>432</v>
      </c>
      <c r="H77" s="9">
        <v>0</v>
      </c>
      <c r="I77" s="9">
        <v>400</v>
      </c>
      <c r="J77" s="9">
        <v>300</v>
      </c>
      <c r="K77" s="9">
        <v>0</v>
      </c>
      <c r="L77" s="9">
        <v>400</v>
      </c>
      <c r="N77" s="9">
        <v>2332</v>
      </c>
    </row>
    <row r="78" spans="2:14">
      <c r="B78" s="19">
        <v>1235097</v>
      </c>
      <c r="C78" s="9">
        <v>300</v>
      </c>
      <c r="D78" s="9">
        <v>400</v>
      </c>
      <c r="E78" s="9">
        <v>400</v>
      </c>
      <c r="F78" s="9">
        <v>500</v>
      </c>
      <c r="G78" s="9">
        <v>0</v>
      </c>
      <c r="H78" s="9">
        <v>0</v>
      </c>
      <c r="I78" s="9">
        <v>600</v>
      </c>
      <c r="J78" s="9">
        <v>500</v>
      </c>
      <c r="K78" s="9">
        <v>0</v>
      </c>
      <c r="L78" s="9">
        <v>0</v>
      </c>
      <c r="N78" s="9">
        <v>2700</v>
      </c>
    </row>
    <row r="79" spans="2:14">
      <c r="B79" s="19">
        <v>1235845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790</v>
      </c>
      <c r="L79" s="9">
        <v>0</v>
      </c>
      <c r="N79" s="9">
        <v>790</v>
      </c>
    </row>
    <row r="80" spans="2:14">
      <c r="B80" s="19">
        <v>1235958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5</v>
      </c>
      <c r="L80" s="9">
        <v>0</v>
      </c>
      <c r="N80" s="9">
        <v>5</v>
      </c>
    </row>
    <row r="81" spans="2:14">
      <c r="B81" s="19">
        <v>1236387</v>
      </c>
      <c r="C81" s="9">
        <v>440</v>
      </c>
      <c r="D81" s="9">
        <v>0</v>
      </c>
      <c r="E81" s="9">
        <v>0</v>
      </c>
      <c r="F81" s="9">
        <v>200</v>
      </c>
      <c r="G81" s="9">
        <v>200</v>
      </c>
      <c r="H81" s="9">
        <v>0</v>
      </c>
      <c r="I81" s="9">
        <v>0</v>
      </c>
      <c r="J81" s="9">
        <v>0</v>
      </c>
      <c r="K81" s="9">
        <v>0</v>
      </c>
      <c r="L81" s="9">
        <v>200</v>
      </c>
      <c r="N81" s="9">
        <v>1040</v>
      </c>
    </row>
    <row r="82" spans="2:14">
      <c r="B82" s="19">
        <v>1236600</v>
      </c>
      <c r="C82" s="9">
        <v>0</v>
      </c>
      <c r="D82" s="9">
        <v>0</v>
      </c>
      <c r="E82" s="9">
        <v>829</v>
      </c>
      <c r="F82" s="9">
        <v>0</v>
      </c>
      <c r="G82" s="9">
        <v>0</v>
      </c>
      <c r="H82" s="9">
        <v>0</v>
      </c>
      <c r="I82" s="9">
        <v>748</v>
      </c>
      <c r="J82" s="9">
        <v>0</v>
      </c>
      <c r="K82" s="9">
        <v>0</v>
      </c>
      <c r="L82" s="9">
        <v>0</v>
      </c>
      <c r="N82" s="9">
        <v>1577</v>
      </c>
    </row>
    <row r="83" spans="2:14">
      <c r="B83" s="19">
        <v>1236601</v>
      </c>
      <c r="C83" s="9">
        <v>100</v>
      </c>
      <c r="D83" s="9">
        <v>0</v>
      </c>
      <c r="E83" s="9">
        <v>100</v>
      </c>
      <c r="F83" s="9">
        <v>0</v>
      </c>
      <c r="G83" s="9">
        <v>0</v>
      </c>
      <c r="H83" s="9">
        <v>0</v>
      </c>
      <c r="I83" s="9">
        <v>84</v>
      </c>
      <c r="J83" s="9">
        <v>0</v>
      </c>
      <c r="K83" s="9">
        <v>0</v>
      </c>
      <c r="L83" s="9">
        <v>0</v>
      </c>
      <c r="N83" s="9">
        <v>284</v>
      </c>
    </row>
    <row r="84" spans="2:14">
      <c r="B84" s="19">
        <v>1236619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540</v>
      </c>
      <c r="J84" s="9">
        <v>0</v>
      </c>
      <c r="K84" s="9">
        <v>0</v>
      </c>
      <c r="L84" s="9">
        <v>0</v>
      </c>
      <c r="N84" s="9">
        <v>540</v>
      </c>
    </row>
    <row r="85" spans="2:14">
      <c r="B85" s="19">
        <v>1236930</v>
      </c>
      <c r="C85" s="9">
        <v>2168</v>
      </c>
      <c r="D85" s="9">
        <v>2104</v>
      </c>
      <c r="E85" s="9">
        <v>2200</v>
      </c>
      <c r="F85" s="9">
        <v>1550</v>
      </c>
      <c r="G85" s="9">
        <v>248</v>
      </c>
      <c r="H85" s="9">
        <v>36</v>
      </c>
      <c r="I85" s="9">
        <v>2564</v>
      </c>
      <c r="J85" s="9">
        <v>1920</v>
      </c>
      <c r="K85" s="9">
        <v>2000</v>
      </c>
      <c r="L85" s="9">
        <v>900</v>
      </c>
      <c r="N85" s="9">
        <v>15690</v>
      </c>
    </row>
    <row r="86" spans="2:14">
      <c r="B86" s="19">
        <v>1237210</v>
      </c>
      <c r="C86" s="9">
        <v>0</v>
      </c>
      <c r="D86" s="9">
        <v>196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375</v>
      </c>
      <c r="L86" s="9">
        <v>0</v>
      </c>
      <c r="N86" s="9">
        <v>571</v>
      </c>
    </row>
    <row r="87" spans="2:14">
      <c r="B87" s="19">
        <v>1237386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795</v>
      </c>
      <c r="J87" s="9">
        <v>0</v>
      </c>
      <c r="K87" s="9">
        <v>0</v>
      </c>
      <c r="L87" s="9">
        <v>0</v>
      </c>
      <c r="N87" s="9">
        <v>795</v>
      </c>
    </row>
    <row r="88" spans="2:14">
      <c r="B88" s="19">
        <v>1237457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270</v>
      </c>
      <c r="J88" s="9">
        <v>0</v>
      </c>
      <c r="K88" s="9">
        <v>0</v>
      </c>
      <c r="L88" s="9">
        <v>0</v>
      </c>
      <c r="N88" s="9">
        <v>270</v>
      </c>
    </row>
    <row r="89" spans="2:14">
      <c r="B89" s="19">
        <v>1237468</v>
      </c>
      <c r="C89" s="9">
        <v>612</v>
      </c>
      <c r="D89" s="9">
        <v>0</v>
      </c>
      <c r="E89" s="9">
        <v>79</v>
      </c>
      <c r="F89" s="9">
        <v>0</v>
      </c>
      <c r="G89" s="9">
        <v>432</v>
      </c>
      <c r="H89" s="9">
        <v>0</v>
      </c>
      <c r="I89" s="9">
        <v>70</v>
      </c>
      <c r="J89" s="9">
        <v>0</v>
      </c>
      <c r="K89" s="9">
        <v>0</v>
      </c>
      <c r="L89" s="9">
        <v>0</v>
      </c>
      <c r="N89" s="9">
        <v>1193</v>
      </c>
    </row>
    <row r="90" spans="2:14">
      <c r="B90" s="19">
        <v>1238092</v>
      </c>
      <c r="C90" s="9">
        <v>0</v>
      </c>
      <c r="D90" s="9">
        <v>144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N90" s="9">
        <v>144</v>
      </c>
    </row>
    <row r="91" spans="2:14">
      <c r="B91" s="19">
        <v>1238453</v>
      </c>
      <c r="C91" s="9">
        <v>0</v>
      </c>
      <c r="D91" s="9">
        <v>0</v>
      </c>
      <c r="E91" s="9">
        <v>122</v>
      </c>
      <c r="F91" s="9">
        <v>0</v>
      </c>
      <c r="G91" s="9">
        <v>0</v>
      </c>
      <c r="H91" s="9">
        <v>0</v>
      </c>
      <c r="I91" s="9">
        <v>113</v>
      </c>
      <c r="J91" s="9">
        <v>0</v>
      </c>
      <c r="K91" s="9">
        <v>0</v>
      </c>
      <c r="L91" s="9">
        <v>0</v>
      </c>
      <c r="N91" s="9">
        <v>235</v>
      </c>
    </row>
    <row r="92" spans="2:14">
      <c r="B92" s="19">
        <v>1238480</v>
      </c>
      <c r="C92" s="9">
        <v>8587</v>
      </c>
      <c r="D92" s="9">
        <v>7360</v>
      </c>
      <c r="E92" s="9">
        <v>5146</v>
      </c>
      <c r="F92" s="9">
        <v>2620</v>
      </c>
      <c r="G92" s="9">
        <v>400</v>
      </c>
      <c r="H92" s="9">
        <v>1110</v>
      </c>
      <c r="I92" s="9">
        <v>5771</v>
      </c>
      <c r="J92" s="9">
        <v>6046</v>
      </c>
      <c r="K92" s="9">
        <v>4270</v>
      </c>
      <c r="L92" s="9">
        <v>3475</v>
      </c>
      <c r="N92" s="9">
        <v>44785</v>
      </c>
    </row>
    <row r="93" spans="2:14">
      <c r="B93" s="19">
        <v>1238605</v>
      </c>
      <c r="C93" s="9">
        <v>0</v>
      </c>
      <c r="D93" s="9">
        <v>0</v>
      </c>
      <c r="E93" s="9">
        <v>150</v>
      </c>
      <c r="F93" s="9">
        <v>0</v>
      </c>
      <c r="G93" s="9">
        <v>530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N93" s="9">
        <v>680</v>
      </c>
    </row>
    <row r="94" spans="2:14">
      <c r="B94" s="19">
        <v>1240180</v>
      </c>
      <c r="C94" s="9">
        <v>200</v>
      </c>
      <c r="D94" s="9">
        <v>550</v>
      </c>
      <c r="E94" s="9">
        <v>550</v>
      </c>
      <c r="F94" s="9">
        <v>0</v>
      </c>
      <c r="G94" s="9">
        <v>0</v>
      </c>
      <c r="H94" s="9">
        <v>0</v>
      </c>
      <c r="I94" s="9">
        <v>1282</v>
      </c>
      <c r="J94" s="9">
        <v>650</v>
      </c>
      <c r="K94" s="9">
        <v>0</v>
      </c>
      <c r="L94" s="9">
        <v>200</v>
      </c>
      <c r="N94" s="9">
        <v>3432</v>
      </c>
    </row>
    <row r="95" spans="2:14">
      <c r="B95" s="19">
        <v>1240184</v>
      </c>
      <c r="C95" s="9">
        <v>200</v>
      </c>
      <c r="D95" s="9">
        <v>550</v>
      </c>
      <c r="E95" s="9">
        <v>550</v>
      </c>
      <c r="F95" s="9">
        <v>0</v>
      </c>
      <c r="G95" s="9">
        <v>0</v>
      </c>
      <c r="H95" s="9">
        <v>0</v>
      </c>
      <c r="I95" s="9">
        <v>1282</v>
      </c>
      <c r="J95" s="9">
        <v>650</v>
      </c>
      <c r="K95" s="9">
        <v>0</v>
      </c>
      <c r="L95" s="9">
        <v>200</v>
      </c>
      <c r="N95" s="9">
        <v>3432</v>
      </c>
    </row>
    <row r="96" spans="2:14">
      <c r="N96" s="10">
        <f>SUM(N43:N95)</f>
        <v>172896</v>
      </c>
    </row>
  </sheetData>
  <phoneticPr fontId="11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E773-4674-44CB-BE51-EDC44DE9C3E3}">
  <dimension ref="A1:T77"/>
  <sheetViews>
    <sheetView topLeftCell="A2" zoomScale="130" zoomScaleNormal="130" workbookViewId="0">
      <selection activeCell="A18" sqref="A18:XFD18"/>
    </sheetView>
  </sheetViews>
  <sheetFormatPr defaultColWidth="9.33203125" defaultRowHeight="12"/>
  <cols>
    <col min="1" max="1" width="10.1640625" style="19" bestFit="1" customWidth="1"/>
    <col min="2" max="2" width="9.5" style="9" bestFit="1" customWidth="1"/>
    <col min="3" max="19" width="9.5" style="9" customWidth="1"/>
    <col min="20" max="20" width="9.5" style="9" bestFit="1" customWidth="1"/>
    <col min="21" max="16384" width="9.33203125" style="5"/>
  </cols>
  <sheetData>
    <row r="1" spans="1:20">
      <c r="A1" s="19" t="s">
        <v>0</v>
      </c>
      <c r="B1" s="9" t="s">
        <v>1284</v>
      </c>
      <c r="C1" s="9" t="s">
        <v>1285</v>
      </c>
      <c r="D1" s="9" t="s">
        <v>1286</v>
      </c>
      <c r="E1" s="9" t="s">
        <v>1287</v>
      </c>
      <c r="F1" s="9" t="s">
        <v>1288</v>
      </c>
      <c r="G1" s="9" t="s">
        <v>1290</v>
      </c>
      <c r="H1" s="9" t="s">
        <v>1291</v>
      </c>
      <c r="I1" s="9" t="s">
        <v>1292</v>
      </c>
      <c r="J1" s="9" t="s">
        <v>1293</v>
      </c>
      <c r="K1" s="9" t="s">
        <v>1294</v>
      </c>
      <c r="L1" s="9" t="s">
        <v>1295</v>
      </c>
      <c r="M1" s="9" t="s">
        <v>1296</v>
      </c>
      <c r="N1" s="9" t="s">
        <v>1298</v>
      </c>
      <c r="O1" s="9" t="s">
        <v>1299</v>
      </c>
      <c r="P1" s="9" t="s">
        <v>1300</v>
      </c>
      <c r="Q1" s="9" t="s">
        <v>1301</v>
      </c>
      <c r="R1" s="9" t="s">
        <v>1302</v>
      </c>
      <c r="S1" s="9" t="s">
        <v>1303</v>
      </c>
      <c r="T1" s="9" t="s">
        <v>1304</v>
      </c>
    </row>
    <row r="2" spans="1:20">
      <c r="A2" s="19">
        <v>1229673</v>
      </c>
      <c r="B2" s="9">
        <v>200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200</v>
      </c>
      <c r="O2" s="9">
        <v>200</v>
      </c>
      <c r="P2" s="9">
        <v>200</v>
      </c>
      <c r="Q2" s="9">
        <v>200</v>
      </c>
      <c r="R2" s="9">
        <v>200</v>
      </c>
      <c r="S2" s="9">
        <v>0</v>
      </c>
      <c r="T2" s="9">
        <v>0</v>
      </c>
    </row>
    <row r="3" spans="1:20">
      <c r="A3" s="19">
        <v>1230854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200</v>
      </c>
      <c r="H3" s="9">
        <v>200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</row>
    <row r="4" spans="1:20">
      <c r="A4" s="19">
        <v>1233492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620</v>
      </c>
      <c r="K4" s="9">
        <v>700</v>
      </c>
      <c r="L4" s="9">
        <v>0</v>
      </c>
      <c r="M4" s="9">
        <v>0</v>
      </c>
      <c r="N4" s="9">
        <v>700</v>
      </c>
      <c r="O4" s="9">
        <v>600</v>
      </c>
      <c r="P4" s="9">
        <v>0</v>
      </c>
      <c r="Q4" s="9">
        <v>0</v>
      </c>
      <c r="R4" s="9">
        <v>0</v>
      </c>
      <c r="S4" s="9">
        <v>0</v>
      </c>
      <c r="T4" s="9">
        <v>0</v>
      </c>
    </row>
    <row r="5" spans="1:20">
      <c r="A5" s="19">
        <v>1233498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620</v>
      </c>
      <c r="K5" s="9">
        <v>700</v>
      </c>
      <c r="L5" s="9">
        <v>0</v>
      </c>
      <c r="M5" s="9">
        <v>0</v>
      </c>
      <c r="N5" s="9">
        <v>700</v>
      </c>
      <c r="O5" s="9">
        <v>600</v>
      </c>
      <c r="P5" s="9">
        <v>0</v>
      </c>
      <c r="Q5" s="9">
        <v>0</v>
      </c>
      <c r="R5" s="9">
        <v>0</v>
      </c>
      <c r="S5" s="9">
        <v>0</v>
      </c>
      <c r="T5" s="9">
        <v>0</v>
      </c>
    </row>
    <row r="6" spans="1:20">
      <c r="A6" s="19">
        <v>1233623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620</v>
      </c>
      <c r="K6" s="9">
        <v>700</v>
      </c>
      <c r="L6" s="9">
        <v>0</v>
      </c>
      <c r="M6" s="9">
        <v>0</v>
      </c>
      <c r="N6" s="9">
        <v>700</v>
      </c>
      <c r="O6" s="9">
        <v>600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19">
        <v>1235623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490</v>
      </c>
      <c r="H7" s="9">
        <v>82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106</v>
      </c>
      <c r="P7" s="9">
        <v>712</v>
      </c>
      <c r="Q7" s="9">
        <v>482</v>
      </c>
      <c r="R7" s="9">
        <v>0</v>
      </c>
      <c r="S7" s="9">
        <v>0</v>
      </c>
      <c r="T7" s="9">
        <v>0</v>
      </c>
    </row>
    <row r="8" spans="1:20">
      <c r="A8" s="19">
        <v>1236976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2</v>
      </c>
      <c r="Q8" s="9">
        <v>0</v>
      </c>
      <c r="R8" s="9">
        <v>0</v>
      </c>
      <c r="S8" s="9">
        <v>0</v>
      </c>
      <c r="T8" s="9">
        <v>0</v>
      </c>
    </row>
    <row r="9" spans="1:20">
      <c r="A9" s="19">
        <v>1237088</v>
      </c>
      <c r="B9" s="9">
        <v>634</v>
      </c>
      <c r="C9" s="9">
        <v>794</v>
      </c>
      <c r="D9" s="9">
        <v>566</v>
      </c>
      <c r="E9" s="9">
        <v>0</v>
      </c>
      <c r="F9" s="9">
        <v>0</v>
      </c>
      <c r="G9" s="9">
        <v>1318</v>
      </c>
      <c r="H9" s="9">
        <v>1076</v>
      </c>
      <c r="I9" s="9">
        <v>476</v>
      </c>
      <c r="J9" s="9">
        <v>704</v>
      </c>
      <c r="K9" s="9">
        <v>794</v>
      </c>
      <c r="L9" s="9">
        <v>0</v>
      </c>
      <c r="M9" s="9">
        <v>0</v>
      </c>
      <c r="N9" s="9">
        <v>1100</v>
      </c>
      <c r="O9" s="9">
        <v>692</v>
      </c>
      <c r="P9" s="9">
        <v>496</v>
      </c>
      <c r="Q9" s="9">
        <v>948</v>
      </c>
      <c r="R9" s="9">
        <v>444</v>
      </c>
      <c r="S9" s="9">
        <v>0</v>
      </c>
      <c r="T9" s="9">
        <v>0</v>
      </c>
    </row>
    <row r="10" spans="1:20">
      <c r="A10" s="19">
        <v>1237748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404</v>
      </c>
      <c r="R10" s="9">
        <v>840</v>
      </c>
      <c r="S10" s="9">
        <v>0</v>
      </c>
      <c r="T10" s="9">
        <v>0</v>
      </c>
    </row>
    <row r="11" spans="1:20">
      <c r="A11" s="19">
        <v>1231898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300</v>
      </c>
      <c r="S11" s="9">
        <v>0</v>
      </c>
      <c r="T11" s="9">
        <v>0</v>
      </c>
    </row>
    <row r="12" spans="1:20">
      <c r="A12" s="19">
        <v>1237586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300</v>
      </c>
      <c r="S12" s="9">
        <v>0</v>
      </c>
      <c r="T12" s="9">
        <v>0</v>
      </c>
    </row>
    <row r="13" spans="1:20">
      <c r="A13" s="19">
        <v>1236091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200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</row>
    <row r="14" spans="1:20">
      <c r="A14" s="19">
        <v>1234905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366</v>
      </c>
      <c r="O14" s="9">
        <v>436</v>
      </c>
      <c r="P14" s="9">
        <v>296</v>
      </c>
      <c r="Q14" s="9">
        <v>382</v>
      </c>
      <c r="R14" s="9">
        <v>436</v>
      </c>
      <c r="S14" s="9">
        <v>0</v>
      </c>
      <c r="T14" s="9">
        <v>0</v>
      </c>
    </row>
    <row r="15" spans="1:20">
      <c r="A15" s="19">
        <v>1238128</v>
      </c>
      <c r="B15" s="9">
        <v>1392</v>
      </c>
      <c r="C15" s="9">
        <v>1770</v>
      </c>
      <c r="D15" s="9">
        <v>1770</v>
      </c>
      <c r="E15" s="9">
        <v>0</v>
      </c>
      <c r="F15" s="9">
        <v>0</v>
      </c>
      <c r="G15" s="9">
        <v>1456</v>
      </c>
      <c r="H15" s="9">
        <v>1180</v>
      </c>
      <c r="I15" s="9">
        <v>672</v>
      </c>
      <c r="J15" s="9">
        <v>1180</v>
      </c>
      <c r="K15" s="9">
        <v>1180</v>
      </c>
      <c r="L15" s="9">
        <v>0</v>
      </c>
      <c r="M15" s="9">
        <v>0</v>
      </c>
      <c r="N15" s="9">
        <v>1180</v>
      </c>
      <c r="O15" s="9">
        <v>1180</v>
      </c>
      <c r="P15" s="9">
        <v>872</v>
      </c>
      <c r="Q15" s="9">
        <v>1180</v>
      </c>
      <c r="R15" s="9">
        <v>1180</v>
      </c>
      <c r="S15" s="9">
        <v>0</v>
      </c>
      <c r="T15" s="9">
        <v>0</v>
      </c>
    </row>
    <row r="16" spans="1:20">
      <c r="A16" s="19">
        <v>1236962</v>
      </c>
      <c r="B16" s="9">
        <v>0</v>
      </c>
      <c r="C16" s="9">
        <v>300</v>
      </c>
      <c r="D16" s="9">
        <v>0</v>
      </c>
      <c r="E16" s="9">
        <v>0</v>
      </c>
      <c r="F16" s="9">
        <v>0</v>
      </c>
      <c r="G16" s="9">
        <v>0</v>
      </c>
      <c r="H16" s="9">
        <v>300</v>
      </c>
      <c r="I16" s="9">
        <v>0</v>
      </c>
      <c r="J16" s="9">
        <v>0</v>
      </c>
      <c r="K16" s="9">
        <v>200</v>
      </c>
      <c r="L16" s="9">
        <v>0</v>
      </c>
      <c r="M16" s="9">
        <v>0</v>
      </c>
      <c r="N16" s="9">
        <v>0</v>
      </c>
      <c r="O16" s="9">
        <v>0</v>
      </c>
      <c r="P16" s="9">
        <v>300</v>
      </c>
      <c r="Q16" s="9">
        <v>200</v>
      </c>
      <c r="R16" s="9">
        <v>320</v>
      </c>
      <c r="S16" s="9">
        <v>0</v>
      </c>
      <c r="T16" s="9">
        <v>0</v>
      </c>
    </row>
    <row r="17" spans="1:20">
      <c r="A17" s="19">
        <v>1233761</v>
      </c>
      <c r="B17" s="9">
        <v>0</v>
      </c>
      <c r="C17" s="9">
        <v>0</v>
      </c>
      <c r="D17" s="9">
        <v>200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150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</row>
    <row r="18" spans="1:20">
      <c r="A18" s="19">
        <v>1236930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174</v>
      </c>
      <c r="H18" s="9">
        <v>358</v>
      </c>
      <c r="I18" s="9">
        <v>204</v>
      </c>
      <c r="J18" s="9">
        <v>358</v>
      </c>
      <c r="K18" s="9">
        <v>358</v>
      </c>
      <c r="L18" s="9">
        <v>0</v>
      </c>
      <c r="M18" s="9">
        <v>0</v>
      </c>
      <c r="N18" s="9">
        <v>50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</row>
    <row r="19" spans="1:20">
      <c r="A19" s="19">
        <v>1239651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384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217</v>
      </c>
      <c r="S19" s="9">
        <v>0</v>
      </c>
      <c r="T19" s="9">
        <v>0</v>
      </c>
    </row>
    <row r="20" spans="1:20">
      <c r="A20" s="19">
        <v>1240180</v>
      </c>
      <c r="B20" s="9">
        <v>208</v>
      </c>
      <c r="C20" s="9">
        <v>430</v>
      </c>
      <c r="D20" s="9">
        <v>430</v>
      </c>
      <c r="E20" s="9">
        <v>0</v>
      </c>
      <c r="F20" s="9">
        <v>0</v>
      </c>
      <c r="G20" s="9">
        <v>200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</row>
    <row r="21" spans="1:20">
      <c r="A21" s="19">
        <v>1240184</v>
      </c>
      <c r="B21" s="9">
        <v>208</v>
      </c>
      <c r="C21" s="9">
        <v>230</v>
      </c>
      <c r="D21" s="9">
        <v>430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</row>
    <row r="22" spans="1:20">
      <c r="A22" s="19">
        <v>1239988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50</v>
      </c>
      <c r="Q22" s="9">
        <v>50</v>
      </c>
      <c r="R22" s="9">
        <v>0</v>
      </c>
      <c r="S22" s="9">
        <v>0</v>
      </c>
      <c r="T22" s="9">
        <v>0</v>
      </c>
    </row>
    <row r="23" spans="1:20">
      <c r="A23" s="19">
        <v>1240308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300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</row>
    <row r="24" spans="1:20">
      <c r="A24" s="19">
        <v>1242242</v>
      </c>
      <c r="B24" s="9">
        <v>72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</row>
    <row r="30" spans="1:20">
      <c r="A30" s="19" t="s">
        <v>0</v>
      </c>
      <c r="B30" s="9" t="s">
        <v>1284</v>
      </c>
      <c r="C30" s="9" t="s">
        <v>1285</v>
      </c>
      <c r="D30" s="9" t="s">
        <v>1286</v>
      </c>
      <c r="E30" s="9" t="s">
        <v>1287</v>
      </c>
      <c r="F30" s="9" t="s">
        <v>1288</v>
      </c>
      <c r="G30" s="9" t="s">
        <v>1290</v>
      </c>
      <c r="H30" s="9" t="s">
        <v>1291</v>
      </c>
      <c r="I30" s="9" t="s">
        <v>1292</v>
      </c>
      <c r="J30" s="9" t="s">
        <v>1293</v>
      </c>
      <c r="K30" s="9" t="s">
        <v>1294</v>
      </c>
      <c r="L30" s="9" t="s">
        <v>1295</v>
      </c>
      <c r="M30" s="9" t="s">
        <v>1296</v>
      </c>
      <c r="N30" s="9" t="s">
        <v>1298</v>
      </c>
      <c r="O30" s="9" t="s">
        <v>1299</v>
      </c>
      <c r="P30" s="9" t="s">
        <v>1300</v>
      </c>
      <c r="Q30" s="9" t="s">
        <v>1301</v>
      </c>
      <c r="R30" s="9" t="s">
        <v>1302</v>
      </c>
      <c r="S30" s="9" t="s">
        <v>1303</v>
      </c>
      <c r="T30" s="9" t="s">
        <v>1304</v>
      </c>
    </row>
    <row r="31" spans="1:20">
      <c r="A31" s="19">
        <v>1233165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88</v>
      </c>
      <c r="P31" s="9">
        <v>162</v>
      </c>
      <c r="Q31" s="9">
        <v>0</v>
      </c>
      <c r="R31" s="9">
        <v>0</v>
      </c>
      <c r="S31" s="9">
        <v>0</v>
      </c>
      <c r="T31" s="9">
        <v>0</v>
      </c>
    </row>
    <row r="32" spans="1:20">
      <c r="A32" s="19">
        <v>1236110</v>
      </c>
      <c r="B32" s="9">
        <v>35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</row>
    <row r="33" spans="1:20">
      <c r="A33" s="19">
        <v>1236387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117</v>
      </c>
      <c r="I33" s="9">
        <v>293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110</v>
      </c>
      <c r="Q33" s="9">
        <v>377</v>
      </c>
      <c r="R33" s="9">
        <v>377</v>
      </c>
      <c r="S33" s="9">
        <v>0</v>
      </c>
      <c r="T33" s="9">
        <v>0</v>
      </c>
    </row>
    <row r="34" spans="1:20">
      <c r="A34" s="19">
        <v>1232775</v>
      </c>
      <c r="B34" s="9">
        <v>242</v>
      </c>
      <c r="C34" s="9">
        <v>245</v>
      </c>
      <c r="D34" s="9">
        <v>242</v>
      </c>
      <c r="E34" s="9">
        <v>0</v>
      </c>
      <c r="F34" s="9">
        <v>0</v>
      </c>
      <c r="G34" s="9">
        <v>245</v>
      </c>
      <c r="H34" s="9">
        <v>242</v>
      </c>
      <c r="I34" s="9">
        <v>242</v>
      </c>
      <c r="J34" s="9">
        <v>242</v>
      </c>
      <c r="K34" s="9">
        <v>200</v>
      </c>
      <c r="L34" s="9">
        <v>0</v>
      </c>
      <c r="M34" s="9">
        <v>0</v>
      </c>
      <c r="N34" s="9">
        <v>487</v>
      </c>
      <c r="O34" s="9">
        <v>300</v>
      </c>
      <c r="P34" s="9">
        <v>71</v>
      </c>
      <c r="Q34" s="9">
        <v>245</v>
      </c>
      <c r="R34" s="9">
        <v>245</v>
      </c>
      <c r="S34" s="9">
        <v>0</v>
      </c>
      <c r="T34" s="9">
        <v>0</v>
      </c>
    </row>
    <row r="35" spans="1:20">
      <c r="A35" s="19">
        <v>1238605</v>
      </c>
      <c r="B35" s="9">
        <v>191</v>
      </c>
      <c r="C35" s="9">
        <v>193</v>
      </c>
      <c r="D35" s="9">
        <v>191</v>
      </c>
      <c r="E35" s="9">
        <v>0</v>
      </c>
      <c r="F35" s="9">
        <v>0</v>
      </c>
      <c r="G35" s="9">
        <v>191</v>
      </c>
      <c r="H35" s="9">
        <v>109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</row>
    <row r="36" spans="1:20">
      <c r="A36" s="19">
        <v>1230685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58</v>
      </c>
      <c r="J36" s="9">
        <v>330</v>
      </c>
      <c r="K36" s="9">
        <v>12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</row>
    <row r="40" spans="1:20">
      <c r="A40" s="19" t="s">
        <v>0</v>
      </c>
      <c r="B40" s="9" t="s">
        <v>1284</v>
      </c>
      <c r="C40" s="9" t="s">
        <v>1285</v>
      </c>
      <c r="D40" s="9" t="s">
        <v>1286</v>
      </c>
      <c r="E40" s="9" t="s">
        <v>1287</v>
      </c>
      <c r="F40" s="9" t="s">
        <v>1288</v>
      </c>
      <c r="G40" s="9" t="s">
        <v>1290</v>
      </c>
      <c r="H40" s="9" t="s">
        <v>1291</v>
      </c>
      <c r="I40" s="9" t="s">
        <v>1292</v>
      </c>
      <c r="J40" s="9" t="s">
        <v>1293</v>
      </c>
      <c r="K40" s="9" t="s">
        <v>1294</v>
      </c>
      <c r="L40" s="9" t="s">
        <v>1295</v>
      </c>
      <c r="M40" s="9" t="s">
        <v>1296</v>
      </c>
      <c r="N40" s="9" t="s">
        <v>1298</v>
      </c>
      <c r="O40" s="9" t="s">
        <v>1299</v>
      </c>
      <c r="P40" s="9" t="s">
        <v>1300</v>
      </c>
      <c r="Q40" s="9" t="s">
        <v>1301</v>
      </c>
      <c r="R40" s="9" t="s">
        <v>1302</v>
      </c>
      <c r="S40" s="9" t="s">
        <v>1303</v>
      </c>
      <c r="T40" s="9" t="s">
        <v>1304</v>
      </c>
    </row>
    <row r="41" spans="1:20">
      <c r="A41" s="19">
        <v>1234614</v>
      </c>
      <c r="B41" s="9">
        <v>39</v>
      </c>
      <c r="C41" s="9">
        <v>285</v>
      </c>
      <c r="D41" s="9">
        <v>0</v>
      </c>
      <c r="E41" s="9">
        <v>0</v>
      </c>
      <c r="F41" s="9">
        <v>0</v>
      </c>
      <c r="G41" s="9">
        <v>124</v>
      </c>
      <c r="H41" s="9">
        <v>376</v>
      </c>
      <c r="I41" s="9">
        <v>368</v>
      </c>
      <c r="J41" s="9">
        <v>280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</row>
    <row r="42" spans="1:20">
      <c r="A42" s="19">
        <v>1221967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373</v>
      </c>
      <c r="K42" s="9">
        <v>328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</row>
    <row r="43" spans="1:20">
      <c r="A43" s="19">
        <v>1227306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169</v>
      </c>
      <c r="K43" s="9">
        <v>475</v>
      </c>
      <c r="L43" s="9">
        <v>0</v>
      </c>
      <c r="M43" s="9">
        <v>0</v>
      </c>
      <c r="N43" s="9">
        <v>506</v>
      </c>
      <c r="O43" s="9">
        <v>350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</row>
    <row r="44" spans="1:20">
      <c r="A44" s="19">
        <v>1227359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380</v>
      </c>
      <c r="R44" s="9">
        <v>80</v>
      </c>
      <c r="S44" s="9">
        <v>0</v>
      </c>
      <c r="T44" s="9">
        <v>0</v>
      </c>
    </row>
    <row r="45" spans="1:20">
      <c r="A45" s="19">
        <v>1225464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375</v>
      </c>
      <c r="H45" s="9">
        <v>385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</row>
    <row r="46" spans="1:20">
      <c r="A46" s="19">
        <v>1231797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79</v>
      </c>
      <c r="J46" s="9">
        <v>89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</row>
    <row r="47" spans="1:20">
      <c r="A47" s="19">
        <v>1229776</v>
      </c>
      <c r="B47" s="9">
        <v>9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</row>
    <row r="48" spans="1:20">
      <c r="A48" s="19">
        <v>1231090</v>
      </c>
      <c r="B48" s="9">
        <v>9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117</v>
      </c>
      <c r="P48" s="9">
        <v>388</v>
      </c>
      <c r="Q48" s="9">
        <v>494</v>
      </c>
      <c r="R48" s="9">
        <v>494</v>
      </c>
      <c r="S48" s="9">
        <v>0</v>
      </c>
      <c r="T48" s="9">
        <v>0</v>
      </c>
    </row>
    <row r="49" spans="1:20">
      <c r="A49" s="19">
        <v>1232066</v>
      </c>
      <c r="B49" s="9">
        <v>0</v>
      </c>
      <c r="C49" s="9">
        <v>0</v>
      </c>
      <c r="D49" s="9">
        <v>257</v>
      </c>
      <c r="E49" s="9">
        <v>0</v>
      </c>
      <c r="F49" s="9">
        <v>0</v>
      </c>
      <c r="G49" s="9">
        <v>499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</row>
    <row r="50" spans="1:20">
      <c r="A50" s="19">
        <v>1231860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100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</row>
    <row r="51" spans="1:20">
      <c r="A51" s="100">
        <v>1232693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546</v>
      </c>
      <c r="I51" s="9">
        <v>654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200</v>
      </c>
      <c r="P51" s="9">
        <v>776</v>
      </c>
      <c r="Q51" s="9">
        <v>988</v>
      </c>
      <c r="R51" s="9">
        <v>186</v>
      </c>
      <c r="S51" s="9">
        <v>0</v>
      </c>
      <c r="T51" s="9">
        <v>0</v>
      </c>
    </row>
    <row r="52" spans="1:20">
      <c r="A52" s="100">
        <v>1233025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546</v>
      </c>
      <c r="I52" s="9">
        <v>654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200</v>
      </c>
      <c r="P52" s="9">
        <v>776</v>
      </c>
      <c r="Q52" s="9">
        <v>988</v>
      </c>
      <c r="R52" s="9">
        <v>186</v>
      </c>
      <c r="S52" s="9">
        <v>0</v>
      </c>
      <c r="T52" s="9">
        <v>0</v>
      </c>
    </row>
    <row r="53" spans="1:20">
      <c r="A53" s="19">
        <v>1232528</v>
      </c>
      <c r="B53" s="9">
        <v>1586</v>
      </c>
      <c r="C53" s="9">
        <v>514</v>
      </c>
      <c r="D53" s="9">
        <v>624</v>
      </c>
      <c r="E53" s="9">
        <v>0</v>
      </c>
      <c r="F53" s="9">
        <v>0</v>
      </c>
      <c r="G53" s="9">
        <v>595</v>
      </c>
      <c r="H53" s="9">
        <v>674</v>
      </c>
      <c r="I53" s="9">
        <v>539</v>
      </c>
      <c r="J53" s="9">
        <v>944</v>
      </c>
      <c r="K53" s="9">
        <v>1308</v>
      </c>
      <c r="L53" s="9">
        <v>0</v>
      </c>
      <c r="M53" s="9">
        <v>0</v>
      </c>
      <c r="N53" s="9">
        <v>1238</v>
      </c>
      <c r="O53" s="9">
        <v>1117</v>
      </c>
      <c r="P53" s="9">
        <v>391</v>
      </c>
      <c r="Q53" s="9">
        <v>0</v>
      </c>
      <c r="R53" s="9">
        <v>0</v>
      </c>
      <c r="S53" s="9">
        <v>0</v>
      </c>
      <c r="T53" s="9">
        <v>0</v>
      </c>
    </row>
    <row r="54" spans="1:20">
      <c r="A54" s="19">
        <v>1232846</v>
      </c>
      <c r="B54" s="9">
        <v>0</v>
      </c>
      <c r="C54" s="9">
        <v>377</v>
      </c>
      <c r="D54" s="9">
        <v>454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</row>
    <row r="55" spans="1:20">
      <c r="A55" s="19">
        <v>1229050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35</v>
      </c>
      <c r="Q55" s="9">
        <v>105</v>
      </c>
      <c r="R55" s="9">
        <v>0</v>
      </c>
      <c r="S55" s="9">
        <v>0</v>
      </c>
      <c r="T55" s="9">
        <v>0</v>
      </c>
    </row>
    <row r="56" spans="1:20">
      <c r="A56" s="19">
        <v>1220847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273</v>
      </c>
      <c r="O56" s="9">
        <v>542</v>
      </c>
      <c r="P56" s="9">
        <v>99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19">
        <v>1234222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60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</row>
    <row r="58" spans="1:20">
      <c r="A58" s="19">
        <v>1234217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100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</row>
    <row r="59" spans="1:20">
      <c r="A59" s="19">
        <v>1234111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100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</row>
    <row r="60" spans="1:20">
      <c r="A60" s="19">
        <v>1234110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100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</row>
    <row r="61" spans="1:20">
      <c r="A61" s="19">
        <v>1235097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151</v>
      </c>
      <c r="I61" s="9">
        <v>269</v>
      </c>
      <c r="J61" s="9">
        <v>80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</row>
    <row r="62" spans="1:20">
      <c r="A62" s="19">
        <v>1235958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2</v>
      </c>
      <c r="R62" s="9">
        <v>0</v>
      </c>
      <c r="S62" s="9">
        <v>0</v>
      </c>
      <c r="T62" s="9">
        <v>0</v>
      </c>
    </row>
    <row r="63" spans="1:20">
      <c r="A63" s="19">
        <v>1235845</v>
      </c>
      <c r="B63" s="9">
        <v>0</v>
      </c>
      <c r="C63" s="9">
        <v>0</v>
      </c>
      <c r="D63" s="9">
        <v>330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</row>
    <row r="64" spans="1:20">
      <c r="A64" s="19">
        <v>1236600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301</v>
      </c>
      <c r="K64" s="9">
        <v>533</v>
      </c>
      <c r="L64" s="9">
        <v>0</v>
      </c>
      <c r="M64" s="9">
        <v>0</v>
      </c>
      <c r="N64" s="9">
        <v>293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</row>
    <row r="65" spans="1:20">
      <c r="A65" s="19">
        <v>1236930</v>
      </c>
      <c r="B65" s="9">
        <v>539</v>
      </c>
      <c r="C65" s="9">
        <v>457</v>
      </c>
      <c r="D65" s="9">
        <v>314</v>
      </c>
      <c r="E65" s="9">
        <v>0</v>
      </c>
      <c r="F65" s="9">
        <v>0</v>
      </c>
      <c r="G65" s="9">
        <v>325</v>
      </c>
      <c r="H65" s="9">
        <v>555</v>
      </c>
      <c r="I65" s="9">
        <v>330</v>
      </c>
      <c r="J65" s="9">
        <v>420</v>
      </c>
      <c r="K65" s="9">
        <v>416</v>
      </c>
      <c r="L65" s="9">
        <v>0</v>
      </c>
      <c r="M65" s="9">
        <v>0</v>
      </c>
      <c r="N65" s="9">
        <v>420</v>
      </c>
      <c r="O65" s="9">
        <v>500</v>
      </c>
      <c r="P65" s="9">
        <v>533</v>
      </c>
      <c r="Q65" s="9">
        <v>261</v>
      </c>
      <c r="R65" s="9">
        <v>250</v>
      </c>
      <c r="S65" s="9">
        <v>0</v>
      </c>
      <c r="T65" s="9">
        <v>0</v>
      </c>
    </row>
    <row r="66" spans="1:20">
      <c r="A66" s="19">
        <v>1232982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80</v>
      </c>
      <c r="Q66" s="9">
        <v>0</v>
      </c>
      <c r="R66" s="9">
        <v>0</v>
      </c>
      <c r="S66" s="9">
        <v>0</v>
      </c>
      <c r="T66" s="9">
        <v>0</v>
      </c>
    </row>
    <row r="67" spans="1:20">
      <c r="A67" s="19">
        <v>1238480</v>
      </c>
      <c r="B67" s="9">
        <v>305</v>
      </c>
      <c r="C67" s="9">
        <v>1157</v>
      </c>
      <c r="D67" s="9">
        <v>1195</v>
      </c>
      <c r="E67" s="9">
        <v>0</v>
      </c>
      <c r="F67" s="9">
        <v>0</v>
      </c>
      <c r="G67" s="9">
        <v>1243</v>
      </c>
      <c r="H67" s="9">
        <v>923</v>
      </c>
      <c r="I67" s="9">
        <v>578</v>
      </c>
      <c r="J67" s="9">
        <v>429</v>
      </c>
      <c r="K67" s="9">
        <v>339</v>
      </c>
      <c r="L67" s="9">
        <v>0</v>
      </c>
      <c r="M67" s="9">
        <v>0</v>
      </c>
      <c r="N67" s="9">
        <v>529</v>
      </c>
      <c r="O67" s="9">
        <v>775</v>
      </c>
      <c r="P67" s="9">
        <v>635</v>
      </c>
      <c r="Q67" s="9">
        <v>1282</v>
      </c>
      <c r="R67" s="9">
        <v>1245</v>
      </c>
      <c r="S67" s="9">
        <v>0</v>
      </c>
      <c r="T67" s="9">
        <v>0</v>
      </c>
    </row>
    <row r="68" spans="1:20">
      <c r="A68" s="19">
        <v>1238453</v>
      </c>
      <c r="B68" s="9">
        <v>0</v>
      </c>
      <c r="C68" s="9">
        <v>0</v>
      </c>
      <c r="D68" s="9">
        <v>37</v>
      </c>
      <c r="E68" s="9">
        <v>0</v>
      </c>
      <c r="F68" s="9">
        <v>0</v>
      </c>
      <c r="G68" s="9">
        <v>275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</row>
    <row r="69" spans="1:20">
      <c r="A69" s="19">
        <v>1240180</v>
      </c>
      <c r="B69" s="9">
        <v>0</v>
      </c>
      <c r="C69" s="9">
        <v>191</v>
      </c>
      <c r="D69" s="9">
        <v>279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</row>
    <row r="70" spans="1:20">
      <c r="A70" s="19">
        <v>1240184</v>
      </c>
      <c r="B70" s="9">
        <v>0</v>
      </c>
      <c r="C70" s="9">
        <v>191</v>
      </c>
      <c r="D70" s="9">
        <v>279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</row>
    <row r="71" spans="1:20">
      <c r="A71" s="19">
        <v>1237468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128</v>
      </c>
      <c r="L71" s="9">
        <v>0</v>
      </c>
      <c r="M71" s="9">
        <v>0</v>
      </c>
      <c r="N71" s="9">
        <v>196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</row>
    <row r="72" spans="1:20">
      <c r="A72" s="19">
        <v>1241480</v>
      </c>
      <c r="B72" s="9">
        <v>26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</row>
    <row r="73" spans="1:20">
      <c r="A73" s="19">
        <v>1216452</v>
      </c>
      <c r="B73" s="9">
        <v>0</v>
      </c>
      <c r="C73" s="9">
        <v>0</v>
      </c>
      <c r="D73" s="9">
        <v>362</v>
      </c>
      <c r="E73" s="9">
        <v>0</v>
      </c>
      <c r="F73" s="9">
        <v>0</v>
      </c>
      <c r="G73" s="9">
        <v>590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486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</row>
    <row r="74" spans="1:20">
      <c r="A74" s="19">
        <v>1232894</v>
      </c>
      <c r="B74" s="9">
        <v>0</v>
      </c>
      <c r="C74" s="9">
        <v>377</v>
      </c>
      <c r="D74" s="9">
        <v>454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</row>
    <row r="75" spans="1:20">
      <c r="A75" s="19">
        <v>1233387</v>
      </c>
      <c r="B75" s="9">
        <v>0</v>
      </c>
      <c r="C75" s="9">
        <v>255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</row>
    <row r="76" spans="1:20">
      <c r="A76" s="19">
        <v>1233385</v>
      </c>
      <c r="B76" s="9">
        <v>0</v>
      </c>
      <c r="C76" s="9">
        <v>122</v>
      </c>
      <c r="D76" s="9">
        <v>454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</row>
    <row r="77" spans="1:20">
      <c r="A77" s="19">
        <v>1233580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200</v>
      </c>
      <c r="S77" s="9">
        <v>0</v>
      </c>
      <c r="T77" s="9">
        <v>0</v>
      </c>
    </row>
  </sheetData>
  <phoneticPr fontId="11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3781-86ED-4250-849A-CB8E29E61062}">
  <sheetPr>
    <tabColor rgb="FFFFFF00"/>
  </sheetPr>
  <dimension ref="A1:W102"/>
  <sheetViews>
    <sheetView zoomScale="145" zoomScaleNormal="145" workbookViewId="0">
      <pane xSplit="2" ySplit="8" topLeftCell="C15" activePane="bottomRight" state="frozen"/>
      <selection pane="topRight" activeCell="C1" sqref="C1"/>
      <selection pane="bottomLeft" activeCell="A9" sqref="A9"/>
      <selection pane="bottomRight" activeCell="L35" sqref="L35"/>
    </sheetView>
  </sheetViews>
  <sheetFormatPr defaultColWidth="9.33203125" defaultRowHeight="12"/>
  <cols>
    <col min="1" max="1" width="9.5" style="5" bestFit="1" customWidth="1"/>
    <col min="2" max="2" width="10.33203125" style="5" bestFit="1" customWidth="1"/>
    <col min="3" max="3" width="10.1640625" style="9" bestFit="1" customWidth="1"/>
    <col min="4" max="7" width="10" style="9" customWidth="1"/>
    <col min="8" max="8" width="9.6640625" style="9" customWidth="1"/>
    <col min="9" max="11" width="10" style="9" customWidth="1"/>
    <col min="12" max="12" width="10" style="9" bestFit="1" customWidth="1"/>
    <col min="13" max="13" width="9.5" style="9" bestFit="1" customWidth="1"/>
    <col min="14" max="14" width="11.33203125" style="5" bestFit="1" customWidth="1"/>
    <col min="15" max="16384" width="9.33203125" style="5"/>
  </cols>
  <sheetData>
    <row r="1" spans="1:23" s="80" customFormat="1">
      <c r="A1" s="81"/>
      <c r="B1" s="81" t="s">
        <v>730</v>
      </c>
      <c r="C1" s="9">
        <f>+C2-C3</f>
        <v>-66927</v>
      </c>
      <c r="D1" s="9">
        <f t="shared" ref="D1:L1" si="0">+D2-D3</f>
        <v>-63098</v>
      </c>
      <c r="E1" s="9">
        <f t="shared" si="0"/>
        <v>-42213</v>
      </c>
      <c r="F1" s="9">
        <f t="shared" si="0"/>
        <v>-26501</v>
      </c>
      <c r="G1" s="9">
        <f t="shared" si="0"/>
        <v>-22244</v>
      </c>
      <c r="H1" s="9">
        <f t="shared" si="0"/>
        <v>-4782</v>
      </c>
      <c r="I1" s="9">
        <f t="shared" si="0"/>
        <v>-57882</v>
      </c>
      <c r="J1" s="9">
        <f t="shared" si="0"/>
        <v>-48344</v>
      </c>
      <c r="K1" s="9">
        <f t="shared" si="0"/>
        <v>-32613</v>
      </c>
      <c r="L1" s="9">
        <f t="shared" si="0"/>
        <v>-36717</v>
      </c>
      <c r="M1" s="193"/>
      <c r="N1" s="194"/>
      <c r="O1" s="194"/>
      <c r="P1" s="194"/>
      <c r="Q1" s="194"/>
      <c r="R1" s="194"/>
      <c r="S1" s="9"/>
      <c r="T1" s="9"/>
      <c r="U1" s="9"/>
      <c r="V1" s="9"/>
      <c r="W1" s="9"/>
    </row>
    <row r="2" spans="1:23" s="80" customFormat="1">
      <c r="A2" s="81"/>
      <c r="B2" s="81" t="s">
        <v>729</v>
      </c>
      <c r="C2" s="9"/>
      <c r="D2" s="9"/>
      <c r="E2" s="9"/>
      <c r="F2" s="9"/>
      <c r="G2" s="9"/>
      <c r="H2" s="9"/>
      <c r="I2" s="9"/>
      <c r="J2" s="9"/>
      <c r="K2" s="9"/>
      <c r="L2" s="9"/>
      <c r="M2" s="193">
        <v>0</v>
      </c>
      <c r="N2" s="194"/>
      <c r="O2" s="194"/>
      <c r="P2" s="194"/>
      <c r="Q2" s="194"/>
      <c r="R2" s="194"/>
      <c r="S2" s="9"/>
      <c r="T2" s="9"/>
      <c r="U2" s="9"/>
      <c r="V2" s="9"/>
      <c r="W2" s="9"/>
    </row>
    <row r="3" spans="1:23" s="196" customFormat="1">
      <c r="A3" s="195"/>
      <c r="B3" s="195" t="s">
        <v>30</v>
      </c>
      <c r="C3" s="63">
        <f>+C4+C5</f>
        <v>66927</v>
      </c>
      <c r="D3" s="63">
        <f t="shared" ref="D3:L3" si="1">+D4+D5</f>
        <v>63098</v>
      </c>
      <c r="E3" s="63">
        <f t="shared" si="1"/>
        <v>42213</v>
      </c>
      <c r="F3" s="63">
        <f t="shared" si="1"/>
        <v>26501</v>
      </c>
      <c r="G3" s="63">
        <f t="shared" si="1"/>
        <v>22244</v>
      </c>
      <c r="H3" s="63">
        <f t="shared" si="1"/>
        <v>4782</v>
      </c>
      <c r="I3" s="63">
        <f t="shared" si="1"/>
        <v>57882</v>
      </c>
      <c r="J3" s="63">
        <f t="shared" si="1"/>
        <v>48344</v>
      </c>
      <c r="K3" s="63">
        <f t="shared" si="1"/>
        <v>32613</v>
      </c>
      <c r="L3" s="63">
        <f t="shared" si="1"/>
        <v>36717</v>
      </c>
      <c r="M3" s="197"/>
      <c r="N3" s="9">
        <f>SUM(C3:L3)</f>
        <v>401321</v>
      </c>
      <c r="O3" s="198"/>
      <c r="P3" s="198"/>
      <c r="Q3" s="198"/>
      <c r="R3" s="198"/>
      <c r="S3" s="10"/>
      <c r="T3" s="10"/>
      <c r="U3" s="10"/>
      <c r="V3" s="10"/>
      <c r="W3" s="10"/>
    </row>
    <row r="4" spans="1:23" s="80" customFormat="1">
      <c r="A4" s="81"/>
      <c r="B4" s="81" t="s">
        <v>31</v>
      </c>
      <c r="C4" s="9">
        <f>SUM(C9:C36)</f>
        <v>37720</v>
      </c>
      <c r="D4" s="9">
        <f t="shared" ref="D4:L4" si="2">SUM(D9:D36)</f>
        <v>35449</v>
      </c>
      <c r="E4" s="9">
        <f t="shared" si="2"/>
        <v>22055</v>
      </c>
      <c r="F4" s="9">
        <f t="shared" si="2"/>
        <v>14520</v>
      </c>
      <c r="G4" s="9">
        <f t="shared" si="2"/>
        <v>14776</v>
      </c>
      <c r="H4" s="9">
        <f t="shared" si="2"/>
        <v>1872</v>
      </c>
      <c r="I4" s="9">
        <f t="shared" si="2"/>
        <v>32816</v>
      </c>
      <c r="J4" s="9">
        <f t="shared" si="2"/>
        <v>29209</v>
      </c>
      <c r="K4" s="9">
        <f t="shared" si="2"/>
        <v>21122</v>
      </c>
      <c r="L4" s="9">
        <f t="shared" si="2"/>
        <v>21200</v>
      </c>
      <c r="M4" s="193"/>
      <c r="N4" s="194"/>
      <c r="O4" s="194"/>
      <c r="P4" s="194"/>
      <c r="Q4" s="194"/>
      <c r="R4" s="194"/>
      <c r="S4" s="9"/>
      <c r="T4" s="9"/>
      <c r="U4" s="9"/>
      <c r="V4" s="9"/>
      <c r="W4" s="9"/>
    </row>
    <row r="5" spans="1:23" s="80" customFormat="1">
      <c r="A5" s="81"/>
      <c r="B5" s="81" t="s">
        <v>27</v>
      </c>
      <c r="C5" s="9">
        <f>SUM(C41:C100)</f>
        <v>29207</v>
      </c>
      <c r="D5" s="9">
        <f t="shared" ref="D5:L5" si="3">SUM(D41:D100)</f>
        <v>27649</v>
      </c>
      <c r="E5" s="9">
        <f t="shared" si="3"/>
        <v>20158</v>
      </c>
      <c r="F5" s="9">
        <f t="shared" si="3"/>
        <v>11981</v>
      </c>
      <c r="G5" s="9">
        <f t="shared" si="3"/>
        <v>7468</v>
      </c>
      <c r="H5" s="9">
        <f t="shared" si="3"/>
        <v>2910</v>
      </c>
      <c r="I5" s="9">
        <f t="shared" si="3"/>
        <v>25066</v>
      </c>
      <c r="J5" s="9">
        <f t="shared" si="3"/>
        <v>19135</v>
      </c>
      <c r="K5" s="9">
        <f t="shared" si="3"/>
        <v>11491</v>
      </c>
      <c r="L5" s="9">
        <f t="shared" si="3"/>
        <v>15517</v>
      </c>
      <c r="M5" s="193"/>
      <c r="N5" s="194"/>
      <c r="O5" s="194"/>
      <c r="P5" s="194"/>
      <c r="Q5" s="194"/>
      <c r="R5" s="194"/>
      <c r="S5" s="9"/>
      <c r="T5" s="9"/>
      <c r="U5" s="9"/>
      <c r="V5" s="9"/>
      <c r="W5" s="9"/>
    </row>
    <row r="6" spans="1:23">
      <c r="M6" s="5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s="33" customFormat="1">
      <c r="A7" s="309"/>
      <c r="B7" s="310" t="s">
        <v>0</v>
      </c>
      <c r="C7" s="275" t="s">
        <v>1212</v>
      </c>
      <c r="D7" s="275" t="s">
        <v>1239</v>
      </c>
      <c r="E7" s="275" t="s">
        <v>1255</v>
      </c>
      <c r="F7" s="275" t="s">
        <v>12</v>
      </c>
      <c r="G7" s="275" t="s">
        <v>13</v>
      </c>
      <c r="H7" s="275" t="s">
        <v>14</v>
      </c>
      <c r="I7" s="275" t="s">
        <v>15</v>
      </c>
      <c r="J7" s="275" t="s">
        <v>16</v>
      </c>
      <c r="K7" s="275" t="s">
        <v>17</v>
      </c>
      <c r="L7" s="275" t="s">
        <v>18</v>
      </c>
      <c r="M7" s="276"/>
    </row>
    <row r="8" spans="1:23" s="33" customFormat="1">
      <c r="A8" s="309"/>
      <c r="B8" s="310"/>
      <c r="C8" s="275" t="s">
        <v>1213</v>
      </c>
      <c r="D8" s="275" t="s">
        <v>1240</v>
      </c>
      <c r="E8" s="275" t="s">
        <v>1256</v>
      </c>
      <c r="F8" s="275" t="s">
        <v>1257</v>
      </c>
      <c r="G8" s="275" t="s">
        <v>1265</v>
      </c>
      <c r="H8" s="275" t="s">
        <v>1273</v>
      </c>
      <c r="I8" s="275" t="s">
        <v>1281</v>
      </c>
      <c r="J8" s="275" t="s">
        <v>1289</v>
      </c>
      <c r="K8" s="275" t="s">
        <v>1297</v>
      </c>
      <c r="L8" s="275" t="s">
        <v>1305</v>
      </c>
      <c r="M8" s="276"/>
      <c r="N8" s="155">
        <v>46183</v>
      </c>
      <c r="O8" s="155">
        <v>46182</v>
      </c>
    </row>
    <row r="9" spans="1:23">
      <c r="A9" s="29"/>
      <c r="B9" s="30">
        <v>1221154</v>
      </c>
      <c r="C9" s="32">
        <v>0</v>
      </c>
      <c r="D9" s="32">
        <v>0</v>
      </c>
      <c r="E9" s="32">
        <v>50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N9" s="78">
        <f t="shared" ref="N9:N36" si="4">SUM(C9:L9)</f>
        <v>50</v>
      </c>
      <c r="O9" s="5">
        <f>VLOOKUP(B9,'0609 W12'!B9:N95,13,0)</f>
        <v>50</v>
      </c>
      <c r="P9" s="78">
        <f>+N9-O9</f>
        <v>0</v>
      </c>
    </row>
    <row r="10" spans="1:23">
      <c r="A10" s="29"/>
      <c r="B10" s="30">
        <v>1226384</v>
      </c>
      <c r="C10" s="32">
        <v>0</v>
      </c>
      <c r="D10" s="32">
        <v>560</v>
      </c>
      <c r="E10" s="32">
        <v>0</v>
      </c>
      <c r="F10" s="32">
        <v>0</v>
      </c>
      <c r="G10" s="32">
        <v>2515</v>
      </c>
      <c r="H10" s="32">
        <v>0</v>
      </c>
      <c r="I10" s="32">
        <v>1360</v>
      </c>
      <c r="J10" s="32">
        <v>0</v>
      </c>
      <c r="K10" s="32">
        <v>0</v>
      </c>
      <c r="L10" s="32">
        <v>1360</v>
      </c>
      <c r="N10" s="78">
        <f t="shared" si="4"/>
        <v>5795</v>
      </c>
      <c r="O10" s="5">
        <f>VLOOKUP(B10,'0609 W12'!B10:N96,13,0)</f>
        <v>4080</v>
      </c>
      <c r="P10" s="78">
        <f t="shared" ref="P10:P36" si="5">+N10-O10</f>
        <v>1715</v>
      </c>
    </row>
    <row r="11" spans="1:23">
      <c r="A11" s="29"/>
      <c r="B11" s="30">
        <v>1226388</v>
      </c>
      <c r="C11" s="32">
        <v>0</v>
      </c>
      <c r="D11" s="32">
        <v>560</v>
      </c>
      <c r="E11" s="32">
        <v>0</v>
      </c>
      <c r="F11" s="32">
        <v>0</v>
      </c>
      <c r="G11" s="32">
        <v>2515</v>
      </c>
      <c r="H11" s="32">
        <v>0</v>
      </c>
      <c r="I11" s="32">
        <v>1360</v>
      </c>
      <c r="J11" s="32">
        <v>0</v>
      </c>
      <c r="K11" s="32">
        <v>0</v>
      </c>
      <c r="L11" s="32">
        <v>1360</v>
      </c>
      <c r="N11" s="78">
        <f t="shared" si="4"/>
        <v>5795</v>
      </c>
      <c r="O11" s="5">
        <f>VLOOKUP(B11,'0609 W12'!B11:N97,13,0)</f>
        <v>4080</v>
      </c>
      <c r="P11" s="78">
        <f t="shared" si="5"/>
        <v>1715</v>
      </c>
    </row>
    <row r="12" spans="1:23">
      <c r="A12" s="29"/>
      <c r="B12" s="30">
        <v>1229673</v>
      </c>
      <c r="C12" s="32">
        <v>500</v>
      </c>
      <c r="D12" s="32">
        <v>500</v>
      </c>
      <c r="E12" s="32">
        <v>500</v>
      </c>
      <c r="F12" s="32">
        <v>500</v>
      </c>
      <c r="G12" s="32">
        <v>0</v>
      </c>
      <c r="H12" s="32">
        <v>0</v>
      </c>
      <c r="I12" s="32">
        <v>800</v>
      </c>
      <c r="J12" s="32">
        <v>800</v>
      </c>
      <c r="K12" s="32">
        <v>800</v>
      </c>
      <c r="L12" s="32">
        <v>0</v>
      </c>
      <c r="N12" s="78">
        <f t="shared" si="4"/>
        <v>4400</v>
      </c>
      <c r="O12" s="5">
        <f>VLOOKUP(B12,'0609 W12'!B12:N98,13,0)</f>
        <v>4900</v>
      </c>
      <c r="P12" s="78">
        <f t="shared" si="5"/>
        <v>-500</v>
      </c>
    </row>
    <row r="13" spans="1:23">
      <c r="A13" s="29"/>
      <c r="B13" s="30">
        <v>1230692</v>
      </c>
      <c r="C13" s="32">
        <v>1300</v>
      </c>
      <c r="D13" s="32">
        <v>500</v>
      </c>
      <c r="E13" s="32">
        <v>500</v>
      </c>
      <c r="F13" s="32">
        <v>600</v>
      </c>
      <c r="G13" s="32">
        <v>500</v>
      </c>
      <c r="H13" s="32">
        <v>0</v>
      </c>
      <c r="I13" s="32">
        <v>900</v>
      </c>
      <c r="J13" s="32">
        <v>900</v>
      </c>
      <c r="K13" s="32">
        <v>900</v>
      </c>
      <c r="L13" s="32">
        <v>1300</v>
      </c>
      <c r="N13" s="78">
        <f t="shared" si="4"/>
        <v>7400</v>
      </c>
      <c r="O13" s="5">
        <f>VLOOKUP(B13,'0609 W12'!B13:N99,13,0)</f>
        <v>7400</v>
      </c>
      <c r="P13" s="78">
        <f t="shared" si="5"/>
        <v>0</v>
      </c>
    </row>
    <row r="14" spans="1:23">
      <c r="A14" s="29"/>
      <c r="B14" s="30">
        <v>1230696</v>
      </c>
      <c r="C14" s="32">
        <v>292</v>
      </c>
      <c r="D14" s="32">
        <v>200</v>
      </c>
      <c r="E14" s="32">
        <v>0</v>
      </c>
      <c r="F14" s="32">
        <v>0</v>
      </c>
      <c r="G14" s="32">
        <v>0</v>
      </c>
      <c r="H14" s="32">
        <v>0</v>
      </c>
      <c r="I14" s="32">
        <v>200</v>
      </c>
      <c r="J14" s="32">
        <v>200</v>
      </c>
      <c r="K14" s="32">
        <v>0</v>
      </c>
      <c r="L14" s="32">
        <v>200</v>
      </c>
      <c r="N14" s="78">
        <f t="shared" si="4"/>
        <v>1092</v>
      </c>
      <c r="O14" s="5">
        <f>VLOOKUP(B14,'0609 W12'!B14:N100,13,0)</f>
        <v>1092</v>
      </c>
      <c r="P14" s="78">
        <f t="shared" si="5"/>
        <v>0</v>
      </c>
    </row>
    <row r="15" spans="1:23">
      <c r="A15" s="29"/>
      <c r="B15" s="30">
        <v>1231202</v>
      </c>
      <c r="C15" s="32">
        <v>0</v>
      </c>
      <c r="D15" s="32">
        <v>0</v>
      </c>
      <c r="E15" s="32">
        <v>200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N15" s="78">
        <f t="shared" si="4"/>
        <v>200</v>
      </c>
      <c r="O15" s="5">
        <f>VLOOKUP(B15,'0609 W12'!B15:N101,13,0)</f>
        <v>200</v>
      </c>
      <c r="P15" s="78">
        <f t="shared" si="5"/>
        <v>0</v>
      </c>
    </row>
    <row r="16" spans="1:23">
      <c r="A16" s="29"/>
      <c r="B16" s="30">
        <v>1231898</v>
      </c>
      <c r="C16" s="32">
        <v>1936</v>
      </c>
      <c r="D16" s="32">
        <v>1792</v>
      </c>
      <c r="E16" s="32">
        <v>0</v>
      </c>
      <c r="F16" s="32">
        <v>0</v>
      </c>
      <c r="G16" s="32">
        <v>0</v>
      </c>
      <c r="H16" s="32">
        <v>0</v>
      </c>
      <c r="I16" s="32">
        <v>2240</v>
      </c>
      <c r="J16" s="32">
        <v>2240</v>
      </c>
      <c r="K16" s="32">
        <v>896</v>
      </c>
      <c r="L16" s="32">
        <v>124</v>
      </c>
      <c r="N16" s="78">
        <f t="shared" si="4"/>
        <v>9228</v>
      </c>
      <c r="O16" s="5">
        <f>VLOOKUP(B16,'0609 W12'!B16:N102,13,0)</f>
        <v>9528</v>
      </c>
      <c r="P16" s="78">
        <f t="shared" si="5"/>
        <v>-300</v>
      </c>
    </row>
    <row r="17" spans="1:16">
      <c r="A17" s="29"/>
      <c r="B17" s="30">
        <v>1233761</v>
      </c>
      <c r="C17" s="32">
        <v>0</v>
      </c>
      <c r="D17" s="32">
        <v>100</v>
      </c>
      <c r="E17" s="32">
        <v>150</v>
      </c>
      <c r="F17" s="32">
        <v>100</v>
      </c>
      <c r="G17" s="32">
        <v>0</v>
      </c>
      <c r="H17" s="32">
        <v>0</v>
      </c>
      <c r="I17" s="32">
        <v>150</v>
      </c>
      <c r="J17" s="32">
        <v>200</v>
      </c>
      <c r="K17" s="32">
        <v>100</v>
      </c>
      <c r="L17" s="32">
        <v>0</v>
      </c>
      <c r="N17" s="78">
        <f t="shared" si="4"/>
        <v>800</v>
      </c>
      <c r="O17" s="5">
        <f>VLOOKUP(B17,'0609 W12'!B17:N103,13,0)</f>
        <v>800</v>
      </c>
      <c r="P17" s="78">
        <f t="shared" si="5"/>
        <v>0</v>
      </c>
    </row>
    <row r="18" spans="1:16">
      <c r="A18" s="29"/>
      <c r="B18" s="30">
        <v>1234905</v>
      </c>
      <c r="C18" s="32">
        <v>0</v>
      </c>
      <c r="D18" s="32">
        <v>800</v>
      </c>
      <c r="E18" s="32">
        <v>600</v>
      </c>
      <c r="F18" s="32">
        <v>300</v>
      </c>
      <c r="G18" s="32">
        <v>550</v>
      </c>
      <c r="H18" s="32">
        <v>0</v>
      </c>
      <c r="I18" s="32">
        <v>900</v>
      </c>
      <c r="J18" s="32">
        <v>1350</v>
      </c>
      <c r="K18" s="32">
        <v>750</v>
      </c>
      <c r="L18" s="32">
        <v>500</v>
      </c>
      <c r="N18" s="78">
        <f t="shared" si="4"/>
        <v>5750</v>
      </c>
      <c r="O18" s="5">
        <f>VLOOKUP(B18,'0609 W12'!B18:N104,13,0)</f>
        <v>7550</v>
      </c>
      <c r="P18" s="78">
        <f t="shared" si="5"/>
        <v>-1800</v>
      </c>
    </row>
    <row r="19" spans="1:16">
      <c r="A19" s="29"/>
      <c r="B19" s="30">
        <v>1235623</v>
      </c>
      <c r="C19" s="32">
        <v>0</v>
      </c>
      <c r="D19" s="32">
        <v>0</v>
      </c>
      <c r="E19" s="32">
        <v>2288</v>
      </c>
      <c r="F19" s="32">
        <v>0</v>
      </c>
      <c r="G19" s="32">
        <v>936</v>
      </c>
      <c r="H19" s="32">
        <v>1872</v>
      </c>
      <c r="I19" s="32">
        <v>0</v>
      </c>
      <c r="J19" s="32">
        <v>0</v>
      </c>
      <c r="K19" s="32">
        <v>0</v>
      </c>
      <c r="L19" s="32">
        <v>0</v>
      </c>
      <c r="N19" s="78">
        <f t="shared" si="4"/>
        <v>5096</v>
      </c>
      <c r="O19" s="5">
        <f>VLOOKUP(B19,'0609 W12'!B19:N105,13,0)</f>
        <v>4160</v>
      </c>
      <c r="P19" s="78">
        <f t="shared" si="5"/>
        <v>936</v>
      </c>
    </row>
    <row r="20" spans="1:16">
      <c r="A20" s="29"/>
      <c r="B20" s="30">
        <v>1236091</v>
      </c>
      <c r="C20" s="32">
        <v>0</v>
      </c>
      <c r="D20" s="32">
        <v>200</v>
      </c>
      <c r="E20" s="32">
        <v>200</v>
      </c>
      <c r="F20" s="32">
        <v>0</v>
      </c>
      <c r="G20" s="32">
        <v>0</v>
      </c>
      <c r="H20" s="32">
        <v>0</v>
      </c>
      <c r="I20" s="32">
        <v>400</v>
      </c>
      <c r="J20" s="32">
        <v>450</v>
      </c>
      <c r="K20" s="32">
        <v>0</v>
      </c>
      <c r="L20" s="32">
        <v>300</v>
      </c>
      <c r="N20" s="78">
        <f t="shared" si="4"/>
        <v>1550</v>
      </c>
      <c r="O20" s="5">
        <f>VLOOKUP(B20,'0609 W12'!B20:N106,13,0)</f>
        <v>1050</v>
      </c>
      <c r="P20" s="78">
        <f t="shared" si="5"/>
        <v>500</v>
      </c>
    </row>
    <row r="21" spans="1:16">
      <c r="A21" s="29"/>
      <c r="B21" s="30">
        <v>1236488</v>
      </c>
      <c r="C21" s="32">
        <v>888</v>
      </c>
      <c r="D21" s="32">
        <v>700</v>
      </c>
      <c r="E21" s="32">
        <v>700</v>
      </c>
      <c r="F21" s="32">
        <v>300</v>
      </c>
      <c r="G21" s="32">
        <v>0</v>
      </c>
      <c r="H21" s="32">
        <v>0</v>
      </c>
      <c r="I21" s="32">
        <v>700</v>
      </c>
      <c r="J21" s="32">
        <v>600</v>
      </c>
      <c r="K21" s="32">
        <v>600</v>
      </c>
      <c r="L21" s="32">
        <v>1100</v>
      </c>
      <c r="N21" s="78">
        <f t="shared" si="4"/>
        <v>5588</v>
      </c>
      <c r="O21" s="5">
        <f>VLOOKUP(B21,'0609 W12'!B21:N107,13,0)</f>
        <v>5588</v>
      </c>
      <c r="P21" s="78">
        <f t="shared" si="5"/>
        <v>0</v>
      </c>
    </row>
    <row r="22" spans="1:16">
      <c r="A22" s="29"/>
      <c r="B22" s="30">
        <v>1236534</v>
      </c>
      <c r="C22" s="32">
        <v>116</v>
      </c>
      <c r="D22" s="32">
        <v>200</v>
      </c>
      <c r="E22" s="32">
        <v>0</v>
      </c>
      <c r="F22" s="32">
        <v>0</v>
      </c>
      <c r="G22" s="32">
        <v>0</v>
      </c>
      <c r="H22" s="32">
        <v>0</v>
      </c>
      <c r="I22" s="32">
        <v>500</v>
      </c>
      <c r="J22" s="32">
        <v>0</v>
      </c>
      <c r="K22" s="32">
        <v>0</v>
      </c>
      <c r="L22" s="32">
        <v>0</v>
      </c>
      <c r="N22" s="78">
        <f t="shared" si="4"/>
        <v>816</v>
      </c>
      <c r="O22" s="5">
        <f>VLOOKUP(B22,'0609 W12'!B22:N108,13,0)</f>
        <v>816</v>
      </c>
      <c r="P22" s="78">
        <f t="shared" si="5"/>
        <v>0</v>
      </c>
    </row>
    <row r="23" spans="1:16">
      <c r="A23" s="29"/>
      <c r="B23" s="30">
        <v>1236962</v>
      </c>
      <c r="C23" s="32">
        <v>500</v>
      </c>
      <c r="D23" s="32">
        <v>600</v>
      </c>
      <c r="E23" s="32">
        <v>600</v>
      </c>
      <c r="F23" s="32">
        <v>380</v>
      </c>
      <c r="G23" s="32">
        <v>0</v>
      </c>
      <c r="H23" s="32">
        <v>0</v>
      </c>
      <c r="I23" s="32">
        <v>600</v>
      </c>
      <c r="J23" s="32">
        <v>600</v>
      </c>
      <c r="K23" s="32">
        <v>700</v>
      </c>
      <c r="L23" s="32">
        <v>700</v>
      </c>
      <c r="N23" s="78">
        <f t="shared" si="4"/>
        <v>4680</v>
      </c>
      <c r="O23" s="5">
        <f>VLOOKUP(B23,'0609 W12'!B23:N109,13,0)</f>
        <v>5000</v>
      </c>
      <c r="P23" s="78">
        <f t="shared" si="5"/>
        <v>-320</v>
      </c>
    </row>
    <row r="24" spans="1:16">
      <c r="A24" s="29"/>
      <c r="B24" s="30">
        <v>1237088</v>
      </c>
      <c r="C24" s="32">
        <v>3256</v>
      </c>
      <c r="D24" s="32">
        <v>3520</v>
      </c>
      <c r="E24" s="32">
        <v>1440</v>
      </c>
      <c r="F24" s="32">
        <v>600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N24" s="78">
        <f t="shared" si="4"/>
        <v>8816</v>
      </c>
      <c r="O24" s="5">
        <f>VLOOKUP(B24,'0609 W12'!B24:N110,13,0)</f>
        <v>11068</v>
      </c>
      <c r="P24" s="78">
        <f t="shared" si="5"/>
        <v>-2252</v>
      </c>
    </row>
    <row r="25" spans="1:16">
      <c r="A25" s="29"/>
      <c r="B25" s="30">
        <v>1237586</v>
      </c>
      <c r="C25" s="32">
        <v>1936</v>
      </c>
      <c r="D25" s="32">
        <v>1792</v>
      </c>
      <c r="E25" s="32">
        <v>0</v>
      </c>
      <c r="F25" s="32">
        <v>0</v>
      </c>
      <c r="G25" s="32">
        <v>0</v>
      </c>
      <c r="H25" s="32">
        <v>0</v>
      </c>
      <c r="I25" s="32">
        <v>2240</v>
      </c>
      <c r="J25" s="32">
        <v>2240</v>
      </c>
      <c r="K25" s="32">
        <v>896</v>
      </c>
      <c r="L25" s="32">
        <v>124</v>
      </c>
      <c r="N25" s="78">
        <f t="shared" si="4"/>
        <v>9228</v>
      </c>
      <c r="O25" s="5">
        <f>VLOOKUP(B25,'0609 W12'!B25:N111,13,0)</f>
        <v>9528</v>
      </c>
      <c r="P25" s="78">
        <f t="shared" si="5"/>
        <v>-300</v>
      </c>
    </row>
    <row r="26" spans="1:16">
      <c r="A26" s="29"/>
      <c r="B26" s="30">
        <v>1237748</v>
      </c>
      <c r="C26" s="32">
        <v>680</v>
      </c>
      <c r="D26" s="32">
        <v>572</v>
      </c>
      <c r="E26" s="32">
        <v>52</v>
      </c>
      <c r="F26" s="32">
        <v>728</v>
      </c>
      <c r="G26" s="32">
        <v>260</v>
      </c>
      <c r="H26" s="32">
        <v>0</v>
      </c>
      <c r="I26" s="32">
        <v>364</v>
      </c>
      <c r="J26" s="32">
        <v>0</v>
      </c>
      <c r="K26" s="32">
        <v>572</v>
      </c>
      <c r="L26" s="32">
        <v>468</v>
      </c>
      <c r="N26" s="78">
        <f t="shared" si="4"/>
        <v>3696</v>
      </c>
      <c r="O26" s="5">
        <f>VLOOKUP(B26,'0609 W12'!B26:N112,13,0)</f>
        <v>4160</v>
      </c>
      <c r="P26" s="78">
        <f t="shared" si="5"/>
        <v>-464</v>
      </c>
    </row>
    <row r="27" spans="1:16">
      <c r="A27" s="29"/>
      <c r="B27" s="30">
        <v>1237765</v>
      </c>
      <c r="C27" s="32">
        <v>0</v>
      </c>
      <c r="D27" s="32">
        <v>300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N27" s="78">
        <f t="shared" si="4"/>
        <v>300</v>
      </c>
      <c r="O27" s="5">
        <f>VLOOKUP(B27,'0609 W12'!B27:N113,13,0)</f>
        <v>300</v>
      </c>
      <c r="P27" s="78">
        <f t="shared" si="5"/>
        <v>0</v>
      </c>
    </row>
    <row r="28" spans="1:16">
      <c r="A28" s="29"/>
      <c r="B28" s="30">
        <v>1238128</v>
      </c>
      <c r="C28" s="32">
        <v>2771</v>
      </c>
      <c r="D28" s="32">
        <v>3433</v>
      </c>
      <c r="E28" s="32">
        <v>128</v>
      </c>
      <c r="F28" s="32">
        <v>512</v>
      </c>
      <c r="G28" s="32">
        <v>0</v>
      </c>
      <c r="H28" s="32">
        <v>0</v>
      </c>
      <c r="I28" s="32">
        <v>3352</v>
      </c>
      <c r="J28" s="32">
        <v>2424</v>
      </c>
      <c r="K28" s="32">
        <v>3108</v>
      </c>
      <c r="L28" s="32">
        <v>2164</v>
      </c>
      <c r="N28" s="78">
        <f t="shared" si="4"/>
        <v>17892</v>
      </c>
      <c r="O28" s="5">
        <f>VLOOKUP(B28,'0609 W12'!B28:N114,13,0)</f>
        <v>19160</v>
      </c>
      <c r="P28" s="78">
        <f t="shared" si="5"/>
        <v>-1268</v>
      </c>
    </row>
    <row r="29" spans="1:16">
      <c r="A29" s="29"/>
      <c r="B29" s="30">
        <v>1238480</v>
      </c>
      <c r="C29" s="32">
        <v>3390</v>
      </c>
      <c r="D29" s="32">
        <v>1898</v>
      </c>
      <c r="E29" s="32">
        <v>1897</v>
      </c>
      <c r="F29" s="32">
        <v>0</v>
      </c>
      <c r="G29" s="32">
        <v>0</v>
      </c>
      <c r="H29" s="32">
        <v>0</v>
      </c>
      <c r="I29" s="32">
        <v>0</v>
      </c>
      <c r="J29" s="32">
        <v>1305</v>
      </c>
      <c r="K29" s="32">
        <v>1300</v>
      </c>
      <c r="L29" s="32">
        <v>0</v>
      </c>
      <c r="N29" s="78">
        <f t="shared" si="4"/>
        <v>9790</v>
      </c>
      <c r="O29" s="5">
        <f>VLOOKUP(B29,'0609 W12'!B29:N115,13,0)</f>
        <v>4995</v>
      </c>
      <c r="P29" s="78">
        <f t="shared" si="5"/>
        <v>4795</v>
      </c>
    </row>
    <row r="30" spans="1:16">
      <c r="A30" s="29"/>
      <c r="B30" s="30">
        <v>1239651</v>
      </c>
      <c r="C30" s="32">
        <v>400</v>
      </c>
      <c r="D30" s="32">
        <v>400</v>
      </c>
      <c r="E30" s="32">
        <v>400</v>
      </c>
      <c r="F30" s="32">
        <v>400</v>
      </c>
      <c r="G30" s="32">
        <v>600</v>
      </c>
      <c r="H30" s="32">
        <v>0</v>
      </c>
      <c r="I30" s="32">
        <v>950</v>
      </c>
      <c r="J30" s="32">
        <v>800</v>
      </c>
      <c r="K30" s="32">
        <v>800</v>
      </c>
      <c r="L30" s="32">
        <v>0</v>
      </c>
      <c r="N30" s="78">
        <f t="shared" si="4"/>
        <v>4750</v>
      </c>
      <c r="O30" s="5">
        <f>VLOOKUP(B30,'0609 W12'!B30:N116,13,0)</f>
        <v>4750</v>
      </c>
      <c r="P30" s="78">
        <f t="shared" si="5"/>
        <v>0</v>
      </c>
    </row>
    <row r="31" spans="1:16">
      <c r="A31" s="29"/>
      <c r="B31" s="30">
        <v>1239988</v>
      </c>
      <c r="C31" s="32">
        <v>3563</v>
      </c>
      <c r="D31" s="32">
        <v>2700</v>
      </c>
      <c r="E31" s="32">
        <v>2100</v>
      </c>
      <c r="F31" s="32">
        <v>2100</v>
      </c>
      <c r="G31" s="32">
        <v>2600</v>
      </c>
      <c r="H31" s="32">
        <v>0</v>
      </c>
      <c r="I31" s="32">
        <v>3100</v>
      </c>
      <c r="J31" s="32">
        <v>3200</v>
      </c>
      <c r="K31" s="32">
        <v>2400</v>
      </c>
      <c r="L31" s="32">
        <v>1300</v>
      </c>
      <c r="N31" s="78">
        <f t="shared" si="4"/>
        <v>23063</v>
      </c>
      <c r="O31" s="5">
        <f>VLOOKUP(B31,'0609 W12'!B31:N117,13,0)</f>
        <v>22100</v>
      </c>
      <c r="P31" s="78">
        <f t="shared" si="5"/>
        <v>963</v>
      </c>
    </row>
    <row r="32" spans="1:16">
      <c r="A32" s="29"/>
      <c r="B32" s="30">
        <v>1240180</v>
      </c>
      <c r="C32" s="32">
        <v>4176</v>
      </c>
      <c r="D32" s="32">
        <v>4536</v>
      </c>
      <c r="E32" s="32">
        <v>2300</v>
      </c>
      <c r="F32" s="32">
        <v>1500</v>
      </c>
      <c r="G32" s="32">
        <v>200</v>
      </c>
      <c r="H32" s="32">
        <v>0</v>
      </c>
      <c r="I32" s="32">
        <v>3150</v>
      </c>
      <c r="J32" s="32">
        <v>3100</v>
      </c>
      <c r="K32" s="32">
        <v>800</v>
      </c>
      <c r="L32" s="32">
        <v>1600</v>
      </c>
      <c r="N32" s="78">
        <f t="shared" si="4"/>
        <v>21362</v>
      </c>
      <c r="O32" s="5">
        <f>VLOOKUP(B32,'0609 W12'!B32:N118,13,0)</f>
        <v>19920</v>
      </c>
      <c r="P32" s="78">
        <f t="shared" si="5"/>
        <v>1442</v>
      </c>
    </row>
    <row r="33" spans="1:16">
      <c r="A33" s="29"/>
      <c r="B33" s="30">
        <v>1240184</v>
      </c>
      <c r="C33" s="32">
        <v>4176</v>
      </c>
      <c r="D33" s="32">
        <v>4036</v>
      </c>
      <c r="E33" s="32">
        <v>2300</v>
      </c>
      <c r="F33" s="32">
        <v>1300</v>
      </c>
      <c r="G33" s="32">
        <v>200</v>
      </c>
      <c r="H33" s="32">
        <v>0</v>
      </c>
      <c r="I33" s="32">
        <v>2700</v>
      </c>
      <c r="J33" s="32">
        <v>2700</v>
      </c>
      <c r="K33" s="32">
        <v>600</v>
      </c>
      <c r="L33" s="32">
        <v>1600</v>
      </c>
      <c r="N33" s="78">
        <f t="shared" si="4"/>
        <v>19612</v>
      </c>
      <c r="O33" s="5">
        <f>VLOOKUP(B33,'0609 W12'!B33:N119,13,0)</f>
        <v>18170</v>
      </c>
      <c r="P33" s="78">
        <f t="shared" si="5"/>
        <v>1442</v>
      </c>
    </row>
    <row r="34" spans="1:16">
      <c r="A34" s="29"/>
      <c r="B34" s="30">
        <v>1240308</v>
      </c>
      <c r="C34" s="32">
        <v>0</v>
      </c>
      <c r="D34" s="32">
        <v>450</v>
      </c>
      <c r="E34" s="32">
        <v>650</v>
      </c>
      <c r="F34" s="32">
        <v>0</v>
      </c>
      <c r="G34" s="32">
        <v>0</v>
      </c>
      <c r="H34" s="32">
        <v>0</v>
      </c>
      <c r="I34" s="32">
        <v>750</v>
      </c>
      <c r="J34" s="32">
        <v>600</v>
      </c>
      <c r="K34" s="32">
        <v>300</v>
      </c>
      <c r="L34" s="32">
        <v>500</v>
      </c>
      <c r="N34" s="78">
        <f t="shared" si="4"/>
        <v>3250</v>
      </c>
      <c r="O34" s="5">
        <f>VLOOKUP(B34,'0609 W12'!B34:N120,13,0)</f>
        <v>3250</v>
      </c>
      <c r="P34" s="78">
        <f t="shared" si="5"/>
        <v>0</v>
      </c>
    </row>
    <row r="35" spans="1:16">
      <c r="A35" s="29"/>
      <c r="B35" s="30">
        <v>1241601</v>
      </c>
      <c r="C35" s="32">
        <v>7840</v>
      </c>
      <c r="D35" s="32">
        <v>4100</v>
      </c>
      <c r="E35" s="32">
        <v>4000</v>
      </c>
      <c r="F35" s="32">
        <v>4000</v>
      </c>
      <c r="G35" s="32">
        <v>3300</v>
      </c>
      <c r="H35" s="32">
        <v>0</v>
      </c>
      <c r="I35" s="32">
        <v>5300</v>
      </c>
      <c r="J35" s="32">
        <v>5000</v>
      </c>
      <c r="K35" s="32">
        <v>4900</v>
      </c>
      <c r="L35" s="32">
        <v>6500</v>
      </c>
      <c r="N35" s="78">
        <f t="shared" si="4"/>
        <v>44940</v>
      </c>
      <c r="O35" s="5">
        <f>VLOOKUP(B35,'0609 W12'!B35:N121,13,0)</f>
        <v>44940</v>
      </c>
      <c r="P35" s="78">
        <f t="shared" si="5"/>
        <v>0</v>
      </c>
    </row>
    <row r="36" spans="1:16">
      <c r="A36" s="29"/>
      <c r="B36" s="30">
        <v>1242242</v>
      </c>
      <c r="C36" s="32">
        <v>0</v>
      </c>
      <c r="D36" s="32">
        <v>1000</v>
      </c>
      <c r="E36" s="32">
        <v>1000</v>
      </c>
      <c r="F36" s="32">
        <v>1200</v>
      </c>
      <c r="G36" s="32">
        <v>600</v>
      </c>
      <c r="H36" s="32">
        <v>0</v>
      </c>
      <c r="I36" s="32">
        <v>800</v>
      </c>
      <c r="J36" s="32">
        <v>500</v>
      </c>
      <c r="K36" s="32">
        <v>700</v>
      </c>
      <c r="L36" s="32">
        <v>0</v>
      </c>
      <c r="N36" s="78">
        <f t="shared" si="4"/>
        <v>5800</v>
      </c>
      <c r="O36" s="5">
        <f>VLOOKUP(B36,'0609 W12'!B36:N122,13,0)</f>
        <v>5800</v>
      </c>
      <c r="P36" s="78">
        <f t="shared" si="5"/>
        <v>0</v>
      </c>
    </row>
    <row r="39" spans="1:16" s="33" customFormat="1">
      <c r="A39" s="309"/>
      <c r="B39" s="310" t="s">
        <v>0</v>
      </c>
      <c r="C39" s="275" t="s">
        <v>1212</v>
      </c>
      <c r="D39" s="275" t="s">
        <v>1239</v>
      </c>
      <c r="E39" s="275" t="s">
        <v>1255</v>
      </c>
      <c r="F39" s="275" t="s">
        <v>12</v>
      </c>
      <c r="G39" s="275" t="s">
        <v>13</v>
      </c>
      <c r="H39" s="275" t="s">
        <v>14</v>
      </c>
      <c r="I39" s="275" t="s">
        <v>15</v>
      </c>
      <c r="J39" s="275" t="s">
        <v>16</v>
      </c>
      <c r="K39" s="275" t="s">
        <v>17</v>
      </c>
      <c r="L39" s="275" t="s">
        <v>18</v>
      </c>
      <c r="M39" s="276"/>
    </row>
    <row r="40" spans="1:16" s="33" customFormat="1">
      <c r="A40" s="309"/>
      <c r="B40" s="310"/>
      <c r="C40" s="275" t="s">
        <v>1213</v>
      </c>
      <c r="D40" s="275" t="s">
        <v>1240</v>
      </c>
      <c r="E40" s="275" t="s">
        <v>1256</v>
      </c>
      <c r="F40" s="275" t="s">
        <v>1257</v>
      </c>
      <c r="G40" s="275" t="s">
        <v>1265</v>
      </c>
      <c r="H40" s="275" t="s">
        <v>1273</v>
      </c>
      <c r="I40" s="275" t="s">
        <v>1281</v>
      </c>
      <c r="J40" s="275" t="s">
        <v>1289</v>
      </c>
      <c r="K40" s="275" t="s">
        <v>1297</v>
      </c>
      <c r="L40" s="275" t="s">
        <v>1305</v>
      </c>
      <c r="M40" s="87"/>
    </row>
    <row r="41" spans="1:16">
      <c r="A41" s="29"/>
      <c r="B41" s="30">
        <v>1206068</v>
      </c>
      <c r="C41" s="32">
        <v>0</v>
      </c>
      <c r="D41" s="32">
        <v>0</v>
      </c>
      <c r="E41" s="32">
        <v>0</v>
      </c>
      <c r="F41" s="32">
        <v>856</v>
      </c>
      <c r="G41" s="32">
        <v>0</v>
      </c>
      <c r="H41" s="32">
        <v>414</v>
      </c>
      <c r="I41" s="32">
        <v>0</v>
      </c>
      <c r="J41" s="32">
        <v>0</v>
      </c>
      <c r="K41" s="32">
        <v>856</v>
      </c>
      <c r="L41" s="32">
        <v>0</v>
      </c>
      <c r="N41" s="78">
        <f t="shared" ref="N41:N72" si="6">SUM(C41:L41)</f>
        <v>2126</v>
      </c>
      <c r="O41" s="5">
        <f>VLOOKUP(B41,'0609 W12'!B41:N127,13,0)</f>
        <v>2126</v>
      </c>
      <c r="P41" s="78">
        <f t="shared" ref="P41:P72" si="7">+N41-O41</f>
        <v>0</v>
      </c>
    </row>
    <row r="42" spans="1:16">
      <c r="A42" s="29"/>
      <c r="B42" s="30">
        <v>1216452</v>
      </c>
      <c r="C42" s="32">
        <v>324</v>
      </c>
      <c r="D42" s="32">
        <v>168</v>
      </c>
      <c r="E42" s="32">
        <v>1170</v>
      </c>
      <c r="F42" s="32">
        <v>0</v>
      </c>
      <c r="G42" s="32">
        <v>1620</v>
      </c>
      <c r="H42" s="32">
        <v>0</v>
      </c>
      <c r="I42" s="32">
        <v>1340</v>
      </c>
      <c r="J42" s="32">
        <v>0</v>
      </c>
      <c r="K42" s="32">
        <v>0</v>
      </c>
      <c r="L42" s="32">
        <v>0</v>
      </c>
      <c r="N42" s="78">
        <f t="shared" si="6"/>
        <v>4622</v>
      </c>
      <c r="O42" s="5">
        <f>VLOOKUP(B42,'0609 W12'!B42:N128,13,0)</f>
        <v>4622</v>
      </c>
      <c r="P42" s="78">
        <f t="shared" si="7"/>
        <v>0</v>
      </c>
    </row>
    <row r="43" spans="1:16">
      <c r="A43" s="29"/>
      <c r="B43" s="30">
        <v>1220847</v>
      </c>
      <c r="C43" s="32">
        <v>1434</v>
      </c>
      <c r="D43" s="32">
        <v>1584</v>
      </c>
      <c r="E43" s="32">
        <v>0</v>
      </c>
      <c r="F43" s="32">
        <v>0</v>
      </c>
      <c r="G43" s="32">
        <v>0</v>
      </c>
      <c r="H43" s="32">
        <v>9</v>
      </c>
      <c r="I43" s="32">
        <v>0</v>
      </c>
      <c r="J43" s="32">
        <v>0</v>
      </c>
      <c r="K43" s="32">
        <v>0</v>
      </c>
      <c r="L43" s="32">
        <v>1500</v>
      </c>
      <c r="N43" s="78">
        <f t="shared" si="6"/>
        <v>4527</v>
      </c>
      <c r="O43" s="5">
        <f>VLOOKUP(B43,'0609 W12'!B43:N129,13,0)</f>
        <v>4443</v>
      </c>
      <c r="P43" s="78">
        <f t="shared" si="7"/>
        <v>84</v>
      </c>
    </row>
    <row r="44" spans="1:16">
      <c r="A44" s="29"/>
      <c r="B44" s="30">
        <v>1221967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17</v>
      </c>
      <c r="J44" s="32">
        <v>35</v>
      </c>
      <c r="K44" s="32">
        <v>0</v>
      </c>
      <c r="L44" s="32">
        <v>0</v>
      </c>
      <c r="N44" s="78">
        <f t="shared" si="6"/>
        <v>52</v>
      </c>
      <c r="O44" s="5">
        <f>VLOOKUP(B44,'0609 W12'!B44:N130,13,0)</f>
        <v>52</v>
      </c>
      <c r="P44" s="78">
        <f t="shared" si="7"/>
        <v>0</v>
      </c>
    </row>
    <row r="45" spans="1:16">
      <c r="A45" s="29"/>
      <c r="B45" s="30">
        <v>1225464</v>
      </c>
      <c r="C45" s="32">
        <v>0</v>
      </c>
      <c r="D45" s="32">
        <v>760</v>
      </c>
      <c r="E45" s="32">
        <v>0</v>
      </c>
      <c r="F45" s="32">
        <v>0</v>
      </c>
      <c r="G45" s="32">
        <v>0</v>
      </c>
      <c r="H45" s="32">
        <v>11</v>
      </c>
      <c r="I45" s="32">
        <v>0</v>
      </c>
      <c r="J45" s="32">
        <v>0</v>
      </c>
      <c r="K45" s="32">
        <v>0</v>
      </c>
      <c r="L45" s="32">
        <v>0</v>
      </c>
      <c r="N45" s="78">
        <f t="shared" si="6"/>
        <v>771</v>
      </c>
      <c r="O45" s="5">
        <f>VLOOKUP(B45,'0609 W12'!B45:N131,13,0)</f>
        <v>771</v>
      </c>
      <c r="P45" s="78">
        <f t="shared" si="7"/>
        <v>0</v>
      </c>
    </row>
    <row r="46" spans="1:16">
      <c r="A46" s="29"/>
      <c r="B46" s="30">
        <v>1227306</v>
      </c>
      <c r="C46" s="32">
        <v>700</v>
      </c>
      <c r="D46" s="32">
        <v>800</v>
      </c>
      <c r="E46" s="32">
        <v>400</v>
      </c>
      <c r="F46" s="32">
        <v>400</v>
      </c>
      <c r="G46" s="32">
        <v>0</v>
      </c>
      <c r="H46" s="32">
        <v>0</v>
      </c>
      <c r="I46" s="32">
        <v>550</v>
      </c>
      <c r="J46" s="32">
        <v>700</v>
      </c>
      <c r="K46" s="32">
        <v>600</v>
      </c>
      <c r="L46" s="32">
        <v>400</v>
      </c>
      <c r="N46" s="78">
        <f t="shared" si="6"/>
        <v>4550</v>
      </c>
      <c r="O46" s="5">
        <f>VLOOKUP(B46,'0609 W12'!B46:N132,13,0)</f>
        <v>4550</v>
      </c>
      <c r="P46" s="78">
        <f t="shared" si="7"/>
        <v>0</v>
      </c>
    </row>
    <row r="47" spans="1:16">
      <c r="A47" s="29"/>
      <c r="B47" s="30">
        <v>1229050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235</v>
      </c>
      <c r="J47" s="32">
        <v>0</v>
      </c>
      <c r="K47" s="32">
        <v>0</v>
      </c>
      <c r="L47" s="32">
        <v>0</v>
      </c>
      <c r="N47" s="78">
        <f t="shared" si="6"/>
        <v>235</v>
      </c>
      <c r="O47" s="5">
        <f>VLOOKUP(B47,'0609 W12'!B47:N133,13,0)</f>
        <v>235</v>
      </c>
      <c r="P47" s="78">
        <f t="shared" si="7"/>
        <v>0</v>
      </c>
    </row>
    <row r="48" spans="1:16">
      <c r="A48" s="29"/>
      <c r="B48" s="30">
        <v>1229088</v>
      </c>
      <c r="C48" s="32">
        <v>0</v>
      </c>
      <c r="D48" s="32">
        <v>100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500</v>
      </c>
      <c r="K48" s="32">
        <v>0</v>
      </c>
      <c r="L48" s="32">
        <v>0</v>
      </c>
      <c r="N48" s="78">
        <f t="shared" si="6"/>
        <v>600</v>
      </c>
      <c r="O48" s="5">
        <f>VLOOKUP(B48,'0609 W12'!B48:N134,13,0)</f>
        <v>600</v>
      </c>
      <c r="P48" s="78">
        <f t="shared" si="7"/>
        <v>0</v>
      </c>
    </row>
    <row r="49" spans="1:16">
      <c r="A49" s="29"/>
      <c r="B49" s="89">
        <v>1229776</v>
      </c>
      <c r="C49" s="32">
        <v>150</v>
      </c>
      <c r="D49" s="32">
        <v>290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180</v>
      </c>
      <c r="K49" s="32">
        <v>0</v>
      </c>
      <c r="L49" s="32">
        <v>0</v>
      </c>
      <c r="N49" s="78">
        <f t="shared" si="6"/>
        <v>620</v>
      </c>
      <c r="O49" s="5">
        <f>VLOOKUP(B49,'0609 W12'!B49:N135,13,0)</f>
        <v>420</v>
      </c>
      <c r="P49" s="78">
        <f t="shared" si="7"/>
        <v>200</v>
      </c>
    </row>
    <row r="50" spans="1:16">
      <c r="A50" s="29"/>
      <c r="B50" s="30">
        <v>1230685</v>
      </c>
      <c r="C50" s="32">
        <v>300</v>
      </c>
      <c r="D50" s="32">
        <v>400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N50" s="78">
        <f t="shared" si="6"/>
        <v>700</v>
      </c>
      <c r="O50" s="5">
        <f>VLOOKUP(B50,'0609 W12'!B50:N136,13,0)</f>
        <v>700</v>
      </c>
      <c r="P50" s="78">
        <f t="shared" si="7"/>
        <v>0</v>
      </c>
    </row>
    <row r="51" spans="1:16">
      <c r="A51" s="29"/>
      <c r="B51" s="30">
        <v>1230791</v>
      </c>
      <c r="C51" s="32">
        <v>0</v>
      </c>
      <c r="D51" s="32">
        <v>54</v>
      </c>
      <c r="E51" s="32">
        <v>72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N51" s="78">
        <f t="shared" si="6"/>
        <v>126</v>
      </c>
      <c r="O51" s="5">
        <f>VLOOKUP(B51,'0609 W12'!B51:N137,13,0)</f>
        <v>126</v>
      </c>
      <c r="P51" s="78">
        <f t="shared" si="7"/>
        <v>0</v>
      </c>
    </row>
    <row r="52" spans="1:16">
      <c r="A52" s="29"/>
      <c r="B52" s="30">
        <v>1231011</v>
      </c>
      <c r="C52" s="32">
        <v>0</v>
      </c>
      <c r="D52" s="32">
        <v>0</v>
      </c>
      <c r="E52" s="32">
        <v>300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N52" s="78">
        <f t="shared" si="6"/>
        <v>300</v>
      </c>
      <c r="O52" s="5">
        <f>VLOOKUP(B52,'0609 W12'!B52:N138,13,0)</f>
        <v>300</v>
      </c>
      <c r="P52" s="78">
        <f t="shared" si="7"/>
        <v>0</v>
      </c>
    </row>
    <row r="53" spans="1:16">
      <c r="A53" s="29"/>
      <c r="B53" s="30">
        <v>1231090</v>
      </c>
      <c r="C53" s="32">
        <v>600</v>
      </c>
      <c r="D53" s="32">
        <v>763</v>
      </c>
      <c r="E53" s="32">
        <v>0</v>
      </c>
      <c r="F53" s="32">
        <v>0</v>
      </c>
      <c r="G53" s="32">
        <v>0</v>
      </c>
      <c r="H53" s="32">
        <v>0</v>
      </c>
      <c r="I53" s="32">
        <v>455</v>
      </c>
      <c r="J53" s="32">
        <v>180</v>
      </c>
      <c r="K53" s="32">
        <v>0</v>
      </c>
      <c r="L53" s="32">
        <v>2138</v>
      </c>
      <c r="N53" s="78">
        <f t="shared" si="6"/>
        <v>4136</v>
      </c>
      <c r="O53" s="5">
        <f>VLOOKUP(B53,'0609 W12'!B53:N139,13,0)</f>
        <v>3782</v>
      </c>
      <c r="P53" s="78">
        <f t="shared" si="7"/>
        <v>354</v>
      </c>
    </row>
    <row r="54" spans="1:16">
      <c r="A54" s="29"/>
      <c r="B54" s="30">
        <v>1231578</v>
      </c>
      <c r="C54" s="32">
        <v>0</v>
      </c>
      <c r="D54" s="32">
        <v>200</v>
      </c>
      <c r="E54" s="32">
        <v>100</v>
      </c>
      <c r="F54" s="32">
        <v>200</v>
      </c>
      <c r="G54" s="32">
        <v>0</v>
      </c>
      <c r="H54" s="32">
        <v>0</v>
      </c>
      <c r="I54" s="32">
        <v>200</v>
      </c>
      <c r="J54" s="32">
        <v>400</v>
      </c>
      <c r="K54" s="32">
        <v>0</v>
      </c>
      <c r="L54" s="32">
        <v>0</v>
      </c>
      <c r="N54" s="78">
        <f t="shared" si="6"/>
        <v>1100</v>
      </c>
      <c r="O54" s="5">
        <f>VLOOKUP(B54,'0609 W12'!B54:N140,13,0)</f>
        <v>1100</v>
      </c>
      <c r="P54" s="78">
        <f t="shared" si="7"/>
        <v>0</v>
      </c>
    </row>
    <row r="55" spans="1:16">
      <c r="A55" s="29"/>
      <c r="B55" s="30">
        <v>1231797</v>
      </c>
      <c r="C55" s="32">
        <v>0</v>
      </c>
      <c r="D55" s="32">
        <v>0</v>
      </c>
      <c r="E55" s="32">
        <v>128</v>
      </c>
      <c r="F55" s="32">
        <v>0</v>
      </c>
      <c r="G55" s="32">
        <v>0</v>
      </c>
      <c r="H55" s="32">
        <v>0</v>
      </c>
      <c r="I55" s="32">
        <v>106</v>
      </c>
      <c r="J55" s="32">
        <v>0</v>
      </c>
      <c r="K55" s="32">
        <v>0</v>
      </c>
      <c r="L55" s="32">
        <v>0</v>
      </c>
      <c r="N55" s="78">
        <f t="shared" si="6"/>
        <v>234</v>
      </c>
      <c r="O55" s="5">
        <f>VLOOKUP(B55,'0609 W12'!B55:N141,13,0)</f>
        <v>234</v>
      </c>
      <c r="P55" s="78">
        <f t="shared" si="7"/>
        <v>0</v>
      </c>
    </row>
    <row r="56" spans="1:16">
      <c r="A56" s="29"/>
      <c r="B56" s="30">
        <v>1232066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72</v>
      </c>
      <c r="K56" s="32">
        <v>180</v>
      </c>
      <c r="L56" s="32">
        <v>0</v>
      </c>
      <c r="N56" s="78">
        <f t="shared" si="6"/>
        <v>252</v>
      </c>
      <c r="O56" s="5">
        <f>VLOOKUP(B56,'0609 W12'!B56:N142,13,0)</f>
        <v>252</v>
      </c>
      <c r="P56" s="78">
        <f t="shared" si="7"/>
        <v>0</v>
      </c>
    </row>
    <row r="57" spans="1:16">
      <c r="A57" s="29"/>
      <c r="B57" s="30">
        <v>1232528</v>
      </c>
      <c r="C57" s="32">
        <v>2142</v>
      </c>
      <c r="D57" s="32">
        <v>6428</v>
      </c>
      <c r="E57" s="32">
        <v>5000</v>
      </c>
      <c r="F57" s="32">
        <v>3000</v>
      </c>
      <c r="G57" s="32">
        <v>3000</v>
      </c>
      <c r="H57" s="32">
        <v>0</v>
      </c>
      <c r="I57" s="32">
        <v>3509</v>
      </c>
      <c r="J57" s="32">
        <v>3773</v>
      </c>
      <c r="K57" s="32">
        <v>1427</v>
      </c>
      <c r="L57" s="32">
        <v>3000</v>
      </c>
      <c r="N57" s="78">
        <f t="shared" si="6"/>
        <v>31279</v>
      </c>
      <c r="O57" s="5">
        <f>VLOOKUP(B57,'0609 W12'!B57:N143,13,0)</f>
        <v>33857</v>
      </c>
      <c r="P57" s="78">
        <f t="shared" si="7"/>
        <v>-2578</v>
      </c>
    </row>
    <row r="58" spans="1:16">
      <c r="A58" s="29"/>
      <c r="B58" s="30">
        <v>1232553</v>
      </c>
      <c r="C58" s="32">
        <v>108</v>
      </c>
      <c r="D58" s="32">
        <v>0</v>
      </c>
      <c r="E58" s="32">
        <v>0</v>
      </c>
      <c r="F58" s="32">
        <v>0</v>
      </c>
      <c r="G58" s="32">
        <v>108</v>
      </c>
      <c r="H58" s="32">
        <v>0</v>
      </c>
      <c r="I58" s="32">
        <v>0</v>
      </c>
      <c r="J58" s="32">
        <v>108</v>
      </c>
      <c r="K58" s="32">
        <v>0</v>
      </c>
      <c r="L58" s="32">
        <v>0</v>
      </c>
      <c r="N58" s="78">
        <f t="shared" si="6"/>
        <v>324</v>
      </c>
      <c r="O58" s="5">
        <f>VLOOKUP(B58,'0609 W12'!B58:N144,13,0)</f>
        <v>324</v>
      </c>
      <c r="P58" s="78">
        <f t="shared" si="7"/>
        <v>0</v>
      </c>
    </row>
    <row r="59" spans="1:16">
      <c r="A59" s="29"/>
      <c r="B59" s="30">
        <v>1232693</v>
      </c>
      <c r="C59" s="32">
        <v>1766</v>
      </c>
      <c r="D59" s="32">
        <v>827</v>
      </c>
      <c r="E59" s="32">
        <v>0</v>
      </c>
      <c r="F59" s="32">
        <v>0</v>
      </c>
      <c r="G59" s="32">
        <v>0</v>
      </c>
      <c r="H59" s="32">
        <v>0</v>
      </c>
      <c r="I59" s="32">
        <v>1000</v>
      </c>
      <c r="J59" s="32">
        <v>974</v>
      </c>
      <c r="K59" s="32">
        <v>0</v>
      </c>
      <c r="L59" s="32">
        <v>1000</v>
      </c>
      <c r="N59" s="78">
        <f t="shared" si="6"/>
        <v>5567</v>
      </c>
      <c r="O59" s="5">
        <f>VLOOKUP(B59,'0609 W12'!B59:N145,13,0)</f>
        <v>5890</v>
      </c>
      <c r="P59" s="78">
        <f t="shared" si="7"/>
        <v>-323</v>
      </c>
    </row>
    <row r="60" spans="1:16">
      <c r="A60" s="29"/>
      <c r="B60" s="30">
        <v>1232775</v>
      </c>
      <c r="C60" s="32">
        <v>1276</v>
      </c>
      <c r="D60" s="32">
        <v>400</v>
      </c>
      <c r="E60" s="32">
        <v>1016</v>
      </c>
      <c r="F60" s="32">
        <v>947</v>
      </c>
      <c r="G60" s="32">
        <v>498</v>
      </c>
      <c r="H60" s="32">
        <v>286</v>
      </c>
      <c r="I60" s="32">
        <v>60</v>
      </c>
      <c r="J60" s="32">
        <v>0</v>
      </c>
      <c r="K60" s="32">
        <v>0</v>
      </c>
      <c r="L60" s="32">
        <v>600</v>
      </c>
      <c r="N60" s="78">
        <f t="shared" si="6"/>
        <v>5083</v>
      </c>
      <c r="O60" s="5">
        <f>VLOOKUP(B60,'0609 W12'!B60:N146,13,0)</f>
        <v>5307</v>
      </c>
      <c r="P60" s="78">
        <f t="shared" si="7"/>
        <v>-224</v>
      </c>
    </row>
    <row r="61" spans="1:16">
      <c r="A61" s="29"/>
      <c r="B61" s="30">
        <v>1232846</v>
      </c>
      <c r="C61" s="32">
        <v>943</v>
      </c>
      <c r="D61" s="32">
        <v>1728</v>
      </c>
      <c r="E61" s="32">
        <v>273</v>
      </c>
      <c r="F61" s="32">
        <v>450</v>
      </c>
      <c r="G61" s="32">
        <v>0</v>
      </c>
      <c r="H61" s="32">
        <v>288</v>
      </c>
      <c r="I61" s="32">
        <v>542</v>
      </c>
      <c r="J61" s="32">
        <v>200</v>
      </c>
      <c r="K61" s="32">
        <v>0</v>
      </c>
      <c r="L61" s="32">
        <v>168</v>
      </c>
      <c r="N61" s="78">
        <f t="shared" si="6"/>
        <v>4592</v>
      </c>
      <c r="O61" s="5">
        <f>VLOOKUP(B61,'0609 W12'!B61:N147,13,0)</f>
        <v>4544</v>
      </c>
      <c r="P61" s="78">
        <f t="shared" si="7"/>
        <v>48</v>
      </c>
    </row>
    <row r="62" spans="1:16">
      <c r="A62" s="29"/>
      <c r="B62" s="30">
        <v>1232894</v>
      </c>
      <c r="C62" s="32">
        <v>560</v>
      </c>
      <c r="D62" s="32">
        <v>1728</v>
      </c>
      <c r="E62" s="32">
        <v>0</v>
      </c>
      <c r="F62" s="32">
        <v>0</v>
      </c>
      <c r="G62" s="32">
        <v>0</v>
      </c>
      <c r="H62" s="32">
        <v>288</v>
      </c>
      <c r="I62" s="32">
        <v>0</v>
      </c>
      <c r="J62" s="32">
        <v>0</v>
      </c>
      <c r="K62" s="32">
        <v>0</v>
      </c>
      <c r="L62" s="32">
        <v>168</v>
      </c>
      <c r="N62" s="78">
        <f t="shared" si="6"/>
        <v>2744</v>
      </c>
      <c r="O62" s="5">
        <f>VLOOKUP(B62,'0609 W12'!B62:N148,13,0)</f>
        <v>2696</v>
      </c>
      <c r="P62" s="78">
        <f t="shared" si="7"/>
        <v>48</v>
      </c>
    </row>
    <row r="63" spans="1:16">
      <c r="A63" s="29"/>
      <c r="B63" s="30">
        <v>1232895</v>
      </c>
      <c r="C63" s="32">
        <v>383</v>
      </c>
      <c r="D63" s="32">
        <v>0</v>
      </c>
      <c r="E63" s="32">
        <v>273</v>
      </c>
      <c r="F63" s="32">
        <v>450</v>
      </c>
      <c r="G63" s="32">
        <v>0</v>
      </c>
      <c r="H63" s="32">
        <v>0</v>
      </c>
      <c r="I63" s="32">
        <v>542</v>
      </c>
      <c r="J63" s="32">
        <v>200</v>
      </c>
      <c r="K63" s="32">
        <v>0</v>
      </c>
      <c r="L63" s="32">
        <v>0</v>
      </c>
      <c r="N63" s="78">
        <f t="shared" si="6"/>
        <v>1848</v>
      </c>
      <c r="O63" s="5">
        <f>VLOOKUP(B63,'0609 W12'!B63:N149,13,0)</f>
        <v>1848</v>
      </c>
      <c r="P63" s="78">
        <f t="shared" si="7"/>
        <v>0</v>
      </c>
    </row>
    <row r="64" spans="1:16">
      <c r="A64" s="29"/>
      <c r="B64" s="30">
        <v>1232922</v>
      </c>
      <c r="C64" s="32">
        <v>383</v>
      </c>
      <c r="D64" s="32">
        <v>0</v>
      </c>
      <c r="E64" s="32">
        <v>273</v>
      </c>
      <c r="F64" s="32">
        <v>0</v>
      </c>
      <c r="G64" s="32">
        <v>0</v>
      </c>
      <c r="H64" s="32">
        <v>0</v>
      </c>
      <c r="I64" s="32">
        <v>242</v>
      </c>
      <c r="J64" s="32">
        <v>0</v>
      </c>
      <c r="K64" s="32">
        <v>0</v>
      </c>
      <c r="L64" s="32">
        <v>0</v>
      </c>
      <c r="N64" s="78">
        <f t="shared" si="6"/>
        <v>898</v>
      </c>
      <c r="O64" s="5">
        <f>VLOOKUP(B64,'0609 W12'!B64:N150,13,0)</f>
        <v>898</v>
      </c>
      <c r="P64" s="78">
        <f t="shared" si="7"/>
        <v>0</v>
      </c>
    </row>
    <row r="65" spans="1:16">
      <c r="A65" s="29"/>
      <c r="B65" s="30">
        <v>1232982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100</v>
      </c>
      <c r="L65" s="32">
        <v>0</v>
      </c>
      <c r="N65" s="78">
        <f t="shared" si="6"/>
        <v>100</v>
      </c>
      <c r="O65" s="5">
        <f>VLOOKUP(B65,'0609 W12'!B65:N151,13,0)</f>
        <v>100</v>
      </c>
      <c r="P65" s="78">
        <f t="shared" si="7"/>
        <v>0</v>
      </c>
    </row>
    <row r="66" spans="1:16">
      <c r="A66" s="29"/>
      <c r="B66" s="30">
        <v>1233025</v>
      </c>
      <c r="C66" s="32">
        <v>1766</v>
      </c>
      <c r="D66" s="32">
        <v>827</v>
      </c>
      <c r="E66" s="32">
        <v>0</v>
      </c>
      <c r="F66" s="32">
        <v>0</v>
      </c>
      <c r="G66" s="32">
        <v>0</v>
      </c>
      <c r="H66" s="32">
        <v>0</v>
      </c>
      <c r="I66" s="32">
        <v>1000</v>
      </c>
      <c r="J66" s="32">
        <v>974</v>
      </c>
      <c r="K66" s="32">
        <v>0</v>
      </c>
      <c r="L66" s="32">
        <v>1000</v>
      </c>
      <c r="N66" s="78">
        <f t="shared" si="6"/>
        <v>5567</v>
      </c>
      <c r="O66" s="5">
        <f>VLOOKUP(B66,'0609 W12'!B66:N152,13,0)</f>
        <v>5890</v>
      </c>
      <c r="P66" s="78">
        <f t="shared" si="7"/>
        <v>-323</v>
      </c>
    </row>
    <row r="67" spans="1:16">
      <c r="A67" s="29"/>
      <c r="B67" s="30">
        <v>1233383</v>
      </c>
      <c r="C67" s="32">
        <v>150</v>
      </c>
      <c r="D67" s="32">
        <v>0</v>
      </c>
      <c r="E67" s="32">
        <v>42</v>
      </c>
      <c r="F67" s="32">
        <v>0</v>
      </c>
      <c r="G67" s="32">
        <v>0</v>
      </c>
      <c r="H67" s="32">
        <v>0</v>
      </c>
      <c r="I67" s="32">
        <v>122</v>
      </c>
      <c r="J67" s="32">
        <v>0</v>
      </c>
      <c r="K67" s="32">
        <v>0</v>
      </c>
      <c r="L67" s="32">
        <v>0</v>
      </c>
      <c r="N67" s="78">
        <f t="shared" si="6"/>
        <v>314</v>
      </c>
      <c r="O67" s="5">
        <f>VLOOKUP(B67,'0609 W12'!B67:N153,13,0)</f>
        <v>314</v>
      </c>
      <c r="P67" s="78">
        <f t="shared" si="7"/>
        <v>0</v>
      </c>
    </row>
    <row r="68" spans="1:16">
      <c r="A68" s="29"/>
      <c r="B68" s="30">
        <v>1233384</v>
      </c>
      <c r="C68" s="32">
        <v>0</v>
      </c>
      <c r="D68" s="32">
        <v>0</v>
      </c>
      <c r="E68" s="32">
        <v>0</v>
      </c>
      <c r="F68" s="32">
        <v>450</v>
      </c>
      <c r="G68" s="32">
        <v>0</v>
      </c>
      <c r="H68" s="32">
        <v>0</v>
      </c>
      <c r="I68" s="32">
        <v>300</v>
      </c>
      <c r="J68" s="32">
        <v>200</v>
      </c>
      <c r="K68" s="32">
        <v>0</v>
      </c>
      <c r="L68" s="32">
        <v>0</v>
      </c>
      <c r="N68" s="78">
        <f t="shared" si="6"/>
        <v>950</v>
      </c>
      <c r="O68" s="5">
        <f>VLOOKUP(B68,'0609 W12'!B68:N154,13,0)</f>
        <v>950</v>
      </c>
      <c r="P68" s="78">
        <f t="shared" si="7"/>
        <v>0</v>
      </c>
    </row>
    <row r="69" spans="1:16">
      <c r="A69" s="29"/>
      <c r="B69" s="30">
        <v>1233385</v>
      </c>
      <c r="C69" s="32">
        <v>48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168</v>
      </c>
      <c r="N69" s="78">
        <f t="shared" si="6"/>
        <v>216</v>
      </c>
      <c r="O69" s="5">
        <f>VLOOKUP(B69,'0609 W12'!B69:N155,13,0)</f>
        <v>168</v>
      </c>
      <c r="P69" s="78">
        <f t="shared" si="7"/>
        <v>48</v>
      </c>
    </row>
    <row r="70" spans="1:16">
      <c r="A70" s="29"/>
      <c r="B70" s="30">
        <v>1233386</v>
      </c>
      <c r="C70" s="32">
        <v>512</v>
      </c>
      <c r="D70" s="32">
        <v>0</v>
      </c>
      <c r="E70" s="32">
        <v>0</v>
      </c>
      <c r="F70" s="32">
        <v>0</v>
      </c>
      <c r="G70" s="32">
        <v>0</v>
      </c>
      <c r="H70" s="32">
        <v>288</v>
      </c>
      <c r="I70" s="32">
        <v>0</v>
      </c>
      <c r="J70" s="32">
        <v>0</v>
      </c>
      <c r="K70" s="32">
        <v>0</v>
      </c>
      <c r="L70" s="32">
        <v>0</v>
      </c>
      <c r="N70" s="78">
        <f t="shared" si="6"/>
        <v>800</v>
      </c>
      <c r="O70" s="5">
        <f>VLOOKUP(B70,'0609 W12'!B70:N156,13,0)</f>
        <v>800</v>
      </c>
      <c r="P70" s="78">
        <f t="shared" si="7"/>
        <v>0</v>
      </c>
    </row>
    <row r="71" spans="1:16">
      <c r="A71" s="29"/>
      <c r="B71" s="30">
        <v>1233387</v>
      </c>
      <c r="C71" s="32">
        <v>0</v>
      </c>
      <c r="D71" s="32">
        <v>1728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N71" s="78">
        <f t="shared" si="6"/>
        <v>1728</v>
      </c>
      <c r="O71" s="5">
        <f>VLOOKUP(B71,'0609 W12'!B71:N157,13,0)</f>
        <v>1728</v>
      </c>
      <c r="P71" s="78">
        <f t="shared" si="7"/>
        <v>0</v>
      </c>
    </row>
    <row r="72" spans="1:16">
      <c r="A72" s="29"/>
      <c r="B72" s="30">
        <v>1233587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20</v>
      </c>
      <c r="L72" s="32">
        <v>0</v>
      </c>
      <c r="N72" s="78">
        <f t="shared" si="6"/>
        <v>20</v>
      </c>
      <c r="O72" s="5">
        <f>VLOOKUP(B72,'0609 W12'!B72:N158,13,0)</f>
        <v>20</v>
      </c>
      <c r="P72" s="78">
        <f t="shared" si="7"/>
        <v>0</v>
      </c>
    </row>
    <row r="73" spans="1:16">
      <c r="A73" s="29"/>
      <c r="B73" s="30">
        <v>1234110</v>
      </c>
      <c r="C73" s="32">
        <v>0</v>
      </c>
      <c r="D73" s="32">
        <v>0</v>
      </c>
      <c r="E73" s="32">
        <v>170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N73" s="78">
        <f t="shared" ref="N73:N102" si="8">SUM(C73:L73)</f>
        <v>170</v>
      </c>
      <c r="O73" s="5" t="e">
        <f>VLOOKUP(B73,'0609 W12'!B73:N159,13,0)</f>
        <v>#N/A</v>
      </c>
      <c r="P73" s="78" t="e">
        <f t="shared" ref="P73:P100" si="9">+N73-O73</f>
        <v>#N/A</v>
      </c>
    </row>
    <row r="74" spans="1:16">
      <c r="A74" s="29"/>
      <c r="B74" s="30">
        <v>1234111</v>
      </c>
      <c r="C74" s="32">
        <v>0</v>
      </c>
      <c r="D74" s="32">
        <v>0</v>
      </c>
      <c r="E74" s="32">
        <v>170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N74" s="78">
        <f t="shared" si="8"/>
        <v>170</v>
      </c>
      <c r="O74" s="5" t="e">
        <f>VLOOKUP(B74,'0609 W12'!B74:N160,13,0)</f>
        <v>#N/A</v>
      </c>
      <c r="P74" s="78" t="e">
        <f t="shared" si="9"/>
        <v>#N/A</v>
      </c>
    </row>
    <row r="75" spans="1:16">
      <c r="A75" s="29"/>
      <c r="B75" s="30">
        <v>1234217</v>
      </c>
      <c r="C75" s="32">
        <v>0</v>
      </c>
      <c r="D75" s="32">
        <v>0</v>
      </c>
      <c r="E75" s="32">
        <v>170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N75" s="78">
        <f t="shared" si="8"/>
        <v>170</v>
      </c>
      <c r="O75" s="5" t="e">
        <f>VLOOKUP(B75,'0609 W12'!B75:N161,13,0)</f>
        <v>#N/A</v>
      </c>
      <c r="P75" s="78" t="e">
        <f t="shared" si="9"/>
        <v>#N/A</v>
      </c>
    </row>
    <row r="76" spans="1:16">
      <c r="A76" s="29"/>
      <c r="B76" s="30">
        <v>1234222</v>
      </c>
      <c r="C76" s="32">
        <v>777</v>
      </c>
      <c r="D76" s="32">
        <v>0</v>
      </c>
      <c r="E76" s="32">
        <v>0</v>
      </c>
      <c r="F76" s="32">
        <v>868</v>
      </c>
      <c r="G76" s="32">
        <v>0</v>
      </c>
      <c r="H76" s="32">
        <v>0</v>
      </c>
      <c r="I76" s="32">
        <v>0</v>
      </c>
      <c r="J76" s="32">
        <v>0</v>
      </c>
      <c r="K76" s="32">
        <v>868</v>
      </c>
      <c r="L76" s="32">
        <v>0</v>
      </c>
      <c r="N76" s="78">
        <f t="shared" si="8"/>
        <v>2513</v>
      </c>
      <c r="O76" s="5">
        <f>VLOOKUP(B76,'0609 W12'!B76:N162,13,0)</f>
        <v>2504</v>
      </c>
      <c r="P76" s="78">
        <f t="shared" si="9"/>
        <v>9</v>
      </c>
    </row>
    <row r="77" spans="1:16">
      <c r="A77" s="29"/>
      <c r="B77" s="30">
        <v>1234614</v>
      </c>
      <c r="C77" s="32">
        <v>300</v>
      </c>
      <c r="D77" s="32">
        <v>300</v>
      </c>
      <c r="E77" s="32">
        <v>200</v>
      </c>
      <c r="F77" s="32">
        <v>0</v>
      </c>
      <c r="G77" s="32">
        <v>432</v>
      </c>
      <c r="H77" s="32">
        <v>0</v>
      </c>
      <c r="I77" s="32">
        <v>400</v>
      </c>
      <c r="J77" s="32">
        <v>300</v>
      </c>
      <c r="K77" s="32">
        <v>0</v>
      </c>
      <c r="L77" s="32">
        <v>400</v>
      </c>
      <c r="N77" s="78">
        <f t="shared" si="8"/>
        <v>2332</v>
      </c>
      <c r="O77" s="5">
        <f>VLOOKUP(B77,'0609 W12'!B77:N163,13,0)</f>
        <v>2332</v>
      </c>
      <c r="P77" s="78">
        <f t="shared" si="9"/>
        <v>0</v>
      </c>
    </row>
    <row r="78" spans="1:16">
      <c r="A78" s="29"/>
      <c r="B78" s="30">
        <v>1235097</v>
      </c>
      <c r="C78" s="32">
        <v>700</v>
      </c>
      <c r="D78" s="32">
        <v>400</v>
      </c>
      <c r="E78" s="32">
        <v>400</v>
      </c>
      <c r="F78" s="32">
        <v>500</v>
      </c>
      <c r="G78" s="32">
        <v>0</v>
      </c>
      <c r="H78" s="32">
        <v>0</v>
      </c>
      <c r="I78" s="32">
        <v>600</v>
      </c>
      <c r="J78" s="32">
        <v>500</v>
      </c>
      <c r="K78" s="32">
        <v>0</v>
      </c>
      <c r="L78" s="32">
        <v>0</v>
      </c>
      <c r="N78" s="78">
        <f t="shared" si="8"/>
        <v>3100</v>
      </c>
      <c r="O78" s="5">
        <f>VLOOKUP(B78,'0609 W12'!B78:N164,13,0)</f>
        <v>2700</v>
      </c>
      <c r="P78" s="78">
        <f t="shared" si="9"/>
        <v>400</v>
      </c>
    </row>
    <row r="79" spans="1:16">
      <c r="A79" s="29"/>
      <c r="B79" s="30">
        <v>1235845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790</v>
      </c>
      <c r="L79" s="32">
        <v>0</v>
      </c>
      <c r="N79" s="78">
        <f t="shared" si="8"/>
        <v>790</v>
      </c>
      <c r="O79" s="5">
        <f>VLOOKUP(B79,'0609 W12'!B79:N165,13,0)</f>
        <v>790</v>
      </c>
      <c r="P79" s="78">
        <f t="shared" si="9"/>
        <v>0</v>
      </c>
    </row>
    <row r="80" spans="1:16">
      <c r="A80" s="29"/>
      <c r="B80" s="30">
        <v>1235958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5</v>
      </c>
      <c r="L80" s="32">
        <v>0</v>
      </c>
      <c r="N80" s="78">
        <f t="shared" si="8"/>
        <v>5</v>
      </c>
      <c r="O80" s="5">
        <f>VLOOKUP(B80,'0609 W12'!B80:N166,13,0)</f>
        <v>5</v>
      </c>
      <c r="P80" s="78">
        <f t="shared" si="9"/>
        <v>0</v>
      </c>
    </row>
    <row r="81" spans="1:16">
      <c r="A81" s="29"/>
      <c r="B81" s="30">
        <v>1236387</v>
      </c>
      <c r="C81" s="32">
        <v>0</v>
      </c>
      <c r="D81" s="32">
        <v>0</v>
      </c>
      <c r="E81" s="32">
        <v>0</v>
      </c>
      <c r="F81" s="32">
        <v>200</v>
      </c>
      <c r="G81" s="32">
        <v>200</v>
      </c>
      <c r="H81" s="32">
        <v>0</v>
      </c>
      <c r="I81" s="32">
        <v>0</v>
      </c>
      <c r="J81" s="32">
        <v>0</v>
      </c>
      <c r="K81" s="32">
        <v>0</v>
      </c>
      <c r="L81" s="32">
        <v>200</v>
      </c>
      <c r="N81" s="78">
        <f t="shared" si="8"/>
        <v>600</v>
      </c>
      <c r="O81" s="5">
        <f>VLOOKUP(B81,'0609 W12'!B81:N167,13,0)</f>
        <v>1040</v>
      </c>
      <c r="P81" s="78">
        <f t="shared" si="9"/>
        <v>-440</v>
      </c>
    </row>
    <row r="82" spans="1:16">
      <c r="A82" s="29"/>
      <c r="B82" s="30">
        <v>1236600</v>
      </c>
      <c r="C82" s="32">
        <v>0</v>
      </c>
      <c r="D82" s="32">
        <v>0</v>
      </c>
      <c r="E82" s="32">
        <v>829</v>
      </c>
      <c r="F82" s="32">
        <v>0</v>
      </c>
      <c r="G82" s="32">
        <v>0</v>
      </c>
      <c r="H82" s="32">
        <v>0</v>
      </c>
      <c r="I82" s="32">
        <v>748</v>
      </c>
      <c r="J82" s="32">
        <v>0</v>
      </c>
      <c r="K82" s="32">
        <v>0</v>
      </c>
      <c r="L82" s="32">
        <v>0</v>
      </c>
      <c r="N82" s="78">
        <f t="shared" si="8"/>
        <v>1577</v>
      </c>
      <c r="O82" s="5">
        <f>VLOOKUP(B82,'0609 W12'!B82:N168,13,0)</f>
        <v>1577</v>
      </c>
      <c r="P82" s="78">
        <f t="shared" si="9"/>
        <v>0</v>
      </c>
    </row>
    <row r="83" spans="1:16">
      <c r="A83" s="29"/>
      <c r="B83" s="30">
        <v>1236601</v>
      </c>
      <c r="C83" s="32">
        <v>100</v>
      </c>
      <c r="D83" s="32">
        <v>0</v>
      </c>
      <c r="E83" s="32">
        <v>100</v>
      </c>
      <c r="F83" s="32">
        <v>0</v>
      </c>
      <c r="G83" s="32">
        <v>0</v>
      </c>
      <c r="H83" s="32">
        <v>0</v>
      </c>
      <c r="I83" s="32">
        <v>84</v>
      </c>
      <c r="J83" s="32">
        <v>0</v>
      </c>
      <c r="K83" s="32">
        <v>0</v>
      </c>
      <c r="L83" s="32">
        <v>0</v>
      </c>
      <c r="N83" s="78">
        <f t="shared" si="8"/>
        <v>284</v>
      </c>
      <c r="O83" s="5">
        <f>VLOOKUP(B83,'0609 W12'!B83:N169,13,0)</f>
        <v>284</v>
      </c>
      <c r="P83" s="78">
        <f t="shared" si="9"/>
        <v>0</v>
      </c>
    </row>
    <row r="84" spans="1:16">
      <c r="A84" s="29"/>
      <c r="B84" s="89">
        <v>1236619</v>
      </c>
      <c r="C84" s="32">
        <v>36</v>
      </c>
      <c r="D84" s="32">
        <v>0</v>
      </c>
      <c r="E84" s="32">
        <v>126</v>
      </c>
      <c r="F84" s="32">
        <v>0</v>
      </c>
      <c r="G84" s="32">
        <v>0</v>
      </c>
      <c r="H84" s="32">
        <v>0</v>
      </c>
      <c r="I84" s="32">
        <v>540</v>
      </c>
      <c r="J84" s="32">
        <v>0</v>
      </c>
      <c r="K84" s="32">
        <v>0</v>
      </c>
      <c r="L84" s="32">
        <v>0</v>
      </c>
      <c r="N84" s="78">
        <f t="shared" si="8"/>
        <v>702</v>
      </c>
      <c r="O84" s="5">
        <f>VLOOKUP(B84,'0609 W12'!B84:N170,13,0)</f>
        <v>540</v>
      </c>
      <c r="P84" s="78">
        <f t="shared" si="9"/>
        <v>162</v>
      </c>
    </row>
    <row r="85" spans="1:16">
      <c r="A85" s="29"/>
      <c r="B85" s="30">
        <v>1236930</v>
      </c>
      <c r="C85" s="32">
        <v>2170</v>
      </c>
      <c r="D85" s="32">
        <v>1936</v>
      </c>
      <c r="E85" s="32">
        <v>2360</v>
      </c>
      <c r="F85" s="32">
        <v>1040</v>
      </c>
      <c r="G85" s="32">
        <v>248</v>
      </c>
      <c r="H85" s="32">
        <v>36</v>
      </c>
      <c r="I85" s="32">
        <v>2564</v>
      </c>
      <c r="J85" s="32">
        <v>1920</v>
      </c>
      <c r="K85" s="32">
        <v>2000</v>
      </c>
      <c r="L85" s="32">
        <v>900</v>
      </c>
      <c r="N85" s="78">
        <f t="shared" si="8"/>
        <v>15174</v>
      </c>
      <c r="O85" s="5">
        <f>VLOOKUP(B85,'0609 W12'!B85:N171,13,0)</f>
        <v>15690</v>
      </c>
      <c r="P85" s="78">
        <f t="shared" si="9"/>
        <v>-516</v>
      </c>
    </row>
    <row r="86" spans="1:16">
      <c r="A86" s="29"/>
      <c r="B86" s="30">
        <v>1237210</v>
      </c>
      <c r="C86" s="32">
        <v>0</v>
      </c>
      <c r="D86" s="32">
        <v>196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375</v>
      </c>
      <c r="L86" s="32">
        <v>0</v>
      </c>
      <c r="N86" s="78">
        <f t="shared" si="8"/>
        <v>571</v>
      </c>
      <c r="O86" s="5">
        <f>VLOOKUP(B86,'0609 W12'!B86:N172,13,0)</f>
        <v>571</v>
      </c>
      <c r="P86" s="78">
        <f t="shared" si="9"/>
        <v>0</v>
      </c>
    </row>
    <row r="87" spans="1:16">
      <c r="A87" s="29"/>
      <c r="B87" s="89">
        <v>1237386</v>
      </c>
      <c r="C87" s="32">
        <v>0</v>
      </c>
      <c r="D87" s="32">
        <v>0</v>
      </c>
      <c r="E87" s="32">
        <v>360</v>
      </c>
      <c r="F87" s="32">
        <v>0</v>
      </c>
      <c r="G87" s="32">
        <v>0</v>
      </c>
      <c r="H87" s="32">
        <v>0</v>
      </c>
      <c r="I87" s="32">
        <v>795</v>
      </c>
      <c r="J87" s="32">
        <v>0</v>
      </c>
      <c r="K87" s="32">
        <v>0</v>
      </c>
      <c r="L87" s="32">
        <v>0</v>
      </c>
      <c r="N87" s="78">
        <f t="shared" si="8"/>
        <v>1155</v>
      </c>
      <c r="O87" s="5">
        <f>VLOOKUP(B87,'0609 W12'!B87:N173,13,0)</f>
        <v>795</v>
      </c>
      <c r="P87" s="78">
        <f t="shared" si="9"/>
        <v>360</v>
      </c>
    </row>
    <row r="88" spans="1:16">
      <c r="A88" s="29"/>
      <c r="B88" s="30">
        <v>1237457</v>
      </c>
      <c r="C88" s="32">
        <v>0</v>
      </c>
      <c r="D88" s="32">
        <v>0</v>
      </c>
      <c r="E88" s="32">
        <v>36</v>
      </c>
      <c r="F88" s="32">
        <v>0</v>
      </c>
      <c r="G88" s="32">
        <v>0</v>
      </c>
      <c r="H88" s="32">
        <v>0</v>
      </c>
      <c r="I88" s="32">
        <v>270</v>
      </c>
      <c r="J88" s="32">
        <v>0</v>
      </c>
      <c r="K88" s="32">
        <v>0</v>
      </c>
      <c r="L88" s="32">
        <v>0</v>
      </c>
      <c r="N88" s="78">
        <f t="shared" si="8"/>
        <v>306</v>
      </c>
      <c r="O88" s="5">
        <f>VLOOKUP(B88,'0609 W12'!B88:N174,13,0)</f>
        <v>270</v>
      </c>
      <c r="P88" s="78">
        <f t="shared" si="9"/>
        <v>36</v>
      </c>
    </row>
    <row r="89" spans="1:16">
      <c r="A89" s="29"/>
      <c r="B89" s="30">
        <v>1237468</v>
      </c>
      <c r="C89" s="32">
        <v>699</v>
      </c>
      <c r="D89" s="32">
        <v>0</v>
      </c>
      <c r="E89" s="32">
        <v>79</v>
      </c>
      <c r="F89" s="32">
        <v>0</v>
      </c>
      <c r="G89" s="32">
        <v>432</v>
      </c>
      <c r="H89" s="32">
        <v>0</v>
      </c>
      <c r="I89" s="32">
        <v>70</v>
      </c>
      <c r="J89" s="32">
        <v>0</v>
      </c>
      <c r="K89" s="32">
        <v>0</v>
      </c>
      <c r="L89" s="32">
        <v>0</v>
      </c>
      <c r="N89" s="78">
        <f t="shared" si="8"/>
        <v>1280</v>
      </c>
      <c r="O89" s="5">
        <f>VLOOKUP(B89,'0609 W12'!B89:N175,13,0)</f>
        <v>1193</v>
      </c>
      <c r="P89" s="78">
        <f t="shared" si="9"/>
        <v>87</v>
      </c>
    </row>
    <row r="90" spans="1:16">
      <c r="A90" s="29"/>
      <c r="B90" s="30">
        <v>1238092</v>
      </c>
      <c r="C90" s="32">
        <v>0</v>
      </c>
      <c r="D90" s="32">
        <v>144</v>
      </c>
      <c r="E90" s="32">
        <v>0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2">
        <v>0</v>
      </c>
      <c r="L90" s="32">
        <v>0</v>
      </c>
      <c r="N90" s="78">
        <f t="shared" si="8"/>
        <v>144</v>
      </c>
      <c r="O90" s="5">
        <f>VLOOKUP(B90,'0609 W12'!B90:N176,13,0)</f>
        <v>144</v>
      </c>
      <c r="P90" s="78">
        <f t="shared" si="9"/>
        <v>0</v>
      </c>
    </row>
    <row r="91" spans="1:16">
      <c r="A91" s="29"/>
      <c r="B91" s="30">
        <v>1238453</v>
      </c>
      <c r="C91" s="32">
        <v>550</v>
      </c>
      <c r="D91" s="32">
        <v>0</v>
      </c>
      <c r="E91" s="32">
        <v>122</v>
      </c>
      <c r="F91" s="32">
        <v>0</v>
      </c>
      <c r="G91" s="32">
        <v>0</v>
      </c>
      <c r="H91" s="32">
        <v>0</v>
      </c>
      <c r="I91" s="32">
        <v>113</v>
      </c>
      <c r="J91" s="32">
        <v>0</v>
      </c>
      <c r="K91" s="32">
        <v>0</v>
      </c>
      <c r="L91" s="32">
        <v>0</v>
      </c>
      <c r="N91" s="78">
        <f t="shared" si="8"/>
        <v>785</v>
      </c>
      <c r="O91" s="5">
        <f>VLOOKUP(B91,'0609 W12'!B91:N177,13,0)</f>
        <v>235</v>
      </c>
      <c r="P91" s="78">
        <f t="shared" si="9"/>
        <v>550</v>
      </c>
    </row>
    <row r="92" spans="1:16">
      <c r="A92" s="29"/>
      <c r="B92" s="30">
        <v>1238480</v>
      </c>
      <c r="C92" s="32">
        <v>9930</v>
      </c>
      <c r="D92" s="32">
        <v>4788</v>
      </c>
      <c r="E92" s="32">
        <v>4739</v>
      </c>
      <c r="F92" s="32">
        <v>2620</v>
      </c>
      <c r="G92" s="32">
        <v>400</v>
      </c>
      <c r="H92" s="32">
        <v>1110</v>
      </c>
      <c r="I92" s="32">
        <v>5771</v>
      </c>
      <c r="J92" s="32">
        <v>6046</v>
      </c>
      <c r="K92" s="32">
        <v>4270</v>
      </c>
      <c r="L92" s="32">
        <v>3475</v>
      </c>
      <c r="N92" s="78">
        <f t="shared" si="8"/>
        <v>43149</v>
      </c>
      <c r="O92" s="5">
        <f>VLOOKUP(B92,'0609 W12'!B92:N178,13,0)</f>
        <v>44785</v>
      </c>
      <c r="P92" s="78">
        <f t="shared" si="9"/>
        <v>-1636</v>
      </c>
    </row>
    <row r="93" spans="1:16">
      <c r="A93" s="29"/>
      <c r="B93" s="30">
        <v>1238605</v>
      </c>
      <c r="C93" s="32">
        <v>0</v>
      </c>
      <c r="D93" s="32">
        <v>0</v>
      </c>
      <c r="E93" s="32">
        <v>150</v>
      </c>
      <c r="F93" s="32">
        <v>0</v>
      </c>
      <c r="G93" s="32">
        <v>530</v>
      </c>
      <c r="H93" s="32">
        <v>0</v>
      </c>
      <c r="I93" s="32">
        <v>0</v>
      </c>
      <c r="J93" s="32">
        <v>0</v>
      </c>
      <c r="K93" s="32">
        <v>0</v>
      </c>
      <c r="L93" s="32">
        <v>0</v>
      </c>
      <c r="N93" s="78">
        <f t="shared" si="8"/>
        <v>680</v>
      </c>
      <c r="O93" s="5">
        <f>VLOOKUP(B93,'0609 W12'!B93:N179,13,0)</f>
        <v>680</v>
      </c>
      <c r="P93" s="78">
        <f t="shared" si="9"/>
        <v>0</v>
      </c>
    </row>
    <row r="94" spans="1:16">
      <c r="A94" s="29"/>
      <c r="B94" s="30">
        <v>1240180</v>
      </c>
      <c r="C94" s="32">
        <v>200</v>
      </c>
      <c r="D94" s="32">
        <v>550</v>
      </c>
      <c r="E94" s="32">
        <v>550</v>
      </c>
      <c r="F94" s="32">
        <v>0</v>
      </c>
      <c r="G94" s="32">
        <v>0</v>
      </c>
      <c r="H94" s="32">
        <v>90</v>
      </c>
      <c r="I94" s="32">
        <v>1192</v>
      </c>
      <c r="J94" s="32">
        <v>650</v>
      </c>
      <c r="K94" s="32">
        <v>0</v>
      </c>
      <c r="L94" s="32">
        <v>200</v>
      </c>
      <c r="N94" s="78">
        <f t="shared" si="8"/>
        <v>3432</v>
      </c>
      <c r="O94" s="5">
        <f>VLOOKUP(B94,'0609 W12'!B94:N180,13,0)</f>
        <v>3432</v>
      </c>
      <c r="P94" s="78">
        <f t="shared" si="9"/>
        <v>0</v>
      </c>
    </row>
    <row r="95" spans="1:16">
      <c r="A95" s="29"/>
      <c r="B95" s="30">
        <v>1240184</v>
      </c>
      <c r="C95" s="32">
        <v>200</v>
      </c>
      <c r="D95" s="32">
        <v>550</v>
      </c>
      <c r="E95" s="32">
        <v>550</v>
      </c>
      <c r="F95" s="32">
        <v>0</v>
      </c>
      <c r="G95" s="32">
        <v>0</v>
      </c>
      <c r="H95" s="32">
        <v>90</v>
      </c>
      <c r="I95" s="32">
        <v>1192</v>
      </c>
      <c r="J95" s="32">
        <v>650</v>
      </c>
      <c r="K95" s="32">
        <v>0</v>
      </c>
      <c r="L95" s="32">
        <v>200</v>
      </c>
      <c r="N95" s="78">
        <f t="shared" si="8"/>
        <v>3432</v>
      </c>
      <c r="O95" s="5">
        <f>VLOOKUP(B95,'0609 W12'!B95:N181,13,0)</f>
        <v>3432</v>
      </c>
      <c r="P95" s="78">
        <f t="shared" si="9"/>
        <v>0</v>
      </c>
    </row>
    <row r="96" spans="1:16">
      <c r="A96" s="29"/>
      <c r="B96" s="89">
        <v>1241343</v>
      </c>
      <c r="C96" s="32">
        <v>0</v>
      </c>
      <c r="D96" s="32">
        <v>0</v>
      </c>
      <c r="E96" s="32">
        <v>0</v>
      </c>
      <c r="F96" s="32">
        <v>0</v>
      </c>
      <c r="G96" s="32">
        <v>0</v>
      </c>
      <c r="H96" s="32">
        <v>0</v>
      </c>
      <c r="I96" s="32">
        <v>36</v>
      </c>
      <c r="J96" s="32">
        <v>72</v>
      </c>
      <c r="K96" s="32">
        <v>0</v>
      </c>
      <c r="L96" s="32">
        <v>0</v>
      </c>
      <c r="N96" s="78">
        <f t="shared" si="8"/>
        <v>108</v>
      </c>
      <c r="O96" s="5" t="e">
        <f>VLOOKUP(B96,'0609 W12'!B96:N182,13,0)</f>
        <v>#N/A</v>
      </c>
      <c r="P96" s="78" t="e">
        <f t="shared" si="9"/>
        <v>#N/A</v>
      </c>
    </row>
    <row r="97" spans="1:16">
      <c r="A97" s="29"/>
      <c r="B97" s="89">
        <v>1241347</v>
      </c>
      <c r="C97" s="32">
        <v>0</v>
      </c>
      <c r="D97" s="32">
        <v>0</v>
      </c>
      <c r="E97" s="32">
        <v>0</v>
      </c>
      <c r="F97" s="32">
        <v>0</v>
      </c>
      <c r="G97" s="32">
        <v>0</v>
      </c>
      <c r="H97" s="32">
        <v>0</v>
      </c>
      <c r="I97" s="32">
        <v>36</v>
      </c>
      <c r="J97" s="32">
        <v>72</v>
      </c>
      <c r="K97" s="32">
        <v>0</v>
      </c>
      <c r="L97" s="32">
        <v>0</v>
      </c>
      <c r="N97" s="78">
        <f t="shared" si="8"/>
        <v>108</v>
      </c>
      <c r="O97" s="5" t="e">
        <f>VLOOKUP(B97,'0609 W12'!B97:N183,13,0)</f>
        <v>#N/A</v>
      </c>
      <c r="P97" s="78" t="e">
        <f t="shared" si="9"/>
        <v>#N/A</v>
      </c>
    </row>
    <row r="98" spans="1:16">
      <c r="A98" s="29"/>
      <c r="B98" s="89">
        <v>1241387</v>
      </c>
      <c r="C98" s="32">
        <v>0</v>
      </c>
      <c r="D98" s="32">
        <v>0</v>
      </c>
      <c r="E98" s="32">
        <v>0</v>
      </c>
      <c r="F98" s="32">
        <v>0</v>
      </c>
      <c r="G98" s="32">
        <v>0</v>
      </c>
      <c r="H98" s="32">
        <v>0</v>
      </c>
      <c r="I98" s="32">
        <v>224</v>
      </c>
      <c r="J98" s="32">
        <v>0</v>
      </c>
      <c r="K98" s="32">
        <v>0</v>
      </c>
      <c r="L98" s="32">
        <v>0</v>
      </c>
      <c r="N98" s="78">
        <f t="shared" si="8"/>
        <v>224</v>
      </c>
      <c r="O98" s="5" t="e">
        <f>VLOOKUP(B98,'0609 W12'!B98:N184,13,0)</f>
        <v>#N/A</v>
      </c>
      <c r="P98" s="78" t="e">
        <f t="shared" si="9"/>
        <v>#N/A</v>
      </c>
    </row>
    <row r="99" spans="1:16">
      <c r="A99" s="29"/>
      <c r="B99" s="89">
        <v>1241474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118</v>
      </c>
      <c r="J99" s="32">
        <v>177</v>
      </c>
      <c r="K99" s="32">
        <v>0</v>
      </c>
      <c r="L99" s="32">
        <v>0</v>
      </c>
      <c r="N99" s="78">
        <f t="shared" si="8"/>
        <v>295</v>
      </c>
      <c r="O99" s="5" t="e">
        <f>VLOOKUP(B99,'0609 W12'!B99:N185,13,0)</f>
        <v>#N/A</v>
      </c>
      <c r="P99" s="78" t="e">
        <f t="shared" si="9"/>
        <v>#N/A</v>
      </c>
    </row>
    <row r="100" spans="1:16">
      <c r="A100" s="29"/>
      <c r="B100" s="89">
        <v>1241480</v>
      </c>
      <c r="C100" s="32">
        <v>0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93</v>
      </c>
      <c r="J100" s="32">
        <v>252</v>
      </c>
      <c r="K100" s="32">
        <v>0</v>
      </c>
      <c r="L100" s="32">
        <v>0</v>
      </c>
      <c r="N100" s="78">
        <f t="shared" si="8"/>
        <v>345</v>
      </c>
      <c r="O100" s="5" t="e">
        <f>VLOOKUP(B100,'0609 W12'!B100:N186,13,0)</f>
        <v>#N/A</v>
      </c>
      <c r="P100" s="78" t="e">
        <f t="shared" si="9"/>
        <v>#N/A</v>
      </c>
    </row>
    <row r="101" spans="1:16">
      <c r="N101" s="78">
        <f t="shared" si="8"/>
        <v>0</v>
      </c>
    </row>
    <row r="102" spans="1:16">
      <c r="N102" s="78">
        <f t="shared" si="8"/>
        <v>0</v>
      </c>
    </row>
  </sheetData>
  <mergeCells count="4">
    <mergeCell ref="A7:A8"/>
    <mergeCell ref="B7:B8"/>
    <mergeCell ref="A39:A40"/>
    <mergeCell ref="B39:B40"/>
  </mergeCells>
  <phoneticPr fontId="11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3E97-1386-4937-B7F9-C3364EED64B2}">
  <dimension ref="A1:T71"/>
  <sheetViews>
    <sheetView topLeftCell="A53" zoomScale="145" zoomScaleNormal="145" workbookViewId="0">
      <selection activeCell="H61" sqref="H61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20" width="9.33203125" style="9"/>
    <col min="21" max="16384" width="9.33203125" style="5"/>
  </cols>
  <sheetData>
    <row r="1" spans="1:20">
      <c r="A1" s="74" t="s">
        <v>0</v>
      </c>
      <c r="B1" s="69" t="s">
        <v>1285</v>
      </c>
      <c r="C1" s="69" t="s">
        <v>1286</v>
      </c>
      <c r="D1" s="69" t="s">
        <v>1287</v>
      </c>
      <c r="E1" s="70" t="s">
        <v>1288</v>
      </c>
      <c r="F1" s="69" t="s">
        <v>1290</v>
      </c>
      <c r="G1" s="69" t="s">
        <v>1291</v>
      </c>
      <c r="H1" s="69" t="s">
        <v>1292</v>
      </c>
      <c r="I1" s="69" t="s">
        <v>1293</v>
      </c>
      <c r="J1" s="69" t="s">
        <v>1294</v>
      </c>
      <c r="K1" s="69" t="s">
        <v>1295</v>
      </c>
      <c r="L1" s="70" t="s">
        <v>1296</v>
      </c>
      <c r="M1" s="69" t="s">
        <v>1298</v>
      </c>
      <c r="N1" s="69" t="s">
        <v>1299</v>
      </c>
      <c r="O1" s="69" t="s">
        <v>1300</v>
      </c>
      <c r="P1" s="69" t="s">
        <v>1301</v>
      </c>
      <c r="Q1" s="69" t="s">
        <v>1302</v>
      </c>
      <c r="R1" s="69" t="s">
        <v>1303</v>
      </c>
      <c r="S1" s="70" t="s">
        <v>1304</v>
      </c>
    </row>
    <row r="2" spans="1:20">
      <c r="A2" s="30">
        <v>1229673</v>
      </c>
      <c r="B2" s="32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200</v>
      </c>
      <c r="N2" s="32">
        <v>200</v>
      </c>
      <c r="O2" s="32">
        <v>200</v>
      </c>
      <c r="P2" s="32">
        <v>200</v>
      </c>
      <c r="Q2" s="32">
        <v>200</v>
      </c>
      <c r="R2" s="32">
        <v>0</v>
      </c>
      <c r="S2" s="32">
        <v>0</v>
      </c>
    </row>
    <row r="3" spans="1:20">
      <c r="A3" s="30">
        <v>1230854</v>
      </c>
      <c r="B3" s="32">
        <v>0</v>
      </c>
      <c r="C3" s="32">
        <v>0</v>
      </c>
      <c r="D3" s="32">
        <v>0</v>
      </c>
      <c r="E3" s="32">
        <v>0</v>
      </c>
      <c r="F3" s="32">
        <v>200</v>
      </c>
      <c r="G3" s="32">
        <v>200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</row>
    <row r="4" spans="1:20">
      <c r="A4" s="30">
        <v>1233492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620</v>
      </c>
      <c r="J4" s="32">
        <v>700</v>
      </c>
      <c r="K4" s="32">
        <v>0</v>
      </c>
      <c r="L4" s="32">
        <v>0</v>
      </c>
      <c r="M4" s="32">
        <v>700</v>
      </c>
      <c r="N4" s="32">
        <v>600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</row>
    <row r="5" spans="1:20">
      <c r="A5" s="30">
        <v>1233498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620</v>
      </c>
      <c r="J5" s="32">
        <v>700</v>
      </c>
      <c r="K5" s="32">
        <v>0</v>
      </c>
      <c r="L5" s="32">
        <v>0</v>
      </c>
      <c r="M5" s="32">
        <v>700</v>
      </c>
      <c r="N5" s="32">
        <v>600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</row>
    <row r="6" spans="1:20">
      <c r="A6" s="30">
        <v>1233623</v>
      </c>
      <c r="B6" s="32">
        <v>0</v>
      </c>
      <c r="C6" s="32">
        <v>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620</v>
      </c>
      <c r="J6" s="32">
        <v>700</v>
      </c>
      <c r="K6" s="32">
        <v>0</v>
      </c>
      <c r="L6" s="32">
        <v>0</v>
      </c>
      <c r="M6" s="32">
        <v>700</v>
      </c>
      <c r="N6" s="32">
        <v>600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</row>
    <row r="7" spans="1:20">
      <c r="A7" s="30">
        <v>1235623</v>
      </c>
      <c r="B7" s="32">
        <v>0</v>
      </c>
      <c r="C7" s="32">
        <v>0</v>
      </c>
      <c r="D7" s="32">
        <v>0</v>
      </c>
      <c r="E7" s="32">
        <v>0</v>
      </c>
      <c r="F7" s="32">
        <v>490</v>
      </c>
      <c r="G7" s="32">
        <v>82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106</v>
      </c>
      <c r="O7" s="32">
        <v>712</v>
      </c>
      <c r="P7" s="32">
        <v>482</v>
      </c>
      <c r="Q7" s="32">
        <v>0</v>
      </c>
      <c r="R7" s="32">
        <v>0</v>
      </c>
      <c r="S7" s="32">
        <v>0</v>
      </c>
    </row>
    <row r="8" spans="1:20">
      <c r="A8" s="30">
        <v>1236976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2</v>
      </c>
      <c r="P8" s="32">
        <v>0</v>
      </c>
      <c r="Q8" s="32">
        <v>0</v>
      </c>
      <c r="R8" s="32">
        <v>0</v>
      </c>
      <c r="S8" s="32">
        <v>0</v>
      </c>
    </row>
    <row r="9" spans="1:20">
      <c r="A9" s="30">
        <v>1237088</v>
      </c>
      <c r="B9" s="32">
        <v>794</v>
      </c>
      <c r="C9" s="32">
        <v>566</v>
      </c>
      <c r="D9" s="32">
        <v>0</v>
      </c>
      <c r="E9" s="32">
        <v>0</v>
      </c>
      <c r="F9" s="32">
        <v>1318</v>
      </c>
      <c r="G9" s="32">
        <v>1076</v>
      </c>
      <c r="H9" s="32">
        <v>654</v>
      </c>
      <c r="I9" s="32">
        <v>704</v>
      </c>
      <c r="J9" s="32">
        <v>612</v>
      </c>
      <c r="K9" s="32">
        <v>0</v>
      </c>
      <c r="L9" s="32">
        <v>0</v>
      </c>
      <c r="M9" s="32">
        <v>1100</v>
      </c>
      <c r="N9" s="32">
        <v>692</v>
      </c>
      <c r="O9" s="32">
        <v>496</v>
      </c>
      <c r="P9" s="32">
        <v>948</v>
      </c>
      <c r="Q9" s="32">
        <v>444</v>
      </c>
      <c r="R9" s="32">
        <v>0</v>
      </c>
      <c r="S9" s="32">
        <v>0</v>
      </c>
    </row>
    <row r="10" spans="1:20">
      <c r="A10" s="30">
        <v>1237748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404</v>
      </c>
      <c r="Q10" s="32">
        <v>840</v>
      </c>
      <c r="R10" s="32">
        <v>0</v>
      </c>
      <c r="S10" s="32">
        <v>0</v>
      </c>
    </row>
    <row r="11" spans="1:20" s="20" customFormat="1">
      <c r="A11" s="30">
        <v>1231898</v>
      </c>
      <c r="B11" s="32">
        <v>0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300</v>
      </c>
      <c r="R11" s="32">
        <v>0</v>
      </c>
      <c r="S11" s="61">
        <v>0</v>
      </c>
      <c r="T11" s="10"/>
    </row>
    <row r="12" spans="1:20">
      <c r="A12" s="30">
        <v>1237586</v>
      </c>
      <c r="B12" s="32">
        <v>0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300</v>
      </c>
      <c r="R12" s="32">
        <v>0</v>
      </c>
      <c r="S12" s="32">
        <v>0</v>
      </c>
    </row>
    <row r="13" spans="1:20">
      <c r="A13" s="30">
        <v>1236091</v>
      </c>
      <c r="B13" s="32">
        <v>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200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</row>
    <row r="14" spans="1:20">
      <c r="A14" s="30">
        <v>1234905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366</v>
      </c>
      <c r="N14" s="32">
        <v>436</v>
      </c>
      <c r="O14" s="32">
        <v>296</v>
      </c>
      <c r="P14" s="32">
        <v>382</v>
      </c>
      <c r="Q14" s="32">
        <v>436</v>
      </c>
      <c r="R14" s="32">
        <v>0</v>
      </c>
      <c r="S14" s="32">
        <v>0</v>
      </c>
    </row>
    <row r="15" spans="1:20">
      <c r="A15" s="30">
        <v>1238128</v>
      </c>
      <c r="B15" s="32">
        <v>1770</v>
      </c>
      <c r="C15" s="32">
        <v>1770</v>
      </c>
      <c r="D15" s="32">
        <v>0</v>
      </c>
      <c r="E15" s="32">
        <v>0</v>
      </c>
      <c r="F15" s="32">
        <v>1456</v>
      </c>
      <c r="G15" s="32">
        <v>1180</v>
      </c>
      <c r="H15" s="32">
        <v>672</v>
      </c>
      <c r="I15" s="32">
        <v>1180</v>
      </c>
      <c r="J15" s="32">
        <v>1180</v>
      </c>
      <c r="K15" s="32">
        <v>0</v>
      </c>
      <c r="L15" s="32">
        <v>0</v>
      </c>
      <c r="M15" s="32">
        <v>1180</v>
      </c>
      <c r="N15" s="32">
        <v>1180</v>
      </c>
      <c r="O15" s="32">
        <v>872</v>
      </c>
      <c r="P15" s="32">
        <v>1180</v>
      </c>
      <c r="Q15" s="32">
        <v>1180</v>
      </c>
      <c r="R15" s="32">
        <v>0</v>
      </c>
      <c r="S15" s="32">
        <v>0</v>
      </c>
    </row>
    <row r="16" spans="1:20">
      <c r="A16" s="30">
        <v>1236962</v>
      </c>
      <c r="B16" s="32">
        <v>300</v>
      </c>
      <c r="C16" s="32">
        <v>0</v>
      </c>
      <c r="D16" s="32">
        <v>0</v>
      </c>
      <c r="E16" s="32">
        <v>0</v>
      </c>
      <c r="F16" s="32">
        <v>0</v>
      </c>
      <c r="G16" s="32">
        <v>300</v>
      </c>
      <c r="H16" s="32">
        <v>0</v>
      </c>
      <c r="I16" s="32">
        <v>0</v>
      </c>
      <c r="J16" s="32">
        <v>200</v>
      </c>
      <c r="K16" s="32">
        <v>0</v>
      </c>
      <c r="L16" s="32">
        <v>0</v>
      </c>
      <c r="M16" s="32">
        <v>0</v>
      </c>
      <c r="N16" s="32">
        <v>0</v>
      </c>
      <c r="O16" s="32">
        <v>300</v>
      </c>
      <c r="P16" s="32">
        <v>200</v>
      </c>
      <c r="Q16" s="32">
        <v>320</v>
      </c>
      <c r="R16" s="32">
        <v>0</v>
      </c>
      <c r="S16" s="32">
        <v>0</v>
      </c>
    </row>
    <row r="17" spans="1:19">
      <c r="A17" s="30">
        <v>1233761</v>
      </c>
      <c r="B17" s="32">
        <v>0</v>
      </c>
      <c r="C17" s="32">
        <v>200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150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</row>
    <row r="18" spans="1:19">
      <c r="A18" s="30">
        <v>1236930</v>
      </c>
      <c r="B18" s="32">
        <v>0</v>
      </c>
      <c r="C18" s="32">
        <v>0</v>
      </c>
      <c r="D18" s="32">
        <v>0</v>
      </c>
      <c r="E18" s="32">
        <v>0</v>
      </c>
      <c r="F18" s="32">
        <v>174</v>
      </c>
      <c r="G18" s="32">
        <v>358</v>
      </c>
      <c r="H18" s="32">
        <v>204</v>
      </c>
      <c r="I18" s="32">
        <v>358</v>
      </c>
      <c r="J18" s="32">
        <v>358</v>
      </c>
      <c r="K18" s="32">
        <v>0</v>
      </c>
      <c r="L18" s="32">
        <v>0</v>
      </c>
      <c r="M18" s="32">
        <v>50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</row>
    <row r="19" spans="1:19">
      <c r="A19" s="30">
        <v>1239651</v>
      </c>
      <c r="B19" s="32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384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217</v>
      </c>
      <c r="R19" s="32">
        <v>0</v>
      </c>
      <c r="S19" s="32">
        <v>0</v>
      </c>
    </row>
    <row r="20" spans="1:19">
      <c r="A20" s="30">
        <v>1240180</v>
      </c>
      <c r="B20" s="32">
        <v>430</v>
      </c>
      <c r="C20" s="32">
        <v>430</v>
      </c>
      <c r="D20" s="32">
        <v>0</v>
      </c>
      <c r="E20" s="32">
        <v>0</v>
      </c>
      <c r="F20" s="32">
        <v>200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</row>
    <row r="21" spans="1:19">
      <c r="A21" s="30">
        <v>1240184</v>
      </c>
      <c r="B21" s="32">
        <v>230</v>
      </c>
      <c r="C21" s="32">
        <v>430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</row>
    <row r="22" spans="1:19">
      <c r="A22" s="30">
        <v>1239988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50</v>
      </c>
      <c r="P22" s="32">
        <v>50</v>
      </c>
      <c r="Q22" s="32">
        <v>0</v>
      </c>
      <c r="R22" s="32">
        <v>0</v>
      </c>
      <c r="S22" s="32">
        <v>0</v>
      </c>
    </row>
    <row r="23" spans="1:19">
      <c r="A23" s="30">
        <v>1240308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300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</row>
    <row r="27" spans="1:19">
      <c r="A27" s="5" t="s">
        <v>0</v>
      </c>
      <c r="B27" s="9" t="s">
        <v>1285</v>
      </c>
      <c r="C27" s="9" t="s">
        <v>1286</v>
      </c>
      <c r="D27" s="9" t="s">
        <v>1287</v>
      </c>
      <c r="E27" s="9" t="s">
        <v>1288</v>
      </c>
      <c r="F27" s="9" t="s">
        <v>1290</v>
      </c>
      <c r="G27" s="9" t="s">
        <v>1291</v>
      </c>
      <c r="H27" s="9" t="s">
        <v>1292</v>
      </c>
      <c r="I27" s="9" t="s">
        <v>1293</v>
      </c>
      <c r="J27" s="9" t="s">
        <v>1294</v>
      </c>
      <c r="K27" s="9" t="s">
        <v>1295</v>
      </c>
      <c r="L27" s="9" t="s">
        <v>1296</v>
      </c>
      <c r="M27" s="9" t="s">
        <v>1298</v>
      </c>
      <c r="N27" s="9" t="s">
        <v>1299</v>
      </c>
      <c r="O27" s="9" t="s">
        <v>1300</v>
      </c>
      <c r="P27" s="9" t="s">
        <v>1301</v>
      </c>
      <c r="Q27" s="9" t="s">
        <v>1302</v>
      </c>
      <c r="R27" s="9" t="s">
        <v>1303</v>
      </c>
      <c r="S27" s="9" t="s">
        <v>1304</v>
      </c>
    </row>
    <row r="28" spans="1:19">
      <c r="A28" s="5">
        <v>1233165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88</v>
      </c>
      <c r="O28" s="9">
        <v>162</v>
      </c>
      <c r="P28" s="9">
        <v>0</v>
      </c>
      <c r="Q28" s="9">
        <v>0</v>
      </c>
      <c r="R28" s="9">
        <v>0</v>
      </c>
      <c r="S28" s="9">
        <v>0</v>
      </c>
    </row>
    <row r="29" spans="1:19">
      <c r="A29" s="5">
        <v>1236387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117</v>
      </c>
      <c r="H29" s="9">
        <v>293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110</v>
      </c>
      <c r="P29" s="9">
        <v>377</v>
      </c>
      <c r="Q29" s="9">
        <v>377</v>
      </c>
      <c r="R29" s="9">
        <v>0</v>
      </c>
      <c r="S29" s="9">
        <v>0</v>
      </c>
    </row>
    <row r="30" spans="1:19">
      <c r="A30" s="5">
        <v>1232775</v>
      </c>
      <c r="B30" s="9">
        <v>245</v>
      </c>
      <c r="C30" s="9">
        <v>242</v>
      </c>
      <c r="D30" s="9">
        <v>0</v>
      </c>
      <c r="E30" s="9">
        <v>0</v>
      </c>
      <c r="F30" s="9">
        <v>245</v>
      </c>
      <c r="G30" s="9">
        <v>242</v>
      </c>
      <c r="H30" s="9">
        <v>242</v>
      </c>
      <c r="I30" s="9">
        <v>242</v>
      </c>
      <c r="J30" s="9">
        <v>200</v>
      </c>
      <c r="K30" s="9">
        <v>0</v>
      </c>
      <c r="L30" s="9">
        <v>0</v>
      </c>
      <c r="M30" s="9">
        <v>487</v>
      </c>
      <c r="N30" s="9">
        <v>300</v>
      </c>
      <c r="O30" s="9">
        <v>71</v>
      </c>
      <c r="P30" s="9">
        <v>245</v>
      </c>
      <c r="Q30" s="9">
        <v>245</v>
      </c>
      <c r="R30" s="9">
        <v>0</v>
      </c>
      <c r="S30" s="9">
        <v>0</v>
      </c>
    </row>
    <row r="31" spans="1:19">
      <c r="A31" s="5">
        <v>1238605</v>
      </c>
      <c r="B31" s="9">
        <v>193</v>
      </c>
      <c r="C31" s="9">
        <v>191</v>
      </c>
      <c r="D31" s="9">
        <v>0</v>
      </c>
      <c r="E31" s="9">
        <v>0</v>
      </c>
      <c r="F31" s="9">
        <v>191</v>
      </c>
      <c r="G31" s="9">
        <v>109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</row>
    <row r="32" spans="1:19">
      <c r="A32" s="5">
        <v>1230685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58</v>
      </c>
      <c r="I32" s="9">
        <v>330</v>
      </c>
      <c r="J32" s="9">
        <v>12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</row>
    <row r="36" spans="1:20">
      <c r="A36" s="5" t="s">
        <v>0</v>
      </c>
      <c r="B36" s="9" t="s">
        <v>1285</v>
      </c>
      <c r="C36" s="9" t="s">
        <v>1286</v>
      </c>
      <c r="D36" s="9" t="s">
        <v>1287</v>
      </c>
      <c r="E36" s="9" t="s">
        <v>1288</v>
      </c>
      <c r="F36" s="9" t="s">
        <v>1290</v>
      </c>
      <c r="G36" s="9" t="s">
        <v>1291</v>
      </c>
      <c r="H36" s="9" t="s">
        <v>1292</v>
      </c>
      <c r="I36" s="9" t="s">
        <v>1293</v>
      </c>
      <c r="J36" s="9" t="s">
        <v>1294</v>
      </c>
      <c r="K36" s="9" t="s">
        <v>1295</v>
      </c>
      <c r="L36" s="9" t="s">
        <v>1296</v>
      </c>
      <c r="M36" s="9" t="s">
        <v>1298</v>
      </c>
      <c r="N36" s="9" t="s">
        <v>1299</v>
      </c>
      <c r="O36" s="9" t="s">
        <v>1300</v>
      </c>
      <c r="P36" s="9" t="s">
        <v>1301</v>
      </c>
      <c r="Q36" s="9" t="s">
        <v>1302</v>
      </c>
      <c r="R36" s="9" t="s">
        <v>1303</v>
      </c>
      <c r="S36" s="9" t="s">
        <v>1304</v>
      </c>
    </row>
    <row r="37" spans="1:20">
      <c r="A37" s="5">
        <v>1234614</v>
      </c>
      <c r="B37" s="9">
        <v>285</v>
      </c>
      <c r="C37" s="9">
        <v>0</v>
      </c>
      <c r="D37" s="9">
        <v>0</v>
      </c>
      <c r="E37" s="9">
        <v>0</v>
      </c>
      <c r="F37" s="9">
        <v>124</v>
      </c>
      <c r="G37" s="9">
        <v>376</v>
      </c>
      <c r="H37" s="9">
        <v>360</v>
      </c>
      <c r="I37" s="9">
        <v>288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1:20">
      <c r="A38" s="5">
        <v>1221967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373</v>
      </c>
      <c r="J38" s="9">
        <v>328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 spans="1:20">
      <c r="A39" s="5">
        <v>1227306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169</v>
      </c>
      <c r="J39" s="9">
        <v>475</v>
      </c>
      <c r="K39" s="9">
        <v>0</v>
      </c>
      <c r="L39" s="9">
        <v>0</v>
      </c>
      <c r="M39" s="9">
        <v>506</v>
      </c>
      <c r="N39" s="9">
        <v>350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20">
      <c r="A40" s="5">
        <v>1227359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380</v>
      </c>
      <c r="Q40" s="9">
        <v>80</v>
      </c>
      <c r="R40" s="9">
        <v>0</v>
      </c>
      <c r="S40" s="9">
        <v>0</v>
      </c>
    </row>
    <row r="41" spans="1:20">
      <c r="A41" s="5">
        <v>1225464</v>
      </c>
      <c r="B41" s="9">
        <v>0</v>
      </c>
      <c r="C41" s="9">
        <v>0</v>
      </c>
      <c r="D41" s="9">
        <v>0</v>
      </c>
      <c r="E41" s="9">
        <v>0</v>
      </c>
      <c r="F41" s="9">
        <v>375</v>
      </c>
      <c r="G41" s="9">
        <v>175</v>
      </c>
      <c r="H41" s="9">
        <v>0</v>
      </c>
      <c r="I41" s="9">
        <v>0</v>
      </c>
      <c r="J41" s="9">
        <v>210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1:20" s="20" customFormat="1">
      <c r="A42" s="20">
        <v>1231797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168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/>
    </row>
    <row r="43" spans="1:20">
      <c r="A43" s="5">
        <v>1231090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117</v>
      </c>
      <c r="O43" s="9">
        <v>388</v>
      </c>
      <c r="P43" s="9">
        <v>494</v>
      </c>
      <c r="Q43" s="9">
        <v>494</v>
      </c>
      <c r="R43" s="9">
        <v>0</v>
      </c>
      <c r="S43" s="9">
        <v>0</v>
      </c>
    </row>
    <row r="44" spans="1:20">
      <c r="A44" s="5">
        <v>1232066</v>
      </c>
      <c r="B44" s="9">
        <v>0</v>
      </c>
      <c r="C44" s="9">
        <v>257</v>
      </c>
      <c r="D44" s="9">
        <v>0</v>
      </c>
      <c r="E44" s="9">
        <v>0</v>
      </c>
      <c r="F44" s="9">
        <v>499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1:20">
      <c r="A45" s="5">
        <v>1231860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100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20">
      <c r="A46" s="5">
        <v>1232693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750</v>
      </c>
      <c r="N46" s="9">
        <v>988</v>
      </c>
      <c r="O46" s="9">
        <v>776</v>
      </c>
      <c r="P46" s="9">
        <v>836</v>
      </c>
      <c r="Q46" s="9">
        <v>0</v>
      </c>
      <c r="R46" s="9">
        <v>0</v>
      </c>
      <c r="S46" s="9">
        <v>0</v>
      </c>
    </row>
    <row r="47" spans="1:20">
      <c r="A47" s="5">
        <v>1233025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750</v>
      </c>
      <c r="N47" s="9">
        <v>988</v>
      </c>
      <c r="O47" s="9">
        <v>776</v>
      </c>
      <c r="P47" s="9">
        <v>836</v>
      </c>
      <c r="Q47" s="9">
        <v>0</v>
      </c>
      <c r="R47" s="9">
        <v>0</v>
      </c>
      <c r="S47" s="9">
        <v>0</v>
      </c>
    </row>
    <row r="48" spans="1:20">
      <c r="A48" s="5">
        <v>1232528</v>
      </c>
      <c r="B48" s="9">
        <v>514</v>
      </c>
      <c r="C48" s="9">
        <v>624</v>
      </c>
      <c r="D48" s="9">
        <v>0</v>
      </c>
      <c r="E48" s="9">
        <v>0</v>
      </c>
      <c r="F48" s="9">
        <v>595</v>
      </c>
      <c r="G48" s="9">
        <v>674</v>
      </c>
      <c r="H48" s="9">
        <v>539</v>
      </c>
      <c r="I48" s="9">
        <v>944</v>
      </c>
      <c r="J48" s="9">
        <v>1308</v>
      </c>
      <c r="K48" s="9">
        <v>0</v>
      </c>
      <c r="L48" s="9">
        <v>0</v>
      </c>
      <c r="M48" s="9">
        <v>1288</v>
      </c>
      <c r="N48" s="9">
        <v>1117</v>
      </c>
      <c r="O48" s="9">
        <v>391</v>
      </c>
      <c r="P48" s="9">
        <v>0</v>
      </c>
      <c r="Q48" s="9">
        <v>0</v>
      </c>
      <c r="R48" s="9">
        <v>0</v>
      </c>
      <c r="S48" s="9">
        <v>0</v>
      </c>
    </row>
    <row r="49" spans="1:20">
      <c r="A49" s="5">
        <v>1232846</v>
      </c>
      <c r="B49" s="9">
        <v>377</v>
      </c>
      <c r="C49" s="9">
        <v>454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20">
      <c r="A50" s="5">
        <v>1229050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35</v>
      </c>
      <c r="P50" s="9">
        <v>105</v>
      </c>
      <c r="Q50" s="9">
        <v>0</v>
      </c>
      <c r="R50" s="9">
        <v>0</v>
      </c>
      <c r="S50" s="9">
        <v>0</v>
      </c>
    </row>
    <row r="51" spans="1:20" s="20" customFormat="1">
      <c r="A51" s="20">
        <v>1220847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273</v>
      </c>
      <c r="N51" s="10">
        <v>249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/>
    </row>
    <row r="52" spans="1:20">
      <c r="A52" s="5">
        <v>1234222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14</v>
      </c>
      <c r="K52" s="9">
        <v>0</v>
      </c>
      <c r="L52" s="9">
        <v>0</v>
      </c>
      <c r="M52" s="9">
        <v>46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20">
      <c r="A53" s="5">
        <v>1234217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100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</row>
    <row r="54" spans="1:20">
      <c r="A54" s="5">
        <v>1234111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100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</row>
    <row r="55" spans="1:20" s="20" customFormat="1">
      <c r="A55" s="20">
        <v>1234110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100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/>
    </row>
    <row r="56" spans="1:20">
      <c r="A56" s="5">
        <v>1235097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151</v>
      </c>
      <c r="H56" s="9">
        <v>269</v>
      </c>
      <c r="I56" s="9">
        <v>80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20">
      <c r="A57" s="5">
        <v>1235958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2</v>
      </c>
      <c r="Q57" s="9">
        <v>0</v>
      </c>
      <c r="R57" s="9">
        <v>0</v>
      </c>
      <c r="S57" s="9">
        <v>0</v>
      </c>
    </row>
    <row r="58" spans="1:20">
      <c r="A58" s="5">
        <v>1235845</v>
      </c>
      <c r="B58" s="9">
        <v>0</v>
      </c>
      <c r="C58" s="9">
        <v>330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</row>
    <row r="59" spans="1:20">
      <c r="A59" s="5">
        <v>1236600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295</v>
      </c>
      <c r="J59" s="9">
        <v>533</v>
      </c>
      <c r="K59" s="9">
        <v>0</v>
      </c>
      <c r="L59" s="9">
        <v>0</v>
      </c>
      <c r="M59" s="9">
        <v>299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</row>
    <row r="60" spans="1:20">
      <c r="A60" s="5">
        <v>1236930</v>
      </c>
      <c r="B60" s="9">
        <v>457</v>
      </c>
      <c r="C60" s="9">
        <v>314</v>
      </c>
      <c r="D60" s="9">
        <v>0</v>
      </c>
      <c r="E60" s="9">
        <v>0</v>
      </c>
      <c r="F60" s="9">
        <v>325</v>
      </c>
      <c r="G60" s="9">
        <v>555</v>
      </c>
      <c r="H60" s="9">
        <v>330</v>
      </c>
      <c r="I60" s="9">
        <v>420</v>
      </c>
      <c r="J60" s="9">
        <v>416</v>
      </c>
      <c r="K60" s="9">
        <v>0</v>
      </c>
      <c r="L60" s="9">
        <v>0</v>
      </c>
      <c r="M60" s="9">
        <v>420</v>
      </c>
      <c r="N60" s="9">
        <v>500</v>
      </c>
      <c r="O60" s="9">
        <v>533</v>
      </c>
      <c r="P60" s="9">
        <v>261</v>
      </c>
      <c r="Q60" s="9">
        <v>250</v>
      </c>
      <c r="R60" s="9">
        <v>0</v>
      </c>
      <c r="S60" s="9">
        <v>0</v>
      </c>
    </row>
    <row r="61" spans="1:20">
      <c r="A61" s="5">
        <v>1232982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80</v>
      </c>
      <c r="P61" s="9">
        <v>0</v>
      </c>
      <c r="Q61" s="9">
        <v>0</v>
      </c>
      <c r="R61" s="9">
        <v>0</v>
      </c>
      <c r="S61" s="9">
        <v>0</v>
      </c>
    </row>
    <row r="62" spans="1:20">
      <c r="A62" s="5">
        <v>1238480</v>
      </c>
      <c r="B62" s="9">
        <v>1157</v>
      </c>
      <c r="C62" s="9">
        <v>1195</v>
      </c>
      <c r="D62" s="9">
        <v>0</v>
      </c>
      <c r="E62" s="9">
        <v>0</v>
      </c>
      <c r="F62" s="9">
        <v>1235</v>
      </c>
      <c r="G62" s="9">
        <v>923</v>
      </c>
      <c r="H62" s="9">
        <v>578</v>
      </c>
      <c r="I62" s="9">
        <v>429</v>
      </c>
      <c r="J62" s="9">
        <v>339</v>
      </c>
      <c r="K62" s="9">
        <v>0</v>
      </c>
      <c r="L62" s="9">
        <v>0</v>
      </c>
      <c r="M62" s="9">
        <v>529</v>
      </c>
      <c r="N62" s="9">
        <v>775</v>
      </c>
      <c r="O62" s="9">
        <v>685</v>
      </c>
      <c r="P62" s="9">
        <v>1625</v>
      </c>
      <c r="Q62" s="9">
        <v>1245</v>
      </c>
      <c r="R62" s="9">
        <v>0</v>
      </c>
      <c r="S62" s="9">
        <v>0</v>
      </c>
    </row>
    <row r="63" spans="1:20">
      <c r="A63" s="5">
        <v>1238453</v>
      </c>
      <c r="B63" s="9">
        <v>0</v>
      </c>
      <c r="C63" s="9">
        <v>37</v>
      </c>
      <c r="D63" s="9">
        <v>0</v>
      </c>
      <c r="E63" s="9">
        <v>0</v>
      </c>
      <c r="F63" s="9">
        <v>275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 spans="1:20">
      <c r="A64" s="5">
        <v>1240180</v>
      </c>
      <c r="B64" s="9">
        <v>191</v>
      </c>
      <c r="C64" s="9">
        <v>279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5">
        <v>1240184</v>
      </c>
      <c r="B65" s="9">
        <v>191</v>
      </c>
      <c r="C65" s="9">
        <v>279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</row>
    <row r="66" spans="1:19">
      <c r="A66" s="5">
        <v>1237468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128</v>
      </c>
      <c r="K66" s="9">
        <v>0</v>
      </c>
      <c r="L66" s="9">
        <v>0</v>
      </c>
      <c r="M66" s="9">
        <v>196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</row>
    <row r="67" spans="1:19">
      <c r="A67" s="5">
        <v>1216452</v>
      </c>
      <c r="B67" s="9">
        <v>0</v>
      </c>
      <c r="C67" s="9">
        <v>362</v>
      </c>
      <c r="D67" s="9">
        <v>0</v>
      </c>
      <c r="E67" s="9">
        <v>0</v>
      </c>
      <c r="F67" s="9">
        <v>590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162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</row>
    <row r="68" spans="1:19">
      <c r="A68" s="5">
        <v>1232894</v>
      </c>
      <c r="B68" s="9">
        <v>377</v>
      </c>
      <c r="C68" s="9">
        <v>454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  <row r="69" spans="1:19">
      <c r="A69" s="5">
        <v>1233387</v>
      </c>
      <c r="B69" s="9">
        <v>255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 spans="1:19">
      <c r="A70" s="5">
        <v>1233385</v>
      </c>
      <c r="B70" s="9">
        <v>122</v>
      </c>
      <c r="C70" s="9">
        <v>454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</row>
    <row r="71" spans="1:19">
      <c r="A71" s="5">
        <v>1233580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200</v>
      </c>
      <c r="R71" s="9">
        <v>0</v>
      </c>
      <c r="S71" s="9">
        <v>0</v>
      </c>
    </row>
  </sheetData>
  <phoneticPr fontId="11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8592-A5A2-40DC-AEDA-5DA77A1B5D66}">
  <dimension ref="A1:U70"/>
  <sheetViews>
    <sheetView zoomScale="145" zoomScaleNormal="145" workbookViewId="0">
      <selection activeCell="F8" sqref="F8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21" width="9.33203125" style="9"/>
    <col min="22" max="16384" width="9.33203125" style="5"/>
  </cols>
  <sheetData>
    <row r="1" spans="1:18">
      <c r="A1" s="5" t="s">
        <v>0</v>
      </c>
      <c r="B1" s="9" t="s">
        <v>1286</v>
      </c>
      <c r="C1" s="9" t="s">
        <v>1287</v>
      </c>
      <c r="D1" s="9" t="s">
        <v>1288</v>
      </c>
      <c r="E1" s="9" t="s">
        <v>1290</v>
      </c>
      <c r="F1" s="9" t="s">
        <v>1291</v>
      </c>
      <c r="G1" s="9" t="s">
        <v>1292</v>
      </c>
      <c r="H1" s="9" t="s">
        <v>1293</v>
      </c>
      <c r="I1" s="9" t="s">
        <v>1294</v>
      </c>
      <c r="J1" s="9" t="s">
        <v>1295</v>
      </c>
      <c r="K1" s="9" t="s">
        <v>1296</v>
      </c>
      <c r="L1" s="9" t="s">
        <v>1298</v>
      </c>
      <c r="M1" s="9" t="s">
        <v>1299</v>
      </c>
      <c r="N1" s="9" t="s">
        <v>1300</v>
      </c>
      <c r="O1" s="9" t="s">
        <v>1301</v>
      </c>
      <c r="P1" s="9" t="s">
        <v>1302</v>
      </c>
      <c r="Q1" s="9" t="s">
        <v>1303</v>
      </c>
      <c r="R1" s="9" t="s">
        <v>1304</v>
      </c>
    </row>
    <row r="2" spans="1:18">
      <c r="A2" s="5">
        <v>1229673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200</v>
      </c>
      <c r="M2" s="9">
        <v>200</v>
      </c>
      <c r="N2" s="9">
        <v>200</v>
      </c>
      <c r="O2" s="9">
        <v>200</v>
      </c>
      <c r="P2" s="9">
        <v>200</v>
      </c>
      <c r="Q2" s="9">
        <v>0</v>
      </c>
      <c r="R2" s="9">
        <v>0</v>
      </c>
    </row>
    <row r="3" spans="1:18">
      <c r="A3" s="5">
        <v>1230854</v>
      </c>
      <c r="B3" s="9">
        <v>0</v>
      </c>
      <c r="C3" s="9">
        <v>0</v>
      </c>
      <c r="D3" s="9">
        <v>0</v>
      </c>
      <c r="E3" s="9">
        <v>200</v>
      </c>
      <c r="F3" s="9">
        <v>200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</row>
    <row r="4" spans="1:18">
      <c r="A4" s="5">
        <v>1233492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620</v>
      </c>
      <c r="I4" s="9">
        <v>700</v>
      </c>
      <c r="J4" s="9">
        <v>0</v>
      </c>
      <c r="K4" s="9">
        <v>0</v>
      </c>
      <c r="L4" s="9">
        <v>700</v>
      </c>
      <c r="M4" s="9">
        <v>600</v>
      </c>
      <c r="N4" s="9">
        <v>0</v>
      </c>
      <c r="O4" s="9">
        <v>0</v>
      </c>
      <c r="P4" s="9">
        <v>0</v>
      </c>
      <c r="Q4" s="9">
        <v>0</v>
      </c>
      <c r="R4" s="9">
        <v>0</v>
      </c>
    </row>
    <row r="5" spans="1:18">
      <c r="A5" s="5">
        <v>1233498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620</v>
      </c>
      <c r="I5" s="9">
        <v>700</v>
      </c>
      <c r="J5" s="9">
        <v>0</v>
      </c>
      <c r="K5" s="9">
        <v>0</v>
      </c>
      <c r="L5" s="9">
        <v>700</v>
      </c>
      <c r="M5" s="9">
        <v>600</v>
      </c>
      <c r="N5" s="9">
        <v>0</v>
      </c>
      <c r="O5" s="9">
        <v>0</v>
      </c>
      <c r="P5" s="9">
        <v>0</v>
      </c>
      <c r="Q5" s="9">
        <v>0</v>
      </c>
      <c r="R5" s="9">
        <v>0</v>
      </c>
    </row>
    <row r="6" spans="1:18">
      <c r="A6" s="5">
        <v>1233623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620</v>
      </c>
      <c r="I6" s="9">
        <v>700</v>
      </c>
      <c r="J6" s="9">
        <v>0</v>
      </c>
      <c r="K6" s="9">
        <v>0</v>
      </c>
      <c r="L6" s="9">
        <v>700</v>
      </c>
      <c r="M6" s="9">
        <v>600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>
      <c r="A7" s="5">
        <v>1235623</v>
      </c>
      <c r="B7" s="9">
        <v>0</v>
      </c>
      <c r="C7" s="9">
        <v>0</v>
      </c>
      <c r="D7" s="9">
        <v>0</v>
      </c>
      <c r="E7" s="9">
        <v>490</v>
      </c>
      <c r="F7" s="9">
        <v>82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106</v>
      </c>
      <c r="N7" s="9">
        <v>712</v>
      </c>
      <c r="O7" s="9">
        <v>482</v>
      </c>
      <c r="P7" s="9">
        <v>0</v>
      </c>
      <c r="Q7" s="9">
        <v>0</v>
      </c>
      <c r="R7" s="9">
        <v>0</v>
      </c>
    </row>
    <row r="8" spans="1:18">
      <c r="A8" s="5">
        <v>1236976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2</v>
      </c>
      <c r="O8" s="9">
        <v>0</v>
      </c>
      <c r="P8" s="9">
        <v>0</v>
      </c>
      <c r="Q8" s="9">
        <v>0</v>
      </c>
      <c r="R8" s="9">
        <v>0</v>
      </c>
    </row>
    <row r="9" spans="1:18">
      <c r="A9" s="5">
        <v>1237088</v>
      </c>
      <c r="B9" s="9">
        <v>566</v>
      </c>
      <c r="C9" s="9">
        <v>0</v>
      </c>
      <c r="D9" s="9">
        <v>0</v>
      </c>
      <c r="E9" s="9">
        <v>1318</v>
      </c>
      <c r="F9" s="9">
        <v>1076</v>
      </c>
      <c r="G9" s="9">
        <v>654</v>
      </c>
      <c r="H9" s="9">
        <v>704</v>
      </c>
      <c r="I9" s="9">
        <v>612</v>
      </c>
      <c r="J9" s="9">
        <v>0</v>
      </c>
      <c r="K9" s="9">
        <v>0</v>
      </c>
      <c r="L9" s="9">
        <v>1100</v>
      </c>
      <c r="M9" s="9">
        <v>692</v>
      </c>
      <c r="N9" s="9">
        <v>496</v>
      </c>
      <c r="O9" s="9">
        <v>948</v>
      </c>
      <c r="P9" s="9">
        <v>444</v>
      </c>
      <c r="Q9" s="9">
        <v>0</v>
      </c>
      <c r="R9" s="9">
        <v>0</v>
      </c>
    </row>
    <row r="10" spans="1:18">
      <c r="A10" s="5">
        <v>1237748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404</v>
      </c>
      <c r="P10" s="9">
        <v>840</v>
      </c>
      <c r="Q10" s="9">
        <v>0</v>
      </c>
      <c r="R10" s="9">
        <v>0</v>
      </c>
    </row>
    <row r="11" spans="1:18">
      <c r="A11" s="5">
        <v>1231898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300</v>
      </c>
      <c r="Q11" s="9">
        <v>0</v>
      </c>
      <c r="R11" s="9">
        <v>0</v>
      </c>
    </row>
    <row r="12" spans="1:18">
      <c r="A12" s="5">
        <v>1237586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300</v>
      </c>
      <c r="Q12" s="9">
        <v>0</v>
      </c>
      <c r="R12" s="9">
        <v>0</v>
      </c>
    </row>
    <row r="13" spans="1:18">
      <c r="A13" s="5">
        <v>1236091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200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18">
      <c r="A14" s="5">
        <v>1234905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366</v>
      </c>
      <c r="M14" s="9">
        <v>436</v>
      </c>
      <c r="N14" s="9">
        <v>296</v>
      </c>
      <c r="O14" s="9">
        <v>382</v>
      </c>
      <c r="P14" s="9">
        <v>436</v>
      </c>
      <c r="Q14" s="9">
        <v>0</v>
      </c>
      <c r="R14" s="9">
        <v>0</v>
      </c>
    </row>
    <row r="15" spans="1:18">
      <c r="A15" s="5">
        <v>1238128</v>
      </c>
      <c r="B15" s="9">
        <v>1770</v>
      </c>
      <c r="C15" s="9">
        <v>0</v>
      </c>
      <c r="D15" s="9">
        <v>0</v>
      </c>
      <c r="E15" s="9">
        <v>1456</v>
      </c>
      <c r="F15" s="9">
        <v>1180</v>
      </c>
      <c r="G15" s="9">
        <v>672</v>
      </c>
      <c r="H15" s="9">
        <v>1180</v>
      </c>
      <c r="I15" s="9">
        <v>1180</v>
      </c>
      <c r="J15" s="9">
        <v>0</v>
      </c>
      <c r="K15" s="9">
        <v>0</v>
      </c>
      <c r="L15" s="9">
        <v>1180</v>
      </c>
      <c r="M15" s="9">
        <v>1180</v>
      </c>
      <c r="N15" s="9">
        <v>872</v>
      </c>
      <c r="O15" s="9">
        <v>1180</v>
      </c>
      <c r="P15" s="9">
        <v>1180</v>
      </c>
      <c r="Q15" s="9">
        <v>0</v>
      </c>
      <c r="R15" s="9">
        <v>0</v>
      </c>
    </row>
    <row r="16" spans="1:18">
      <c r="A16" s="5">
        <v>1236962</v>
      </c>
      <c r="B16" s="9">
        <v>0</v>
      </c>
      <c r="C16" s="9">
        <v>0</v>
      </c>
      <c r="D16" s="9">
        <v>0</v>
      </c>
      <c r="E16" s="9">
        <v>0</v>
      </c>
      <c r="F16" s="9">
        <v>300</v>
      </c>
      <c r="G16" s="9">
        <v>0</v>
      </c>
      <c r="H16" s="9">
        <v>0</v>
      </c>
      <c r="I16" s="9">
        <v>200</v>
      </c>
      <c r="J16" s="9">
        <v>0</v>
      </c>
      <c r="K16" s="9">
        <v>0</v>
      </c>
      <c r="L16" s="9">
        <v>0</v>
      </c>
      <c r="M16" s="9">
        <v>0</v>
      </c>
      <c r="N16" s="9">
        <v>300</v>
      </c>
      <c r="O16" s="9">
        <v>200</v>
      </c>
      <c r="P16" s="9">
        <v>320</v>
      </c>
      <c r="Q16" s="9">
        <v>0</v>
      </c>
      <c r="R16" s="9">
        <v>0</v>
      </c>
    </row>
    <row r="17" spans="1:18">
      <c r="A17" s="5">
        <v>1233761</v>
      </c>
      <c r="B17" s="9">
        <v>200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150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</row>
    <row r="18" spans="1:18">
      <c r="A18" s="5">
        <v>1236930</v>
      </c>
      <c r="B18" s="9">
        <v>0</v>
      </c>
      <c r="C18" s="9">
        <v>0</v>
      </c>
      <c r="D18" s="9">
        <v>0</v>
      </c>
      <c r="E18" s="9">
        <v>174</v>
      </c>
      <c r="F18" s="9">
        <v>358</v>
      </c>
      <c r="G18" s="9">
        <v>204</v>
      </c>
      <c r="H18" s="9">
        <v>358</v>
      </c>
      <c r="I18" s="9">
        <v>358</v>
      </c>
      <c r="J18" s="9">
        <v>0</v>
      </c>
      <c r="K18" s="9">
        <v>0</v>
      </c>
      <c r="L18" s="9">
        <v>50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>
      <c r="A19" s="5">
        <v>1239651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384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217</v>
      </c>
      <c r="Q19" s="9">
        <v>0</v>
      </c>
      <c r="R19" s="9">
        <v>0</v>
      </c>
    </row>
    <row r="20" spans="1:18">
      <c r="A20" s="5">
        <v>1240180</v>
      </c>
      <c r="B20" s="9">
        <v>430</v>
      </c>
      <c r="C20" s="9">
        <v>0</v>
      </c>
      <c r="D20" s="9">
        <v>0</v>
      </c>
      <c r="E20" s="9">
        <v>200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>
      <c r="A21" s="5">
        <v>1240184</v>
      </c>
      <c r="B21" s="9">
        <v>430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</row>
    <row r="22" spans="1:18">
      <c r="A22" s="5">
        <v>1239988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50</v>
      </c>
      <c r="O22" s="9">
        <v>50</v>
      </c>
      <c r="P22" s="9">
        <v>0</v>
      </c>
      <c r="Q22" s="9">
        <v>0</v>
      </c>
      <c r="R22" s="9">
        <v>0</v>
      </c>
    </row>
    <row r="23" spans="1:18">
      <c r="A23" s="5">
        <v>1240308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300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</row>
    <row r="27" spans="1:18">
      <c r="A27" s="5" t="s">
        <v>0</v>
      </c>
      <c r="B27" s="9" t="s">
        <v>1286</v>
      </c>
      <c r="C27" s="9" t="s">
        <v>1287</v>
      </c>
      <c r="D27" s="9" t="s">
        <v>1288</v>
      </c>
      <c r="E27" s="9" t="s">
        <v>1290</v>
      </c>
      <c r="F27" s="9" t="s">
        <v>1291</v>
      </c>
      <c r="G27" s="9" t="s">
        <v>1292</v>
      </c>
      <c r="H27" s="9" t="s">
        <v>1293</v>
      </c>
      <c r="I27" s="9" t="s">
        <v>1294</v>
      </c>
      <c r="J27" s="9" t="s">
        <v>1295</v>
      </c>
      <c r="K27" s="9" t="s">
        <v>1296</v>
      </c>
      <c r="L27" s="9" t="s">
        <v>1298</v>
      </c>
      <c r="M27" s="9" t="s">
        <v>1299</v>
      </c>
      <c r="N27" s="9" t="s">
        <v>1300</v>
      </c>
      <c r="O27" s="9" t="s">
        <v>1301</v>
      </c>
      <c r="P27" s="9" t="s">
        <v>1302</v>
      </c>
      <c r="Q27" s="9" t="s">
        <v>1303</v>
      </c>
      <c r="R27" s="9" t="s">
        <v>1304</v>
      </c>
    </row>
    <row r="28" spans="1:18">
      <c r="A28" s="5">
        <v>1233165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88</v>
      </c>
      <c r="N28" s="9">
        <v>162</v>
      </c>
      <c r="O28" s="9">
        <v>0</v>
      </c>
      <c r="P28" s="9">
        <v>0</v>
      </c>
      <c r="Q28" s="9">
        <v>0</v>
      </c>
      <c r="R28" s="9">
        <v>0</v>
      </c>
    </row>
    <row r="29" spans="1:18">
      <c r="A29" s="5">
        <v>1236387</v>
      </c>
      <c r="B29" s="9">
        <v>0</v>
      </c>
      <c r="C29" s="9">
        <v>0</v>
      </c>
      <c r="D29" s="9">
        <v>0</v>
      </c>
      <c r="E29" s="9">
        <v>0</v>
      </c>
      <c r="F29" s="9">
        <v>117</v>
      </c>
      <c r="G29" s="9">
        <v>293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110</v>
      </c>
      <c r="O29" s="9">
        <v>377</v>
      </c>
      <c r="P29" s="9">
        <v>377</v>
      </c>
      <c r="Q29" s="9">
        <v>0</v>
      </c>
      <c r="R29" s="9">
        <v>0</v>
      </c>
    </row>
    <row r="30" spans="1:18">
      <c r="A30" s="5">
        <v>1232775</v>
      </c>
      <c r="B30" s="9">
        <v>242</v>
      </c>
      <c r="C30" s="9">
        <v>0</v>
      </c>
      <c r="D30" s="9">
        <v>0</v>
      </c>
      <c r="E30" s="9">
        <v>245</v>
      </c>
      <c r="F30" s="9">
        <v>242</v>
      </c>
      <c r="G30" s="9">
        <v>242</v>
      </c>
      <c r="H30" s="9">
        <v>242</v>
      </c>
      <c r="I30" s="9">
        <v>200</v>
      </c>
      <c r="J30" s="9">
        <v>0</v>
      </c>
      <c r="K30" s="9">
        <v>0</v>
      </c>
      <c r="L30" s="9">
        <v>487</v>
      </c>
      <c r="M30" s="9">
        <v>300</v>
      </c>
      <c r="N30" s="9">
        <v>71</v>
      </c>
      <c r="O30" s="9">
        <v>245</v>
      </c>
      <c r="P30" s="9">
        <v>245</v>
      </c>
      <c r="Q30" s="9">
        <v>0</v>
      </c>
      <c r="R30" s="9">
        <v>0</v>
      </c>
    </row>
    <row r="31" spans="1:18">
      <c r="A31" s="5">
        <v>1238605</v>
      </c>
      <c r="B31" s="9">
        <v>191</v>
      </c>
      <c r="C31" s="9">
        <v>0</v>
      </c>
      <c r="D31" s="9">
        <v>0</v>
      </c>
      <c r="E31" s="9">
        <v>191</v>
      </c>
      <c r="F31" s="9">
        <v>109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</row>
    <row r="32" spans="1:18">
      <c r="A32" s="5">
        <v>1230685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58</v>
      </c>
      <c r="H32" s="9">
        <v>330</v>
      </c>
      <c r="I32" s="9">
        <v>12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6" spans="1:18">
      <c r="A36" s="5" t="s">
        <v>0</v>
      </c>
      <c r="B36" s="9" t="s">
        <v>1286</v>
      </c>
      <c r="C36" s="9" t="s">
        <v>1287</v>
      </c>
      <c r="D36" s="9" t="s">
        <v>1288</v>
      </c>
      <c r="E36" s="9" t="s">
        <v>1290</v>
      </c>
      <c r="F36" s="9" t="s">
        <v>1291</v>
      </c>
      <c r="G36" s="9" t="s">
        <v>1292</v>
      </c>
      <c r="H36" s="9" t="s">
        <v>1293</v>
      </c>
      <c r="I36" s="9" t="s">
        <v>1294</v>
      </c>
      <c r="J36" s="9" t="s">
        <v>1295</v>
      </c>
      <c r="K36" s="9" t="s">
        <v>1296</v>
      </c>
      <c r="L36" s="9" t="s">
        <v>1298</v>
      </c>
      <c r="M36" s="9" t="s">
        <v>1299</v>
      </c>
      <c r="N36" s="9" t="s">
        <v>1300</v>
      </c>
      <c r="O36" s="9" t="s">
        <v>1301</v>
      </c>
      <c r="P36" s="9" t="s">
        <v>1302</v>
      </c>
      <c r="Q36" s="9" t="s">
        <v>1303</v>
      </c>
      <c r="R36" s="9" t="s">
        <v>1304</v>
      </c>
    </row>
    <row r="37" spans="1:18">
      <c r="A37" s="5">
        <v>1234614</v>
      </c>
      <c r="B37" s="9">
        <v>0</v>
      </c>
      <c r="C37" s="9">
        <v>0</v>
      </c>
      <c r="D37" s="9">
        <v>0</v>
      </c>
      <c r="E37" s="9">
        <v>124</v>
      </c>
      <c r="F37" s="9">
        <v>376</v>
      </c>
      <c r="G37" s="9">
        <v>360</v>
      </c>
      <c r="H37" s="9">
        <v>288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</row>
    <row r="38" spans="1:18">
      <c r="A38" s="5">
        <v>1221967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373</v>
      </c>
      <c r="I38" s="9">
        <v>328</v>
      </c>
      <c r="J38" s="9">
        <v>0</v>
      </c>
      <c r="K38" s="9">
        <v>0</v>
      </c>
      <c r="L38" s="9">
        <v>0</v>
      </c>
      <c r="M38" s="9">
        <v>0</v>
      </c>
      <c r="N38" s="9">
        <v>2</v>
      </c>
      <c r="O38" s="9">
        <v>0</v>
      </c>
      <c r="P38" s="9">
        <v>0</v>
      </c>
      <c r="Q38" s="9">
        <v>0</v>
      </c>
      <c r="R38" s="9">
        <v>0</v>
      </c>
    </row>
    <row r="39" spans="1:18">
      <c r="A39" s="5">
        <v>1227306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169</v>
      </c>
      <c r="I39" s="9">
        <v>475</v>
      </c>
      <c r="J39" s="9">
        <v>0</v>
      </c>
      <c r="K39" s="9">
        <v>0</v>
      </c>
      <c r="L39" s="9">
        <v>506</v>
      </c>
      <c r="M39" s="9">
        <v>350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</row>
    <row r="40" spans="1:18">
      <c r="A40" s="5">
        <v>1227359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380</v>
      </c>
      <c r="P40" s="9">
        <v>80</v>
      </c>
      <c r="Q40" s="9">
        <v>0</v>
      </c>
      <c r="R40" s="9">
        <v>0</v>
      </c>
    </row>
    <row r="41" spans="1:18">
      <c r="A41" s="5">
        <v>1225464</v>
      </c>
      <c r="B41" s="9">
        <v>0</v>
      </c>
      <c r="C41" s="9">
        <v>0</v>
      </c>
      <c r="D41" s="9">
        <v>0</v>
      </c>
      <c r="E41" s="9">
        <v>375</v>
      </c>
      <c r="F41" s="9">
        <v>175</v>
      </c>
      <c r="G41" s="9">
        <v>0</v>
      </c>
      <c r="H41" s="9">
        <v>0</v>
      </c>
      <c r="I41" s="9">
        <v>210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</row>
    <row r="42" spans="1:18">
      <c r="A42" s="5">
        <v>1231797</v>
      </c>
      <c r="B42" s="9">
        <v>0</v>
      </c>
      <c r="C42" s="9">
        <v>0</v>
      </c>
      <c r="D42" s="9">
        <v>0</v>
      </c>
      <c r="E42" s="9">
        <v>0</v>
      </c>
      <c r="F42" s="9">
        <v>168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>
      <c r="A43" s="5">
        <v>1231090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117</v>
      </c>
      <c r="N43" s="9">
        <v>388</v>
      </c>
      <c r="O43" s="9">
        <v>494</v>
      </c>
      <c r="P43" s="9">
        <v>494</v>
      </c>
      <c r="Q43" s="9">
        <v>0</v>
      </c>
      <c r="R43" s="9">
        <v>0</v>
      </c>
    </row>
    <row r="44" spans="1:18">
      <c r="A44" s="5">
        <v>1232066</v>
      </c>
      <c r="B44" s="9">
        <v>257</v>
      </c>
      <c r="C44" s="9">
        <v>0</v>
      </c>
      <c r="D44" s="9">
        <v>0</v>
      </c>
      <c r="E44" s="9">
        <v>499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>
      <c r="A45" s="5">
        <v>1231860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100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</row>
    <row r="46" spans="1:18">
      <c r="A46" s="5">
        <v>1232693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750</v>
      </c>
      <c r="M46" s="9">
        <v>988</v>
      </c>
      <c r="N46" s="9">
        <v>776</v>
      </c>
      <c r="O46" s="9">
        <v>836</v>
      </c>
      <c r="P46" s="9">
        <v>0</v>
      </c>
      <c r="Q46" s="9">
        <v>0</v>
      </c>
      <c r="R46" s="9">
        <v>0</v>
      </c>
    </row>
    <row r="47" spans="1:18">
      <c r="A47" s="5">
        <v>1233025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750</v>
      </c>
      <c r="M47" s="9">
        <v>988</v>
      </c>
      <c r="N47" s="9">
        <v>776</v>
      </c>
      <c r="O47" s="9">
        <v>836</v>
      </c>
      <c r="P47" s="9">
        <v>0</v>
      </c>
      <c r="Q47" s="9">
        <v>0</v>
      </c>
      <c r="R47" s="9">
        <v>0</v>
      </c>
    </row>
    <row r="48" spans="1:18">
      <c r="A48" s="5">
        <v>1232528</v>
      </c>
      <c r="B48" s="9">
        <v>624</v>
      </c>
      <c r="C48" s="9">
        <v>0</v>
      </c>
      <c r="D48" s="9">
        <v>0</v>
      </c>
      <c r="E48" s="9">
        <v>595</v>
      </c>
      <c r="F48" s="9">
        <v>674</v>
      </c>
      <c r="G48" s="9">
        <v>539</v>
      </c>
      <c r="H48" s="9">
        <v>933</v>
      </c>
      <c r="I48" s="9">
        <v>1308</v>
      </c>
      <c r="J48" s="9">
        <v>0</v>
      </c>
      <c r="K48" s="9">
        <v>0</v>
      </c>
      <c r="L48" s="9">
        <v>1288</v>
      </c>
      <c r="M48" s="9">
        <v>1128</v>
      </c>
      <c r="N48" s="9">
        <v>391</v>
      </c>
      <c r="O48" s="9">
        <v>0</v>
      </c>
      <c r="P48" s="9">
        <v>0</v>
      </c>
      <c r="Q48" s="9">
        <v>0</v>
      </c>
      <c r="R48" s="9">
        <v>0</v>
      </c>
    </row>
    <row r="49" spans="1:21">
      <c r="A49" s="5">
        <v>1232846</v>
      </c>
      <c r="B49" s="9">
        <v>454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</row>
    <row r="50" spans="1:21">
      <c r="A50" s="5">
        <v>1229050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35</v>
      </c>
      <c r="O50" s="9">
        <v>105</v>
      </c>
      <c r="P50" s="9">
        <v>0</v>
      </c>
      <c r="Q50" s="9">
        <v>0</v>
      </c>
      <c r="R50" s="9">
        <v>0</v>
      </c>
    </row>
    <row r="51" spans="1:21">
      <c r="A51" s="5">
        <v>1220847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273</v>
      </c>
      <c r="M51" s="9">
        <v>249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</row>
    <row r="52" spans="1:21">
      <c r="A52" s="5">
        <v>1234222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14</v>
      </c>
      <c r="J52" s="9">
        <v>0</v>
      </c>
      <c r="K52" s="9">
        <v>0</v>
      </c>
      <c r="L52" s="9">
        <v>46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</row>
    <row r="53" spans="1:21">
      <c r="A53" s="5">
        <v>1234217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100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</row>
    <row r="54" spans="1:21">
      <c r="A54" s="5">
        <v>1234111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100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</row>
    <row r="55" spans="1:21">
      <c r="A55" s="5">
        <v>1234110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100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</row>
    <row r="56" spans="1:21">
      <c r="A56" s="5">
        <v>1235097</v>
      </c>
      <c r="B56" s="9">
        <v>0</v>
      </c>
      <c r="C56" s="9">
        <v>0</v>
      </c>
      <c r="D56" s="9">
        <v>0</v>
      </c>
      <c r="E56" s="9">
        <v>0</v>
      </c>
      <c r="F56" s="9">
        <v>151</v>
      </c>
      <c r="G56" s="9">
        <v>269</v>
      </c>
      <c r="H56" s="9">
        <v>80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</row>
    <row r="57" spans="1:21">
      <c r="A57" s="5">
        <v>1235958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2</v>
      </c>
      <c r="P57" s="9">
        <v>0</v>
      </c>
      <c r="Q57" s="9">
        <v>0</v>
      </c>
      <c r="R57" s="9">
        <v>0</v>
      </c>
    </row>
    <row r="58" spans="1:21">
      <c r="A58" s="5">
        <v>1235845</v>
      </c>
      <c r="B58" s="9">
        <v>330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</row>
    <row r="59" spans="1:21">
      <c r="A59" s="5">
        <v>1236600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295</v>
      </c>
      <c r="I59" s="9">
        <v>533</v>
      </c>
      <c r="J59" s="9">
        <v>0</v>
      </c>
      <c r="K59" s="9">
        <v>0</v>
      </c>
      <c r="L59" s="9">
        <v>299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</row>
    <row r="60" spans="1:21">
      <c r="A60" s="5">
        <v>1236930</v>
      </c>
      <c r="B60" s="9">
        <v>314</v>
      </c>
      <c r="C60" s="9">
        <v>0</v>
      </c>
      <c r="D60" s="9">
        <v>0</v>
      </c>
      <c r="E60" s="9">
        <v>325</v>
      </c>
      <c r="F60" s="9">
        <v>555</v>
      </c>
      <c r="G60" s="9">
        <v>330</v>
      </c>
      <c r="H60" s="9">
        <v>420</v>
      </c>
      <c r="I60" s="9">
        <v>416</v>
      </c>
      <c r="J60" s="9">
        <v>0</v>
      </c>
      <c r="K60" s="9">
        <v>0</v>
      </c>
      <c r="L60" s="9">
        <v>420</v>
      </c>
      <c r="M60" s="9">
        <v>500</v>
      </c>
      <c r="N60" s="9">
        <v>533</v>
      </c>
      <c r="O60" s="9">
        <v>261</v>
      </c>
      <c r="P60" s="9">
        <v>250</v>
      </c>
      <c r="Q60" s="9">
        <v>0</v>
      </c>
      <c r="R60" s="9">
        <v>0</v>
      </c>
    </row>
    <row r="61" spans="1:21">
      <c r="A61" s="5">
        <v>1232982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80</v>
      </c>
      <c r="O61" s="9">
        <v>0</v>
      </c>
      <c r="P61" s="9">
        <v>0</v>
      </c>
      <c r="Q61" s="9">
        <v>0</v>
      </c>
      <c r="R61" s="9">
        <v>0</v>
      </c>
    </row>
    <row r="62" spans="1:21">
      <c r="A62" s="5">
        <v>1238480</v>
      </c>
      <c r="B62" s="9">
        <v>1184</v>
      </c>
      <c r="C62" s="9">
        <v>0</v>
      </c>
      <c r="D62" s="9">
        <v>0</v>
      </c>
      <c r="E62" s="9">
        <v>1235</v>
      </c>
      <c r="F62" s="9">
        <v>923</v>
      </c>
      <c r="G62" s="9">
        <v>578</v>
      </c>
      <c r="H62" s="9">
        <v>440</v>
      </c>
      <c r="I62" s="9">
        <v>339</v>
      </c>
      <c r="J62" s="9">
        <v>0</v>
      </c>
      <c r="K62" s="9">
        <v>0</v>
      </c>
      <c r="L62" s="9">
        <v>529</v>
      </c>
      <c r="M62" s="9">
        <v>775</v>
      </c>
      <c r="N62" s="9">
        <v>687</v>
      </c>
      <c r="O62" s="9">
        <v>1625</v>
      </c>
      <c r="P62" s="9">
        <v>1245</v>
      </c>
      <c r="Q62" s="9">
        <v>0</v>
      </c>
      <c r="R62" s="9">
        <v>0</v>
      </c>
    </row>
    <row r="63" spans="1:21" s="20" customFormat="1">
      <c r="A63" s="20">
        <v>1238453</v>
      </c>
      <c r="B63" s="10">
        <v>37</v>
      </c>
      <c r="C63" s="10">
        <v>0</v>
      </c>
      <c r="D63" s="10">
        <v>0</v>
      </c>
      <c r="E63" s="10">
        <v>275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/>
      <c r="T63" s="10"/>
      <c r="U63" s="10"/>
    </row>
    <row r="64" spans="1:21">
      <c r="A64" s="5">
        <v>1240180</v>
      </c>
      <c r="B64" s="9">
        <v>279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</row>
    <row r="65" spans="1:18">
      <c r="A65" s="5">
        <v>1240184</v>
      </c>
      <c r="B65" s="9">
        <v>279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</row>
    <row r="66" spans="1:18">
      <c r="A66" s="5">
        <v>1237468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128</v>
      </c>
      <c r="J66" s="9">
        <v>0</v>
      </c>
      <c r="K66" s="9">
        <v>0</v>
      </c>
      <c r="L66" s="9">
        <v>196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</row>
    <row r="67" spans="1:18">
      <c r="A67" s="5">
        <v>1216452</v>
      </c>
      <c r="B67" s="9">
        <v>362</v>
      </c>
      <c r="C67" s="9">
        <v>0</v>
      </c>
      <c r="D67" s="9">
        <v>0</v>
      </c>
      <c r="E67" s="9">
        <v>590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162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</row>
    <row r="68" spans="1:18">
      <c r="A68" s="5">
        <v>1232894</v>
      </c>
      <c r="B68" s="9">
        <v>454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</row>
    <row r="69" spans="1:18">
      <c r="A69" s="5">
        <v>1233385</v>
      </c>
      <c r="B69" s="9">
        <v>454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</row>
    <row r="70" spans="1:18">
      <c r="A70" s="5">
        <v>1233580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200</v>
      </c>
      <c r="Q70" s="9">
        <v>0</v>
      </c>
      <c r="R70" s="9">
        <v>0</v>
      </c>
    </row>
  </sheetData>
  <phoneticPr fontId="11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48F2-E1BB-4266-A0E3-1811EF37FC39}">
  <dimension ref="A1:P63"/>
  <sheetViews>
    <sheetView zoomScale="160" zoomScaleNormal="160" workbookViewId="0">
      <selection activeCell="J7" sqref="J7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14" width="9.5" style="9" customWidth="1"/>
    <col min="15" max="15" width="9.5" style="9" bestFit="1" customWidth="1"/>
    <col min="16" max="16" width="9.33203125" style="9"/>
    <col min="17" max="16384" width="9.33203125" style="5"/>
  </cols>
  <sheetData>
    <row r="1" spans="1:15">
      <c r="A1" s="5" t="s">
        <v>0</v>
      </c>
      <c r="B1" s="9" t="s">
        <v>1290</v>
      </c>
      <c r="C1" s="9" t="s">
        <v>1291</v>
      </c>
      <c r="D1" s="9" t="s">
        <v>1292</v>
      </c>
      <c r="E1" s="9" t="s">
        <v>1293</v>
      </c>
      <c r="F1" s="9" t="s">
        <v>1294</v>
      </c>
      <c r="G1" s="9" t="s">
        <v>1295</v>
      </c>
      <c r="H1" s="9" t="s">
        <v>1296</v>
      </c>
      <c r="I1" s="9" t="s">
        <v>1298</v>
      </c>
      <c r="J1" s="9" t="s">
        <v>1299</v>
      </c>
      <c r="K1" s="9" t="s">
        <v>1300</v>
      </c>
      <c r="L1" s="9" t="s">
        <v>1301</v>
      </c>
      <c r="M1" s="9" t="s">
        <v>1302</v>
      </c>
      <c r="N1" s="9" t="s">
        <v>1303</v>
      </c>
      <c r="O1" s="9" t="s">
        <v>1304</v>
      </c>
    </row>
    <row r="2" spans="1:15">
      <c r="A2" s="5">
        <v>1229673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200</v>
      </c>
      <c r="J2" s="9">
        <v>200</v>
      </c>
      <c r="K2" s="9">
        <v>200</v>
      </c>
      <c r="L2" s="9">
        <v>200</v>
      </c>
      <c r="M2" s="9">
        <v>200</v>
      </c>
      <c r="N2" s="9">
        <v>0</v>
      </c>
      <c r="O2" s="9">
        <v>0</v>
      </c>
    </row>
    <row r="3" spans="1:15">
      <c r="A3" s="5">
        <v>1230854</v>
      </c>
      <c r="B3" s="9">
        <v>200</v>
      </c>
      <c r="C3" s="9">
        <v>200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>
      <c r="A4" s="5">
        <v>1233492</v>
      </c>
      <c r="B4" s="9">
        <v>0</v>
      </c>
      <c r="C4" s="9">
        <v>0</v>
      </c>
      <c r="D4" s="9">
        <v>0</v>
      </c>
      <c r="E4" s="9">
        <v>620</v>
      </c>
      <c r="F4" s="9">
        <v>700</v>
      </c>
      <c r="G4" s="9">
        <v>0</v>
      </c>
      <c r="H4" s="9">
        <v>0</v>
      </c>
      <c r="I4" s="9">
        <v>700</v>
      </c>
      <c r="J4" s="9">
        <v>600</v>
      </c>
      <c r="K4" s="9">
        <v>0</v>
      </c>
      <c r="L4" s="9">
        <v>0</v>
      </c>
      <c r="M4" s="9">
        <v>0</v>
      </c>
      <c r="N4" s="9">
        <v>0</v>
      </c>
      <c r="O4" s="9">
        <v>0</v>
      </c>
    </row>
    <row r="5" spans="1:15">
      <c r="A5" s="5">
        <v>1233498</v>
      </c>
      <c r="B5" s="9">
        <v>0</v>
      </c>
      <c r="C5" s="9">
        <v>0</v>
      </c>
      <c r="D5" s="9">
        <v>0</v>
      </c>
      <c r="E5" s="9">
        <v>620</v>
      </c>
      <c r="F5" s="9">
        <v>700</v>
      </c>
      <c r="G5" s="9">
        <v>0</v>
      </c>
      <c r="H5" s="9">
        <v>0</v>
      </c>
      <c r="I5" s="9">
        <v>700</v>
      </c>
      <c r="J5" s="9">
        <v>600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>
      <c r="A6" s="5">
        <v>1233623</v>
      </c>
      <c r="B6" s="9">
        <v>0</v>
      </c>
      <c r="C6" s="9">
        <v>0</v>
      </c>
      <c r="D6" s="9">
        <v>0</v>
      </c>
      <c r="E6" s="9">
        <v>620</v>
      </c>
      <c r="F6" s="9">
        <v>700</v>
      </c>
      <c r="G6" s="9">
        <v>0</v>
      </c>
      <c r="H6" s="9">
        <v>0</v>
      </c>
      <c r="I6" s="9">
        <v>700</v>
      </c>
      <c r="J6" s="9">
        <v>600</v>
      </c>
      <c r="K6" s="9">
        <v>0</v>
      </c>
      <c r="L6" s="9">
        <v>0</v>
      </c>
      <c r="M6" s="9">
        <v>0</v>
      </c>
      <c r="N6" s="9">
        <v>0</v>
      </c>
      <c r="O6" s="9">
        <v>0</v>
      </c>
    </row>
    <row r="7" spans="1:15">
      <c r="A7" s="5">
        <v>1235623</v>
      </c>
      <c r="B7" s="9">
        <v>490</v>
      </c>
      <c r="C7" s="9">
        <v>82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106</v>
      </c>
      <c r="K7" s="9">
        <v>712</v>
      </c>
      <c r="L7" s="9">
        <v>482</v>
      </c>
      <c r="M7" s="9">
        <v>0</v>
      </c>
      <c r="N7" s="9">
        <v>0</v>
      </c>
      <c r="O7" s="9">
        <v>0</v>
      </c>
    </row>
    <row r="8" spans="1:15">
      <c r="A8" s="5">
        <v>1236976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2</v>
      </c>
      <c r="L8" s="9">
        <v>0</v>
      </c>
      <c r="M8" s="9">
        <v>0</v>
      </c>
      <c r="N8" s="9">
        <v>0</v>
      </c>
      <c r="O8" s="9">
        <v>0</v>
      </c>
    </row>
    <row r="9" spans="1:15">
      <c r="A9" s="5">
        <v>1237088</v>
      </c>
      <c r="B9" s="9">
        <v>1318</v>
      </c>
      <c r="C9" s="9">
        <v>1076</v>
      </c>
      <c r="D9" s="9">
        <v>654</v>
      </c>
      <c r="E9" s="9">
        <v>704</v>
      </c>
      <c r="F9" s="9">
        <v>612</v>
      </c>
      <c r="G9" s="9">
        <v>0</v>
      </c>
      <c r="H9" s="9">
        <v>0</v>
      </c>
      <c r="I9" s="9">
        <v>1100</v>
      </c>
      <c r="J9" s="9">
        <v>692</v>
      </c>
      <c r="K9" s="9">
        <v>496</v>
      </c>
      <c r="L9" s="9">
        <v>948</v>
      </c>
      <c r="M9" s="9">
        <v>444</v>
      </c>
      <c r="N9" s="9">
        <v>0</v>
      </c>
      <c r="O9" s="9">
        <v>0</v>
      </c>
    </row>
    <row r="10" spans="1:15">
      <c r="A10" s="5">
        <v>1237748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404</v>
      </c>
      <c r="M10" s="9">
        <v>840</v>
      </c>
      <c r="N10" s="9">
        <v>0</v>
      </c>
      <c r="O10" s="9">
        <v>0</v>
      </c>
    </row>
    <row r="11" spans="1:15">
      <c r="A11" s="5">
        <v>1231898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300</v>
      </c>
      <c r="N11" s="9">
        <v>0</v>
      </c>
      <c r="O11" s="9">
        <v>0</v>
      </c>
    </row>
    <row r="12" spans="1:15">
      <c r="A12" s="5">
        <v>1237586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300</v>
      </c>
      <c r="N12" s="9">
        <v>0</v>
      </c>
      <c r="O12" s="9">
        <v>0</v>
      </c>
    </row>
    <row r="13" spans="1:15">
      <c r="A13" s="5">
        <v>1236091</v>
      </c>
      <c r="B13" s="9">
        <v>0</v>
      </c>
      <c r="C13" s="9">
        <v>0</v>
      </c>
      <c r="D13" s="9">
        <v>200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</row>
    <row r="14" spans="1:15">
      <c r="A14" s="5">
        <v>1234905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366</v>
      </c>
      <c r="J14" s="9">
        <v>436</v>
      </c>
      <c r="K14" s="9">
        <v>296</v>
      </c>
      <c r="L14" s="9">
        <v>382</v>
      </c>
      <c r="M14" s="9">
        <v>436</v>
      </c>
      <c r="N14" s="9">
        <v>0</v>
      </c>
      <c r="O14" s="9">
        <v>0</v>
      </c>
    </row>
    <row r="15" spans="1:15">
      <c r="A15" s="5">
        <v>1238128</v>
      </c>
      <c r="B15" s="9">
        <v>1456</v>
      </c>
      <c r="C15" s="9">
        <v>1180</v>
      </c>
      <c r="D15" s="9">
        <v>672</v>
      </c>
      <c r="E15" s="9">
        <v>1180</v>
      </c>
      <c r="F15" s="9">
        <v>1180</v>
      </c>
      <c r="G15" s="9">
        <v>0</v>
      </c>
      <c r="H15" s="9">
        <v>0</v>
      </c>
      <c r="I15" s="9">
        <v>1180</v>
      </c>
      <c r="J15" s="9">
        <v>1180</v>
      </c>
      <c r="K15" s="9">
        <v>872</v>
      </c>
      <c r="L15" s="9">
        <v>1180</v>
      </c>
      <c r="M15" s="9">
        <v>1180</v>
      </c>
      <c r="N15" s="9">
        <v>0</v>
      </c>
      <c r="O15" s="9">
        <v>0</v>
      </c>
    </row>
    <row r="16" spans="1:15">
      <c r="A16" s="5">
        <v>1236962</v>
      </c>
      <c r="B16" s="9">
        <v>0</v>
      </c>
      <c r="C16" s="9">
        <v>300</v>
      </c>
      <c r="D16" s="9">
        <v>0</v>
      </c>
      <c r="E16" s="9">
        <v>0</v>
      </c>
      <c r="F16" s="9">
        <v>200</v>
      </c>
      <c r="G16" s="9">
        <v>0</v>
      </c>
      <c r="H16" s="9">
        <v>0</v>
      </c>
      <c r="I16" s="9">
        <v>0</v>
      </c>
      <c r="J16" s="9">
        <v>0</v>
      </c>
      <c r="K16" s="9">
        <v>300</v>
      </c>
      <c r="L16" s="9">
        <v>200</v>
      </c>
      <c r="M16" s="9">
        <v>320</v>
      </c>
      <c r="N16" s="9">
        <v>0</v>
      </c>
      <c r="O16" s="9">
        <v>0</v>
      </c>
    </row>
    <row r="17" spans="1:15">
      <c r="A17" s="5">
        <v>1233761</v>
      </c>
      <c r="B17" s="9">
        <v>0</v>
      </c>
      <c r="C17" s="9">
        <v>0</v>
      </c>
      <c r="D17" s="9">
        <v>0</v>
      </c>
      <c r="E17" s="9">
        <v>150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</row>
    <row r="18" spans="1:15">
      <c r="A18" s="5">
        <v>1236930</v>
      </c>
      <c r="B18" s="9">
        <v>174</v>
      </c>
      <c r="C18" s="9">
        <v>358</v>
      </c>
      <c r="D18" s="9">
        <v>204</v>
      </c>
      <c r="E18" s="9">
        <v>358</v>
      </c>
      <c r="F18" s="9">
        <v>358</v>
      </c>
      <c r="G18" s="9">
        <v>0</v>
      </c>
      <c r="H18" s="9">
        <v>0</v>
      </c>
      <c r="I18" s="9">
        <v>50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</row>
    <row r="19" spans="1:15">
      <c r="A19" s="5">
        <v>1239651</v>
      </c>
      <c r="B19" s="9">
        <v>0</v>
      </c>
      <c r="C19" s="9">
        <v>0</v>
      </c>
      <c r="D19" s="9">
        <v>0</v>
      </c>
      <c r="E19" s="9">
        <v>0</v>
      </c>
      <c r="F19" s="9">
        <v>384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217</v>
      </c>
      <c r="N19" s="9">
        <v>0</v>
      </c>
      <c r="O19" s="9">
        <v>0</v>
      </c>
    </row>
    <row r="20" spans="1:15">
      <c r="A20" s="5">
        <v>1240180</v>
      </c>
      <c r="B20" s="9">
        <v>200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1:15">
      <c r="A21" s="5">
        <v>1239988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50</v>
      </c>
      <c r="L21" s="9">
        <v>50</v>
      </c>
      <c r="M21" s="9">
        <v>0</v>
      </c>
      <c r="N21" s="9">
        <v>0</v>
      </c>
      <c r="O21" s="9">
        <v>0</v>
      </c>
    </row>
    <row r="22" spans="1:15">
      <c r="A22" s="5">
        <v>1240308</v>
      </c>
      <c r="B22" s="9">
        <v>0</v>
      </c>
      <c r="C22" s="9">
        <v>0</v>
      </c>
      <c r="D22" s="9">
        <v>0</v>
      </c>
      <c r="E22" s="9">
        <v>300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</row>
    <row r="26" spans="1:15">
      <c r="A26" s="5" t="s">
        <v>0</v>
      </c>
      <c r="B26" s="9" t="s">
        <v>1290</v>
      </c>
      <c r="C26" s="9" t="s">
        <v>1291</v>
      </c>
      <c r="D26" s="9" t="s">
        <v>1292</v>
      </c>
      <c r="E26" s="9" t="s">
        <v>1293</v>
      </c>
      <c r="F26" s="9" t="s">
        <v>1294</v>
      </c>
      <c r="G26" s="9" t="s">
        <v>1295</v>
      </c>
      <c r="H26" s="9" t="s">
        <v>1296</v>
      </c>
      <c r="I26" s="9" t="s">
        <v>1298</v>
      </c>
      <c r="J26" s="9" t="s">
        <v>1299</v>
      </c>
      <c r="K26" s="9" t="s">
        <v>1300</v>
      </c>
      <c r="L26" s="9" t="s">
        <v>1301</v>
      </c>
      <c r="M26" s="9" t="s">
        <v>1302</v>
      </c>
      <c r="N26" s="9" t="s">
        <v>1303</v>
      </c>
      <c r="O26" s="9" t="s">
        <v>1304</v>
      </c>
    </row>
    <row r="27" spans="1:15">
      <c r="A27" s="5">
        <v>1233165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88</v>
      </c>
      <c r="K27" s="9">
        <v>162</v>
      </c>
      <c r="L27" s="9">
        <v>0</v>
      </c>
      <c r="M27" s="9">
        <v>0</v>
      </c>
      <c r="N27" s="9">
        <v>0</v>
      </c>
      <c r="O27" s="9">
        <v>0</v>
      </c>
    </row>
    <row r="28" spans="1:15">
      <c r="A28" s="5">
        <v>1236387</v>
      </c>
      <c r="B28" s="9">
        <v>0</v>
      </c>
      <c r="C28" s="9">
        <v>117</v>
      </c>
      <c r="D28" s="9">
        <v>293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110</v>
      </c>
      <c r="L28" s="9">
        <v>377</v>
      </c>
      <c r="M28" s="9">
        <v>377</v>
      </c>
      <c r="N28" s="9">
        <v>0</v>
      </c>
      <c r="O28" s="9">
        <v>0</v>
      </c>
    </row>
    <row r="29" spans="1:15">
      <c r="A29" s="5">
        <v>1232775</v>
      </c>
      <c r="B29" s="9">
        <v>245</v>
      </c>
      <c r="C29" s="9">
        <v>242</v>
      </c>
      <c r="D29" s="9">
        <v>242</v>
      </c>
      <c r="E29" s="9">
        <v>242</v>
      </c>
      <c r="F29" s="9">
        <v>200</v>
      </c>
      <c r="G29" s="9">
        <v>0</v>
      </c>
      <c r="H29" s="9">
        <v>0</v>
      </c>
      <c r="I29" s="9">
        <v>487</v>
      </c>
      <c r="J29" s="9">
        <v>300</v>
      </c>
      <c r="K29" s="9">
        <v>71</v>
      </c>
      <c r="L29" s="9">
        <v>245</v>
      </c>
      <c r="M29" s="9">
        <v>245</v>
      </c>
      <c r="N29" s="9">
        <v>0</v>
      </c>
      <c r="O29" s="9">
        <v>0</v>
      </c>
    </row>
    <row r="30" spans="1:15">
      <c r="A30" s="5">
        <v>1238605</v>
      </c>
      <c r="B30" s="9">
        <v>191</v>
      </c>
      <c r="C30" s="9">
        <v>109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</row>
    <row r="31" spans="1:15">
      <c r="A31" s="5">
        <v>1230685</v>
      </c>
      <c r="B31" s="9">
        <v>0</v>
      </c>
      <c r="C31" s="9">
        <v>0</v>
      </c>
      <c r="D31" s="9">
        <v>58</v>
      </c>
      <c r="E31" s="9">
        <v>330</v>
      </c>
      <c r="F31" s="9">
        <v>12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</row>
    <row r="35" spans="1:15">
      <c r="A35" s="5" t="s">
        <v>0</v>
      </c>
      <c r="B35" s="9" t="s">
        <v>1290</v>
      </c>
      <c r="C35" s="9" t="s">
        <v>1291</v>
      </c>
      <c r="D35" s="9" t="s">
        <v>1292</v>
      </c>
      <c r="E35" s="9" t="s">
        <v>1293</v>
      </c>
      <c r="F35" s="9" t="s">
        <v>1294</v>
      </c>
      <c r="G35" s="9" t="s">
        <v>1295</v>
      </c>
      <c r="H35" s="9" t="s">
        <v>1296</v>
      </c>
      <c r="I35" s="9" t="s">
        <v>1298</v>
      </c>
      <c r="J35" s="9" t="s">
        <v>1299</v>
      </c>
      <c r="K35" s="9" t="s">
        <v>1300</v>
      </c>
      <c r="L35" s="9" t="s">
        <v>1301</v>
      </c>
      <c r="M35" s="9" t="s">
        <v>1302</v>
      </c>
      <c r="N35" s="9" t="s">
        <v>1303</v>
      </c>
      <c r="O35" s="9" t="s">
        <v>1304</v>
      </c>
    </row>
    <row r="36" spans="1:15">
      <c r="A36" s="5">
        <v>1234614</v>
      </c>
      <c r="B36" s="9">
        <v>124</v>
      </c>
      <c r="C36" s="9">
        <v>376</v>
      </c>
      <c r="D36" s="9">
        <v>360</v>
      </c>
      <c r="E36" s="9">
        <v>288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>
      <c r="A37" s="5">
        <v>1221967</v>
      </c>
      <c r="B37" s="9">
        <v>0</v>
      </c>
      <c r="C37" s="9">
        <v>0</v>
      </c>
      <c r="D37" s="9">
        <v>0</v>
      </c>
      <c r="E37" s="9">
        <v>373</v>
      </c>
      <c r="F37" s="9">
        <v>328</v>
      </c>
      <c r="G37" s="9">
        <v>0</v>
      </c>
      <c r="H37" s="9">
        <v>0</v>
      </c>
      <c r="I37" s="9">
        <v>0</v>
      </c>
      <c r="J37" s="9">
        <v>0</v>
      </c>
      <c r="K37" s="9">
        <v>2</v>
      </c>
      <c r="L37" s="9">
        <v>0</v>
      </c>
      <c r="M37" s="9">
        <v>0</v>
      </c>
      <c r="N37" s="9">
        <v>0</v>
      </c>
      <c r="O37" s="9">
        <v>0</v>
      </c>
    </row>
    <row r="38" spans="1:15">
      <c r="A38" s="5">
        <v>1227306</v>
      </c>
      <c r="B38" s="9">
        <v>0</v>
      </c>
      <c r="C38" s="9">
        <v>0</v>
      </c>
      <c r="D38" s="9">
        <v>0</v>
      </c>
      <c r="E38" s="9">
        <v>169</v>
      </c>
      <c r="F38" s="9">
        <v>475</v>
      </c>
      <c r="G38" s="9">
        <v>0</v>
      </c>
      <c r="H38" s="9">
        <v>0</v>
      </c>
      <c r="I38" s="9">
        <v>506</v>
      </c>
      <c r="J38" s="9">
        <v>350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>
      <c r="A39" s="5">
        <v>1227359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380</v>
      </c>
      <c r="M39" s="9">
        <v>80</v>
      </c>
      <c r="N39" s="9">
        <v>0</v>
      </c>
      <c r="O39" s="9">
        <v>0</v>
      </c>
    </row>
    <row r="40" spans="1:15">
      <c r="A40" s="5">
        <v>1225464</v>
      </c>
      <c r="B40" s="9">
        <v>375</v>
      </c>
      <c r="C40" s="9">
        <v>175</v>
      </c>
      <c r="D40" s="9">
        <v>0</v>
      </c>
      <c r="E40" s="9">
        <v>0</v>
      </c>
      <c r="F40" s="9">
        <v>210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>
      <c r="A41" s="5">
        <v>1231797</v>
      </c>
      <c r="B41" s="9">
        <v>0</v>
      </c>
      <c r="C41" s="9">
        <v>168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>
      <c r="A42" s="5">
        <v>1232066</v>
      </c>
      <c r="B42" s="9">
        <v>499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>
      <c r="A43" s="5">
        <v>1231860</v>
      </c>
      <c r="B43" s="9">
        <v>0</v>
      </c>
      <c r="C43" s="9">
        <v>0</v>
      </c>
      <c r="D43" s="9">
        <v>0</v>
      </c>
      <c r="E43" s="9">
        <v>100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>
      <c r="A44" s="5">
        <v>1232693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750</v>
      </c>
      <c r="J44" s="9">
        <v>988</v>
      </c>
      <c r="K44" s="9">
        <v>776</v>
      </c>
      <c r="L44" s="9">
        <v>836</v>
      </c>
      <c r="M44" s="9">
        <v>0</v>
      </c>
      <c r="N44" s="9">
        <v>0</v>
      </c>
      <c r="O44" s="9">
        <v>0</v>
      </c>
    </row>
    <row r="45" spans="1:15">
      <c r="A45" s="5">
        <v>1233025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750</v>
      </c>
      <c r="J45" s="9">
        <v>988</v>
      </c>
      <c r="K45" s="9">
        <v>776</v>
      </c>
      <c r="L45" s="9">
        <v>836</v>
      </c>
      <c r="M45" s="9">
        <v>0</v>
      </c>
      <c r="N45" s="9">
        <v>0</v>
      </c>
      <c r="O45" s="9">
        <v>0</v>
      </c>
    </row>
    <row r="46" spans="1:15">
      <c r="A46" s="5">
        <v>1232528</v>
      </c>
      <c r="B46" s="9">
        <v>595</v>
      </c>
      <c r="C46" s="9">
        <v>674</v>
      </c>
      <c r="D46" s="9">
        <v>539</v>
      </c>
      <c r="E46" s="9">
        <v>933</v>
      </c>
      <c r="F46" s="9">
        <v>1308</v>
      </c>
      <c r="G46" s="9">
        <v>0</v>
      </c>
      <c r="H46" s="9">
        <v>0</v>
      </c>
      <c r="I46" s="9">
        <v>1288</v>
      </c>
      <c r="J46" s="9">
        <v>1128</v>
      </c>
      <c r="K46" s="9">
        <v>391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5">
        <v>1229050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35</v>
      </c>
      <c r="L47" s="9">
        <v>105</v>
      </c>
      <c r="M47" s="9">
        <v>0</v>
      </c>
      <c r="N47" s="9">
        <v>0</v>
      </c>
      <c r="O47" s="9">
        <v>0</v>
      </c>
    </row>
    <row r="48" spans="1:15">
      <c r="A48" s="5">
        <v>1231090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117</v>
      </c>
      <c r="K48" s="9">
        <v>388</v>
      </c>
      <c r="L48" s="9">
        <v>494</v>
      </c>
      <c r="M48" s="9">
        <v>494</v>
      </c>
      <c r="N48" s="9">
        <v>0</v>
      </c>
      <c r="O48" s="9">
        <v>0</v>
      </c>
    </row>
    <row r="49" spans="1:16">
      <c r="A49" s="5">
        <v>1220847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273</v>
      </c>
      <c r="J49" s="9">
        <v>249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6">
      <c r="A50" s="5">
        <v>1234222</v>
      </c>
      <c r="B50" s="9">
        <v>0</v>
      </c>
      <c r="C50" s="9">
        <v>0</v>
      </c>
      <c r="D50" s="9">
        <v>0</v>
      </c>
      <c r="E50" s="9">
        <v>0</v>
      </c>
      <c r="F50" s="9">
        <v>14</v>
      </c>
      <c r="G50" s="9">
        <v>0</v>
      </c>
      <c r="H50" s="9">
        <v>0</v>
      </c>
      <c r="I50" s="9">
        <v>46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6">
      <c r="A51" s="5">
        <v>1234217</v>
      </c>
      <c r="B51" s="9">
        <v>0</v>
      </c>
      <c r="C51" s="9">
        <v>0</v>
      </c>
      <c r="D51" s="9">
        <v>0</v>
      </c>
      <c r="E51" s="9">
        <v>100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6">
      <c r="A52" s="5">
        <v>1234111</v>
      </c>
      <c r="B52" s="9">
        <v>0</v>
      </c>
      <c r="C52" s="9">
        <v>0</v>
      </c>
      <c r="D52" s="9">
        <v>0</v>
      </c>
      <c r="E52" s="9">
        <v>100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</row>
    <row r="53" spans="1:16">
      <c r="A53" s="5">
        <v>1234110</v>
      </c>
      <c r="B53" s="9">
        <v>0</v>
      </c>
      <c r="C53" s="9">
        <v>0</v>
      </c>
      <c r="D53" s="9">
        <v>0</v>
      </c>
      <c r="E53" s="9">
        <v>100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1:16">
      <c r="A54" s="5">
        <v>1235097</v>
      </c>
      <c r="B54" s="9">
        <v>0</v>
      </c>
      <c r="C54" s="9">
        <v>151</v>
      </c>
      <c r="D54" s="9">
        <v>269</v>
      </c>
      <c r="E54" s="9">
        <v>80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</row>
    <row r="55" spans="1:16">
      <c r="A55" s="5">
        <v>1235958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2</v>
      </c>
      <c r="M55" s="9">
        <v>0</v>
      </c>
      <c r="N55" s="9">
        <v>0</v>
      </c>
      <c r="O55" s="9">
        <v>0</v>
      </c>
    </row>
    <row r="56" spans="1:16">
      <c r="A56" s="5">
        <v>1236600</v>
      </c>
      <c r="B56" s="9">
        <v>0</v>
      </c>
      <c r="C56" s="9">
        <v>0</v>
      </c>
      <c r="D56" s="9">
        <v>0</v>
      </c>
      <c r="E56" s="9">
        <v>295</v>
      </c>
      <c r="F56" s="9">
        <v>533</v>
      </c>
      <c r="G56" s="9">
        <v>0</v>
      </c>
      <c r="H56" s="9">
        <v>0</v>
      </c>
      <c r="I56" s="9">
        <v>299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1:16">
      <c r="A57" s="5">
        <v>1236930</v>
      </c>
      <c r="B57" s="9">
        <v>325</v>
      </c>
      <c r="C57" s="9">
        <v>555</v>
      </c>
      <c r="D57" s="9">
        <v>330</v>
      </c>
      <c r="E57" s="9">
        <v>420</v>
      </c>
      <c r="F57" s="9">
        <v>416</v>
      </c>
      <c r="G57" s="9">
        <v>0</v>
      </c>
      <c r="H57" s="9">
        <v>0</v>
      </c>
      <c r="I57" s="9">
        <v>420</v>
      </c>
      <c r="J57" s="9">
        <v>500</v>
      </c>
      <c r="K57" s="9">
        <v>533</v>
      </c>
      <c r="L57" s="9">
        <v>261</v>
      </c>
      <c r="M57" s="9">
        <v>250</v>
      </c>
      <c r="N57" s="9">
        <v>0</v>
      </c>
      <c r="O57" s="9">
        <v>0</v>
      </c>
    </row>
    <row r="58" spans="1:16">
      <c r="A58" s="5">
        <v>1232982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80</v>
      </c>
      <c r="L58" s="9">
        <v>0</v>
      </c>
      <c r="M58" s="9">
        <v>0</v>
      </c>
      <c r="N58" s="9">
        <v>0</v>
      </c>
      <c r="O58" s="9">
        <v>0</v>
      </c>
    </row>
    <row r="59" spans="1:16">
      <c r="A59" s="5">
        <v>1238480</v>
      </c>
      <c r="B59" s="9">
        <v>1235</v>
      </c>
      <c r="C59" s="9">
        <v>923</v>
      </c>
      <c r="D59" s="9">
        <v>578</v>
      </c>
      <c r="E59" s="9">
        <v>440</v>
      </c>
      <c r="F59" s="9">
        <v>339</v>
      </c>
      <c r="G59" s="9">
        <v>0</v>
      </c>
      <c r="H59" s="9">
        <v>0</v>
      </c>
      <c r="I59" s="9">
        <v>529</v>
      </c>
      <c r="J59" s="9">
        <v>775</v>
      </c>
      <c r="K59" s="9">
        <v>687</v>
      </c>
      <c r="L59" s="9">
        <v>1625</v>
      </c>
      <c r="M59" s="9">
        <v>1245</v>
      </c>
      <c r="N59" s="9">
        <v>0</v>
      </c>
      <c r="O59" s="9">
        <v>0</v>
      </c>
    </row>
    <row r="60" spans="1:16" s="20" customFormat="1">
      <c r="A60" s="20">
        <v>1238453</v>
      </c>
      <c r="B60" s="10">
        <v>275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/>
    </row>
    <row r="61" spans="1:16">
      <c r="A61" s="5">
        <v>1237468</v>
      </c>
      <c r="B61" s="9">
        <v>0</v>
      </c>
      <c r="C61" s="9">
        <v>0</v>
      </c>
      <c r="D61" s="9">
        <v>0</v>
      </c>
      <c r="E61" s="9">
        <v>0</v>
      </c>
      <c r="F61" s="9">
        <v>128</v>
      </c>
      <c r="G61" s="9">
        <v>0</v>
      </c>
      <c r="H61" s="9">
        <v>0</v>
      </c>
      <c r="I61" s="9">
        <v>196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6">
      <c r="A62" s="5">
        <v>1216452</v>
      </c>
      <c r="B62" s="9">
        <v>590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162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</row>
    <row r="63" spans="1:16">
      <c r="A63" s="5">
        <v>1233580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200</v>
      </c>
      <c r="N63" s="9">
        <v>0</v>
      </c>
      <c r="O63" s="9">
        <v>0</v>
      </c>
    </row>
  </sheetData>
  <phoneticPr fontId="11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6242-ED77-46A5-AC09-5C8B1AFCF89A}">
  <dimension ref="A1:U70"/>
  <sheetViews>
    <sheetView zoomScale="145" zoomScaleNormal="145" workbookViewId="0">
      <selection activeCell="J4" sqref="J4"/>
    </sheetView>
  </sheetViews>
  <sheetFormatPr defaultColWidth="9.33203125" defaultRowHeight="12"/>
  <cols>
    <col min="1" max="1" width="10.1640625" style="5" bestFit="1" customWidth="1"/>
    <col min="2" max="2" width="9.5" style="9" bestFit="1" customWidth="1"/>
    <col min="3" max="20" width="9.5" style="9" customWidth="1"/>
    <col min="21" max="21" width="9.5" style="9" bestFit="1" customWidth="1"/>
    <col min="22" max="16384" width="9.33203125" style="5"/>
  </cols>
  <sheetData>
    <row r="1" spans="1:21">
      <c r="A1" s="5" t="s">
        <v>0</v>
      </c>
      <c r="B1" s="9" t="s">
        <v>1291</v>
      </c>
      <c r="C1" s="9" t="s">
        <v>1292</v>
      </c>
      <c r="D1" s="9" t="s">
        <v>1293</v>
      </c>
      <c r="E1" s="9" t="s">
        <v>1294</v>
      </c>
      <c r="F1" s="9" t="s">
        <v>1295</v>
      </c>
      <c r="G1" s="9" t="s">
        <v>1296</v>
      </c>
      <c r="H1" s="9" t="s">
        <v>1298</v>
      </c>
      <c r="I1" s="9" t="s">
        <v>1299</v>
      </c>
      <c r="J1" s="9" t="s">
        <v>1300</v>
      </c>
      <c r="K1" s="9" t="s">
        <v>1301</v>
      </c>
      <c r="L1" s="9" t="s">
        <v>1302</v>
      </c>
      <c r="M1" s="9" t="s">
        <v>1303</v>
      </c>
      <c r="N1" s="9" t="s">
        <v>1304</v>
      </c>
      <c r="O1" s="9" t="s">
        <v>1307</v>
      </c>
      <c r="P1" s="9" t="s">
        <v>1308</v>
      </c>
      <c r="Q1" s="9" t="s">
        <v>1309</v>
      </c>
      <c r="R1" s="9" t="s">
        <v>1310</v>
      </c>
      <c r="S1" s="9" t="s">
        <v>1311</v>
      </c>
      <c r="T1" s="9" t="s">
        <v>1312</v>
      </c>
      <c r="U1" s="9" t="s">
        <v>1313</v>
      </c>
    </row>
    <row r="2" spans="1:21">
      <c r="A2" s="5">
        <v>1229673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200</v>
      </c>
      <c r="I2" s="9">
        <v>0</v>
      </c>
      <c r="J2" s="9">
        <v>200</v>
      </c>
      <c r="K2" s="9">
        <v>200</v>
      </c>
      <c r="L2" s="9">
        <v>200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</row>
    <row r="3" spans="1:21">
      <c r="A3" s="5">
        <v>1230854</v>
      </c>
      <c r="B3" s="9">
        <v>200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1:21">
      <c r="A4" s="5">
        <v>1233492</v>
      </c>
      <c r="B4" s="9">
        <v>0</v>
      </c>
      <c r="C4" s="9">
        <v>0</v>
      </c>
      <c r="D4" s="9">
        <v>620</v>
      </c>
      <c r="E4" s="9">
        <v>700</v>
      </c>
      <c r="F4" s="9">
        <v>0</v>
      </c>
      <c r="G4" s="9">
        <v>0</v>
      </c>
      <c r="H4" s="9">
        <v>700</v>
      </c>
      <c r="I4" s="9">
        <v>600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</row>
    <row r="5" spans="1:21">
      <c r="A5" s="5">
        <v>1233498</v>
      </c>
      <c r="B5" s="9">
        <v>0</v>
      </c>
      <c r="C5" s="9">
        <v>0</v>
      </c>
      <c r="D5" s="9">
        <v>620</v>
      </c>
      <c r="E5" s="9">
        <v>700</v>
      </c>
      <c r="F5" s="9">
        <v>0</v>
      </c>
      <c r="G5" s="9">
        <v>0</v>
      </c>
      <c r="H5" s="9">
        <v>700</v>
      </c>
      <c r="I5" s="9">
        <v>600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>
      <c r="A6" s="5">
        <v>1233623</v>
      </c>
      <c r="B6" s="9">
        <v>0</v>
      </c>
      <c r="C6" s="9">
        <v>0</v>
      </c>
      <c r="D6" s="9">
        <v>620</v>
      </c>
      <c r="E6" s="9">
        <v>700</v>
      </c>
      <c r="F6" s="9">
        <v>0</v>
      </c>
      <c r="G6" s="9">
        <v>0</v>
      </c>
      <c r="H6" s="9">
        <v>700</v>
      </c>
      <c r="I6" s="9">
        <v>600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</row>
    <row r="7" spans="1:21">
      <c r="A7" s="5">
        <v>1235623</v>
      </c>
      <c r="B7" s="9">
        <v>82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106</v>
      </c>
      <c r="J7" s="9">
        <v>712</v>
      </c>
      <c r="K7" s="9">
        <v>482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>
      <c r="A8" s="5">
        <v>1236976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2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</row>
    <row r="9" spans="1:21">
      <c r="A9" s="5">
        <v>1237088</v>
      </c>
      <c r="B9" s="9">
        <v>1076</v>
      </c>
      <c r="C9" s="9">
        <v>654</v>
      </c>
      <c r="D9" s="9">
        <v>704</v>
      </c>
      <c r="E9" s="9">
        <v>612</v>
      </c>
      <c r="F9" s="9">
        <v>0</v>
      </c>
      <c r="G9" s="9">
        <v>0</v>
      </c>
      <c r="H9" s="9">
        <v>600</v>
      </c>
      <c r="I9" s="9">
        <v>250</v>
      </c>
      <c r="J9" s="9">
        <v>0</v>
      </c>
      <c r="K9" s="9">
        <v>700</v>
      </c>
      <c r="L9" s="9">
        <v>444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>
      <c r="A10" s="58">
        <v>1237748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404</v>
      </c>
      <c r="L10" s="9">
        <v>840</v>
      </c>
      <c r="M10" s="9">
        <v>0</v>
      </c>
      <c r="N10" s="9">
        <v>0</v>
      </c>
      <c r="O10" s="9">
        <v>840</v>
      </c>
      <c r="P10" s="9">
        <v>830</v>
      </c>
      <c r="Q10" s="9">
        <v>466</v>
      </c>
      <c r="R10" s="9">
        <v>0</v>
      </c>
      <c r="S10" s="9">
        <v>0</v>
      </c>
      <c r="T10" s="9">
        <v>0</v>
      </c>
      <c r="U10" s="9">
        <v>0</v>
      </c>
    </row>
    <row r="11" spans="1:21">
      <c r="A11" s="5">
        <v>1231898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300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</row>
    <row r="12" spans="1:21">
      <c r="A12" s="5">
        <v>1237586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300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</row>
    <row r="13" spans="1:21">
      <c r="A13" s="5">
        <v>1236091</v>
      </c>
      <c r="B13" s="9">
        <v>0</v>
      </c>
      <c r="C13" s="9">
        <v>200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</row>
    <row r="14" spans="1:21">
      <c r="A14" s="5">
        <v>1234905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366</v>
      </c>
      <c r="I14" s="9">
        <v>436</v>
      </c>
      <c r="J14" s="9">
        <v>296</v>
      </c>
      <c r="K14" s="9">
        <v>382</v>
      </c>
      <c r="L14" s="9">
        <v>436</v>
      </c>
      <c r="M14" s="9">
        <v>0</v>
      </c>
      <c r="N14" s="9">
        <v>0</v>
      </c>
      <c r="O14" s="9">
        <v>50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</row>
    <row r="15" spans="1:21">
      <c r="A15" s="5">
        <v>1238128</v>
      </c>
      <c r="B15" s="9">
        <v>1180</v>
      </c>
      <c r="C15" s="9">
        <v>672</v>
      </c>
      <c r="D15" s="9">
        <v>1180</v>
      </c>
      <c r="E15" s="9">
        <v>1180</v>
      </c>
      <c r="F15" s="9">
        <v>0</v>
      </c>
      <c r="G15" s="9">
        <v>0</v>
      </c>
      <c r="H15" s="9">
        <v>1180</v>
      </c>
      <c r="I15" s="9">
        <v>1180</v>
      </c>
      <c r="J15" s="9">
        <v>872</v>
      </c>
      <c r="K15" s="9">
        <v>1180</v>
      </c>
      <c r="L15" s="9">
        <v>1180</v>
      </c>
      <c r="M15" s="9">
        <v>0</v>
      </c>
      <c r="N15" s="9">
        <v>0</v>
      </c>
      <c r="O15" s="9">
        <v>1180</v>
      </c>
      <c r="P15" s="9">
        <v>1180</v>
      </c>
      <c r="Q15" s="9">
        <v>928</v>
      </c>
      <c r="R15" s="9">
        <v>1180</v>
      </c>
      <c r="S15" s="9">
        <v>1180</v>
      </c>
      <c r="T15" s="9">
        <v>0</v>
      </c>
      <c r="U15" s="9">
        <v>0</v>
      </c>
    </row>
    <row r="16" spans="1:21">
      <c r="A16" s="5">
        <v>1236962</v>
      </c>
      <c r="B16" s="9">
        <v>300</v>
      </c>
      <c r="C16" s="9">
        <v>0</v>
      </c>
      <c r="D16" s="9">
        <v>0</v>
      </c>
      <c r="E16" s="9">
        <v>200</v>
      </c>
      <c r="F16" s="9">
        <v>0</v>
      </c>
      <c r="G16" s="9">
        <v>0</v>
      </c>
      <c r="H16" s="9">
        <v>200</v>
      </c>
      <c r="I16" s="9">
        <v>200</v>
      </c>
      <c r="J16" s="9">
        <v>300</v>
      </c>
      <c r="K16" s="9">
        <v>200</v>
      </c>
      <c r="L16" s="9">
        <v>320</v>
      </c>
      <c r="M16" s="9">
        <v>0</v>
      </c>
      <c r="N16" s="9">
        <v>0</v>
      </c>
      <c r="O16" s="9">
        <v>300</v>
      </c>
      <c r="P16" s="9">
        <v>300</v>
      </c>
      <c r="Q16" s="9">
        <v>300</v>
      </c>
      <c r="R16" s="9">
        <v>300</v>
      </c>
      <c r="S16" s="9">
        <v>200</v>
      </c>
      <c r="T16" s="9">
        <v>0</v>
      </c>
      <c r="U16" s="9">
        <v>0</v>
      </c>
    </row>
    <row r="17" spans="1:21">
      <c r="A17" s="5">
        <v>1233761</v>
      </c>
      <c r="B17" s="9">
        <v>0</v>
      </c>
      <c r="C17" s="9">
        <v>0</v>
      </c>
      <c r="D17" s="9">
        <v>150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</row>
    <row r="18" spans="1:21">
      <c r="A18" s="5">
        <v>1236930</v>
      </c>
      <c r="B18" s="9">
        <v>358</v>
      </c>
      <c r="C18" s="9">
        <v>204</v>
      </c>
      <c r="D18" s="9">
        <v>358</v>
      </c>
      <c r="E18" s="9">
        <v>358</v>
      </c>
      <c r="F18" s="9">
        <v>0</v>
      </c>
      <c r="G18" s="9">
        <v>0</v>
      </c>
      <c r="H18" s="9">
        <v>50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324</v>
      </c>
      <c r="P18" s="9">
        <v>382</v>
      </c>
      <c r="Q18" s="9">
        <v>300</v>
      </c>
      <c r="R18" s="9">
        <v>382</v>
      </c>
      <c r="S18" s="9">
        <v>382</v>
      </c>
      <c r="T18" s="9">
        <v>0</v>
      </c>
      <c r="U18" s="9">
        <v>0</v>
      </c>
    </row>
    <row r="19" spans="1:21">
      <c r="A19" s="5">
        <v>1239651</v>
      </c>
      <c r="B19" s="9">
        <v>0</v>
      </c>
      <c r="C19" s="9">
        <v>0</v>
      </c>
      <c r="D19" s="9">
        <v>0</v>
      </c>
      <c r="E19" s="9">
        <v>384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217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200</v>
      </c>
      <c r="S19" s="9">
        <v>200</v>
      </c>
      <c r="T19" s="9">
        <v>0</v>
      </c>
      <c r="U19" s="9">
        <v>0</v>
      </c>
    </row>
    <row r="20" spans="1:21">
      <c r="A20" s="5">
        <v>1239988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50</v>
      </c>
      <c r="K20" s="9">
        <v>50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</row>
    <row r="21" spans="1:21">
      <c r="A21" s="5">
        <v>1240308</v>
      </c>
      <c r="B21" s="9">
        <v>0</v>
      </c>
      <c r="C21" s="9">
        <v>0</v>
      </c>
      <c r="D21" s="9">
        <v>300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192</v>
      </c>
      <c r="L21" s="9">
        <v>0</v>
      </c>
      <c r="M21" s="9">
        <v>0</v>
      </c>
      <c r="N21" s="9">
        <v>0</v>
      </c>
      <c r="O21" s="9">
        <v>200</v>
      </c>
      <c r="P21" s="9">
        <v>200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</row>
    <row r="25" spans="1:21">
      <c r="A25" s="5" t="s">
        <v>0</v>
      </c>
      <c r="B25" s="9" t="s">
        <v>1291</v>
      </c>
      <c r="C25" s="9" t="s">
        <v>1292</v>
      </c>
      <c r="D25" s="9" t="s">
        <v>1293</v>
      </c>
      <c r="E25" s="9" t="s">
        <v>1294</v>
      </c>
      <c r="F25" s="9" t="s">
        <v>1295</v>
      </c>
      <c r="G25" s="9" t="s">
        <v>1296</v>
      </c>
      <c r="H25" s="9" t="s">
        <v>1298</v>
      </c>
      <c r="I25" s="9" t="s">
        <v>1299</v>
      </c>
      <c r="J25" s="9" t="s">
        <v>1300</v>
      </c>
      <c r="K25" s="9" t="s">
        <v>1301</v>
      </c>
      <c r="L25" s="9" t="s">
        <v>1302</v>
      </c>
      <c r="M25" s="9" t="s">
        <v>1303</v>
      </c>
      <c r="N25" s="9" t="s">
        <v>1304</v>
      </c>
      <c r="O25" s="9" t="s">
        <v>1307</v>
      </c>
      <c r="P25" s="9" t="s">
        <v>1308</v>
      </c>
      <c r="Q25" s="9" t="s">
        <v>1309</v>
      </c>
      <c r="R25" s="9" t="s">
        <v>1310</v>
      </c>
      <c r="S25" s="9" t="s">
        <v>1311</v>
      </c>
      <c r="T25" s="9" t="s">
        <v>1312</v>
      </c>
      <c r="U25" s="9" t="s">
        <v>1313</v>
      </c>
    </row>
    <row r="26" spans="1:21">
      <c r="A26" s="5">
        <v>1233165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88</v>
      </c>
      <c r="J26" s="9">
        <v>162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>
      <c r="A27" s="5">
        <v>1236387</v>
      </c>
      <c r="B27" s="9">
        <v>117</v>
      </c>
      <c r="C27" s="9">
        <v>293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110</v>
      </c>
      <c r="K27" s="9">
        <v>377</v>
      </c>
      <c r="L27" s="9">
        <v>377</v>
      </c>
      <c r="M27" s="9">
        <v>0</v>
      </c>
      <c r="N27" s="9">
        <v>0</v>
      </c>
      <c r="O27" s="9">
        <v>26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</row>
    <row r="28" spans="1:21">
      <c r="A28" s="5">
        <v>1232775</v>
      </c>
      <c r="B28" s="9">
        <v>242</v>
      </c>
      <c r="C28" s="9">
        <v>242</v>
      </c>
      <c r="D28" s="9">
        <v>242</v>
      </c>
      <c r="E28" s="9">
        <v>200</v>
      </c>
      <c r="F28" s="9">
        <v>0</v>
      </c>
      <c r="G28" s="9">
        <v>0</v>
      </c>
      <c r="H28" s="9">
        <v>487</v>
      </c>
      <c r="I28" s="9">
        <v>300</v>
      </c>
      <c r="J28" s="9">
        <v>71</v>
      </c>
      <c r="K28" s="9">
        <v>245</v>
      </c>
      <c r="L28" s="9">
        <v>245</v>
      </c>
      <c r="M28" s="9">
        <v>0</v>
      </c>
      <c r="N28" s="9">
        <v>0</v>
      </c>
      <c r="O28" s="9">
        <v>242</v>
      </c>
      <c r="P28" s="9">
        <v>178</v>
      </c>
      <c r="Q28" s="9">
        <v>0</v>
      </c>
      <c r="R28" s="9">
        <v>490</v>
      </c>
      <c r="S28" s="9">
        <v>484</v>
      </c>
      <c r="T28" s="9">
        <v>0</v>
      </c>
      <c r="U28" s="9">
        <v>0</v>
      </c>
    </row>
    <row r="29" spans="1:21">
      <c r="A29" s="5">
        <v>1238605</v>
      </c>
      <c r="B29" s="9">
        <v>109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0" spans="1:21">
      <c r="A30" s="5">
        <v>1230685</v>
      </c>
      <c r="B30" s="9">
        <v>0</v>
      </c>
      <c r="C30" s="9">
        <v>58</v>
      </c>
      <c r="D30" s="9">
        <v>330</v>
      </c>
      <c r="E30" s="9">
        <v>12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292</v>
      </c>
      <c r="P30" s="9">
        <v>330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4" spans="1:21">
      <c r="A34" s="5" t="s">
        <v>0</v>
      </c>
      <c r="B34" s="9" t="s">
        <v>1291</v>
      </c>
      <c r="C34" s="9" t="s">
        <v>1292</v>
      </c>
      <c r="D34" s="9" t="s">
        <v>1293</v>
      </c>
      <c r="E34" s="9" t="s">
        <v>1294</v>
      </c>
      <c r="F34" s="9" t="s">
        <v>1295</v>
      </c>
      <c r="G34" s="9" t="s">
        <v>1296</v>
      </c>
      <c r="H34" s="9" t="s">
        <v>1298</v>
      </c>
      <c r="I34" s="9" t="s">
        <v>1299</v>
      </c>
      <c r="J34" s="9" t="s">
        <v>1300</v>
      </c>
      <c r="K34" s="9" t="s">
        <v>1301</v>
      </c>
      <c r="L34" s="9" t="s">
        <v>1302</v>
      </c>
      <c r="M34" s="9" t="s">
        <v>1303</v>
      </c>
      <c r="N34" s="9" t="s">
        <v>1304</v>
      </c>
      <c r="O34" s="9" t="s">
        <v>1307</v>
      </c>
      <c r="P34" s="9" t="s">
        <v>1308</v>
      </c>
      <c r="Q34" s="9" t="s">
        <v>1309</v>
      </c>
      <c r="R34" s="9" t="s">
        <v>1310</v>
      </c>
      <c r="S34" s="9" t="s">
        <v>1311</v>
      </c>
      <c r="T34" s="9" t="s">
        <v>1312</v>
      </c>
      <c r="U34" s="9" t="s">
        <v>1313</v>
      </c>
    </row>
    <row r="35" spans="1:21">
      <c r="A35" s="5">
        <v>1234614</v>
      </c>
      <c r="B35" s="9">
        <v>376</v>
      </c>
      <c r="C35" s="9">
        <v>360</v>
      </c>
      <c r="D35" s="9">
        <v>288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300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>
      <c r="A36" s="5">
        <v>1221967</v>
      </c>
      <c r="B36" s="9">
        <v>0</v>
      </c>
      <c r="C36" s="9">
        <v>0</v>
      </c>
      <c r="D36" s="9">
        <v>373</v>
      </c>
      <c r="E36" s="9">
        <v>328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5">
        <v>1227306</v>
      </c>
      <c r="B37" s="9">
        <v>0</v>
      </c>
      <c r="C37" s="9">
        <v>0</v>
      </c>
      <c r="D37" s="9">
        <v>169</v>
      </c>
      <c r="E37" s="9">
        <v>475</v>
      </c>
      <c r="F37" s="9">
        <v>0</v>
      </c>
      <c r="G37" s="9">
        <v>0</v>
      </c>
      <c r="H37" s="9">
        <v>506</v>
      </c>
      <c r="I37" s="9">
        <v>350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700</v>
      </c>
      <c r="T37" s="9">
        <v>0</v>
      </c>
      <c r="U37" s="9">
        <v>0</v>
      </c>
    </row>
    <row r="38" spans="1:21">
      <c r="A38" s="5">
        <v>1227359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380</v>
      </c>
      <c r="K38" s="9">
        <v>80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39" spans="1:21">
      <c r="A39" s="5">
        <v>1231090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130</v>
      </c>
      <c r="J39" s="9">
        <v>386</v>
      </c>
      <c r="K39" s="9">
        <v>494</v>
      </c>
      <c r="L39" s="9">
        <v>494</v>
      </c>
      <c r="M39" s="9">
        <v>0</v>
      </c>
      <c r="N39" s="9">
        <v>0</v>
      </c>
      <c r="O39" s="9">
        <v>462</v>
      </c>
      <c r="P39" s="9">
        <v>0</v>
      </c>
      <c r="Q39" s="9">
        <v>0</v>
      </c>
      <c r="R39" s="9">
        <v>0</v>
      </c>
      <c r="S39" s="9">
        <v>200</v>
      </c>
      <c r="T39" s="9">
        <v>0</v>
      </c>
      <c r="U39" s="9">
        <v>0</v>
      </c>
    </row>
    <row r="40" spans="1:21">
      <c r="A40" s="5">
        <v>1229776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200</v>
      </c>
      <c r="T40" s="9">
        <v>0</v>
      </c>
      <c r="U40" s="9">
        <v>0</v>
      </c>
    </row>
    <row r="41" spans="1:21">
      <c r="A41" s="5">
        <v>1225464</v>
      </c>
      <c r="B41" s="9">
        <v>175</v>
      </c>
      <c r="C41" s="9">
        <v>0</v>
      </c>
      <c r="D41" s="9">
        <v>0</v>
      </c>
      <c r="E41" s="9">
        <v>210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207</v>
      </c>
      <c r="S41" s="9">
        <v>549</v>
      </c>
      <c r="T41" s="9">
        <v>0</v>
      </c>
      <c r="U41" s="9">
        <v>0</v>
      </c>
    </row>
    <row r="42" spans="1:21">
      <c r="A42" s="5">
        <v>1231797</v>
      </c>
      <c r="B42" s="9">
        <v>168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</row>
    <row r="43" spans="1:21">
      <c r="A43" s="5">
        <v>1231860</v>
      </c>
      <c r="B43" s="9">
        <v>0</v>
      </c>
      <c r="C43" s="9">
        <v>0</v>
      </c>
      <c r="D43" s="9">
        <v>100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5">
        <v>1232693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750</v>
      </c>
      <c r="I44" s="9">
        <v>988</v>
      </c>
      <c r="J44" s="9">
        <v>776</v>
      </c>
      <c r="K44" s="9">
        <v>836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>
      <c r="A45" s="5">
        <v>1233025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750</v>
      </c>
      <c r="I45" s="9">
        <v>988</v>
      </c>
      <c r="J45" s="9">
        <v>776</v>
      </c>
      <c r="K45" s="9">
        <v>836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</row>
    <row r="46" spans="1:21">
      <c r="A46" s="5">
        <v>1232528</v>
      </c>
      <c r="B46" s="9">
        <v>674</v>
      </c>
      <c r="C46" s="9">
        <v>539</v>
      </c>
      <c r="D46" s="9">
        <v>933</v>
      </c>
      <c r="E46" s="9">
        <v>1308</v>
      </c>
      <c r="F46" s="9">
        <v>0</v>
      </c>
      <c r="G46" s="9">
        <v>0</v>
      </c>
      <c r="H46" s="9">
        <v>1288</v>
      </c>
      <c r="I46" s="9">
        <v>1128</v>
      </c>
      <c r="J46" s="9">
        <v>391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424</v>
      </c>
      <c r="S46" s="9">
        <v>686</v>
      </c>
      <c r="T46" s="9">
        <v>0</v>
      </c>
      <c r="U46" s="9">
        <v>0</v>
      </c>
    </row>
    <row r="47" spans="1:21">
      <c r="A47" s="5">
        <v>1232553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108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5">
        <v>1232846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1</v>
      </c>
      <c r="P48" s="9">
        <v>47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>
      <c r="A49" s="5">
        <v>1229050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140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>
      <c r="A50" s="5">
        <v>1220847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273</v>
      </c>
      <c r="I50" s="9">
        <v>249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5">
        <v>1234222</v>
      </c>
      <c r="B51" s="9">
        <v>0</v>
      </c>
      <c r="C51" s="9">
        <v>0</v>
      </c>
      <c r="D51" s="9">
        <v>0</v>
      </c>
      <c r="E51" s="9">
        <v>14</v>
      </c>
      <c r="F51" s="9">
        <v>0</v>
      </c>
      <c r="G51" s="9">
        <v>0</v>
      </c>
      <c r="H51" s="9">
        <v>46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5">
        <v>1234217</v>
      </c>
      <c r="B52" s="9">
        <v>0</v>
      </c>
      <c r="C52" s="9">
        <v>0</v>
      </c>
      <c r="D52" s="9">
        <v>100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74</v>
      </c>
      <c r="S52" s="9">
        <v>96</v>
      </c>
      <c r="T52" s="9">
        <v>0</v>
      </c>
      <c r="U52" s="9">
        <v>0</v>
      </c>
    </row>
    <row r="53" spans="1:21">
      <c r="A53" s="5">
        <v>1234111</v>
      </c>
      <c r="B53" s="9">
        <v>0</v>
      </c>
      <c r="C53" s="9">
        <v>0</v>
      </c>
      <c r="D53" s="9">
        <v>100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74</v>
      </c>
      <c r="S53" s="9">
        <v>96</v>
      </c>
      <c r="T53" s="9">
        <v>0</v>
      </c>
      <c r="U53" s="9">
        <v>0</v>
      </c>
    </row>
    <row r="54" spans="1:21">
      <c r="A54" s="5">
        <v>1234110</v>
      </c>
      <c r="B54" s="9">
        <v>0</v>
      </c>
      <c r="C54" s="9">
        <v>0</v>
      </c>
      <c r="D54" s="9">
        <v>100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74</v>
      </c>
      <c r="S54" s="9">
        <v>96</v>
      </c>
      <c r="T54" s="9">
        <v>0</v>
      </c>
      <c r="U54" s="9">
        <v>0</v>
      </c>
    </row>
    <row r="55" spans="1:21">
      <c r="A55" s="5">
        <v>1235097</v>
      </c>
      <c r="B55" s="9">
        <v>151</v>
      </c>
      <c r="C55" s="9">
        <v>269</v>
      </c>
      <c r="D55" s="9">
        <v>80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28</v>
      </c>
      <c r="Q55" s="9">
        <v>269</v>
      </c>
      <c r="R55" s="9">
        <v>343</v>
      </c>
      <c r="S55" s="9">
        <v>60</v>
      </c>
      <c r="T55" s="9">
        <v>0</v>
      </c>
      <c r="U55" s="9">
        <v>0</v>
      </c>
    </row>
    <row r="56" spans="1:21">
      <c r="A56" s="5">
        <v>1235958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5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</row>
    <row r="57" spans="1:21">
      <c r="A57" s="5">
        <v>1236600</v>
      </c>
      <c r="B57" s="9">
        <v>0</v>
      </c>
      <c r="C57" s="9">
        <v>0</v>
      </c>
      <c r="D57" s="9">
        <v>295</v>
      </c>
      <c r="E57" s="9">
        <v>533</v>
      </c>
      <c r="F57" s="9">
        <v>0</v>
      </c>
      <c r="G57" s="9">
        <v>0</v>
      </c>
      <c r="H57" s="9">
        <v>299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55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>
      <c r="A58" s="5">
        <v>1236930</v>
      </c>
      <c r="B58" s="9">
        <v>555</v>
      </c>
      <c r="C58" s="9">
        <v>330</v>
      </c>
      <c r="D58" s="9">
        <v>420</v>
      </c>
      <c r="E58" s="9">
        <v>416</v>
      </c>
      <c r="F58" s="9">
        <v>0</v>
      </c>
      <c r="G58" s="9">
        <v>0</v>
      </c>
      <c r="H58" s="9">
        <v>420</v>
      </c>
      <c r="I58" s="9">
        <v>420</v>
      </c>
      <c r="J58" s="9">
        <v>313</v>
      </c>
      <c r="K58" s="9">
        <v>660</v>
      </c>
      <c r="L58" s="9">
        <v>460</v>
      </c>
      <c r="M58" s="9">
        <v>0</v>
      </c>
      <c r="N58" s="9">
        <v>0</v>
      </c>
      <c r="O58" s="9">
        <v>650</v>
      </c>
      <c r="P58" s="9">
        <v>700</v>
      </c>
      <c r="Q58" s="9">
        <v>330</v>
      </c>
      <c r="R58" s="9">
        <v>390</v>
      </c>
      <c r="S58" s="9">
        <v>400</v>
      </c>
      <c r="T58" s="9">
        <v>0</v>
      </c>
      <c r="U58" s="9">
        <v>0</v>
      </c>
    </row>
    <row r="59" spans="1:21">
      <c r="A59" s="5">
        <v>1232982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80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>
      <c r="A60" s="5">
        <v>1237468</v>
      </c>
      <c r="B60" s="9">
        <v>0</v>
      </c>
      <c r="C60" s="9">
        <v>0</v>
      </c>
      <c r="D60" s="9">
        <v>0</v>
      </c>
      <c r="E60" s="9">
        <v>128</v>
      </c>
      <c r="F60" s="9">
        <v>0</v>
      </c>
      <c r="G60" s="9">
        <v>0</v>
      </c>
      <c r="H60" s="9">
        <v>196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87</v>
      </c>
      <c r="T60" s="9">
        <v>0</v>
      </c>
      <c r="U60" s="9">
        <v>0</v>
      </c>
    </row>
    <row r="61" spans="1:21">
      <c r="A61" s="5">
        <v>1238480</v>
      </c>
      <c r="B61" s="9">
        <v>923</v>
      </c>
      <c r="C61" s="9">
        <v>578</v>
      </c>
      <c r="D61" s="9">
        <v>440</v>
      </c>
      <c r="E61" s="9">
        <v>339</v>
      </c>
      <c r="F61" s="9">
        <v>0</v>
      </c>
      <c r="G61" s="9">
        <v>0</v>
      </c>
      <c r="H61" s="9">
        <v>529</v>
      </c>
      <c r="I61" s="9">
        <v>775</v>
      </c>
      <c r="J61" s="9">
        <v>657</v>
      </c>
      <c r="K61" s="9">
        <v>1655</v>
      </c>
      <c r="L61" s="9">
        <v>895</v>
      </c>
      <c r="M61" s="9">
        <v>0</v>
      </c>
      <c r="N61" s="9">
        <v>0</v>
      </c>
      <c r="O61" s="9">
        <v>1201</v>
      </c>
      <c r="P61" s="9">
        <v>1989</v>
      </c>
      <c r="Q61" s="9">
        <v>1571</v>
      </c>
      <c r="R61" s="9">
        <v>1914</v>
      </c>
      <c r="S61" s="9">
        <v>400</v>
      </c>
      <c r="T61" s="9">
        <v>0</v>
      </c>
      <c r="U61" s="9">
        <v>0</v>
      </c>
    </row>
    <row r="62" spans="1:21">
      <c r="A62" s="5">
        <v>1232775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338</v>
      </c>
      <c r="P62" s="9">
        <v>44</v>
      </c>
      <c r="Q62" s="9">
        <v>36</v>
      </c>
      <c r="R62" s="9">
        <v>0</v>
      </c>
      <c r="S62" s="9">
        <v>0</v>
      </c>
      <c r="T62" s="9">
        <v>0</v>
      </c>
      <c r="U62" s="9">
        <v>0</v>
      </c>
    </row>
    <row r="63" spans="1:21">
      <c r="A63" s="5">
        <v>1240180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340</v>
      </c>
      <c r="M63" s="9">
        <v>0</v>
      </c>
      <c r="N63" s="9">
        <v>0</v>
      </c>
      <c r="O63" s="9">
        <v>40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5">
        <v>1240184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340</v>
      </c>
      <c r="M64" s="9">
        <v>0</v>
      </c>
      <c r="N64" s="9">
        <v>0</v>
      </c>
      <c r="O64" s="9">
        <v>40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>
      <c r="A65" s="58">
        <v>1241343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36</v>
      </c>
      <c r="T65" s="9">
        <v>0</v>
      </c>
      <c r="U65" s="9">
        <v>0</v>
      </c>
    </row>
    <row r="66" spans="1:21">
      <c r="A66" s="58">
        <v>1241347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36</v>
      </c>
      <c r="T66" s="9">
        <v>0</v>
      </c>
      <c r="U66" s="9">
        <v>0</v>
      </c>
    </row>
    <row r="67" spans="1:21">
      <c r="A67" s="5">
        <v>1216452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162</v>
      </c>
      <c r="I67" s="9">
        <v>0</v>
      </c>
      <c r="J67" s="9">
        <v>0</v>
      </c>
      <c r="K67" s="9">
        <v>4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648</v>
      </c>
      <c r="T67" s="9">
        <v>0</v>
      </c>
      <c r="U67" s="9">
        <v>0</v>
      </c>
    </row>
    <row r="68" spans="1:21">
      <c r="A68" s="5">
        <v>1232894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1</v>
      </c>
      <c r="P68" s="9">
        <v>47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</row>
    <row r="69" spans="1:21">
      <c r="A69" s="5">
        <v>1233385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1</v>
      </c>
      <c r="P69" s="9">
        <v>47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5">
        <v>1233580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200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</row>
  </sheetData>
  <phoneticPr fontId="11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F8DA-E4BC-4AE0-97CD-E46E4A39E5E8}">
  <dimension ref="A1:T64"/>
  <sheetViews>
    <sheetView zoomScale="130" zoomScaleNormal="130" workbookViewId="0">
      <selection activeCell="M10" sqref="M10"/>
    </sheetView>
  </sheetViews>
  <sheetFormatPr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20" width="9.33203125" style="9"/>
    <col min="21" max="16384" width="9.33203125" style="5"/>
  </cols>
  <sheetData>
    <row r="1" spans="1:20">
      <c r="A1" s="5" t="s">
        <v>0</v>
      </c>
      <c r="B1" s="9" t="s">
        <v>1293</v>
      </c>
      <c r="C1" s="9" t="s">
        <v>1294</v>
      </c>
      <c r="D1" s="9" t="s">
        <v>1295</v>
      </c>
      <c r="E1" s="9" t="s">
        <v>1296</v>
      </c>
      <c r="F1" s="9" t="s">
        <v>1298</v>
      </c>
      <c r="G1" s="9" t="s">
        <v>1299</v>
      </c>
      <c r="H1" s="9" t="s">
        <v>1300</v>
      </c>
      <c r="I1" s="9" t="s">
        <v>1301</v>
      </c>
      <c r="J1" s="9" t="s">
        <v>1302</v>
      </c>
      <c r="K1" s="9" t="s">
        <v>1303</v>
      </c>
      <c r="L1" s="9" t="s">
        <v>1304</v>
      </c>
      <c r="M1" s="9" t="s">
        <v>1307</v>
      </c>
      <c r="N1" s="9" t="s">
        <v>1308</v>
      </c>
      <c r="O1" s="9" t="s">
        <v>1309</v>
      </c>
      <c r="P1" s="9" t="s">
        <v>1310</v>
      </c>
      <c r="Q1" s="9" t="s">
        <v>1311</v>
      </c>
      <c r="R1" s="9" t="s">
        <v>1312</v>
      </c>
      <c r="S1" s="9" t="s">
        <v>1313</v>
      </c>
    </row>
    <row r="2" spans="1:20">
      <c r="A2" s="5">
        <v>1229673</v>
      </c>
      <c r="B2" s="9">
        <v>0</v>
      </c>
      <c r="C2" s="9">
        <v>0</v>
      </c>
      <c r="D2" s="9">
        <v>0</v>
      </c>
      <c r="E2" s="9">
        <v>0</v>
      </c>
      <c r="F2" s="9">
        <v>200</v>
      </c>
      <c r="G2" s="9">
        <v>282</v>
      </c>
      <c r="H2" s="9">
        <v>200</v>
      </c>
      <c r="I2" s="9">
        <v>200</v>
      </c>
      <c r="J2" s="9">
        <v>200</v>
      </c>
      <c r="K2" s="9">
        <v>0</v>
      </c>
      <c r="L2" s="9">
        <v>0</v>
      </c>
      <c r="M2" s="9">
        <v>300</v>
      </c>
      <c r="N2" s="9">
        <v>300</v>
      </c>
      <c r="O2" s="9">
        <v>200</v>
      </c>
      <c r="P2" s="9">
        <v>200</v>
      </c>
      <c r="Q2" s="9">
        <v>200</v>
      </c>
      <c r="R2" s="9">
        <v>0</v>
      </c>
      <c r="S2" s="9">
        <v>0</v>
      </c>
    </row>
    <row r="3" spans="1:20">
      <c r="A3" s="5">
        <v>1233492</v>
      </c>
      <c r="B3" s="9">
        <v>620</v>
      </c>
      <c r="C3" s="9">
        <v>700</v>
      </c>
      <c r="D3" s="9">
        <v>0</v>
      </c>
      <c r="E3" s="9">
        <v>0</v>
      </c>
      <c r="F3" s="9">
        <v>700</v>
      </c>
      <c r="G3" s="9">
        <v>600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</row>
    <row r="4" spans="1:20">
      <c r="A4" s="5">
        <v>1233498</v>
      </c>
      <c r="B4" s="9">
        <v>620</v>
      </c>
      <c r="C4" s="9">
        <v>700</v>
      </c>
      <c r="D4" s="9">
        <v>0</v>
      </c>
      <c r="E4" s="9">
        <v>0</v>
      </c>
      <c r="F4" s="9">
        <v>700</v>
      </c>
      <c r="G4" s="9">
        <v>600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</row>
    <row r="5" spans="1:20">
      <c r="A5" s="5">
        <v>1233623</v>
      </c>
      <c r="B5" s="9">
        <v>620</v>
      </c>
      <c r="C5" s="9">
        <v>700</v>
      </c>
      <c r="D5" s="9">
        <v>0</v>
      </c>
      <c r="E5" s="9">
        <v>0</v>
      </c>
      <c r="F5" s="9">
        <v>700</v>
      </c>
      <c r="G5" s="9">
        <v>600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</row>
    <row r="6" spans="1:20">
      <c r="A6" s="5">
        <v>1235623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106</v>
      </c>
      <c r="H6" s="9">
        <v>712</v>
      </c>
      <c r="I6" s="9">
        <v>482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</row>
    <row r="7" spans="1:20">
      <c r="A7" s="5">
        <v>1236976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2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</row>
    <row r="8" spans="1:20">
      <c r="A8" s="5">
        <v>1237088</v>
      </c>
      <c r="B8" s="9">
        <v>704</v>
      </c>
      <c r="C8" s="9">
        <v>612</v>
      </c>
      <c r="D8" s="9">
        <v>0</v>
      </c>
      <c r="E8" s="9">
        <v>0</v>
      </c>
      <c r="F8" s="9">
        <v>862</v>
      </c>
      <c r="G8" s="9">
        <v>682</v>
      </c>
      <c r="H8" s="9">
        <v>718</v>
      </c>
      <c r="I8" s="9">
        <v>974</v>
      </c>
      <c r="J8" s="9">
        <v>444</v>
      </c>
      <c r="K8" s="9">
        <v>0</v>
      </c>
      <c r="L8" s="9">
        <v>0</v>
      </c>
      <c r="M8" s="9">
        <v>862</v>
      </c>
      <c r="N8" s="9">
        <v>654</v>
      </c>
      <c r="O8" s="9">
        <v>830</v>
      </c>
      <c r="P8" s="9">
        <v>772</v>
      </c>
      <c r="Q8" s="9">
        <v>754</v>
      </c>
      <c r="R8" s="9">
        <v>0</v>
      </c>
      <c r="S8" s="9">
        <v>0</v>
      </c>
    </row>
    <row r="9" spans="1:20" s="20" customFormat="1">
      <c r="A9" s="20">
        <v>1237748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404</v>
      </c>
      <c r="J9" s="10">
        <v>840</v>
      </c>
      <c r="K9" s="10">
        <v>0</v>
      </c>
      <c r="L9" s="10">
        <v>0</v>
      </c>
      <c r="M9" s="10">
        <v>56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/>
    </row>
    <row r="10" spans="1:20">
      <c r="A10" s="5">
        <v>1231898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300</v>
      </c>
      <c r="K10" s="9">
        <v>0</v>
      </c>
      <c r="L10" s="9">
        <v>0</v>
      </c>
      <c r="M10" s="9">
        <v>0</v>
      </c>
      <c r="N10" s="9">
        <v>292</v>
      </c>
      <c r="O10" s="9">
        <v>0</v>
      </c>
      <c r="P10" s="9">
        <v>300</v>
      </c>
      <c r="Q10" s="9">
        <v>0</v>
      </c>
      <c r="R10" s="9">
        <v>0</v>
      </c>
      <c r="S10" s="9">
        <v>0</v>
      </c>
    </row>
    <row r="11" spans="1:20">
      <c r="A11" s="5">
        <v>1237586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300</v>
      </c>
      <c r="K11" s="9">
        <v>0</v>
      </c>
      <c r="L11" s="9">
        <v>0</v>
      </c>
      <c r="M11" s="9">
        <v>0</v>
      </c>
      <c r="N11" s="9">
        <v>292</v>
      </c>
      <c r="O11" s="9">
        <v>0</v>
      </c>
      <c r="P11" s="9">
        <v>300</v>
      </c>
      <c r="Q11" s="9">
        <v>0</v>
      </c>
      <c r="R11" s="9">
        <v>0</v>
      </c>
      <c r="S11" s="9">
        <v>0</v>
      </c>
    </row>
    <row r="12" spans="1:20">
      <c r="A12" s="5">
        <v>1234905</v>
      </c>
      <c r="B12" s="9">
        <v>0</v>
      </c>
      <c r="C12" s="9">
        <v>0</v>
      </c>
      <c r="D12" s="9">
        <v>0</v>
      </c>
      <c r="E12" s="9">
        <v>0</v>
      </c>
      <c r="F12" s="9">
        <v>366</v>
      </c>
      <c r="G12" s="9">
        <v>436</v>
      </c>
      <c r="H12" s="9">
        <v>296</v>
      </c>
      <c r="I12" s="9">
        <v>382</v>
      </c>
      <c r="J12" s="9">
        <v>436</v>
      </c>
      <c r="K12" s="9">
        <v>0</v>
      </c>
      <c r="L12" s="9">
        <v>0</v>
      </c>
      <c r="M12" s="9">
        <v>50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</row>
    <row r="13" spans="1:20">
      <c r="A13" s="5">
        <v>1238480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82</v>
      </c>
      <c r="P13" s="9">
        <v>382</v>
      </c>
      <c r="Q13" s="9">
        <v>382</v>
      </c>
      <c r="R13" s="9">
        <v>0</v>
      </c>
      <c r="S13" s="9">
        <v>0</v>
      </c>
    </row>
    <row r="14" spans="1:20">
      <c r="A14" s="5">
        <v>1238128</v>
      </c>
      <c r="B14" s="9">
        <v>1180</v>
      </c>
      <c r="C14" s="9">
        <v>1180</v>
      </c>
      <c r="D14" s="9">
        <v>0</v>
      </c>
      <c r="E14" s="9">
        <v>0</v>
      </c>
      <c r="F14" s="9">
        <v>1180</v>
      </c>
      <c r="G14" s="9">
        <v>1180</v>
      </c>
      <c r="H14" s="9">
        <v>872</v>
      </c>
      <c r="I14" s="9">
        <v>1180</v>
      </c>
      <c r="J14" s="9">
        <v>1070</v>
      </c>
      <c r="K14" s="9">
        <v>0</v>
      </c>
      <c r="L14" s="9">
        <v>0</v>
      </c>
      <c r="M14" s="9">
        <v>1168</v>
      </c>
      <c r="N14" s="9">
        <v>1180</v>
      </c>
      <c r="O14" s="9">
        <v>756</v>
      </c>
      <c r="P14" s="9">
        <v>1098</v>
      </c>
      <c r="Q14" s="9">
        <v>1180</v>
      </c>
      <c r="R14" s="9">
        <v>0</v>
      </c>
      <c r="S14" s="9">
        <v>0</v>
      </c>
    </row>
    <row r="15" spans="1:20">
      <c r="A15" s="5">
        <v>1236962</v>
      </c>
      <c r="B15" s="9">
        <v>0</v>
      </c>
      <c r="C15" s="9">
        <v>200</v>
      </c>
      <c r="D15" s="9">
        <v>0</v>
      </c>
      <c r="E15" s="9">
        <v>0</v>
      </c>
      <c r="F15" s="9">
        <v>200</v>
      </c>
      <c r="G15" s="9">
        <v>200</v>
      </c>
      <c r="H15" s="9">
        <v>300</v>
      </c>
      <c r="I15" s="9">
        <v>200</v>
      </c>
      <c r="J15" s="9">
        <v>320</v>
      </c>
      <c r="K15" s="9">
        <v>0</v>
      </c>
      <c r="L15" s="9">
        <v>0</v>
      </c>
      <c r="M15" s="9">
        <v>300</v>
      </c>
      <c r="N15" s="9">
        <v>300</v>
      </c>
      <c r="O15" s="9">
        <v>300</v>
      </c>
      <c r="P15" s="9">
        <v>300</v>
      </c>
      <c r="Q15" s="9">
        <v>200</v>
      </c>
      <c r="R15" s="9">
        <v>0</v>
      </c>
      <c r="S15" s="9">
        <v>0</v>
      </c>
    </row>
    <row r="16" spans="1:20">
      <c r="A16" s="5">
        <v>1233761</v>
      </c>
      <c r="B16" s="9">
        <v>150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</row>
    <row r="17" spans="1:19">
      <c r="A17" s="5">
        <v>1236930</v>
      </c>
      <c r="B17" s="9">
        <v>358</v>
      </c>
      <c r="C17" s="9">
        <v>358</v>
      </c>
      <c r="D17" s="9">
        <v>0</v>
      </c>
      <c r="E17" s="9">
        <v>0</v>
      </c>
      <c r="F17" s="9">
        <v>50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324</v>
      </c>
      <c r="N17" s="9">
        <v>382</v>
      </c>
      <c r="O17" s="9">
        <v>300</v>
      </c>
      <c r="P17" s="9">
        <v>382</v>
      </c>
      <c r="Q17" s="9">
        <v>50</v>
      </c>
      <c r="R17" s="9">
        <v>0</v>
      </c>
      <c r="S17" s="9">
        <v>0</v>
      </c>
    </row>
    <row r="18" spans="1:19">
      <c r="A18" s="5">
        <v>1239651</v>
      </c>
      <c r="B18" s="9">
        <v>0</v>
      </c>
      <c r="C18" s="9">
        <v>384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217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200</v>
      </c>
      <c r="Q18" s="9">
        <v>200</v>
      </c>
      <c r="R18" s="9">
        <v>0</v>
      </c>
      <c r="S18" s="9">
        <v>0</v>
      </c>
    </row>
    <row r="19" spans="1:19">
      <c r="A19" s="5">
        <v>1240180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354</v>
      </c>
      <c r="N19" s="9">
        <v>410</v>
      </c>
      <c r="O19" s="9">
        <v>322</v>
      </c>
      <c r="P19" s="9">
        <v>50</v>
      </c>
      <c r="Q19" s="9">
        <v>364</v>
      </c>
      <c r="R19" s="9">
        <v>0</v>
      </c>
      <c r="S19" s="9">
        <v>0</v>
      </c>
    </row>
    <row r="20" spans="1:19">
      <c r="A20" s="5">
        <v>1240184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354</v>
      </c>
      <c r="N20" s="9">
        <v>410</v>
      </c>
      <c r="O20" s="9">
        <v>322</v>
      </c>
      <c r="P20" s="9">
        <v>50</v>
      </c>
      <c r="Q20" s="9">
        <v>364</v>
      </c>
      <c r="R20" s="9">
        <v>0</v>
      </c>
      <c r="S20" s="9">
        <v>0</v>
      </c>
    </row>
    <row r="21" spans="1:19">
      <c r="A21" s="5">
        <v>1239988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50</v>
      </c>
      <c r="I21" s="9">
        <v>50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</row>
    <row r="22" spans="1:19">
      <c r="A22" s="5">
        <v>1240308</v>
      </c>
      <c r="B22" s="9">
        <v>300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192</v>
      </c>
      <c r="J22" s="9">
        <v>0</v>
      </c>
      <c r="K22" s="9">
        <v>0</v>
      </c>
      <c r="L22" s="9">
        <v>0</v>
      </c>
      <c r="M22" s="9">
        <v>200</v>
      </c>
      <c r="N22" s="9">
        <v>200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</row>
    <row r="26" spans="1:19">
      <c r="A26" s="5" t="s">
        <v>0</v>
      </c>
      <c r="B26" s="9" t="s">
        <v>1293</v>
      </c>
      <c r="C26" s="9" t="s">
        <v>1294</v>
      </c>
      <c r="D26" s="9" t="s">
        <v>1295</v>
      </c>
      <c r="E26" s="9" t="s">
        <v>1296</v>
      </c>
      <c r="F26" s="9" t="s">
        <v>1298</v>
      </c>
      <c r="G26" s="9" t="s">
        <v>1299</v>
      </c>
      <c r="H26" s="9" t="s">
        <v>1300</v>
      </c>
      <c r="I26" s="9" t="s">
        <v>1301</v>
      </c>
      <c r="J26" s="9" t="s">
        <v>1302</v>
      </c>
      <c r="K26" s="9" t="s">
        <v>1303</v>
      </c>
      <c r="L26" s="9" t="s">
        <v>1304</v>
      </c>
      <c r="M26" s="9" t="s">
        <v>1307</v>
      </c>
      <c r="N26" s="9" t="s">
        <v>1308</v>
      </c>
      <c r="O26" s="9" t="s">
        <v>1309</v>
      </c>
      <c r="P26" s="9" t="s">
        <v>1310</v>
      </c>
      <c r="Q26" s="9" t="s">
        <v>1311</v>
      </c>
      <c r="R26" s="9" t="s">
        <v>1312</v>
      </c>
      <c r="S26" s="9" t="s">
        <v>1313</v>
      </c>
    </row>
    <row r="27" spans="1:19">
      <c r="A27" s="5">
        <v>1233165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88</v>
      </c>
      <c r="H27" s="9">
        <v>162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</row>
    <row r="28" spans="1:19">
      <c r="A28" s="5">
        <v>1236387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110</v>
      </c>
      <c r="I28" s="9">
        <v>377</v>
      </c>
      <c r="J28" s="9">
        <v>377</v>
      </c>
      <c r="K28" s="9">
        <v>0</v>
      </c>
      <c r="L28" s="9">
        <v>0</v>
      </c>
      <c r="M28" s="9">
        <v>26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</row>
    <row r="29" spans="1:19">
      <c r="A29" s="5">
        <v>1232775</v>
      </c>
      <c r="B29" s="9">
        <v>242</v>
      </c>
      <c r="C29" s="9">
        <v>200</v>
      </c>
      <c r="D29" s="9">
        <v>0</v>
      </c>
      <c r="E29" s="9">
        <v>0</v>
      </c>
      <c r="F29" s="9">
        <v>487</v>
      </c>
      <c r="G29" s="9">
        <v>300</v>
      </c>
      <c r="H29" s="9">
        <v>71</v>
      </c>
      <c r="I29" s="9">
        <v>245</v>
      </c>
      <c r="J29" s="9">
        <v>245</v>
      </c>
      <c r="K29" s="9">
        <v>0</v>
      </c>
      <c r="L29" s="9">
        <v>0</v>
      </c>
      <c r="M29" s="9">
        <v>242</v>
      </c>
      <c r="N29" s="9">
        <v>178</v>
      </c>
      <c r="O29" s="9">
        <v>0</v>
      </c>
      <c r="P29" s="9">
        <v>490</v>
      </c>
      <c r="Q29" s="9">
        <v>484</v>
      </c>
      <c r="R29" s="9">
        <v>0</v>
      </c>
      <c r="S29" s="9">
        <v>0</v>
      </c>
    </row>
    <row r="30" spans="1:19">
      <c r="A30" s="5">
        <v>1230685</v>
      </c>
      <c r="B30" s="9">
        <v>330</v>
      </c>
      <c r="C30" s="9">
        <v>12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292</v>
      </c>
      <c r="N30" s="9">
        <v>330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5" spans="1:19">
      <c r="A35" s="5" t="s">
        <v>0</v>
      </c>
      <c r="B35" s="9" t="s">
        <v>1293</v>
      </c>
      <c r="C35" s="9" t="s">
        <v>1294</v>
      </c>
      <c r="D35" s="9" t="s">
        <v>1295</v>
      </c>
      <c r="E35" s="9" t="s">
        <v>1296</v>
      </c>
      <c r="F35" s="9" t="s">
        <v>1298</v>
      </c>
      <c r="G35" s="9" t="s">
        <v>1299</v>
      </c>
      <c r="H35" s="9" t="s">
        <v>1300</v>
      </c>
      <c r="I35" s="9" t="s">
        <v>1301</v>
      </c>
      <c r="J35" s="9" t="s">
        <v>1302</v>
      </c>
      <c r="K35" s="9" t="s">
        <v>1303</v>
      </c>
      <c r="L35" s="9" t="s">
        <v>1304</v>
      </c>
      <c r="M35" s="9" t="s">
        <v>1307</v>
      </c>
      <c r="N35" s="9" t="s">
        <v>1308</v>
      </c>
      <c r="O35" s="9" t="s">
        <v>1309</v>
      </c>
      <c r="P35" s="9" t="s">
        <v>1310</v>
      </c>
      <c r="Q35" s="9" t="s">
        <v>1311</v>
      </c>
      <c r="R35" s="9" t="s">
        <v>1312</v>
      </c>
      <c r="S35" s="9" t="s">
        <v>1313</v>
      </c>
    </row>
    <row r="36" spans="1:19">
      <c r="A36" s="5">
        <v>1234614</v>
      </c>
      <c r="B36" s="9">
        <v>288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300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</row>
    <row r="37" spans="1:19">
      <c r="A37" s="5">
        <v>1221967</v>
      </c>
      <c r="B37" s="9">
        <v>373</v>
      </c>
      <c r="C37" s="9">
        <v>328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spans="1:19">
      <c r="A38" s="5">
        <v>1227306</v>
      </c>
      <c r="B38" s="9">
        <v>224</v>
      </c>
      <c r="C38" s="9">
        <v>476</v>
      </c>
      <c r="D38" s="9">
        <v>0</v>
      </c>
      <c r="E38" s="9">
        <v>0</v>
      </c>
      <c r="F38" s="9">
        <v>281</v>
      </c>
      <c r="G38" s="9">
        <v>239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5">
        <v>1227359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235</v>
      </c>
      <c r="H39" s="9">
        <v>225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5">
        <v>1231090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183</v>
      </c>
      <c r="H40" s="9">
        <v>389</v>
      </c>
      <c r="I40" s="9">
        <v>494</v>
      </c>
      <c r="J40" s="9">
        <v>494</v>
      </c>
      <c r="K40" s="9">
        <v>0</v>
      </c>
      <c r="L40" s="9">
        <v>0</v>
      </c>
      <c r="M40" s="9">
        <v>0</v>
      </c>
      <c r="N40" s="9">
        <v>200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</row>
    <row r="41" spans="1:19">
      <c r="A41" s="5">
        <v>1229776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200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</row>
    <row r="42" spans="1:19">
      <c r="A42" s="5">
        <v>1225464</v>
      </c>
      <c r="B42" s="9">
        <v>0</v>
      </c>
      <c r="C42" s="9">
        <v>210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756</v>
      </c>
      <c r="Q42" s="9">
        <v>0</v>
      </c>
      <c r="R42" s="9">
        <v>0</v>
      </c>
      <c r="S42" s="9">
        <v>0</v>
      </c>
    </row>
    <row r="43" spans="1:19">
      <c r="A43" s="5">
        <v>1231860</v>
      </c>
      <c r="B43" s="9">
        <v>0</v>
      </c>
      <c r="C43" s="9">
        <v>0</v>
      </c>
      <c r="D43" s="9">
        <v>0</v>
      </c>
      <c r="E43" s="9">
        <v>0</v>
      </c>
      <c r="F43" s="9">
        <v>100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 spans="1:19">
      <c r="A44" s="5">
        <v>1232693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910</v>
      </c>
      <c r="H44" s="9">
        <v>777</v>
      </c>
      <c r="I44" s="9">
        <v>988</v>
      </c>
      <c r="J44" s="9">
        <v>675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1:19">
      <c r="A45" s="5">
        <v>1233025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910</v>
      </c>
      <c r="H45" s="9">
        <v>777</v>
      </c>
      <c r="I45" s="9">
        <v>988</v>
      </c>
      <c r="J45" s="9">
        <v>675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5">
        <v>1232528</v>
      </c>
      <c r="B46" s="9">
        <v>933</v>
      </c>
      <c r="C46" s="9">
        <v>1308</v>
      </c>
      <c r="D46" s="9">
        <v>0</v>
      </c>
      <c r="E46" s="9">
        <v>0</v>
      </c>
      <c r="F46" s="9">
        <v>1296</v>
      </c>
      <c r="G46" s="9">
        <v>1062</v>
      </c>
      <c r="H46" s="9">
        <v>449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424</v>
      </c>
      <c r="Q46" s="9">
        <v>686</v>
      </c>
      <c r="R46" s="9">
        <v>0</v>
      </c>
      <c r="S46" s="9">
        <v>0</v>
      </c>
    </row>
    <row r="47" spans="1:19">
      <c r="A47" s="5">
        <v>1232553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108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spans="1:19">
      <c r="A48" s="5">
        <v>1220847</v>
      </c>
      <c r="B48" s="9">
        <v>0</v>
      </c>
      <c r="C48" s="9">
        <v>0</v>
      </c>
      <c r="D48" s="9">
        <v>0</v>
      </c>
      <c r="E48" s="9">
        <v>0</v>
      </c>
      <c r="F48" s="9">
        <v>273</v>
      </c>
      <c r="G48" s="9">
        <v>249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</row>
    <row r="49" spans="1:20">
      <c r="A49" s="5">
        <v>1234222</v>
      </c>
      <c r="B49" s="9">
        <v>0</v>
      </c>
      <c r="C49" s="9">
        <v>14</v>
      </c>
      <c r="D49" s="9">
        <v>0</v>
      </c>
      <c r="E49" s="9">
        <v>0</v>
      </c>
      <c r="F49" s="9">
        <v>46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spans="1:20">
      <c r="A50" s="5">
        <v>1234217</v>
      </c>
      <c r="B50" s="9">
        <v>100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</row>
    <row r="51" spans="1:20">
      <c r="A51" s="5">
        <v>1234111</v>
      </c>
      <c r="B51" s="9">
        <v>100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20">
      <c r="A52" s="5">
        <v>1234110</v>
      </c>
      <c r="B52" s="9">
        <v>100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</row>
    <row r="53" spans="1:20">
      <c r="A53" s="5">
        <v>1235097</v>
      </c>
      <c r="B53" s="9">
        <v>80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325</v>
      </c>
      <c r="N53" s="9">
        <v>345</v>
      </c>
      <c r="O53" s="9">
        <v>300</v>
      </c>
      <c r="P53" s="9">
        <v>0</v>
      </c>
      <c r="Q53" s="9">
        <v>0</v>
      </c>
      <c r="R53" s="9">
        <v>0</v>
      </c>
      <c r="S53" s="9">
        <v>0</v>
      </c>
    </row>
    <row r="54" spans="1:20">
      <c r="A54" s="5">
        <v>1236600</v>
      </c>
      <c r="B54" s="9">
        <v>295</v>
      </c>
      <c r="C54" s="9">
        <v>533</v>
      </c>
      <c r="D54" s="9">
        <v>0</v>
      </c>
      <c r="E54" s="9">
        <v>0</v>
      </c>
      <c r="F54" s="9">
        <v>299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</row>
    <row r="55" spans="1:20" s="20" customFormat="1">
      <c r="A55" s="20">
        <v>1236930</v>
      </c>
      <c r="B55" s="10">
        <v>420</v>
      </c>
      <c r="C55" s="10">
        <v>416</v>
      </c>
      <c r="D55" s="10">
        <v>0</v>
      </c>
      <c r="E55" s="10">
        <v>0</v>
      </c>
      <c r="F55" s="10">
        <v>420</v>
      </c>
      <c r="G55" s="10">
        <v>420</v>
      </c>
      <c r="H55" s="10">
        <v>392</v>
      </c>
      <c r="I55" s="10">
        <v>703</v>
      </c>
      <c r="J55" s="10">
        <v>461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500</v>
      </c>
      <c r="Q55" s="10">
        <v>518</v>
      </c>
      <c r="R55" s="10">
        <v>0</v>
      </c>
      <c r="S55" s="10">
        <v>0</v>
      </c>
      <c r="T55" s="10"/>
    </row>
    <row r="56" spans="1:20">
      <c r="A56" s="5">
        <v>1232982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80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 spans="1:20">
      <c r="A57" s="5">
        <v>1237468</v>
      </c>
      <c r="B57" s="9">
        <v>0</v>
      </c>
      <c r="C57" s="9">
        <v>128</v>
      </c>
      <c r="D57" s="9">
        <v>0</v>
      </c>
      <c r="E57" s="9">
        <v>0</v>
      </c>
      <c r="F57" s="9">
        <v>196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8</v>
      </c>
      <c r="O57" s="9">
        <v>79</v>
      </c>
      <c r="P57" s="9">
        <v>0</v>
      </c>
      <c r="Q57" s="9">
        <v>0</v>
      </c>
      <c r="R57" s="9">
        <v>0</v>
      </c>
      <c r="S57" s="9">
        <v>0</v>
      </c>
    </row>
    <row r="58" spans="1:20">
      <c r="A58" s="3">
        <v>1234905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251</v>
      </c>
      <c r="K58" s="9">
        <v>0</v>
      </c>
      <c r="L58" s="9">
        <v>0</v>
      </c>
      <c r="M58" s="9">
        <v>513</v>
      </c>
      <c r="N58" s="9">
        <v>500</v>
      </c>
      <c r="O58" s="9">
        <v>400</v>
      </c>
      <c r="P58" s="9">
        <v>480</v>
      </c>
      <c r="Q58" s="9">
        <v>270</v>
      </c>
      <c r="R58" s="9">
        <v>0</v>
      </c>
      <c r="S58" s="9">
        <v>0</v>
      </c>
    </row>
    <row r="59" spans="1:20">
      <c r="A59" s="58">
        <v>1238480</v>
      </c>
      <c r="B59" s="9">
        <v>440</v>
      </c>
      <c r="C59" s="9">
        <v>339</v>
      </c>
      <c r="D59" s="9">
        <v>0</v>
      </c>
      <c r="E59" s="9">
        <v>0</v>
      </c>
      <c r="F59" s="9">
        <v>501</v>
      </c>
      <c r="G59" s="9">
        <v>775</v>
      </c>
      <c r="H59" s="9">
        <v>610</v>
      </c>
      <c r="I59" s="9">
        <v>1565</v>
      </c>
      <c r="J59" s="9">
        <v>1014</v>
      </c>
      <c r="K59" s="9">
        <v>0</v>
      </c>
      <c r="L59" s="9">
        <v>0</v>
      </c>
      <c r="M59" s="9">
        <v>1467</v>
      </c>
      <c r="N59" s="9">
        <v>1571</v>
      </c>
      <c r="O59" s="9">
        <v>1004</v>
      </c>
      <c r="P59" s="9">
        <v>1498</v>
      </c>
      <c r="Q59" s="9">
        <v>727</v>
      </c>
      <c r="R59" s="9">
        <v>0</v>
      </c>
      <c r="S59" s="9">
        <v>0</v>
      </c>
    </row>
    <row r="60" spans="1:20">
      <c r="A60" s="5">
        <v>1232775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358</v>
      </c>
      <c r="P60" s="9">
        <v>60</v>
      </c>
      <c r="Q60" s="9">
        <v>0</v>
      </c>
      <c r="R60" s="9">
        <v>0</v>
      </c>
      <c r="S60" s="9">
        <v>0</v>
      </c>
    </row>
    <row r="61" spans="1:20">
      <c r="A61" s="5">
        <v>1240180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74</v>
      </c>
      <c r="O61" s="9">
        <v>251</v>
      </c>
      <c r="P61" s="9">
        <v>55</v>
      </c>
      <c r="Q61" s="9">
        <v>0</v>
      </c>
      <c r="R61" s="9">
        <v>0</v>
      </c>
      <c r="S61" s="9">
        <v>0</v>
      </c>
    </row>
    <row r="62" spans="1:20">
      <c r="A62" s="5">
        <v>1240184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74</v>
      </c>
      <c r="O62" s="9">
        <v>251</v>
      </c>
      <c r="P62" s="9">
        <v>55</v>
      </c>
      <c r="Q62" s="9">
        <v>0</v>
      </c>
      <c r="R62" s="9">
        <v>0</v>
      </c>
      <c r="S62" s="9">
        <v>0</v>
      </c>
    </row>
    <row r="63" spans="1:20">
      <c r="A63" s="5">
        <v>1216452</v>
      </c>
      <c r="B63" s="9">
        <v>0</v>
      </c>
      <c r="C63" s="9">
        <v>0</v>
      </c>
      <c r="D63" s="9">
        <v>0</v>
      </c>
      <c r="E63" s="9">
        <v>0</v>
      </c>
      <c r="F63" s="9">
        <v>166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100</v>
      </c>
      <c r="Q63" s="9">
        <v>548</v>
      </c>
      <c r="R63" s="9">
        <v>0</v>
      </c>
      <c r="S63" s="9">
        <v>0</v>
      </c>
    </row>
    <row r="64" spans="1:20">
      <c r="A64" s="5">
        <v>1233580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134</v>
      </c>
      <c r="K64" s="9">
        <v>0</v>
      </c>
      <c r="L64" s="9">
        <v>0</v>
      </c>
      <c r="M64" s="9">
        <v>66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</sheetData>
  <phoneticPr fontId="11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F4AA-5C57-4F6B-A85C-013936B38C21}">
  <sheetPr>
    <tabColor rgb="FFFFFF00"/>
  </sheetPr>
  <dimension ref="B1:L97"/>
  <sheetViews>
    <sheetView zoomScale="145" zoomScaleNormal="145" workbookViewId="0">
      <selection activeCell="H29" sqref="H29"/>
    </sheetView>
  </sheetViews>
  <sheetFormatPr defaultRowHeight="12"/>
  <cols>
    <col min="1" max="1" width="9.33203125" style="5"/>
    <col min="2" max="2" width="10.1640625" style="5" bestFit="1" customWidth="1"/>
    <col min="3" max="12" width="11.5" style="108" customWidth="1"/>
    <col min="13" max="16384" width="9.33203125" style="5"/>
  </cols>
  <sheetData>
    <row r="1" spans="2:12" s="22" customFormat="1">
      <c r="B1" s="284" t="s">
        <v>0</v>
      </c>
      <c r="C1" s="295" t="s">
        <v>1239</v>
      </c>
      <c r="D1" s="295" t="s">
        <v>1255</v>
      </c>
      <c r="E1" s="295" t="s">
        <v>12</v>
      </c>
      <c r="F1" s="295" t="s">
        <v>13</v>
      </c>
      <c r="G1" s="295" t="s">
        <v>14</v>
      </c>
      <c r="H1" s="295" t="s">
        <v>15</v>
      </c>
      <c r="I1" s="295" t="s">
        <v>16</v>
      </c>
      <c r="J1" s="295" t="s">
        <v>17</v>
      </c>
      <c r="K1" s="295" t="s">
        <v>18</v>
      </c>
      <c r="L1" s="295" t="s">
        <v>19</v>
      </c>
    </row>
    <row r="2" spans="2:12" s="22" customFormat="1">
      <c r="B2" s="284"/>
      <c r="C2" s="295" t="s">
        <v>1240</v>
      </c>
      <c r="D2" s="295" t="s">
        <v>1256</v>
      </c>
      <c r="E2" s="295" t="s">
        <v>1257</v>
      </c>
      <c r="F2" s="295" t="s">
        <v>1265</v>
      </c>
      <c r="G2" s="295" t="s">
        <v>1273</v>
      </c>
      <c r="H2" s="295" t="s">
        <v>1281</v>
      </c>
      <c r="I2" s="295" t="s">
        <v>1289</v>
      </c>
      <c r="J2" s="295" t="s">
        <v>1297</v>
      </c>
      <c r="K2" s="295" t="s">
        <v>1305</v>
      </c>
      <c r="L2" s="295" t="s">
        <v>1314</v>
      </c>
    </row>
    <row r="3" spans="2:12">
      <c r="B3" s="5">
        <v>1221154</v>
      </c>
      <c r="C3" s="108">
        <v>0</v>
      </c>
      <c r="D3" s="108">
        <v>50</v>
      </c>
      <c r="E3" s="108">
        <v>0</v>
      </c>
      <c r="F3" s="108">
        <v>0</v>
      </c>
      <c r="G3" s="108">
        <v>0</v>
      </c>
      <c r="H3" s="108">
        <v>0</v>
      </c>
      <c r="I3" s="108">
        <v>0</v>
      </c>
      <c r="J3" s="108">
        <v>0</v>
      </c>
      <c r="K3" s="108">
        <v>0</v>
      </c>
      <c r="L3" s="108">
        <v>0</v>
      </c>
    </row>
    <row r="4" spans="2:12">
      <c r="B4" s="5">
        <v>1226384</v>
      </c>
      <c r="C4" s="108">
        <v>0</v>
      </c>
      <c r="D4" s="108">
        <v>560</v>
      </c>
      <c r="E4" s="108">
        <v>400</v>
      </c>
      <c r="F4" s="108">
        <v>1075</v>
      </c>
      <c r="G4" s="108">
        <v>0</v>
      </c>
      <c r="H4" s="108">
        <v>0</v>
      </c>
      <c r="I4" s="108">
        <v>0</v>
      </c>
      <c r="J4" s="108">
        <v>860</v>
      </c>
      <c r="K4" s="108">
        <v>0</v>
      </c>
      <c r="L4" s="108">
        <v>0</v>
      </c>
    </row>
    <row r="5" spans="2:12">
      <c r="B5" s="5">
        <v>1226388</v>
      </c>
      <c r="C5" s="108">
        <v>0</v>
      </c>
      <c r="D5" s="108">
        <v>560</v>
      </c>
      <c r="E5" s="108">
        <v>400</v>
      </c>
      <c r="F5" s="108">
        <v>1075</v>
      </c>
      <c r="G5" s="108">
        <v>0</v>
      </c>
      <c r="H5" s="108">
        <v>0</v>
      </c>
      <c r="I5" s="108">
        <v>0</v>
      </c>
      <c r="J5" s="108">
        <v>860</v>
      </c>
      <c r="K5" s="108">
        <v>0</v>
      </c>
      <c r="L5" s="108">
        <v>0</v>
      </c>
    </row>
    <row r="6" spans="2:12">
      <c r="B6" s="5">
        <v>1229673</v>
      </c>
      <c r="C6" s="108">
        <v>0</v>
      </c>
      <c r="D6" s="108">
        <v>300</v>
      </c>
      <c r="E6" s="108">
        <v>400</v>
      </c>
      <c r="F6" s="108">
        <v>0</v>
      </c>
      <c r="G6" s="108">
        <v>0</v>
      </c>
      <c r="H6" s="108">
        <v>600</v>
      </c>
      <c r="I6" s="108">
        <v>600</v>
      </c>
      <c r="J6" s="108">
        <v>300</v>
      </c>
      <c r="K6" s="108">
        <v>0</v>
      </c>
      <c r="L6" s="108">
        <v>800</v>
      </c>
    </row>
    <row r="7" spans="2:12">
      <c r="B7" s="5">
        <v>1230692</v>
      </c>
      <c r="C7" s="108">
        <v>500</v>
      </c>
      <c r="D7" s="108">
        <v>500</v>
      </c>
      <c r="E7" s="108">
        <v>600</v>
      </c>
      <c r="F7" s="108">
        <v>500</v>
      </c>
      <c r="G7" s="108">
        <v>0</v>
      </c>
      <c r="H7" s="108">
        <v>900</v>
      </c>
      <c r="I7" s="108">
        <v>900</v>
      </c>
      <c r="J7" s="108">
        <v>900</v>
      </c>
      <c r="K7" s="108">
        <v>1200</v>
      </c>
      <c r="L7" s="108">
        <v>1200</v>
      </c>
    </row>
    <row r="8" spans="2:12">
      <c r="B8" s="5">
        <v>1230696</v>
      </c>
      <c r="C8" s="108">
        <v>200</v>
      </c>
      <c r="D8" s="108">
        <v>0</v>
      </c>
      <c r="E8" s="108">
        <v>0</v>
      </c>
      <c r="F8" s="108">
        <v>0</v>
      </c>
      <c r="G8" s="108">
        <v>0</v>
      </c>
      <c r="H8" s="108">
        <v>200</v>
      </c>
      <c r="I8" s="108">
        <v>200</v>
      </c>
      <c r="J8" s="108">
        <v>0</v>
      </c>
      <c r="K8" s="108">
        <v>200</v>
      </c>
      <c r="L8" s="108">
        <v>300</v>
      </c>
    </row>
    <row r="9" spans="2:12">
      <c r="B9" s="5">
        <v>1231202</v>
      </c>
      <c r="C9" s="108">
        <v>0</v>
      </c>
      <c r="D9" s="108">
        <v>200</v>
      </c>
      <c r="E9" s="108">
        <v>0</v>
      </c>
      <c r="F9" s="108">
        <v>0</v>
      </c>
      <c r="G9" s="108">
        <v>0</v>
      </c>
      <c r="H9" s="108">
        <v>0</v>
      </c>
      <c r="I9" s="108">
        <v>0</v>
      </c>
      <c r="J9" s="108">
        <v>0</v>
      </c>
      <c r="K9" s="108">
        <v>0</v>
      </c>
      <c r="L9" s="108">
        <v>0</v>
      </c>
    </row>
    <row r="10" spans="2:12">
      <c r="B10" s="5">
        <v>1231898</v>
      </c>
      <c r="C10" s="108">
        <v>1792</v>
      </c>
      <c r="D10" s="108">
        <v>0</v>
      </c>
      <c r="E10" s="108">
        <v>0</v>
      </c>
      <c r="F10" s="108">
        <v>0</v>
      </c>
      <c r="G10" s="108">
        <v>0</v>
      </c>
      <c r="H10" s="108">
        <v>2240</v>
      </c>
      <c r="I10" s="108">
        <v>2240</v>
      </c>
      <c r="J10" s="108">
        <v>896</v>
      </c>
      <c r="K10" s="108">
        <v>124</v>
      </c>
      <c r="L10" s="108">
        <v>0</v>
      </c>
    </row>
    <row r="11" spans="2:12">
      <c r="B11" s="5">
        <v>1233761</v>
      </c>
      <c r="C11" s="108">
        <v>100</v>
      </c>
      <c r="D11" s="108">
        <v>150</v>
      </c>
      <c r="E11" s="108">
        <v>100</v>
      </c>
      <c r="F11" s="108">
        <v>0</v>
      </c>
      <c r="G11" s="108">
        <v>0</v>
      </c>
      <c r="H11" s="108">
        <v>200</v>
      </c>
      <c r="I11" s="108">
        <v>200</v>
      </c>
      <c r="J11" s="108">
        <v>200</v>
      </c>
      <c r="K11" s="108">
        <v>0</v>
      </c>
      <c r="L11" s="108">
        <v>200</v>
      </c>
    </row>
    <row r="12" spans="2:12">
      <c r="B12" s="5">
        <v>1234905</v>
      </c>
      <c r="C12" s="108">
        <v>0</v>
      </c>
      <c r="D12" s="108">
        <v>500</v>
      </c>
      <c r="E12" s="108">
        <v>0</v>
      </c>
      <c r="F12" s="108">
        <v>450</v>
      </c>
      <c r="G12" s="108">
        <v>0</v>
      </c>
      <c r="H12" s="108">
        <v>1200</v>
      </c>
      <c r="I12" s="108">
        <v>1050</v>
      </c>
      <c r="J12" s="108">
        <v>750</v>
      </c>
      <c r="K12" s="108">
        <v>500</v>
      </c>
      <c r="L12" s="108">
        <v>1200</v>
      </c>
    </row>
    <row r="13" spans="2:12">
      <c r="B13" s="5">
        <v>1235623</v>
      </c>
      <c r="C13" s="108">
        <v>0</v>
      </c>
      <c r="D13" s="108">
        <v>0</v>
      </c>
      <c r="E13" s="108">
        <v>0</v>
      </c>
      <c r="F13" s="108">
        <v>936</v>
      </c>
      <c r="G13" s="108">
        <v>0</v>
      </c>
      <c r="H13" s="108">
        <v>1872</v>
      </c>
      <c r="I13" s="108">
        <v>0</v>
      </c>
      <c r="J13" s="108">
        <v>0</v>
      </c>
      <c r="K13" s="108">
        <v>0</v>
      </c>
      <c r="L13" s="108">
        <v>0</v>
      </c>
    </row>
    <row r="14" spans="2:12">
      <c r="B14" s="5">
        <v>1236091</v>
      </c>
      <c r="C14" s="108">
        <v>200</v>
      </c>
      <c r="D14" s="108">
        <v>200</v>
      </c>
      <c r="E14" s="108">
        <v>0</v>
      </c>
      <c r="F14" s="108">
        <v>0</v>
      </c>
      <c r="G14" s="108">
        <v>0</v>
      </c>
      <c r="H14" s="108">
        <v>400</v>
      </c>
      <c r="I14" s="108">
        <v>450</v>
      </c>
      <c r="J14" s="108">
        <v>0</v>
      </c>
      <c r="K14" s="108">
        <v>300</v>
      </c>
      <c r="L14" s="108">
        <v>200</v>
      </c>
    </row>
    <row r="15" spans="2:12">
      <c r="B15" s="5">
        <v>1236488</v>
      </c>
      <c r="C15" s="108">
        <v>700</v>
      </c>
      <c r="D15" s="108">
        <v>700</v>
      </c>
      <c r="E15" s="108">
        <v>300</v>
      </c>
      <c r="F15" s="108">
        <v>0</v>
      </c>
      <c r="G15" s="108">
        <v>0</v>
      </c>
      <c r="H15" s="108">
        <v>700</v>
      </c>
      <c r="I15" s="108">
        <v>600</v>
      </c>
      <c r="J15" s="108">
        <v>600</v>
      </c>
      <c r="K15" s="108">
        <v>1100</v>
      </c>
      <c r="L15" s="108">
        <v>800</v>
      </c>
    </row>
    <row r="16" spans="2:12">
      <c r="B16" s="5">
        <v>1236534</v>
      </c>
      <c r="C16" s="108">
        <v>200</v>
      </c>
      <c r="D16" s="108">
        <v>0</v>
      </c>
      <c r="E16" s="108">
        <v>0</v>
      </c>
      <c r="F16" s="108">
        <v>0</v>
      </c>
      <c r="G16" s="108">
        <v>0</v>
      </c>
      <c r="H16" s="108">
        <v>500</v>
      </c>
      <c r="I16" s="108">
        <v>0</v>
      </c>
      <c r="J16" s="108">
        <v>0</v>
      </c>
      <c r="K16" s="108">
        <v>0</v>
      </c>
      <c r="L16" s="108">
        <v>300</v>
      </c>
    </row>
    <row r="17" spans="2:12">
      <c r="B17" s="5">
        <v>1236962</v>
      </c>
      <c r="C17" s="108">
        <v>0</v>
      </c>
      <c r="D17" s="108">
        <v>0</v>
      </c>
      <c r="E17" s="108">
        <v>0</v>
      </c>
      <c r="F17" s="108">
        <v>0</v>
      </c>
      <c r="G17" s="108">
        <v>0</v>
      </c>
      <c r="H17" s="108">
        <v>500</v>
      </c>
      <c r="I17" s="108">
        <v>500</v>
      </c>
      <c r="J17" s="108">
        <v>500</v>
      </c>
      <c r="K17" s="108">
        <v>700</v>
      </c>
      <c r="L17" s="108">
        <v>700</v>
      </c>
    </row>
    <row r="18" spans="2:12">
      <c r="B18" s="5">
        <v>1237088</v>
      </c>
      <c r="C18" s="108">
        <v>2306</v>
      </c>
      <c r="D18" s="108">
        <v>2192</v>
      </c>
      <c r="E18" s="108">
        <v>438</v>
      </c>
      <c r="F18" s="108">
        <v>0</v>
      </c>
      <c r="G18" s="108">
        <v>0</v>
      </c>
      <c r="H18" s="108">
        <v>0</v>
      </c>
      <c r="I18" s="108">
        <v>0</v>
      </c>
      <c r="J18" s="108">
        <v>0</v>
      </c>
      <c r="K18" s="108">
        <v>0</v>
      </c>
      <c r="L18" s="108">
        <v>0</v>
      </c>
    </row>
    <row r="19" spans="2:12">
      <c r="B19" s="5">
        <v>1237586</v>
      </c>
      <c r="C19" s="108">
        <v>1792</v>
      </c>
      <c r="D19" s="108">
        <v>0</v>
      </c>
      <c r="E19" s="108">
        <v>0</v>
      </c>
      <c r="F19" s="108">
        <v>0</v>
      </c>
      <c r="G19" s="108">
        <v>0</v>
      </c>
      <c r="H19" s="108">
        <v>2240</v>
      </c>
      <c r="I19" s="108">
        <v>2240</v>
      </c>
      <c r="J19" s="108">
        <v>896</v>
      </c>
      <c r="K19" s="108">
        <v>124</v>
      </c>
      <c r="L19" s="108">
        <v>0</v>
      </c>
    </row>
    <row r="20" spans="2:12">
      <c r="B20" s="5">
        <v>1237748</v>
      </c>
      <c r="C20" s="108">
        <v>1452</v>
      </c>
      <c r="D20" s="108">
        <v>512</v>
      </c>
      <c r="E20" s="108">
        <v>780</v>
      </c>
      <c r="F20" s="108">
        <v>780</v>
      </c>
      <c r="G20" s="108">
        <v>0</v>
      </c>
      <c r="H20" s="108">
        <v>520</v>
      </c>
      <c r="I20" s="108">
        <v>260</v>
      </c>
      <c r="J20" s="108">
        <v>208</v>
      </c>
      <c r="K20" s="108">
        <v>260</v>
      </c>
      <c r="L20" s="108">
        <v>633</v>
      </c>
    </row>
    <row r="21" spans="2:12">
      <c r="B21" s="5">
        <v>1237765</v>
      </c>
      <c r="C21" s="108">
        <v>0</v>
      </c>
      <c r="D21" s="108">
        <v>300</v>
      </c>
      <c r="E21" s="108">
        <v>0</v>
      </c>
      <c r="F21" s="108">
        <v>0</v>
      </c>
      <c r="G21" s="108">
        <v>0</v>
      </c>
      <c r="H21" s="108">
        <v>0</v>
      </c>
      <c r="I21" s="108">
        <v>0</v>
      </c>
      <c r="J21" s="108">
        <v>0</v>
      </c>
      <c r="K21" s="108">
        <v>0</v>
      </c>
      <c r="L21" s="108">
        <v>0</v>
      </c>
    </row>
    <row r="22" spans="2:12">
      <c r="B22" s="5">
        <v>1238128</v>
      </c>
      <c r="C22" s="108">
        <v>0</v>
      </c>
      <c r="D22" s="108">
        <v>0</v>
      </c>
      <c r="E22" s="108">
        <v>1114</v>
      </c>
      <c r="F22" s="108">
        <v>0</v>
      </c>
      <c r="G22" s="108">
        <v>0</v>
      </c>
      <c r="H22" s="108">
        <v>2040</v>
      </c>
      <c r="I22" s="108">
        <v>2424</v>
      </c>
      <c r="J22" s="108">
        <v>3108</v>
      </c>
      <c r="K22" s="108">
        <v>2164</v>
      </c>
      <c r="L22" s="108">
        <v>1208</v>
      </c>
    </row>
    <row r="23" spans="2:12">
      <c r="B23" s="5">
        <v>1238480</v>
      </c>
      <c r="C23" s="108">
        <v>0</v>
      </c>
      <c r="D23" s="108">
        <v>1972</v>
      </c>
      <c r="E23" s="108">
        <v>2000</v>
      </c>
      <c r="F23" s="108">
        <v>1852</v>
      </c>
      <c r="G23" s="108">
        <v>0</v>
      </c>
      <c r="H23" s="108">
        <v>2000</v>
      </c>
      <c r="I23" s="108">
        <v>2000</v>
      </c>
      <c r="J23" s="108">
        <v>2000</v>
      </c>
      <c r="K23" s="108">
        <v>2000</v>
      </c>
      <c r="L23" s="108">
        <v>1995</v>
      </c>
    </row>
    <row r="24" spans="2:12">
      <c r="B24" s="5">
        <v>1239651</v>
      </c>
      <c r="C24" s="108">
        <v>400</v>
      </c>
      <c r="D24" s="108">
        <v>400</v>
      </c>
      <c r="E24" s="108">
        <v>400</v>
      </c>
      <c r="F24" s="108">
        <v>600</v>
      </c>
      <c r="G24" s="108">
        <v>0</v>
      </c>
      <c r="H24" s="108">
        <v>950</v>
      </c>
      <c r="I24" s="108">
        <v>800</v>
      </c>
      <c r="J24" s="108">
        <v>800</v>
      </c>
      <c r="K24" s="108">
        <v>0</v>
      </c>
      <c r="L24" s="108">
        <v>0</v>
      </c>
    </row>
    <row r="25" spans="2:12">
      <c r="B25" s="5">
        <v>1239988</v>
      </c>
      <c r="C25" s="108">
        <v>2900</v>
      </c>
      <c r="D25" s="108">
        <v>2600</v>
      </c>
      <c r="E25" s="108">
        <v>2600</v>
      </c>
      <c r="F25" s="108">
        <v>1800</v>
      </c>
      <c r="G25" s="108">
        <v>0</v>
      </c>
      <c r="H25" s="108">
        <v>3100</v>
      </c>
      <c r="I25" s="108">
        <v>3300</v>
      </c>
      <c r="J25" s="108">
        <v>2500</v>
      </c>
      <c r="K25" s="108">
        <v>1300</v>
      </c>
      <c r="L25" s="108">
        <v>2700</v>
      </c>
    </row>
    <row r="26" spans="2:12">
      <c r="B26" s="5">
        <v>1240180</v>
      </c>
      <c r="C26" s="108">
        <v>2392</v>
      </c>
      <c r="D26" s="108">
        <v>2400</v>
      </c>
      <c r="E26" s="108">
        <v>2300</v>
      </c>
      <c r="F26" s="108">
        <v>1200</v>
      </c>
      <c r="G26" s="108">
        <v>0</v>
      </c>
      <c r="H26" s="108">
        <v>3250</v>
      </c>
      <c r="I26" s="108">
        <v>3300</v>
      </c>
      <c r="J26" s="108">
        <v>2300</v>
      </c>
      <c r="K26" s="108">
        <v>1600</v>
      </c>
      <c r="L26" s="108">
        <v>2300</v>
      </c>
    </row>
    <row r="27" spans="2:12">
      <c r="B27" s="5">
        <v>1240184</v>
      </c>
      <c r="C27" s="108">
        <v>1892</v>
      </c>
      <c r="D27" s="108">
        <v>2400</v>
      </c>
      <c r="E27" s="108">
        <v>2100</v>
      </c>
      <c r="F27" s="108">
        <v>1200</v>
      </c>
      <c r="G27" s="108">
        <v>0</v>
      </c>
      <c r="H27" s="108">
        <v>2800</v>
      </c>
      <c r="I27" s="108">
        <v>2900</v>
      </c>
      <c r="J27" s="108">
        <v>2100</v>
      </c>
      <c r="K27" s="108">
        <v>1600</v>
      </c>
      <c r="L27" s="108">
        <v>2300</v>
      </c>
    </row>
    <row r="28" spans="2:12">
      <c r="B28" s="5">
        <v>1240308</v>
      </c>
      <c r="C28" s="108">
        <v>400</v>
      </c>
      <c r="D28" s="108">
        <v>200</v>
      </c>
      <c r="E28" s="108">
        <v>0</v>
      </c>
      <c r="F28" s="108">
        <v>0</v>
      </c>
      <c r="G28" s="108">
        <v>0</v>
      </c>
      <c r="H28" s="108">
        <v>500</v>
      </c>
      <c r="I28" s="108">
        <v>500</v>
      </c>
      <c r="J28" s="108">
        <v>150</v>
      </c>
      <c r="K28" s="108">
        <v>200</v>
      </c>
      <c r="L28" s="108">
        <v>1100</v>
      </c>
    </row>
    <row r="29" spans="2:12">
      <c r="B29" s="5">
        <v>1241601</v>
      </c>
      <c r="C29" s="108">
        <v>4300</v>
      </c>
      <c r="D29" s="108">
        <v>4300</v>
      </c>
      <c r="E29" s="108">
        <v>4500</v>
      </c>
      <c r="F29" s="108">
        <v>3300</v>
      </c>
      <c r="G29" s="108">
        <v>0</v>
      </c>
      <c r="H29" s="108">
        <v>5200</v>
      </c>
      <c r="I29" s="108">
        <v>5100</v>
      </c>
      <c r="J29" s="108">
        <v>4400</v>
      </c>
      <c r="K29" s="108">
        <v>6000</v>
      </c>
      <c r="L29" s="108">
        <v>4900</v>
      </c>
    </row>
    <row r="30" spans="2:12">
      <c r="B30" s="5">
        <v>1242242</v>
      </c>
      <c r="C30" s="108">
        <v>1000</v>
      </c>
      <c r="D30" s="108">
        <v>1000</v>
      </c>
      <c r="E30" s="108">
        <v>1200</v>
      </c>
      <c r="F30" s="108">
        <v>600</v>
      </c>
      <c r="G30" s="108">
        <v>0</v>
      </c>
      <c r="H30" s="108">
        <v>800</v>
      </c>
      <c r="I30" s="108">
        <v>500</v>
      </c>
      <c r="J30" s="108">
        <v>700</v>
      </c>
      <c r="K30" s="108">
        <v>0</v>
      </c>
      <c r="L30" s="108">
        <v>900</v>
      </c>
    </row>
    <row r="36" spans="2:12" s="22" customFormat="1">
      <c r="B36" s="284" t="s">
        <v>0</v>
      </c>
      <c r="C36" s="295" t="s">
        <v>1239</v>
      </c>
      <c r="D36" s="295" t="s">
        <v>1255</v>
      </c>
      <c r="E36" s="295" t="s">
        <v>12</v>
      </c>
      <c r="F36" s="295" t="s">
        <v>13</v>
      </c>
      <c r="G36" s="295" t="s">
        <v>14</v>
      </c>
      <c r="H36" s="295" t="s">
        <v>15</v>
      </c>
      <c r="I36" s="295" t="s">
        <v>16</v>
      </c>
      <c r="J36" s="295" t="s">
        <v>17</v>
      </c>
      <c r="K36" s="295" t="s">
        <v>18</v>
      </c>
      <c r="L36" s="295" t="s">
        <v>19</v>
      </c>
    </row>
    <row r="37" spans="2:12" s="22" customFormat="1">
      <c r="B37" s="284"/>
      <c r="C37" s="295" t="s">
        <v>1240</v>
      </c>
      <c r="D37" s="295" t="s">
        <v>1256</v>
      </c>
      <c r="E37" s="295" t="s">
        <v>1257</v>
      </c>
      <c r="F37" s="295" t="s">
        <v>1265</v>
      </c>
      <c r="G37" s="295" t="s">
        <v>1273</v>
      </c>
      <c r="H37" s="295" t="s">
        <v>1281</v>
      </c>
      <c r="I37" s="295" t="s">
        <v>1289</v>
      </c>
      <c r="J37" s="295" t="s">
        <v>1297</v>
      </c>
      <c r="K37" s="295" t="s">
        <v>1305</v>
      </c>
      <c r="L37" s="295" t="s">
        <v>1314</v>
      </c>
    </row>
    <row r="38" spans="2:12">
      <c r="B38" s="5">
        <v>1206068</v>
      </c>
      <c r="C38" s="108">
        <v>17</v>
      </c>
      <c r="D38" s="108">
        <v>0</v>
      </c>
      <c r="E38" s="108">
        <v>856</v>
      </c>
      <c r="F38" s="108">
        <v>0</v>
      </c>
      <c r="G38" s="108">
        <v>0</v>
      </c>
      <c r="H38" s="108">
        <v>414</v>
      </c>
      <c r="I38" s="108">
        <v>0</v>
      </c>
      <c r="J38" s="108">
        <v>856</v>
      </c>
      <c r="K38" s="108">
        <v>0</v>
      </c>
      <c r="L38" s="108">
        <v>0</v>
      </c>
    </row>
    <row r="39" spans="2:12">
      <c r="B39" s="5">
        <v>1216452</v>
      </c>
      <c r="C39" s="108">
        <v>168</v>
      </c>
      <c r="D39" s="108">
        <v>1170</v>
      </c>
      <c r="E39" s="108">
        <v>36</v>
      </c>
      <c r="F39" s="108">
        <v>1584</v>
      </c>
      <c r="G39" s="108">
        <v>0</v>
      </c>
      <c r="H39" s="108">
        <v>1052</v>
      </c>
      <c r="I39" s="108">
        <v>0</v>
      </c>
      <c r="J39" s="108">
        <v>0</v>
      </c>
      <c r="K39" s="108">
        <v>0</v>
      </c>
      <c r="L39" s="108">
        <v>0</v>
      </c>
    </row>
    <row r="40" spans="2:12">
      <c r="B40" s="5">
        <v>1220847</v>
      </c>
      <c r="C40" s="108">
        <v>892</v>
      </c>
      <c r="D40" s="108">
        <v>1434</v>
      </c>
      <c r="E40" s="108">
        <v>1084</v>
      </c>
      <c r="F40" s="108">
        <v>0</v>
      </c>
      <c r="G40" s="108">
        <v>9</v>
      </c>
      <c r="H40" s="108">
        <v>1260</v>
      </c>
      <c r="I40" s="108">
        <v>0</v>
      </c>
      <c r="J40" s="108">
        <v>0</v>
      </c>
      <c r="K40" s="108">
        <v>0</v>
      </c>
      <c r="L40" s="108">
        <v>244</v>
      </c>
    </row>
    <row r="41" spans="2:12">
      <c r="B41" s="5">
        <v>1221254</v>
      </c>
      <c r="C41" s="108">
        <v>0</v>
      </c>
      <c r="D41" s="108">
        <v>0</v>
      </c>
      <c r="E41" s="108">
        <v>0</v>
      </c>
      <c r="F41" s="108">
        <v>0</v>
      </c>
      <c r="G41" s="108">
        <v>0</v>
      </c>
      <c r="H41" s="108">
        <v>0</v>
      </c>
      <c r="I41" s="108">
        <v>0</v>
      </c>
      <c r="J41" s="108">
        <v>0</v>
      </c>
      <c r="K41" s="108">
        <v>0</v>
      </c>
      <c r="L41" s="108">
        <v>50</v>
      </c>
    </row>
    <row r="42" spans="2:12">
      <c r="B42" s="5">
        <v>1221967</v>
      </c>
      <c r="C42" s="108">
        <v>0</v>
      </c>
      <c r="D42" s="108">
        <v>0</v>
      </c>
      <c r="E42" s="108">
        <v>0</v>
      </c>
      <c r="F42" s="108">
        <v>0</v>
      </c>
      <c r="G42" s="108">
        <v>0</v>
      </c>
      <c r="H42" s="108">
        <v>17</v>
      </c>
      <c r="I42" s="108">
        <v>35</v>
      </c>
      <c r="J42" s="108">
        <v>0</v>
      </c>
      <c r="K42" s="108">
        <v>0</v>
      </c>
      <c r="L42" s="108">
        <v>0</v>
      </c>
    </row>
    <row r="43" spans="2:12">
      <c r="B43" s="5">
        <v>1225464</v>
      </c>
      <c r="C43" s="108">
        <v>40</v>
      </c>
      <c r="D43" s="108">
        <v>0</v>
      </c>
      <c r="E43" s="108">
        <v>0</v>
      </c>
      <c r="F43" s="108">
        <v>0</v>
      </c>
      <c r="G43" s="108">
        <v>11</v>
      </c>
      <c r="H43" s="108">
        <v>0</v>
      </c>
      <c r="I43" s="108">
        <v>0</v>
      </c>
      <c r="J43" s="108">
        <v>0</v>
      </c>
      <c r="K43" s="108">
        <v>0</v>
      </c>
      <c r="L43" s="108">
        <v>774</v>
      </c>
    </row>
    <row r="44" spans="2:12">
      <c r="B44" s="5">
        <v>1227306</v>
      </c>
      <c r="C44" s="108">
        <v>400</v>
      </c>
      <c r="D44" s="108">
        <v>300</v>
      </c>
      <c r="E44" s="108">
        <v>400</v>
      </c>
      <c r="F44" s="108">
        <v>0</v>
      </c>
      <c r="G44" s="108">
        <v>0</v>
      </c>
      <c r="H44" s="108">
        <v>550</v>
      </c>
      <c r="I44" s="108">
        <v>900</v>
      </c>
      <c r="J44" s="108">
        <v>600</v>
      </c>
      <c r="K44" s="108">
        <v>400</v>
      </c>
      <c r="L44" s="108">
        <v>800</v>
      </c>
    </row>
    <row r="45" spans="2:12">
      <c r="B45" s="5">
        <v>1229050</v>
      </c>
      <c r="C45" s="108">
        <v>0</v>
      </c>
      <c r="D45" s="108">
        <v>0</v>
      </c>
      <c r="E45" s="108">
        <v>0</v>
      </c>
      <c r="F45" s="108">
        <v>0</v>
      </c>
      <c r="G45" s="108">
        <v>0</v>
      </c>
      <c r="H45" s="108">
        <v>235</v>
      </c>
      <c r="I45" s="108">
        <v>0</v>
      </c>
      <c r="J45" s="108">
        <v>0</v>
      </c>
      <c r="K45" s="108">
        <v>0</v>
      </c>
      <c r="L45" s="108">
        <v>275</v>
      </c>
    </row>
    <row r="46" spans="2:12">
      <c r="B46" s="5">
        <v>1229088</v>
      </c>
      <c r="C46" s="108">
        <v>100</v>
      </c>
      <c r="D46" s="108">
        <v>0</v>
      </c>
      <c r="E46" s="108">
        <v>0</v>
      </c>
      <c r="F46" s="108">
        <v>0</v>
      </c>
      <c r="G46" s="108">
        <v>0</v>
      </c>
      <c r="H46" s="108">
        <v>0</v>
      </c>
      <c r="I46" s="108">
        <v>500</v>
      </c>
      <c r="J46" s="108">
        <v>0</v>
      </c>
      <c r="K46" s="108">
        <v>0</v>
      </c>
      <c r="L46" s="108">
        <v>0</v>
      </c>
    </row>
    <row r="47" spans="2:12">
      <c r="B47" s="5">
        <v>1229776</v>
      </c>
      <c r="C47" s="108">
        <v>90</v>
      </c>
      <c r="D47" s="108">
        <v>0</v>
      </c>
      <c r="E47" s="108">
        <v>0</v>
      </c>
      <c r="F47" s="108">
        <v>0</v>
      </c>
      <c r="G47" s="108">
        <v>0</v>
      </c>
      <c r="H47" s="108">
        <v>250</v>
      </c>
      <c r="I47" s="108">
        <v>180</v>
      </c>
      <c r="J47" s="108">
        <v>0</v>
      </c>
      <c r="K47" s="108">
        <v>0</v>
      </c>
      <c r="L47" s="108">
        <v>0</v>
      </c>
    </row>
    <row r="48" spans="2:12">
      <c r="B48" s="5">
        <v>1230685</v>
      </c>
      <c r="C48" s="108">
        <v>0</v>
      </c>
      <c r="D48" s="108">
        <v>0</v>
      </c>
      <c r="E48" s="108">
        <v>0</v>
      </c>
      <c r="F48" s="108">
        <v>0</v>
      </c>
      <c r="G48" s="108">
        <v>0</v>
      </c>
      <c r="H48" s="108">
        <v>0</v>
      </c>
      <c r="I48" s="108">
        <v>0</v>
      </c>
      <c r="J48" s="108">
        <v>0</v>
      </c>
      <c r="K48" s="108">
        <v>0</v>
      </c>
      <c r="L48" s="108">
        <v>500</v>
      </c>
    </row>
    <row r="49" spans="2:12">
      <c r="B49" s="5">
        <v>1230791</v>
      </c>
      <c r="C49" s="108">
        <v>30</v>
      </c>
      <c r="D49" s="108">
        <v>72</v>
      </c>
      <c r="E49" s="108">
        <v>0</v>
      </c>
      <c r="F49" s="108">
        <v>0</v>
      </c>
      <c r="G49" s="108">
        <v>0</v>
      </c>
      <c r="H49" s="108">
        <v>0</v>
      </c>
      <c r="I49" s="108">
        <v>0</v>
      </c>
      <c r="J49" s="108">
        <v>0</v>
      </c>
      <c r="K49" s="108">
        <v>0</v>
      </c>
      <c r="L49" s="108">
        <v>89</v>
      </c>
    </row>
    <row r="50" spans="2:12">
      <c r="B50" s="5">
        <v>1231011</v>
      </c>
      <c r="C50" s="108">
        <v>0</v>
      </c>
      <c r="D50" s="108">
        <v>0</v>
      </c>
      <c r="E50" s="108">
        <v>300</v>
      </c>
      <c r="F50" s="108">
        <v>0</v>
      </c>
      <c r="G50" s="108">
        <v>0</v>
      </c>
      <c r="H50" s="108">
        <v>0</v>
      </c>
      <c r="I50" s="108">
        <v>0</v>
      </c>
      <c r="J50" s="108">
        <v>0</v>
      </c>
      <c r="K50" s="108">
        <v>0</v>
      </c>
      <c r="L50" s="108">
        <v>0</v>
      </c>
    </row>
    <row r="51" spans="2:12">
      <c r="B51" s="5">
        <v>1231090</v>
      </c>
      <c r="C51" s="108">
        <v>540</v>
      </c>
      <c r="D51" s="108">
        <v>0</v>
      </c>
      <c r="E51" s="108">
        <v>0</v>
      </c>
      <c r="F51" s="108">
        <v>0</v>
      </c>
      <c r="G51" s="108">
        <v>0</v>
      </c>
      <c r="H51" s="108">
        <v>705</v>
      </c>
      <c r="I51" s="108">
        <v>180</v>
      </c>
      <c r="J51" s="108">
        <v>461</v>
      </c>
      <c r="K51" s="108">
        <v>927</v>
      </c>
      <c r="L51" s="108">
        <v>0</v>
      </c>
    </row>
    <row r="52" spans="2:12">
      <c r="B52" s="5">
        <v>1231578</v>
      </c>
      <c r="C52" s="108">
        <v>200</v>
      </c>
      <c r="D52" s="108">
        <v>100</v>
      </c>
      <c r="E52" s="108">
        <v>200</v>
      </c>
      <c r="F52" s="108">
        <v>0</v>
      </c>
      <c r="G52" s="108">
        <v>0</v>
      </c>
      <c r="H52" s="108">
        <v>200</v>
      </c>
      <c r="I52" s="108">
        <v>400</v>
      </c>
      <c r="J52" s="108">
        <v>0</v>
      </c>
      <c r="K52" s="108">
        <v>0</v>
      </c>
      <c r="L52" s="108">
        <v>200</v>
      </c>
    </row>
    <row r="53" spans="2:12">
      <c r="B53" s="5">
        <v>1231797</v>
      </c>
      <c r="C53" s="108">
        <v>0</v>
      </c>
      <c r="D53" s="108">
        <v>128</v>
      </c>
      <c r="E53" s="108">
        <v>0</v>
      </c>
      <c r="F53" s="108">
        <v>0</v>
      </c>
      <c r="G53" s="108">
        <v>0</v>
      </c>
      <c r="H53" s="108">
        <v>106</v>
      </c>
      <c r="I53" s="108">
        <v>0</v>
      </c>
      <c r="J53" s="108">
        <v>0</v>
      </c>
      <c r="K53" s="108">
        <v>0</v>
      </c>
      <c r="L53" s="108">
        <v>0</v>
      </c>
    </row>
    <row r="54" spans="2:12">
      <c r="B54" s="5">
        <v>1231860</v>
      </c>
      <c r="C54" s="108">
        <v>0</v>
      </c>
      <c r="D54" s="108">
        <v>0</v>
      </c>
      <c r="E54" s="108">
        <v>0</v>
      </c>
      <c r="F54" s="108">
        <v>0</v>
      </c>
      <c r="G54" s="108">
        <v>0</v>
      </c>
      <c r="H54" s="108">
        <v>0</v>
      </c>
      <c r="I54" s="108">
        <v>0</v>
      </c>
      <c r="J54" s="108">
        <v>0</v>
      </c>
      <c r="K54" s="108">
        <v>0</v>
      </c>
      <c r="L54" s="108">
        <v>100</v>
      </c>
    </row>
    <row r="55" spans="2:12">
      <c r="B55" s="5">
        <v>1232066</v>
      </c>
      <c r="C55" s="108">
        <v>0</v>
      </c>
      <c r="D55" s="108">
        <v>0</v>
      </c>
      <c r="E55" s="108">
        <v>0</v>
      </c>
      <c r="F55" s="108">
        <v>0</v>
      </c>
      <c r="G55" s="108">
        <v>0</v>
      </c>
      <c r="H55" s="108">
        <v>0</v>
      </c>
      <c r="I55" s="108">
        <v>72</v>
      </c>
      <c r="J55" s="108">
        <v>180</v>
      </c>
      <c r="K55" s="108">
        <v>0</v>
      </c>
      <c r="L55" s="108">
        <v>0</v>
      </c>
    </row>
    <row r="56" spans="2:12">
      <c r="B56" s="5">
        <v>1232528</v>
      </c>
      <c r="C56" s="108">
        <v>7022</v>
      </c>
      <c r="D56" s="108">
        <v>4832</v>
      </c>
      <c r="E56" s="108">
        <v>3538</v>
      </c>
      <c r="F56" s="108">
        <v>3500</v>
      </c>
      <c r="G56" s="108">
        <v>0</v>
      </c>
      <c r="H56" s="108">
        <v>3550</v>
      </c>
      <c r="I56" s="108">
        <v>2958</v>
      </c>
      <c r="J56" s="108">
        <v>3000</v>
      </c>
      <c r="K56" s="108">
        <v>2042</v>
      </c>
      <c r="L56" s="108">
        <v>3177</v>
      </c>
    </row>
    <row r="57" spans="2:12">
      <c r="B57" s="5">
        <v>1232553</v>
      </c>
      <c r="C57" s="108">
        <v>0</v>
      </c>
      <c r="D57" s="108">
        <v>0</v>
      </c>
      <c r="E57" s="108">
        <v>108</v>
      </c>
      <c r="F57" s="108">
        <v>0</v>
      </c>
      <c r="G57" s="108">
        <v>0</v>
      </c>
      <c r="H57" s="108">
        <v>0</v>
      </c>
      <c r="I57" s="108">
        <v>108</v>
      </c>
      <c r="J57" s="108">
        <v>0</v>
      </c>
      <c r="K57" s="108">
        <v>0</v>
      </c>
      <c r="L57" s="108">
        <v>0</v>
      </c>
    </row>
    <row r="58" spans="2:12">
      <c r="B58" s="5">
        <v>1232693</v>
      </c>
      <c r="C58" s="108">
        <v>766</v>
      </c>
      <c r="D58" s="108">
        <v>0</v>
      </c>
      <c r="E58" s="108">
        <v>0</v>
      </c>
      <c r="F58" s="108">
        <v>0</v>
      </c>
      <c r="G58" s="108">
        <v>0</v>
      </c>
      <c r="H58" s="108">
        <v>1000</v>
      </c>
      <c r="I58" s="108">
        <v>974</v>
      </c>
      <c r="J58" s="108">
        <v>0</v>
      </c>
      <c r="K58" s="108">
        <v>1034</v>
      </c>
      <c r="L58" s="108">
        <v>1125</v>
      </c>
    </row>
    <row r="59" spans="2:12">
      <c r="B59" s="5">
        <v>1232775</v>
      </c>
      <c r="C59" s="108">
        <v>428</v>
      </c>
      <c r="D59" s="108">
        <v>274</v>
      </c>
      <c r="E59" s="108">
        <v>995</v>
      </c>
      <c r="F59" s="108">
        <v>450</v>
      </c>
      <c r="G59" s="108">
        <v>0</v>
      </c>
      <c r="H59" s="108">
        <v>346</v>
      </c>
      <c r="I59" s="108">
        <v>0</v>
      </c>
      <c r="J59" s="108">
        <v>0</v>
      </c>
      <c r="K59" s="108">
        <v>600</v>
      </c>
      <c r="L59" s="108">
        <v>1450</v>
      </c>
    </row>
    <row r="60" spans="2:12">
      <c r="B60" s="5">
        <v>1232846</v>
      </c>
      <c r="C60" s="108">
        <v>542</v>
      </c>
      <c r="D60" s="108">
        <v>689</v>
      </c>
      <c r="E60" s="108">
        <v>450</v>
      </c>
      <c r="F60" s="108">
        <v>0</v>
      </c>
      <c r="G60" s="108">
        <v>0</v>
      </c>
      <c r="H60" s="108">
        <v>830</v>
      </c>
      <c r="I60" s="108">
        <v>200</v>
      </c>
      <c r="J60" s="108">
        <v>0</v>
      </c>
      <c r="K60" s="108">
        <v>168</v>
      </c>
      <c r="L60" s="108">
        <v>1379</v>
      </c>
    </row>
    <row r="61" spans="2:12">
      <c r="B61" s="5">
        <v>1232894</v>
      </c>
      <c r="C61" s="108">
        <v>512</v>
      </c>
      <c r="D61" s="108">
        <v>416</v>
      </c>
      <c r="E61" s="108">
        <v>0</v>
      </c>
      <c r="F61" s="108">
        <v>0</v>
      </c>
      <c r="G61" s="108">
        <v>0</v>
      </c>
      <c r="H61" s="108">
        <v>288</v>
      </c>
      <c r="I61" s="108">
        <v>0</v>
      </c>
      <c r="J61" s="108">
        <v>0</v>
      </c>
      <c r="K61" s="108">
        <v>168</v>
      </c>
      <c r="L61" s="108">
        <v>879</v>
      </c>
    </row>
    <row r="62" spans="2:12">
      <c r="B62" s="5">
        <v>1232895</v>
      </c>
      <c r="C62" s="108">
        <v>30</v>
      </c>
      <c r="D62" s="108">
        <v>273</v>
      </c>
      <c r="E62" s="108">
        <v>450</v>
      </c>
      <c r="F62" s="108">
        <v>0</v>
      </c>
      <c r="G62" s="108">
        <v>0</v>
      </c>
      <c r="H62" s="108">
        <v>542</v>
      </c>
      <c r="I62" s="108">
        <v>200</v>
      </c>
      <c r="J62" s="108">
        <v>0</v>
      </c>
      <c r="K62" s="108">
        <v>0</v>
      </c>
      <c r="L62" s="108">
        <v>500</v>
      </c>
    </row>
    <row r="63" spans="2:12">
      <c r="B63" s="5">
        <v>1232922</v>
      </c>
      <c r="C63" s="108">
        <v>30</v>
      </c>
      <c r="D63" s="108">
        <v>273</v>
      </c>
      <c r="E63" s="108">
        <v>0</v>
      </c>
      <c r="F63" s="108">
        <v>0</v>
      </c>
      <c r="G63" s="108">
        <v>0</v>
      </c>
      <c r="H63" s="108">
        <v>242</v>
      </c>
      <c r="I63" s="108">
        <v>0</v>
      </c>
      <c r="J63" s="108">
        <v>0</v>
      </c>
      <c r="K63" s="108">
        <v>0</v>
      </c>
      <c r="L63" s="108">
        <v>0</v>
      </c>
    </row>
    <row r="64" spans="2:12">
      <c r="B64" s="5">
        <v>1232982</v>
      </c>
      <c r="C64" s="108">
        <v>0</v>
      </c>
      <c r="D64" s="108">
        <v>0</v>
      </c>
      <c r="E64" s="108">
        <v>0</v>
      </c>
      <c r="F64" s="108">
        <v>0</v>
      </c>
      <c r="G64" s="108">
        <v>0</v>
      </c>
      <c r="H64" s="108">
        <v>0</v>
      </c>
      <c r="I64" s="108">
        <v>0</v>
      </c>
      <c r="J64" s="108">
        <v>100</v>
      </c>
      <c r="K64" s="108">
        <v>0</v>
      </c>
      <c r="L64" s="108">
        <v>0</v>
      </c>
    </row>
    <row r="65" spans="2:12">
      <c r="B65" s="5">
        <v>1233025</v>
      </c>
      <c r="C65" s="108">
        <v>766</v>
      </c>
      <c r="D65" s="108">
        <v>0</v>
      </c>
      <c r="E65" s="108">
        <v>0</v>
      </c>
      <c r="F65" s="108">
        <v>0</v>
      </c>
      <c r="G65" s="108">
        <v>0</v>
      </c>
      <c r="H65" s="108">
        <v>1000</v>
      </c>
      <c r="I65" s="108">
        <v>974</v>
      </c>
      <c r="J65" s="108">
        <v>0</v>
      </c>
      <c r="K65" s="108">
        <v>1034</v>
      </c>
      <c r="L65" s="108">
        <v>1125</v>
      </c>
    </row>
    <row r="66" spans="2:12">
      <c r="B66" s="5">
        <v>1233383</v>
      </c>
      <c r="C66" s="108">
        <v>0</v>
      </c>
      <c r="D66" s="108">
        <v>42</v>
      </c>
      <c r="E66" s="108">
        <v>0</v>
      </c>
      <c r="F66" s="108">
        <v>0</v>
      </c>
      <c r="G66" s="108">
        <v>0</v>
      </c>
      <c r="H66" s="108">
        <v>122</v>
      </c>
      <c r="I66" s="108">
        <v>0</v>
      </c>
      <c r="J66" s="108">
        <v>0</v>
      </c>
      <c r="K66" s="108">
        <v>0</v>
      </c>
      <c r="L66" s="108">
        <v>0</v>
      </c>
    </row>
    <row r="67" spans="2:12">
      <c r="B67" s="5">
        <v>1233384</v>
      </c>
      <c r="C67" s="108">
        <v>0</v>
      </c>
      <c r="D67" s="108">
        <v>0</v>
      </c>
      <c r="E67" s="108">
        <v>450</v>
      </c>
      <c r="F67" s="108">
        <v>0</v>
      </c>
      <c r="G67" s="108">
        <v>0</v>
      </c>
      <c r="H67" s="108">
        <v>300</v>
      </c>
      <c r="I67" s="108">
        <v>200</v>
      </c>
      <c r="J67" s="108">
        <v>0</v>
      </c>
      <c r="K67" s="108">
        <v>0</v>
      </c>
      <c r="L67" s="108">
        <v>500</v>
      </c>
    </row>
    <row r="68" spans="2:12">
      <c r="B68" s="5">
        <v>1233385</v>
      </c>
      <c r="C68" s="108">
        <v>0</v>
      </c>
      <c r="D68" s="108">
        <v>0</v>
      </c>
      <c r="E68" s="108">
        <v>0</v>
      </c>
      <c r="F68" s="108">
        <v>0</v>
      </c>
      <c r="G68" s="108">
        <v>0</v>
      </c>
      <c r="H68" s="108">
        <v>0</v>
      </c>
      <c r="I68" s="108">
        <v>0</v>
      </c>
      <c r="J68" s="108">
        <v>0</v>
      </c>
      <c r="K68" s="108">
        <v>168</v>
      </c>
      <c r="L68" s="108">
        <v>240</v>
      </c>
    </row>
    <row r="69" spans="2:12">
      <c r="B69" s="5">
        <v>1233386</v>
      </c>
      <c r="C69" s="108">
        <v>512</v>
      </c>
      <c r="D69" s="108">
        <v>416</v>
      </c>
      <c r="E69" s="108">
        <v>0</v>
      </c>
      <c r="F69" s="108">
        <v>0</v>
      </c>
      <c r="G69" s="108">
        <v>0</v>
      </c>
      <c r="H69" s="108">
        <v>288</v>
      </c>
      <c r="I69" s="108">
        <v>0</v>
      </c>
      <c r="J69" s="108">
        <v>0</v>
      </c>
      <c r="K69" s="108">
        <v>0</v>
      </c>
      <c r="L69" s="108">
        <v>539</v>
      </c>
    </row>
    <row r="70" spans="2:12">
      <c r="B70" s="5">
        <v>1233387</v>
      </c>
      <c r="C70" s="108">
        <v>0</v>
      </c>
      <c r="D70" s="108">
        <v>0</v>
      </c>
      <c r="E70" s="108">
        <v>0</v>
      </c>
      <c r="F70" s="108">
        <v>0</v>
      </c>
      <c r="G70" s="108">
        <v>0</v>
      </c>
      <c r="H70" s="108">
        <v>0</v>
      </c>
      <c r="I70" s="108">
        <v>0</v>
      </c>
      <c r="J70" s="108">
        <v>0</v>
      </c>
      <c r="K70" s="108">
        <v>0</v>
      </c>
      <c r="L70" s="108">
        <v>100</v>
      </c>
    </row>
    <row r="71" spans="2:12">
      <c r="B71" s="5">
        <v>1234110</v>
      </c>
      <c r="C71" s="108">
        <v>0</v>
      </c>
      <c r="D71" s="108">
        <v>0</v>
      </c>
      <c r="E71" s="108">
        <v>0</v>
      </c>
      <c r="F71" s="108">
        <v>0</v>
      </c>
      <c r="G71" s="108">
        <v>0</v>
      </c>
      <c r="H71" s="108">
        <v>0</v>
      </c>
      <c r="I71" s="108">
        <v>0</v>
      </c>
      <c r="J71" s="108">
        <v>0</v>
      </c>
      <c r="K71" s="108">
        <v>0</v>
      </c>
      <c r="L71" s="108">
        <v>60</v>
      </c>
    </row>
    <row r="72" spans="2:12">
      <c r="B72" s="5">
        <v>1234111</v>
      </c>
      <c r="C72" s="108">
        <v>0</v>
      </c>
      <c r="D72" s="108">
        <v>0</v>
      </c>
      <c r="E72" s="108">
        <v>0</v>
      </c>
      <c r="F72" s="108">
        <v>0</v>
      </c>
      <c r="G72" s="108">
        <v>0</v>
      </c>
      <c r="H72" s="108">
        <v>0</v>
      </c>
      <c r="I72" s="108">
        <v>0</v>
      </c>
      <c r="J72" s="108">
        <v>0</v>
      </c>
      <c r="K72" s="108">
        <v>0</v>
      </c>
      <c r="L72" s="108">
        <v>60</v>
      </c>
    </row>
    <row r="73" spans="2:12">
      <c r="B73" s="5">
        <v>1234217</v>
      </c>
      <c r="C73" s="108">
        <v>0</v>
      </c>
      <c r="D73" s="108">
        <v>0</v>
      </c>
      <c r="E73" s="108">
        <v>0</v>
      </c>
      <c r="F73" s="108">
        <v>0</v>
      </c>
      <c r="G73" s="108">
        <v>0</v>
      </c>
      <c r="H73" s="108">
        <v>0</v>
      </c>
      <c r="I73" s="108">
        <v>0</v>
      </c>
      <c r="J73" s="108">
        <v>0</v>
      </c>
      <c r="K73" s="108">
        <v>0</v>
      </c>
      <c r="L73" s="108">
        <v>60</v>
      </c>
    </row>
    <row r="74" spans="2:12">
      <c r="B74" s="5">
        <v>1234222</v>
      </c>
      <c r="C74" s="108">
        <v>1430</v>
      </c>
      <c r="D74" s="108">
        <v>0</v>
      </c>
      <c r="E74" s="108">
        <v>713</v>
      </c>
      <c r="F74" s="108">
        <v>0</v>
      </c>
      <c r="G74" s="108">
        <v>0</v>
      </c>
      <c r="H74" s="108">
        <v>0</v>
      </c>
      <c r="I74" s="108">
        <v>0</v>
      </c>
      <c r="J74" s="108">
        <v>713</v>
      </c>
      <c r="K74" s="108">
        <v>0</v>
      </c>
      <c r="L74" s="108">
        <v>0</v>
      </c>
    </row>
    <row r="75" spans="2:12">
      <c r="B75" s="5">
        <v>1234614</v>
      </c>
      <c r="C75" s="108">
        <v>300</v>
      </c>
      <c r="D75" s="108">
        <v>200</v>
      </c>
      <c r="E75" s="108">
        <v>432</v>
      </c>
      <c r="F75" s="108">
        <v>0</v>
      </c>
      <c r="G75" s="108">
        <v>0</v>
      </c>
      <c r="H75" s="108">
        <v>400</v>
      </c>
      <c r="I75" s="108">
        <v>300</v>
      </c>
      <c r="J75" s="108">
        <v>0</v>
      </c>
      <c r="K75" s="108">
        <v>400</v>
      </c>
      <c r="L75" s="108">
        <v>300</v>
      </c>
    </row>
    <row r="76" spans="2:12">
      <c r="B76" s="5">
        <v>1235097</v>
      </c>
      <c r="C76" s="108">
        <v>400</v>
      </c>
      <c r="D76" s="108">
        <v>400</v>
      </c>
      <c r="E76" s="108">
        <v>0</v>
      </c>
      <c r="F76" s="108">
        <v>0</v>
      </c>
      <c r="G76" s="108">
        <v>0</v>
      </c>
      <c r="H76" s="108">
        <v>600</v>
      </c>
      <c r="I76" s="108">
        <v>500</v>
      </c>
      <c r="J76" s="108">
        <v>0</v>
      </c>
      <c r="K76" s="108">
        <v>0</v>
      </c>
      <c r="L76" s="108">
        <v>400</v>
      </c>
    </row>
    <row r="77" spans="2:12">
      <c r="B77" s="5">
        <v>1235845</v>
      </c>
      <c r="C77" s="108">
        <v>0</v>
      </c>
      <c r="D77" s="108">
        <v>0</v>
      </c>
      <c r="E77" s="108">
        <v>0</v>
      </c>
      <c r="F77" s="108">
        <v>0</v>
      </c>
      <c r="G77" s="108">
        <v>0</v>
      </c>
      <c r="H77" s="108">
        <v>0</v>
      </c>
      <c r="I77" s="108">
        <v>0</v>
      </c>
      <c r="J77" s="108">
        <v>790</v>
      </c>
      <c r="K77" s="108">
        <v>0</v>
      </c>
      <c r="L77" s="108">
        <v>0</v>
      </c>
    </row>
    <row r="78" spans="2:12">
      <c r="B78" s="5">
        <v>1236387</v>
      </c>
      <c r="C78" s="108">
        <v>0</v>
      </c>
      <c r="D78" s="108">
        <v>0</v>
      </c>
      <c r="E78" s="108">
        <v>200</v>
      </c>
      <c r="F78" s="108">
        <v>150</v>
      </c>
      <c r="G78" s="108">
        <v>0</v>
      </c>
      <c r="H78" s="108">
        <v>0</v>
      </c>
      <c r="I78" s="108">
        <v>0</v>
      </c>
      <c r="J78" s="108">
        <v>0</v>
      </c>
      <c r="K78" s="108">
        <v>200</v>
      </c>
      <c r="L78" s="108">
        <v>300</v>
      </c>
    </row>
    <row r="79" spans="2:12">
      <c r="B79" s="5">
        <v>1236600</v>
      </c>
      <c r="C79" s="108">
        <v>55</v>
      </c>
      <c r="D79" s="108">
        <v>829</v>
      </c>
      <c r="E79" s="108">
        <v>0</v>
      </c>
      <c r="F79" s="108">
        <v>0</v>
      </c>
      <c r="G79" s="108">
        <v>0</v>
      </c>
      <c r="H79" s="108">
        <v>748</v>
      </c>
      <c r="I79" s="108">
        <v>0</v>
      </c>
      <c r="J79" s="108">
        <v>0</v>
      </c>
      <c r="K79" s="108">
        <v>0</v>
      </c>
      <c r="L79" s="108">
        <v>0</v>
      </c>
    </row>
    <row r="80" spans="2:12">
      <c r="B80" s="5">
        <v>1236601</v>
      </c>
      <c r="C80" s="108">
        <v>0</v>
      </c>
      <c r="D80" s="108">
        <v>100</v>
      </c>
      <c r="E80" s="108">
        <v>0</v>
      </c>
      <c r="F80" s="108">
        <v>0</v>
      </c>
      <c r="G80" s="108">
        <v>0</v>
      </c>
      <c r="H80" s="108">
        <v>84</v>
      </c>
      <c r="I80" s="108">
        <v>0</v>
      </c>
      <c r="J80" s="108">
        <v>0</v>
      </c>
      <c r="K80" s="108">
        <v>0</v>
      </c>
      <c r="L80" s="108">
        <v>0</v>
      </c>
    </row>
    <row r="81" spans="2:12">
      <c r="B81" s="5">
        <v>1236619</v>
      </c>
      <c r="C81" s="108">
        <v>90</v>
      </c>
      <c r="D81" s="108">
        <v>0</v>
      </c>
      <c r="E81" s="108">
        <v>0</v>
      </c>
      <c r="F81" s="108">
        <v>0</v>
      </c>
      <c r="G81" s="108">
        <v>0</v>
      </c>
      <c r="H81" s="108">
        <v>270</v>
      </c>
      <c r="I81" s="108">
        <v>0</v>
      </c>
      <c r="J81" s="108">
        <v>0</v>
      </c>
      <c r="K81" s="108">
        <v>0</v>
      </c>
      <c r="L81" s="108">
        <v>360</v>
      </c>
    </row>
    <row r="82" spans="2:12">
      <c r="B82" s="5">
        <v>1236930</v>
      </c>
      <c r="C82" s="108">
        <v>690</v>
      </c>
      <c r="D82" s="108">
        <v>1500</v>
      </c>
      <c r="E82" s="108">
        <v>640</v>
      </c>
      <c r="F82" s="108">
        <v>0</v>
      </c>
      <c r="G82" s="108">
        <v>0</v>
      </c>
      <c r="H82" s="108">
        <v>2510</v>
      </c>
      <c r="I82" s="108">
        <v>2120</v>
      </c>
      <c r="J82" s="108">
        <v>2312</v>
      </c>
      <c r="K82" s="108">
        <v>900</v>
      </c>
      <c r="L82" s="108">
        <v>3087</v>
      </c>
    </row>
    <row r="83" spans="2:12">
      <c r="B83" s="5">
        <v>1237210</v>
      </c>
      <c r="C83" s="108">
        <v>196</v>
      </c>
      <c r="D83" s="108">
        <v>0</v>
      </c>
      <c r="E83" s="108">
        <v>0</v>
      </c>
      <c r="F83" s="108">
        <v>0</v>
      </c>
      <c r="G83" s="108">
        <v>0</v>
      </c>
      <c r="H83" s="108">
        <v>0</v>
      </c>
      <c r="I83" s="108">
        <v>0</v>
      </c>
      <c r="J83" s="108">
        <v>375</v>
      </c>
      <c r="K83" s="108">
        <v>0</v>
      </c>
      <c r="L83" s="108">
        <v>0</v>
      </c>
    </row>
    <row r="84" spans="2:12">
      <c r="B84" s="5">
        <v>1237386</v>
      </c>
      <c r="C84" s="108">
        <v>360</v>
      </c>
      <c r="D84" s="108">
        <v>0</v>
      </c>
      <c r="E84" s="108">
        <v>0</v>
      </c>
      <c r="F84" s="108">
        <v>0</v>
      </c>
      <c r="G84" s="108">
        <v>0</v>
      </c>
      <c r="H84" s="108">
        <v>300</v>
      </c>
      <c r="I84" s="108">
        <v>0</v>
      </c>
      <c r="J84" s="108">
        <v>0</v>
      </c>
      <c r="K84" s="108">
        <v>0</v>
      </c>
      <c r="L84" s="108">
        <v>360</v>
      </c>
    </row>
    <row r="85" spans="2:12">
      <c r="B85" s="5">
        <v>1237457</v>
      </c>
      <c r="C85" s="108">
        <v>36</v>
      </c>
      <c r="D85" s="108">
        <v>0</v>
      </c>
      <c r="E85" s="108">
        <v>0</v>
      </c>
      <c r="F85" s="108">
        <v>0</v>
      </c>
      <c r="G85" s="108">
        <v>0</v>
      </c>
      <c r="H85" s="108">
        <v>18</v>
      </c>
      <c r="I85" s="108">
        <v>0</v>
      </c>
      <c r="J85" s="108">
        <v>0</v>
      </c>
      <c r="K85" s="108">
        <v>0</v>
      </c>
      <c r="L85" s="108">
        <v>72</v>
      </c>
    </row>
    <row r="86" spans="2:12">
      <c r="B86" s="5">
        <v>1237468</v>
      </c>
      <c r="C86" s="108">
        <v>717</v>
      </c>
      <c r="D86" s="108">
        <v>0</v>
      </c>
      <c r="E86" s="108">
        <v>216</v>
      </c>
      <c r="F86" s="108">
        <v>0</v>
      </c>
      <c r="G86" s="108">
        <v>0</v>
      </c>
      <c r="H86" s="108">
        <v>70</v>
      </c>
      <c r="I86" s="108">
        <v>0</v>
      </c>
      <c r="J86" s="108">
        <v>0</v>
      </c>
      <c r="K86" s="108">
        <v>0</v>
      </c>
      <c r="L86" s="108">
        <v>0</v>
      </c>
    </row>
    <row r="87" spans="2:12">
      <c r="B87" s="5">
        <v>1238092</v>
      </c>
      <c r="C87" s="108">
        <v>144</v>
      </c>
      <c r="D87" s="108">
        <v>0</v>
      </c>
      <c r="E87" s="108">
        <v>0</v>
      </c>
      <c r="F87" s="108">
        <v>0</v>
      </c>
      <c r="G87" s="108">
        <v>0</v>
      </c>
      <c r="H87" s="108">
        <v>0</v>
      </c>
      <c r="I87" s="108">
        <v>0</v>
      </c>
      <c r="J87" s="108">
        <v>0</v>
      </c>
      <c r="K87" s="108">
        <v>0</v>
      </c>
      <c r="L87" s="108">
        <v>0</v>
      </c>
    </row>
    <row r="88" spans="2:12">
      <c r="B88" s="5">
        <v>1238453</v>
      </c>
      <c r="C88" s="108">
        <v>550</v>
      </c>
      <c r="D88" s="108">
        <v>122</v>
      </c>
      <c r="E88" s="108">
        <v>0</v>
      </c>
      <c r="F88" s="108">
        <v>0</v>
      </c>
      <c r="G88" s="108">
        <v>0</v>
      </c>
      <c r="H88" s="108">
        <v>113</v>
      </c>
      <c r="I88" s="108">
        <v>0</v>
      </c>
      <c r="J88" s="108">
        <v>0</v>
      </c>
      <c r="K88" s="108">
        <v>0</v>
      </c>
      <c r="L88" s="108">
        <v>0</v>
      </c>
    </row>
    <row r="89" spans="2:12">
      <c r="B89" s="5">
        <v>1238480</v>
      </c>
      <c r="C89" s="108">
        <v>5476</v>
      </c>
      <c r="D89" s="108">
        <v>4112</v>
      </c>
      <c r="E89" s="108">
        <v>400</v>
      </c>
      <c r="F89" s="108">
        <v>820</v>
      </c>
      <c r="G89" s="108">
        <v>0</v>
      </c>
      <c r="H89" s="108">
        <v>8349</v>
      </c>
      <c r="I89" s="108">
        <v>5515</v>
      </c>
      <c r="J89" s="108">
        <v>3190</v>
      </c>
      <c r="K89" s="108">
        <v>1100</v>
      </c>
      <c r="L89" s="108">
        <v>7403</v>
      </c>
    </row>
    <row r="90" spans="2:12">
      <c r="B90" s="5">
        <v>1238605</v>
      </c>
      <c r="C90" s="108">
        <v>0</v>
      </c>
      <c r="D90" s="108">
        <v>150</v>
      </c>
      <c r="E90" s="108">
        <v>0</v>
      </c>
      <c r="F90" s="108">
        <v>530</v>
      </c>
      <c r="G90" s="108">
        <v>0</v>
      </c>
      <c r="H90" s="108">
        <v>0</v>
      </c>
      <c r="I90" s="108">
        <v>0</v>
      </c>
      <c r="J90" s="108">
        <v>0</v>
      </c>
      <c r="K90" s="108">
        <v>0</v>
      </c>
      <c r="L90" s="108">
        <v>0</v>
      </c>
    </row>
    <row r="91" spans="2:12">
      <c r="B91" s="5">
        <v>1240180</v>
      </c>
      <c r="C91" s="108">
        <v>550</v>
      </c>
      <c r="D91" s="108">
        <v>550</v>
      </c>
      <c r="E91" s="108">
        <v>200</v>
      </c>
      <c r="F91" s="108">
        <v>0</v>
      </c>
      <c r="G91" s="108">
        <v>0</v>
      </c>
      <c r="H91" s="108">
        <v>1282</v>
      </c>
      <c r="I91" s="108">
        <v>550</v>
      </c>
      <c r="J91" s="108">
        <v>0</v>
      </c>
      <c r="K91" s="108">
        <v>200</v>
      </c>
      <c r="L91" s="108">
        <v>400</v>
      </c>
    </row>
    <row r="92" spans="2:12">
      <c r="B92" s="5">
        <v>1240184</v>
      </c>
      <c r="C92" s="108">
        <v>550</v>
      </c>
      <c r="D92" s="108">
        <v>550</v>
      </c>
      <c r="E92" s="108">
        <v>200</v>
      </c>
      <c r="F92" s="108">
        <v>0</v>
      </c>
      <c r="G92" s="108">
        <v>0</v>
      </c>
      <c r="H92" s="108">
        <v>1282</v>
      </c>
      <c r="I92" s="108">
        <v>550</v>
      </c>
      <c r="J92" s="108">
        <v>0</v>
      </c>
      <c r="K92" s="108">
        <v>200</v>
      </c>
      <c r="L92" s="108">
        <v>400</v>
      </c>
    </row>
    <row r="93" spans="2:12">
      <c r="B93" s="5">
        <v>1241343</v>
      </c>
      <c r="C93" s="108">
        <v>36</v>
      </c>
      <c r="D93" s="108">
        <v>0</v>
      </c>
      <c r="E93" s="108">
        <v>0</v>
      </c>
      <c r="F93" s="108">
        <v>0</v>
      </c>
      <c r="G93" s="108">
        <v>0</v>
      </c>
      <c r="H93" s="108">
        <v>72</v>
      </c>
      <c r="I93" s="108">
        <v>0</v>
      </c>
      <c r="J93" s="108">
        <v>0</v>
      </c>
      <c r="K93" s="108">
        <v>0</v>
      </c>
      <c r="L93" s="108">
        <v>0</v>
      </c>
    </row>
    <row r="94" spans="2:12">
      <c r="B94" s="5">
        <v>1241347</v>
      </c>
      <c r="C94" s="108">
        <v>36</v>
      </c>
      <c r="D94" s="108">
        <v>0</v>
      </c>
      <c r="E94" s="108">
        <v>0</v>
      </c>
      <c r="F94" s="108">
        <v>0</v>
      </c>
      <c r="G94" s="108">
        <v>0</v>
      </c>
      <c r="H94" s="108">
        <v>72</v>
      </c>
      <c r="I94" s="108">
        <v>0</v>
      </c>
      <c r="J94" s="108">
        <v>0</v>
      </c>
      <c r="K94" s="108">
        <v>0</v>
      </c>
      <c r="L94" s="108">
        <v>0</v>
      </c>
    </row>
    <row r="95" spans="2:12">
      <c r="B95" s="5">
        <v>1241387</v>
      </c>
      <c r="C95" s="108">
        <v>0</v>
      </c>
      <c r="D95" s="108">
        <v>0</v>
      </c>
      <c r="E95" s="108">
        <v>0</v>
      </c>
      <c r="F95" s="108">
        <v>0</v>
      </c>
      <c r="G95" s="108">
        <v>32</v>
      </c>
      <c r="H95" s="108">
        <v>192</v>
      </c>
      <c r="I95" s="108">
        <v>0</v>
      </c>
      <c r="J95" s="108">
        <v>0</v>
      </c>
      <c r="K95" s="108">
        <v>0</v>
      </c>
      <c r="L95" s="108">
        <v>0</v>
      </c>
    </row>
    <row r="96" spans="2:12">
      <c r="B96" s="5">
        <v>1241474</v>
      </c>
      <c r="C96" s="108">
        <v>0</v>
      </c>
      <c r="D96" s="108">
        <v>0</v>
      </c>
      <c r="E96" s="108">
        <v>0</v>
      </c>
      <c r="F96" s="108">
        <v>0</v>
      </c>
      <c r="G96" s="108">
        <v>0</v>
      </c>
      <c r="H96" s="108">
        <v>223</v>
      </c>
      <c r="I96" s="108">
        <v>72</v>
      </c>
      <c r="J96" s="108">
        <v>0</v>
      </c>
      <c r="K96" s="108">
        <v>0</v>
      </c>
      <c r="L96" s="108">
        <v>0</v>
      </c>
    </row>
    <row r="97" spans="2:12">
      <c r="B97" s="5">
        <v>1241480</v>
      </c>
      <c r="C97" s="108">
        <v>0</v>
      </c>
      <c r="D97" s="108">
        <v>0</v>
      </c>
      <c r="E97" s="108">
        <v>0</v>
      </c>
      <c r="F97" s="108">
        <v>0</v>
      </c>
      <c r="G97" s="108">
        <v>0</v>
      </c>
      <c r="H97" s="108">
        <v>93</v>
      </c>
      <c r="I97" s="108">
        <v>252</v>
      </c>
      <c r="J97" s="108">
        <v>0</v>
      </c>
      <c r="K97" s="108">
        <v>0</v>
      </c>
      <c r="L97" s="108">
        <v>0</v>
      </c>
    </row>
  </sheetData>
  <phoneticPr fontId="11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F255-0A31-4A60-A08C-401701529110}">
  <dimension ref="A1:R58"/>
  <sheetViews>
    <sheetView zoomScale="160" zoomScaleNormal="160" workbookViewId="0">
      <selection activeCell="N16" sqref="N16"/>
    </sheetView>
  </sheetViews>
  <sheetFormatPr defaultRowHeight="12"/>
  <cols>
    <col min="1" max="1" width="10.1640625" style="5" bestFit="1" customWidth="1"/>
    <col min="2" max="2" width="9.5" style="9" bestFit="1" customWidth="1"/>
    <col min="3" max="17" width="9.5" style="9" customWidth="1"/>
    <col min="18" max="18" width="9.5" style="9" bestFit="1" customWidth="1"/>
    <col min="19" max="16384" width="9.33203125" style="5"/>
  </cols>
  <sheetData>
    <row r="1" spans="1:18">
      <c r="A1" s="5" t="s">
        <v>0</v>
      </c>
      <c r="B1" s="9" t="s">
        <v>1294</v>
      </c>
      <c r="C1" s="9" t="s">
        <v>1295</v>
      </c>
      <c r="D1" s="9" t="s">
        <v>1296</v>
      </c>
      <c r="E1" s="9" t="s">
        <v>1298</v>
      </c>
      <c r="F1" s="9" t="s">
        <v>1299</v>
      </c>
      <c r="G1" s="9" t="s">
        <v>1300</v>
      </c>
      <c r="H1" s="9" t="s">
        <v>1301</v>
      </c>
      <c r="I1" s="9" t="s">
        <v>1302</v>
      </c>
      <c r="J1" s="9" t="s">
        <v>1303</v>
      </c>
      <c r="K1" s="9" t="s">
        <v>1304</v>
      </c>
      <c r="L1" s="9" t="s">
        <v>1307</v>
      </c>
      <c r="M1" s="9" t="s">
        <v>1308</v>
      </c>
      <c r="N1" s="9" t="s">
        <v>1309</v>
      </c>
      <c r="O1" s="9" t="s">
        <v>1310</v>
      </c>
      <c r="P1" s="9" t="s">
        <v>1311</v>
      </c>
      <c r="Q1" s="9" t="s">
        <v>1312</v>
      </c>
      <c r="R1" s="9" t="s">
        <v>1313</v>
      </c>
    </row>
    <row r="2" spans="1:18">
      <c r="A2" s="5">
        <v>1229673</v>
      </c>
      <c r="B2" s="9">
        <v>0</v>
      </c>
      <c r="C2" s="9">
        <v>0</v>
      </c>
      <c r="D2" s="9">
        <v>0</v>
      </c>
      <c r="E2" s="9">
        <v>200</v>
      </c>
      <c r="F2" s="9">
        <v>282</v>
      </c>
      <c r="G2" s="9">
        <v>200</v>
      </c>
      <c r="H2" s="9">
        <v>200</v>
      </c>
      <c r="I2" s="9">
        <v>200</v>
      </c>
      <c r="J2" s="9">
        <v>0</v>
      </c>
      <c r="K2" s="9">
        <v>0</v>
      </c>
      <c r="L2" s="9">
        <v>300</v>
      </c>
      <c r="M2" s="9">
        <v>300</v>
      </c>
      <c r="N2" s="9">
        <v>200</v>
      </c>
      <c r="O2" s="9">
        <v>200</v>
      </c>
      <c r="P2" s="9">
        <v>200</v>
      </c>
      <c r="Q2" s="9">
        <v>0</v>
      </c>
      <c r="R2" s="9">
        <v>0</v>
      </c>
    </row>
    <row r="3" spans="1:18">
      <c r="A3" s="5">
        <v>1233492</v>
      </c>
      <c r="B3" s="9">
        <v>700</v>
      </c>
      <c r="C3" s="9">
        <v>0</v>
      </c>
      <c r="D3" s="9">
        <v>0</v>
      </c>
      <c r="E3" s="9">
        <v>700</v>
      </c>
      <c r="F3" s="9">
        <v>600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</row>
    <row r="4" spans="1:18">
      <c r="A4" s="5">
        <v>1233498</v>
      </c>
      <c r="B4" s="9">
        <v>700</v>
      </c>
      <c r="C4" s="9">
        <v>0</v>
      </c>
      <c r="D4" s="9">
        <v>0</v>
      </c>
      <c r="E4" s="9">
        <v>700</v>
      </c>
      <c r="F4" s="9">
        <v>600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</row>
    <row r="5" spans="1:18">
      <c r="A5" s="5">
        <v>1233623</v>
      </c>
      <c r="B5" s="9">
        <v>700</v>
      </c>
      <c r="C5" s="9">
        <v>0</v>
      </c>
      <c r="D5" s="9">
        <v>0</v>
      </c>
      <c r="E5" s="9">
        <v>700</v>
      </c>
      <c r="F5" s="9">
        <v>600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</row>
    <row r="6" spans="1:18">
      <c r="A6" s="5">
        <v>1235623</v>
      </c>
      <c r="B6" s="9">
        <v>0</v>
      </c>
      <c r="C6" s="9">
        <v>0</v>
      </c>
      <c r="D6" s="9">
        <v>0</v>
      </c>
      <c r="E6" s="9">
        <v>0</v>
      </c>
      <c r="F6" s="9">
        <v>106</v>
      </c>
      <c r="G6" s="9">
        <v>712</v>
      </c>
      <c r="H6" s="9">
        <v>482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>
      <c r="A7" s="5">
        <v>1236976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2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</row>
    <row r="8" spans="1:18">
      <c r="A8" s="5">
        <v>1237088</v>
      </c>
      <c r="B8" s="9">
        <v>612</v>
      </c>
      <c r="C8" s="9">
        <v>0</v>
      </c>
      <c r="D8" s="9">
        <v>0</v>
      </c>
      <c r="E8" s="9">
        <v>862</v>
      </c>
      <c r="F8" s="9">
        <v>682</v>
      </c>
      <c r="G8" s="9">
        <v>718</v>
      </c>
      <c r="H8" s="9">
        <v>974</v>
      </c>
      <c r="I8" s="9">
        <v>444</v>
      </c>
      <c r="J8" s="9">
        <v>0</v>
      </c>
      <c r="K8" s="9">
        <v>0</v>
      </c>
      <c r="L8" s="9">
        <v>862</v>
      </c>
      <c r="M8" s="9">
        <v>654</v>
      </c>
      <c r="N8" s="9">
        <v>830</v>
      </c>
      <c r="O8" s="9">
        <v>772</v>
      </c>
      <c r="P8" s="9">
        <v>754</v>
      </c>
      <c r="Q8" s="9">
        <v>0</v>
      </c>
      <c r="R8" s="9">
        <v>0</v>
      </c>
    </row>
    <row r="9" spans="1:18">
      <c r="A9" s="5">
        <v>1237748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404</v>
      </c>
      <c r="I9" s="9">
        <v>840</v>
      </c>
      <c r="J9" s="9">
        <v>0</v>
      </c>
      <c r="K9" s="9">
        <v>0</v>
      </c>
      <c r="L9" s="9">
        <v>56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</row>
    <row r="10" spans="1:18">
      <c r="A10" s="5">
        <v>1231898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300</v>
      </c>
      <c r="J10" s="9">
        <v>0</v>
      </c>
      <c r="K10" s="9">
        <v>0</v>
      </c>
      <c r="L10" s="9">
        <v>0</v>
      </c>
      <c r="M10" s="9">
        <v>292</v>
      </c>
      <c r="N10" s="9">
        <v>0</v>
      </c>
      <c r="O10" s="9">
        <v>300</v>
      </c>
      <c r="P10" s="9">
        <v>0</v>
      </c>
      <c r="Q10" s="9">
        <v>0</v>
      </c>
      <c r="R10" s="9">
        <v>0</v>
      </c>
    </row>
    <row r="11" spans="1:18">
      <c r="A11" s="5">
        <v>1237586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300</v>
      </c>
      <c r="J11" s="9">
        <v>0</v>
      </c>
      <c r="K11" s="9">
        <v>0</v>
      </c>
      <c r="L11" s="9">
        <v>0</v>
      </c>
      <c r="M11" s="9">
        <v>292</v>
      </c>
      <c r="N11" s="9">
        <v>0</v>
      </c>
      <c r="O11" s="9">
        <v>300</v>
      </c>
      <c r="P11" s="9">
        <v>0</v>
      </c>
      <c r="Q11" s="9">
        <v>0</v>
      </c>
      <c r="R11" s="9">
        <v>0</v>
      </c>
    </row>
    <row r="12" spans="1:18">
      <c r="A12" s="5">
        <v>1234905</v>
      </c>
      <c r="B12" s="9">
        <v>0</v>
      </c>
      <c r="C12" s="9">
        <v>0</v>
      </c>
      <c r="D12" s="9">
        <v>0</v>
      </c>
      <c r="E12" s="9">
        <v>366</v>
      </c>
      <c r="F12" s="9">
        <v>436</v>
      </c>
      <c r="G12" s="9">
        <v>296</v>
      </c>
      <c r="H12" s="9">
        <v>382</v>
      </c>
      <c r="I12" s="9">
        <v>436</v>
      </c>
      <c r="J12" s="9">
        <v>0</v>
      </c>
      <c r="K12" s="9">
        <v>0</v>
      </c>
      <c r="L12" s="9">
        <v>50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>
      <c r="A13" s="5">
        <v>1238480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82</v>
      </c>
      <c r="O13" s="9">
        <v>382</v>
      </c>
      <c r="P13" s="9">
        <v>382</v>
      </c>
      <c r="Q13" s="9">
        <v>0</v>
      </c>
      <c r="R13" s="9">
        <v>0</v>
      </c>
    </row>
    <row r="14" spans="1:18">
      <c r="A14" s="5">
        <v>1238128</v>
      </c>
      <c r="B14" s="9">
        <v>1180</v>
      </c>
      <c r="C14" s="9">
        <v>0</v>
      </c>
      <c r="D14" s="9">
        <v>0</v>
      </c>
      <c r="E14" s="9">
        <v>1180</v>
      </c>
      <c r="F14" s="9">
        <v>1180</v>
      </c>
      <c r="G14" s="9">
        <v>872</v>
      </c>
      <c r="H14" s="9">
        <v>1180</v>
      </c>
      <c r="I14" s="9">
        <v>1070</v>
      </c>
      <c r="J14" s="9">
        <v>0</v>
      </c>
      <c r="K14" s="9">
        <v>0</v>
      </c>
      <c r="L14" s="9">
        <v>1168</v>
      </c>
      <c r="M14" s="9">
        <v>1180</v>
      </c>
      <c r="N14" s="9">
        <v>756</v>
      </c>
      <c r="O14" s="9">
        <v>1098</v>
      </c>
      <c r="P14" s="9">
        <v>1180</v>
      </c>
      <c r="Q14" s="9">
        <v>0</v>
      </c>
      <c r="R14" s="9">
        <v>0</v>
      </c>
    </row>
    <row r="15" spans="1:18">
      <c r="A15" s="5">
        <v>1236962</v>
      </c>
      <c r="B15" s="9">
        <v>200</v>
      </c>
      <c r="C15" s="9">
        <v>0</v>
      </c>
      <c r="D15" s="9">
        <v>0</v>
      </c>
      <c r="E15" s="9">
        <v>200</v>
      </c>
      <c r="F15" s="9">
        <v>200</v>
      </c>
      <c r="G15" s="9">
        <v>300</v>
      </c>
      <c r="H15" s="9">
        <v>200</v>
      </c>
      <c r="I15" s="9">
        <v>320</v>
      </c>
      <c r="J15" s="9">
        <v>0</v>
      </c>
      <c r="K15" s="9">
        <v>0</v>
      </c>
      <c r="L15" s="9">
        <v>300</v>
      </c>
      <c r="M15" s="9">
        <v>300</v>
      </c>
      <c r="N15" s="9">
        <v>300</v>
      </c>
      <c r="O15" s="9">
        <v>300</v>
      </c>
      <c r="P15" s="9">
        <v>200</v>
      </c>
      <c r="Q15" s="9">
        <v>0</v>
      </c>
      <c r="R15" s="9">
        <v>0</v>
      </c>
    </row>
    <row r="16" spans="1:18">
      <c r="A16" s="5">
        <v>1236930</v>
      </c>
      <c r="B16" s="9">
        <v>358</v>
      </c>
      <c r="C16" s="9">
        <v>0</v>
      </c>
      <c r="D16" s="9">
        <v>0</v>
      </c>
      <c r="E16" s="9">
        <v>50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324</v>
      </c>
      <c r="M16" s="9">
        <v>382</v>
      </c>
      <c r="N16" s="9">
        <v>300</v>
      </c>
      <c r="O16" s="9">
        <v>382</v>
      </c>
      <c r="P16" s="9">
        <v>50</v>
      </c>
      <c r="Q16" s="9">
        <v>0</v>
      </c>
      <c r="R16" s="9">
        <v>0</v>
      </c>
    </row>
    <row r="17" spans="1:18">
      <c r="A17" s="5">
        <v>1239651</v>
      </c>
      <c r="B17" s="9">
        <v>384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217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200</v>
      </c>
      <c r="P17" s="9">
        <v>200</v>
      </c>
      <c r="Q17" s="9">
        <v>0</v>
      </c>
      <c r="R17" s="9">
        <v>0</v>
      </c>
    </row>
    <row r="18" spans="1:18">
      <c r="A18" s="5">
        <v>1240180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354</v>
      </c>
      <c r="M18" s="9">
        <v>410</v>
      </c>
      <c r="N18" s="9">
        <v>322</v>
      </c>
      <c r="O18" s="9">
        <v>50</v>
      </c>
      <c r="P18" s="9">
        <v>364</v>
      </c>
      <c r="Q18" s="9">
        <v>0</v>
      </c>
      <c r="R18" s="9">
        <v>0</v>
      </c>
    </row>
    <row r="19" spans="1:18">
      <c r="A19" s="5">
        <v>1240184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354</v>
      </c>
      <c r="M19" s="9">
        <v>410</v>
      </c>
      <c r="N19" s="9">
        <v>322</v>
      </c>
      <c r="O19" s="9">
        <v>50</v>
      </c>
      <c r="P19" s="9">
        <v>364</v>
      </c>
      <c r="Q19" s="9">
        <v>0</v>
      </c>
      <c r="R19" s="9">
        <v>0</v>
      </c>
    </row>
    <row r="20" spans="1:18">
      <c r="A20" s="5">
        <v>1239988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50</v>
      </c>
      <c r="H20" s="9">
        <v>50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>
      <c r="A21" s="5">
        <v>1240308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192</v>
      </c>
      <c r="I21" s="9">
        <v>0</v>
      </c>
      <c r="J21" s="9">
        <v>0</v>
      </c>
      <c r="K21" s="9">
        <v>0</v>
      </c>
      <c r="L21" s="9">
        <v>200</v>
      </c>
      <c r="M21" s="9">
        <v>200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</row>
    <row r="24" spans="1:18">
      <c r="A24" s="5" t="s">
        <v>0</v>
      </c>
      <c r="B24" s="9" t="s">
        <v>1294</v>
      </c>
      <c r="C24" s="9" t="s">
        <v>1295</v>
      </c>
      <c r="D24" s="9" t="s">
        <v>1296</v>
      </c>
      <c r="E24" s="9" t="s">
        <v>1298</v>
      </c>
      <c r="F24" s="9" t="s">
        <v>1299</v>
      </c>
      <c r="G24" s="9" t="s">
        <v>1300</v>
      </c>
      <c r="H24" s="9" t="s">
        <v>1301</v>
      </c>
      <c r="I24" s="9" t="s">
        <v>1302</v>
      </c>
      <c r="J24" s="9" t="s">
        <v>1303</v>
      </c>
      <c r="K24" s="9" t="s">
        <v>1304</v>
      </c>
      <c r="L24" s="9" t="s">
        <v>1307</v>
      </c>
      <c r="M24" s="9" t="s">
        <v>1308</v>
      </c>
      <c r="N24" s="9" t="s">
        <v>1309</v>
      </c>
      <c r="O24" s="9" t="s">
        <v>1310</v>
      </c>
      <c r="P24" s="9" t="s">
        <v>1311</v>
      </c>
      <c r="Q24" s="9" t="s">
        <v>1312</v>
      </c>
      <c r="R24" s="9" t="s">
        <v>1313</v>
      </c>
    </row>
    <row r="25" spans="1:18">
      <c r="A25" s="5">
        <v>1233165</v>
      </c>
      <c r="B25" s="9">
        <v>0</v>
      </c>
      <c r="C25" s="9">
        <v>0</v>
      </c>
      <c r="D25" s="9">
        <v>0</v>
      </c>
      <c r="E25" s="9">
        <v>0</v>
      </c>
      <c r="F25" s="9">
        <v>88</v>
      </c>
      <c r="G25" s="9">
        <v>162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</row>
    <row r="26" spans="1:18">
      <c r="A26" s="5">
        <v>1236387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110</v>
      </c>
      <c r="H26" s="9">
        <v>377</v>
      </c>
      <c r="I26" s="9">
        <v>377</v>
      </c>
      <c r="J26" s="9">
        <v>0</v>
      </c>
      <c r="K26" s="9">
        <v>0</v>
      </c>
      <c r="L26" s="9">
        <v>26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7" spans="1:18">
      <c r="A27" s="5">
        <v>1232775</v>
      </c>
      <c r="B27" s="9">
        <v>200</v>
      </c>
      <c r="C27" s="9">
        <v>0</v>
      </c>
      <c r="D27" s="9">
        <v>0</v>
      </c>
      <c r="E27" s="9">
        <v>487</v>
      </c>
      <c r="F27" s="9">
        <v>300</v>
      </c>
      <c r="G27" s="9">
        <v>71</v>
      </c>
      <c r="H27" s="9">
        <v>245</v>
      </c>
      <c r="I27" s="9">
        <v>245</v>
      </c>
      <c r="J27" s="9">
        <v>0</v>
      </c>
      <c r="K27" s="9">
        <v>0</v>
      </c>
      <c r="L27" s="9">
        <v>242</v>
      </c>
      <c r="M27" s="9">
        <v>178</v>
      </c>
      <c r="N27" s="9">
        <v>0</v>
      </c>
      <c r="O27" s="9">
        <v>490</v>
      </c>
      <c r="P27" s="9">
        <v>484</v>
      </c>
      <c r="Q27" s="9">
        <v>0</v>
      </c>
      <c r="R27" s="9">
        <v>0</v>
      </c>
    </row>
    <row r="28" spans="1:18">
      <c r="A28" s="5">
        <v>1230685</v>
      </c>
      <c r="B28" s="9">
        <v>12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292</v>
      </c>
      <c r="M28" s="9">
        <v>330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32" spans="1:18">
      <c r="A32" s="5" t="s">
        <v>0</v>
      </c>
      <c r="B32" s="9" t="s">
        <v>1294</v>
      </c>
      <c r="C32" s="9" t="s">
        <v>1295</v>
      </c>
      <c r="D32" s="9" t="s">
        <v>1296</v>
      </c>
      <c r="E32" s="9" t="s">
        <v>1298</v>
      </c>
      <c r="F32" s="9" t="s">
        <v>1299</v>
      </c>
      <c r="G32" s="9" t="s">
        <v>1300</v>
      </c>
      <c r="H32" s="9" t="s">
        <v>1301</v>
      </c>
      <c r="I32" s="9" t="s">
        <v>1302</v>
      </c>
      <c r="J32" s="9" t="s">
        <v>1303</v>
      </c>
      <c r="K32" s="9" t="s">
        <v>1304</v>
      </c>
      <c r="L32" s="9" t="s">
        <v>1307</v>
      </c>
      <c r="M32" s="9" t="s">
        <v>1308</v>
      </c>
      <c r="N32" s="9" t="s">
        <v>1309</v>
      </c>
      <c r="O32" s="9" t="s">
        <v>1310</v>
      </c>
      <c r="P32" s="9" t="s">
        <v>1311</v>
      </c>
      <c r="Q32" s="9" t="s">
        <v>1312</v>
      </c>
      <c r="R32" s="9" t="s">
        <v>1313</v>
      </c>
    </row>
    <row r="33" spans="1:18">
      <c r="A33" s="5">
        <v>1234614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300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</row>
    <row r="34" spans="1:18">
      <c r="A34" s="5">
        <v>1221967</v>
      </c>
      <c r="B34" s="9">
        <v>328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>
      <c r="A35" s="5">
        <v>1227306</v>
      </c>
      <c r="B35" s="9">
        <v>476</v>
      </c>
      <c r="C35" s="9">
        <v>0</v>
      </c>
      <c r="D35" s="9">
        <v>0</v>
      </c>
      <c r="E35" s="9">
        <v>281</v>
      </c>
      <c r="F35" s="9">
        <v>239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</row>
    <row r="36" spans="1:18">
      <c r="A36" s="5">
        <v>1227359</v>
      </c>
      <c r="B36" s="9">
        <v>0</v>
      </c>
      <c r="C36" s="9">
        <v>0</v>
      </c>
      <c r="D36" s="9">
        <v>0</v>
      </c>
      <c r="E36" s="9">
        <v>0</v>
      </c>
      <c r="F36" s="9">
        <v>235</v>
      </c>
      <c r="G36" s="9">
        <v>225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>
      <c r="A37" s="5">
        <v>1231090</v>
      </c>
      <c r="B37" s="9">
        <v>0</v>
      </c>
      <c r="C37" s="9">
        <v>0</v>
      </c>
      <c r="D37" s="9">
        <v>0</v>
      </c>
      <c r="E37" s="9">
        <v>0</v>
      </c>
      <c r="F37" s="9">
        <v>183</v>
      </c>
      <c r="G37" s="9">
        <v>389</v>
      </c>
      <c r="H37" s="9">
        <v>494</v>
      </c>
      <c r="I37" s="9">
        <v>494</v>
      </c>
      <c r="J37" s="9">
        <v>0</v>
      </c>
      <c r="K37" s="9">
        <v>0</v>
      </c>
      <c r="L37" s="9">
        <v>0</v>
      </c>
      <c r="M37" s="9">
        <v>200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</row>
    <row r="38" spans="1:18">
      <c r="A38" s="5">
        <v>1229776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200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>
      <c r="A39" s="5">
        <v>1225464</v>
      </c>
      <c r="B39" s="9">
        <v>210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756</v>
      </c>
      <c r="P39" s="9">
        <v>0</v>
      </c>
      <c r="Q39" s="9">
        <v>0</v>
      </c>
      <c r="R39" s="9">
        <v>0</v>
      </c>
    </row>
    <row r="40" spans="1:18">
      <c r="A40" s="5">
        <v>1231860</v>
      </c>
      <c r="B40" s="9">
        <v>0</v>
      </c>
      <c r="C40" s="9">
        <v>0</v>
      </c>
      <c r="D40" s="9">
        <v>0</v>
      </c>
      <c r="E40" s="9">
        <v>100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>
      <c r="A41" s="5">
        <v>1232693</v>
      </c>
      <c r="B41" s="9">
        <v>0</v>
      </c>
      <c r="C41" s="9">
        <v>0</v>
      </c>
      <c r="D41" s="9">
        <v>0</v>
      </c>
      <c r="E41" s="9">
        <v>0</v>
      </c>
      <c r="F41" s="9">
        <v>910</v>
      </c>
      <c r="G41" s="9">
        <v>777</v>
      </c>
      <c r="H41" s="9">
        <v>988</v>
      </c>
      <c r="I41" s="9">
        <v>675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</row>
    <row r="42" spans="1:18">
      <c r="A42" s="5">
        <v>1233025</v>
      </c>
      <c r="B42" s="9">
        <v>0</v>
      </c>
      <c r="C42" s="9">
        <v>0</v>
      </c>
      <c r="D42" s="9">
        <v>0</v>
      </c>
      <c r="E42" s="9">
        <v>0</v>
      </c>
      <c r="F42" s="9">
        <v>910</v>
      </c>
      <c r="G42" s="9">
        <v>777</v>
      </c>
      <c r="H42" s="9">
        <v>988</v>
      </c>
      <c r="I42" s="9">
        <v>675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>
      <c r="A43" s="5">
        <v>1232528</v>
      </c>
      <c r="B43" s="9">
        <v>1308</v>
      </c>
      <c r="C43" s="9">
        <v>0</v>
      </c>
      <c r="D43" s="9">
        <v>0</v>
      </c>
      <c r="E43" s="9">
        <v>1296</v>
      </c>
      <c r="F43" s="9">
        <v>1062</v>
      </c>
      <c r="G43" s="9">
        <v>453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424</v>
      </c>
      <c r="P43" s="9">
        <v>686</v>
      </c>
      <c r="Q43" s="9">
        <v>0</v>
      </c>
      <c r="R43" s="9">
        <v>0</v>
      </c>
    </row>
    <row r="44" spans="1:18">
      <c r="A44" s="5">
        <v>1232553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108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>
      <c r="A45" s="5">
        <v>1220847</v>
      </c>
      <c r="B45" s="9">
        <v>0</v>
      </c>
      <c r="C45" s="9">
        <v>0</v>
      </c>
      <c r="D45" s="9">
        <v>0</v>
      </c>
      <c r="E45" s="9">
        <v>273</v>
      </c>
      <c r="F45" s="9">
        <v>249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</row>
    <row r="46" spans="1:18">
      <c r="A46" s="5">
        <v>1234222</v>
      </c>
      <c r="B46" s="9">
        <v>14</v>
      </c>
      <c r="C46" s="9">
        <v>0</v>
      </c>
      <c r="D46" s="9">
        <v>0</v>
      </c>
      <c r="E46" s="9">
        <v>46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>
      <c r="A47" s="5">
        <v>1235097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325</v>
      </c>
      <c r="M47" s="9">
        <v>345</v>
      </c>
      <c r="N47" s="9">
        <v>300</v>
      </c>
      <c r="O47" s="9">
        <v>0</v>
      </c>
      <c r="P47" s="9">
        <v>0</v>
      </c>
      <c r="Q47" s="9">
        <v>0</v>
      </c>
      <c r="R47" s="9">
        <v>0</v>
      </c>
    </row>
    <row r="48" spans="1:18">
      <c r="A48" s="5">
        <v>1236600</v>
      </c>
      <c r="B48" s="9">
        <v>533</v>
      </c>
      <c r="C48" s="9">
        <v>0</v>
      </c>
      <c r="D48" s="9">
        <v>0</v>
      </c>
      <c r="E48" s="9">
        <v>299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>
      <c r="A49" s="5">
        <v>1236930</v>
      </c>
      <c r="B49" s="9">
        <v>416</v>
      </c>
      <c r="C49" s="9">
        <v>0</v>
      </c>
      <c r="D49" s="9">
        <v>0</v>
      </c>
      <c r="E49" s="9">
        <v>420</v>
      </c>
      <c r="F49" s="9">
        <v>420</v>
      </c>
      <c r="G49" s="9">
        <v>392</v>
      </c>
      <c r="H49" s="9">
        <v>703</v>
      </c>
      <c r="I49" s="9">
        <v>461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500</v>
      </c>
      <c r="P49" s="9">
        <v>518</v>
      </c>
      <c r="Q49" s="9">
        <v>0</v>
      </c>
      <c r="R49" s="9">
        <v>0</v>
      </c>
    </row>
    <row r="50" spans="1:18">
      <c r="A50" s="5">
        <v>1232982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80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>
      <c r="A51" s="5">
        <v>1237468</v>
      </c>
      <c r="B51" s="9">
        <v>128</v>
      </c>
      <c r="C51" s="9">
        <v>0</v>
      </c>
      <c r="D51" s="9">
        <v>0</v>
      </c>
      <c r="E51" s="9">
        <v>196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8</v>
      </c>
      <c r="N51" s="9">
        <v>79</v>
      </c>
      <c r="O51" s="9">
        <v>0</v>
      </c>
      <c r="P51" s="9">
        <v>0</v>
      </c>
      <c r="Q51" s="9">
        <v>0</v>
      </c>
      <c r="R51" s="9">
        <v>0</v>
      </c>
    </row>
    <row r="52" spans="1:18">
      <c r="A52" s="5">
        <v>1234905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251</v>
      </c>
      <c r="J52" s="9">
        <v>0</v>
      </c>
      <c r="K52" s="9">
        <v>0</v>
      </c>
      <c r="L52" s="9">
        <v>513</v>
      </c>
      <c r="M52" s="9">
        <v>500</v>
      </c>
      <c r="N52" s="9">
        <v>400</v>
      </c>
      <c r="O52" s="9">
        <v>480</v>
      </c>
      <c r="P52" s="9">
        <v>270</v>
      </c>
      <c r="Q52" s="9">
        <v>0</v>
      </c>
      <c r="R52" s="9">
        <v>0</v>
      </c>
    </row>
    <row r="53" spans="1:18">
      <c r="A53" s="5">
        <v>1238480</v>
      </c>
      <c r="B53" s="9">
        <v>339</v>
      </c>
      <c r="C53" s="9">
        <v>0</v>
      </c>
      <c r="D53" s="9">
        <v>0</v>
      </c>
      <c r="E53" s="9">
        <v>501</v>
      </c>
      <c r="F53" s="9">
        <v>775</v>
      </c>
      <c r="G53" s="9">
        <v>610</v>
      </c>
      <c r="H53" s="9">
        <v>1563</v>
      </c>
      <c r="I53" s="9">
        <v>1014</v>
      </c>
      <c r="J53" s="9">
        <v>0</v>
      </c>
      <c r="K53" s="9">
        <v>0</v>
      </c>
      <c r="L53" s="9">
        <v>1541</v>
      </c>
      <c r="M53" s="9">
        <v>1571</v>
      </c>
      <c r="N53" s="9">
        <v>1004</v>
      </c>
      <c r="O53" s="9">
        <v>1500</v>
      </c>
      <c r="P53" s="9">
        <v>727</v>
      </c>
      <c r="Q53" s="9">
        <v>0</v>
      </c>
      <c r="R53" s="9">
        <v>0</v>
      </c>
    </row>
    <row r="54" spans="1:18">
      <c r="A54" s="5">
        <v>1232775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358</v>
      </c>
      <c r="O54" s="9">
        <v>60</v>
      </c>
      <c r="P54" s="9">
        <v>0</v>
      </c>
      <c r="Q54" s="9">
        <v>0</v>
      </c>
      <c r="R54" s="9">
        <v>0</v>
      </c>
    </row>
    <row r="55" spans="1:18">
      <c r="A55" s="5">
        <v>1240180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74</v>
      </c>
      <c r="N55" s="9">
        <v>251</v>
      </c>
      <c r="O55" s="9">
        <v>55</v>
      </c>
      <c r="P55" s="9">
        <v>0</v>
      </c>
      <c r="Q55" s="9">
        <v>0</v>
      </c>
      <c r="R55" s="9">
        <v>0</v>
      </c>
    </row>
    <row r="56" spans="1:18">
      <c r="A56" s="5">
        <v>1240184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74</v>
      </c>
      <c r="N56" s="9">
        <v>251</v>
      </c>
      <c r="O56" s="9">
        <v>55</v>
      </c>
      <c r="P56" s="9">
        <v>0</v>
      </c>
      <c r="Q56" s="9">
        <v>0</v>
      </c>
      <c r="R56" s="9">
        <v>0</v>
      </c>
    </row>
    <row r="57" spans="1:18">
      <c r="A57" s="5">
        <v>1216452</v>
      </c>
      <c r="B57" s="9">
        <v>0</v>
      </c>
      <c r="C57" s="9">
        <v>0</v>
      </c>
      <c r="D57" s="9">
        <v>0</v>
      </c>
      <c r="E57" s="9">
        <v>166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100</v>
      </c>
      <c r="P57" s="9">
        <v>548</v>
      </c>
      <c r="Q57" s="9">
        <v>0</v>
      </c>
      <c r="R57" s="9">
        <v>0</v>
      </c>
    </row>
    <row r="58" spans="1:18">
      <c r="A58" s="5">
        <v>1233580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126</v>
      </c>
      <c r="J58" s="9">
        <v>0</v>
      </c>
      <c r="K58" s="9">
        <v>0</v>
      </c>
      <c r="L58" s="9">
        <v>74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</row>
  </sheetData>
  <phoneticPr fontId="11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BA02-893E-4BE4-A855-C82FC86F16B7}">
  <dimension ref="A1:O58"/>
  <sheetViews>
    <sheetView topLeftCell="A41" zoomScale="145" zoomScaleNormal="145" workbookViewId="0">
      <selection activeCell="Q68" sqref="Q68"/>
    </sheetView>
  </sheetViews>
  <sheetFormatPr defaultRowHeight="12"/>
  <cols>
    <col min="1" max="1" width="10.1640625" style="5" bestFit="1" customWidth="1"/>
    <col min="2" max="2" width="9.5" style="9" bestFit="1" customWidth="1"/>
    <col min="3" max="14" width="9.5" style="9" customWidth="1"/>
    <col min="15" max="15" width="9.5" style="9" bestFit="1" customWidth="1"/>
    <col min="16" max="16384" width="9.33203125" style="5"/>
  </cols>
  <sheetData>
    <row r="1" spans="1:15">
      <c r="A1" s="5" t="s">
        <v>0</v>
      </c>
      <c r="B1" s="9" t="s">
        <v>1298</v>
      </c>
      <c r="C1" s="9" t="s">
        <v>1299</v>
      </c>
      <c r="D1" s="9" t="s">
        <v>1300</v>
      </c>
      <c r="E1" s="9" t="s">
        <v>1301</v>
      </c>
      <c r="F1" s="9" t="s">
        <v>1302</v>
      </c>
      <c r="G1" s="9" t="s">
        <v>1303</v>
      </c>
      <c r="H1" s="9" t="s">
        <v>1304</v>
      </c>
      <c r="I1" s="9" t="s">
        <v>1307</v>
      </c>
      <c r="J1" s="9" t="s">
        <v>1308</v>
      </c>
      <c r="K1" s="9" t="s">
        <v>1309</v>
      </c>
      <c r="L1" s="9" t="s">
        <v>1310</v>
      </c>
      <c r="M1" s="9" t="s">
        <v>1311</v>
      </c>
      <c r="N1" s="9" t="s">
        <v>1312</v>
      </c>
      <c r="O1" s="9" t="s">
        <v>1313</v>
      </c>
    </row>
    <row r="2" spans="1:15">
      <c r="A2" s="5">
        <v>1229673</v>
      </c>
      <c r="B2" s="9">
        <v>200</v>
      </c>
      <c r="C2" s="9">
        <v>282</v>
      </c>
      <c r="D2" s="9">
        <v>200</v>
      </c>
      <c r="E2" s="9">
        <v>200</v>
      </c>
      <c r="F2" s="9">
        <v>200</v>
      </c>
      <c r="G2" s="9">
        <v>0</v>
      </c>
      <c r="H2" s="9">
        <v>0</v>
      </c>
      <c r="I2" s="9">
        <v>300</v>
      </c>
      <c r="J2" s="9">
        <v>300</v>
      </c>
      <c r="K2" s="9">
        <v>200</v>
      </c>
      <c r="L2" s="9">
        <v>200</v>
      </c>
      <c r="M2" s="9">
        <v>200</v>
      </c>
      <c r="N2" s="9">
        <v>0</v>
      </c>
      <c r="O2" s="9">
        <v>0</v>
      </c>
    </row>
    <row r="3" spans="1:15">
      <c r="A3" s="5">
        <v>1233492</v>
      </c>
      <c r="B3" s="9">
        <v>700</v>
      </c>
      <c r="C3" s="9">
        <v>600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>
      <c r="A4" s="5">
        <v>1233498</v>
      </c>
      <c r="B4" s="9">
        <v>700</v>
      </c>
      <c r="C4" s="9">
        <v>600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</row>
    <row r="5" spans="1:15">
      <c r="A5" s="5">
        <v>1233623</v>
      </c>
      <c r="B5" s="9">
        <v>700</v>
      </c>
      <c r="C5" s="9">
        <v>600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>
      <c r="A6" s="5">
        <v>1235623</v>
      </c>
      <c r="B6" s="9">
        <v>0</v>
      </c>
      <c r="C6" s="9">
        <v>106</v>
      </c>
      <c r="D6" s="9">
        <v>712</v>
      </c>
      <c r="E6" s="9">
        <v>482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</row>
    <row r="7" spans="1:15">
      <c r="A7" s="5">
        <v>1236976</v>
      </c>
      <c r="B7" s="9">
        <v>0</v>
      </c>
      <c r="C7" s="9">
        <v>0</v>
      </c>
      <c r="D7" s="9">
        <v>2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>
      <c r="A8" s="5">
        <v>1237088</v>
      </c>
      <c r="B8" s="9">
        <v>862</v>
      </c>
      <c r="C8" s="9">
        <v>682</v>
      </c>
      <c r="D8" s="9">
        <v>718</v>
      </c>
      <c r="E8" s="9">
        <v>974</v>
      </c>
      <c r="F8" s="9">
        <v>444</v>
      </c>
      <c r="G8" s="9">
        <v>0</v>
      </c>
      <c r="H8" s="9">
        <v>0</v>
      </c>
      <c r="I8" s="9">
        <v>862</v>
      </c>
      <c r="J8" s="9">
        <v>654</v>
      </c>
      <c r="K8" s="9">
        <v>830</v>
      </c>
      <c r="L8" s="9">
        <v>772</v>
      </c>
      <c r="M8" s="9">
        <v>754</v>
      </c>
      <c r="N8" s="9">
        <v>0</v>
      </c>
      <c r="O8" s="9">
        <v>0</v>
      </c>
    </row>
    <row r="9" spans="1:15">
      <c r="A9" s="5">
        <v>1237748</v>
      </c>
      <c r="B9" s="9">
        <v>0</v>
      </c>
      <c r="C9" s="9">
        <v>0</v>
      </c>
      <c r="D9" s="9">
        <v>0</v>
      </c>
      <c r="E9" s="9">
        <v>404</v>
      </c>
      <c r="F9" s="9">
        <v>840</v>
      </c>
      <c r="G9" s="9">
        <v>0</v>
      </c>
      <c r="H9" s="9">
        <v>0</v>
      </c>
      <c r="I9" s="9">
        <v>56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</row>
    <row r="10" spans="1:15">
      <c r="A10" s="5">
        <v>1231898</v>
      </c>
      <c r="B10" s="9">
        <v>0</v>
      </c>
      <c r="C10" s="9">
        <v>0</v>
      </c>
      <c r="D10" s="9">
        <v>0</v>
      </c>
      <c r="E10" s="9">
        <v>0</v>
      </c>
      <c r="F10" s="9">
        <v>300</v>
      </c>
      <c r="G10" s="9">
        <v>0</v>
      </c>
      <c r="H10" s="9">
        <v>0</v>
      </c>
      <c r="I10" s="9">
        <v>0</v>
      </c>
      <c r="J10" s="9">
        <v>292</v>
      </c>
      <c r="K10" s="9">
        <v>0</v>
      </c>
      <c r="L10" s="9">
        <v>300</v>
      </c>
      <c r="M10" s="9">
        <v>0</v>
      </c>
      <c r="N10" s="9">
        <v>0</v>
      </c>
      <c r="O10" s="9">
        <v>0</v>
      </c>
    </row>
    <row r="11" spans="1:15">
      <c r="A11" s="5">
        <v>1237586</v>
      </c>
      <c r="B11" s="9">
        <v>0</v>
      </c>
      <c r="C11" s="9">
        <v>0</v>
      </c>
      <c r="D11" s="9">
        <v>0</v>
      </c>
      <c r="E11" s="9">
        <v>0</v>
      </c>
      <c r="F11" s="9">
        <v>300</v>
      </c>
      <c r="G11" s="9">
        <v>0</v>
      </c>
      <c r="H11" s="9">
        <v>0</v>
      </c>
      <c r="I11" s="9">
        <v>0</v>
      </c>
      <c r="J11" s="9">
        <v>292</v>
      </c>
      <c r="K11" s="9">
        <v>0</v>
      </c>
      <c r="L11" s="9">
        <v>300</v>
      </c>
      <c r="M11" s="9">
        <v>0</v>
      </c>
      <c r="N11" s="9">
        <v>0</v>
      </c>
      <c r="O11" s="9">
        <v>0</v>
      </c>
    </row>
    <row r="12" spans="1:15">
      <c r="A12" s="5">
        <v>1234905</v>
      </c>
      <c r="B12" s="9">
        <v>366</v>
      </c>
      <c r="C12" s="9">
        <v>436</v>
      </c>
      <c r="D12" s="9">
        <v>296</v>
      </c>
      <c r="E12" s="9">
        <v>382</v>
      </c>
      <c r="F12" s="9">
        <v>436</v>
      </c>
      <c r="G12" s="9">
        <v>0</v>
      </c>
      <c r="H12" s="9">
        <v>0</v>
      </c>
      <c r="I12" s="9">
        <v>50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</row>
    <row r="13" spans="1:15">
      <c r="A13" s="5">
        <v>1238480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82</v>
      </c>
      <c r="L13" s="9">
        <v>382</v>
      </c>
      <c r="M13" s="9">
        <v>382</v>
      </c>
      <c r="N13" s="9">
        <v>0</v>
      </c>
      <c r="O13" s="9">
        <v>0</v>
      </c>
    </row>
    <row r="14" spans="1:15">
      <c r="A14" s="5">
        <v>1238128</v>
      </c>
      <c r="B14" s="9">
        <v>1180</v>
      </c>
      <c r="C14" s="9">
        <v>1180</v>
      </c>
      <c r="D14" s="9">
        <v>872</v>
      </c>
      <c r="E14" s="9">
        <v>1180</v>
      </c>
      <c r="F14" s="9">
        <v>1070</v>
      </c>
      <c r="G14" s="9">
        <v>0</v>
      </c>
      <c r="H14" s="9">
        <v>0</v>
      </c>
      <c r="I14" s="9">
        <v>1168</v>
      </c>
      <c r="J14" s="9">
        <v>1180</v>
      </c>
      <c r="K14" s="9">
        <v>756</v>
      </c>
      <c r="L14" s="9">
        <v>1098</v>
      </c>
      <c r="M14" s="9">
        <v>1180</v>
      </c>
      <c r="N14" s="9">
        <v>0</v>
      </c>
      <c r="O14" s="9">
        <v>0</v>
      </c>
    </row>
    <row r="15" spans="1:15">
      <c r="A15" s="5">
        <v>1236962</v>
      </c>
      <c r="B15" s="9">
        <v>200</v>
      </c>
      <c r="C15" s="9">
        <v>200</v>
      </c>
      <c r="D15" s="9">
        <v>300</v>
      </c>
      <c r="E15" s="9">
        <v>200</v>
      </c>
      <c r="F15" s="9">
        <v>320</v>
      </c>
      <c r="G15" s="9">
        <v>0</v>
      </c>
      <c r="H15" s="9">
        <v>0</v>
      </c>
      <c r="I15" s="9">
        <v>300</v>
      </c>
      <c r="J15" s="9">
        <v>300</v>
      </c>
      <c r="K15" s="9">
        <v>300</v>
      </c>
      <c r="L15" s="9">
        <v>300</v>
      </c>
      <c r="M15" s="9">
        <v>200</v>
      </c>
      <c r="N15" s="9">
        <v>0</v>
      </c>
      <c r="O15" s="9">
        <v>0</v>
      </c>
    </row>
    <row r="16" spans="1:15">
      <c r="A16" s="5">
        <v>1236930</v>
      </c>
      <c r="B16" s="9">
        <v>50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324</v>
      </c>
      <c r="J16" s="9">
        <v>382</v>
      </c>
      <c r="K16" s="9">
        <v>300</v>
      </c>
      <c r="L16" s="9">
        <v>382</v>
      </c>
      <c r="M16" s="9">
        <v>50</v>
      </c>
      <c r="N16" s="9">
        <v>0</v>
      </c>
      <c r="O16" s="9">
        <v>0</v>
      </c>
    </row>
    <row r="17" spans="1:15">
      <c r="A17" s="5">
        <v>1239651</v>
      </c>
      <c r="B17" s="9">
        <v>0</v>
      </c>
      <c r="C17" s="9">
        <v>0</v>
      </c>
      <c r="D17" s="9">
        <v>0</v>
      </c>
      <c r="E17" s="9">
        <v>0</v>
      </c>
      <c r="F17" s="9">
        <v>217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200</v>
      </c>
      <c r="M17" s="9">
        <v>200</v>
      </c>
      <c r="N17" s="9">
        <v>0</v>
      </c>
      <c r="O17" s="9">
        <v>0</v>
      </c>
    </row>
    <row r="18" spans="1:15">
      <c r="A18" s="5">
        <v>1240180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354</v>
      </c>
      <c r="J18" s="9">
        <v>410</v>
      </c>
      <c r="K18" s="9">
        <v>322</v>
      </c>
      <c r="L18" s="9">
        <v>50</v>
      </c>
      <c r="M18" s="9">
        <v>364</v>
      </c>
      <c r="N18" s="9">
        <v>0</v>
      </c>
      <c r="O18" s="9">
        <v>0</v>
      </c>
    </row>
    <row r="19" spans="1:15">
      <c r="A19" s="5">
        <v>1240184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354</v>
      </c>
      <c r="J19" s="9">
        <v>410</v>
      </c>
      <c r="K19" s="9">
        <v>322</v>
      </c>
      <c r="L19" s="9">
        <v>50</v>
      </c>
      <c r="M19" s="9">
        <v>364</v>
      </c>
      <c r="N19" s="9">
        <v>0</v>
      </c>
      <c r="O19" s="9">
        <v>0</v>
      </c>
    </row>
    <row r="20" spans="1:15">
      <c r="A20" s="5">
        <v>1239988</v>
      </c>
      <c r="B20" s="9">
        <v>0</v>
      </c>
      <c r="C20" s="9">
        <v>0</v>
      </c>
      <c r="D20" s="9">
        <v>50</v>
      </c>
      <c r="E20" s="9">
        <v>50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1:15">
      <c r="A21" s="5">
        <v>1240308</v>
      </c>
      <c r="B21" s="9">
        <v>0</v>
      </c>
      <c r="C21" s="9">
        <v>0</v>
      </c>
      <c r="D21" s="9">
        <v>0</v>
      </c>
      <c r="E21" s="9">
        <v>192</v>
      </c>
      <c r="F21" s="9">
        <v>0</v>
      </c>
      <c r="G21" s="9">
        <v>0</v>
      </c>
      <c r="H21" s="9">
        <v>0</v>
      </c>
      <c r="I21" s="9">
        <v>200</v>
      </c>
      <c r="J21" s="9">
        <v>200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</row>
    <row r="25" spans="1:15">
      <c r="A25" s="5" t="s">
        <v>0</v>
      </c>
      <c r="B25" s="9" t="s">
        <v>1298</v>
      </c>
      <c r="C25" s="9" t="s">
        <v>1299</v>
      </c>
      <c r="D25" s="9" t="s">
        <v>1300</v>
      </c>
      <c r="E25" s="9" t="s">
        <v>1301</v>
      </c>
      <c r="F25" s="9" t="s">
        <v>1302</v>
      </c>
      <c r="G25" s="9" t="s">
        <v>1303</v>
      </c>
      <c r="H25" s="9" t="s">
        <v>1304</v>
      </c>
      <c r="I25" s="9" t="s">
        <v>1307</v>
      </c>
      <c r="J25" s="9" t="s">
        <v>1308</v>
      </c>
      <c r="K25" s="9" t="s">
        <v>1309</v>
      </c>
      <c r="L25" s="9" t="s">
        <v>1310</v>
      </c>
      <c r="M25" s="9" t="s">
        <v>1311</v>
      </c>
      <c r="N25" s="9" t="s">
        <v>1312</v>
      </c>
      <c r="O25" s="9" t="s">
        <v>1313</v>
      </c>
    </row>
    <row r="26" spans="1:15">
      <c r="A26" s="5">
        <v>1233165</v>
      </c>
      <c r="B26" s="9">
        <v>0</v>
      </c>
      <c r="C26" s="9">
        <v>88</v>
      </c>
      <c r="D26" s="9">
        <v>162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</row>
    <row r="27" spans="1:15">
      <c r="A27" s="5">
        <v>1236387</v>
      </c>
      <c r="B27" s="9">
        <v>0</v>
      </c>
      <c r="C27" s="9">
        <v>0</v>
      </c>
      <c r="D27" s="9">
        <v>110</v>
      </c>
      <c r="E27" s="9">
        <v>377</v>
      </c>
      <c r="F27" s="9">
        <v>377</v>
      </c>
      <c r="G27" s="9">
        <v>0</v>
      </c>
      <c r="H27" s="9">
        <v>0</v>
      </c>
      <c r="I27" s="9">
        <v>26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1:15">
      <c r="A28" s="5">
        <v>1232775</v>
      </c>
      <c r="B28" s="9">
        <v>487</v>
      </c>
      <c r="C28" s="9">
        <v>300</v>
      </c>
      <c r="D28" s="9">
        <v>71</v>
      </c>
      <c r="E28" s="9">
        <v>245</v>
      </c>
      <c r="F28" s="9">
        <v>245</v>
      </c>
      <c r="G28" s="9">
        <v>0</v>
      </c>
      <c r="H28" s="9">
        <v>0</v>
      </c>
      <c r="I28" s="9">
        <v>242</v>
      </c>
      <c r="J28" s="9">
        <v>178</v>
      </c>
      <c r="K28" s="9">
        <v>0</v>
      </c>
      <c r="L28" s="9">
        <v>490</v>
      </c>
      <c r="M28" s="9">
        <v>484</v>
      </c>
      <c r="N28" s="9">
        <v>0</v>
      </c>
      <c r="O28" s="9">
        <v>0</v>
      </c>
    </row>
    <row r="29" spans="1:15">
      <c r="A29" s="5">
        <v>1230685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292</v>
      </c>
      <c r="J29" s="9">
        <v>330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3" spans="1:15">
      <c r="A33" s="5" t="s">
        <v>0</v>
      </c>
      <c r="B33" s="9" t="s">
        <v>1298</v>
      </c>
      <c r="C33" s="9" t="s">
        <v>1299</v>
      </c>
      <c r="D33" s="9" t="s">
        <v>1300</v>
      </c>
      <c r="E33" s="9" t="s">
        <v>1301</v>
      </c>
      <c r="F33" s="9" t="s">
        <v>1302</v>
      </c>
      <c r="G33" s="9" t="s">
        <v>1303</v>
      </c>
      <c r="H33" s="9" t="s">
        <v>1304</v>
      </c>
      <c r="I33" s="9" t="s">
        <v>1307</v>
      </c>
      <c r="J33" s="9" t="s">
        <v>1308</v>
      </c>
      <c r="K33" s="9" t="s">
        <v>1309</v>
      </c>
      <c r="L33" s="9" t="s">
        <v>1310</v>
      </c>
      <c r="M33" s="9" t="s">
        <v>1311</v>
      </c>
      <c r="N33" s="9" t="s">
        <v>1312</v>
      </c>
      <c r="O33" s="9" t="s">
        <v>1313</v>
      </c>
    </row>
    <row r="34" spans="1:15">
      <c r="A34" s="5">
        <v>1234614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300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</row>
    <row r="35" spans="1:15">
      <c r="A35" s="5">
        <v>1227306</v>
      </c>
      <c r="B35" s="9">
        <v>281</v>
      </c>
      <c r="C35" s="9">
        <v>239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>
      <c r="A36" s="5">
        <v>1227359</v>
      </c>
      <c r="B36" s="9">
        <v>0</v>
      </c>
      <c r="C36" s="9">
        <v>235</v>
      </c>
      <c r="D36" s="9">
        <v>225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>
      <c r="A37" s="5">
        <v>1231090</v>
      </c>
      <c r="B37" s="9">
        <v>0</v>
      </c>
      <c r="C37" s="9">
        <v>183</v>
      </c>
      <c r="D37" s="9">
        <v>389</v>
      </c>
      <c r="E37" s="9">
        <v>494</v>
      </c>
      <c r="F37" s="9">
        <v>494</v>
      </c>
      <c r="G37" s="9">
        <v>0</v>
      </c>
      <c r="H37" s="9">
        <v>0</v>
      </c>
      <c r="I37" s="9">
        <v>0</v>
      </c>
      <c r="J37" s="9">
        <v>200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>
      <c r="A38" s="5">
        <v>1229776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200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>
      <c r="A39" s="5">
        <v>1225464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756</v>
      </c>
      <c r="M39" s="9">
        <v>0</v>
      </c>
      <c r="N39" s="9">
        <v>0</v>
      </c>
      <c r="O39" s="9">
        <v>0</v>
      </c>
    </row>
    <row r="40" spans="1:15">
      <c r="A40" s="5">
        <v>1231860</v>
      </c>
      <c r="B40" s="9">
        <v>100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>
      <c r="A41" s="5">
        <v>1232693</v>
      </c>
      <c r="B41" s="9">
        <v>0</v>
      </c>
      <c r="C41" s="9">
        <v>910</v>
      </c>
      <c r="D41" s="9">
        <v>777</v>
      </c>
      <c r="E41" s="9">
        <v>988</v>
      </c>
      <c r="F41" s="9">
        <v>675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>
      <c r="A42" s="5">
        <v>1233025</v>
      </c>
      <c r="B42" s="9">
        <v>0</v>
      </c>
      <c r="C42" s="9">
        <v>910</v>
      </c>
      <c r="D42" s="9">
        <v>777</v>
      </c>
      <c r="E42" s="9">
        <v>988</v>
      </c>
      <c r="F42" s="9">
        <v>675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>
      <c r="A43" s="5">
        <v>1232528</v>
      </c>
      <c r="B43" s="9">
        <v>1296</v>
      </c>
      <c r="C43" s="9">
        <v>1062</v>
      </c>
      <c r="D43" s="9">
        <v>453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424</v>
      </c>
      <c r="M43" s="9">
        <v>686</v>
      </c>
      <c r="N43" s="9">
        <v>0</v>
      </c>
      <c r="O43" s="9">
        <v>0</v>
      </c>
    </row>
    <row r="44" spans="1:15">
      <c r="A44" s="5">
        <v>1232553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108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>
      <c r="A45" s="5">
        <v>1220847</v>
      </c>
      <c r="B45" s="9">
        <v>273</v>
      </c>
      <c r="C45" s="9">
        <v>249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>
      <c r="A46" s="5">
        <v>1234222</v>
      </c>
      <c r="B46" s="9">
        <v>46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>
      <c r="A47" s="5">
        <v>1235097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325</v>
      </c>
      <c r="J47" s="9">
        <v>345</v>
      </c>
      <c r="K47" s="9">
        <v>300</v>
      </c>
      <c r="L47" s="9">
        <v>0</v>
      </c>
      <c r="M47" s="9">
        <v>0</v>
      </c>
      <c r="N47" s="9">
        <v>0</v>
      </c>
      <c r="O47" s="9">
        <v>0</v>
      </c>
    </row>
    <row r="48" spans="1:15">
      <c r="A48" s="5">
        <v>1236600</v>
      </c>
      <c r="B48" s="9">
        <v>299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>
      <c r="A49" s="5">
        <v>1236930</v>
      </c>
      <c r="B49" s="9">
        <v>420</v>
      </c>
      <c r="C49" s="9">
        <v>420</v>
      </c>
      <c r="D49" s="9">
        <v>392</v>
      </c>
      <c r="E49" s="9">
        <v>703</v>
      </c>
      <c r="F49" s="9">
        <v>461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500</v>
      </c>
      <c r="M49" s="9">
        <v>518</v>
      </c>
      <c r="N49" s="9">
        <v>0</v>
      </c>
      <c r="O49" s="9">
        <v>0</v>
      </c>
    </row>
    <row r="50" spans="1:15">
      <c r="A50" s="5">
        <v>1232982</v>
      </c>
      <c r="B50" s="9">
        <v>0</v>
      </c>
      <c r="C50" s="9">
        <v>0</v>
      </c>
      <c r="D50" s="9">
        <v>80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>
      <c r="A51" s="5">
        <v>1237468</v>
      </c>
      <c r="B51" s="9">
        <v>196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87</v>
      </c>
      <c r="L51" s="9">
        <v>0</v>
      </c>
      <c r="M51" s="9">
        <v>16</v>
      </c>
      <c r="N51" s="9">
        <v>0</v>
      </c>
      <c r="O51" s="9">
        <v>0</v>
      </c>
    </row>
    <row r="52" spans="1:15">
      <c r="A52" s="5">
        <v>1234905</v>
      </c>
      <c r="B52" s="9">
        <v>0</v>
      </c>
      <c r="C52" s="9">
        <v>0</v>
      </c>
      <c r="D52" s="9">
        <v>0</v>
      </c>
      <c r="E52" s="9">
        <v>0</v>
      </c>
      <c r="F52" s="9">
        <v>251</v>
      </c>
      <c r="G52" s="9">
        <v>0</v>
      </c>
      <c r="H52" s="9">
        <v>0</v>
      </c>
      <c r="I52" s="9">
        <v>513</v>
      </c>
      <c r="J52" s="9">
        <v>500</v>
      </c>
      <c r="K52" s="9">
        <v>400</v>
      </c>
      <c r="L52" s="9">
        <v>480</v>
      </c>
      <c r="M52" s="9">
        <v>270</v>
      </c>
      <c r="N52" s="9">
        <v>0</v>
      </c>
      <c r="O52" s="9">
        <v>0</v>
      </c>
    </row>
    <row r="53" spans="1:15">
      <c r="A53" s="5">
        <v>1238480</v>
      </c>
      <c r="B53" s="9">
        <v>489</v>
      </c>
      <c r="C53" s="9">
        <v>775</v>
      </c>
      <c r="D53" s="9">
        <v>610</v>
      </c>
      <c r="E53" s="9">
        <v>1563</v>
      </c>
      <c r="F53" s="9">
        <v>1404</v>
      </c>
      <c r="G53" s="9">
        <v>0</v>
      </c>
      <c r="H53" s="9">
        <v>0</v>
      </c>
      <c r="I53" s="9">
        <v>1141</v>
      </c>
      <c r="J53" s="9">
        <v>1593</v>
      </c>
      <c r="K53" s="9">
        <v>1004</v>
      </c>
      <c r="L53" s="9">
        <v>1500</v>
      </c>
      <c r="M53" s="9">
        <v>727</v>
      </c>
      <c r="N53" s="9">
        <v>0</v>
      </c>
      <c r="O53" s="9">
        <v>0</v>
      </c>
    </row>
    <row r="54" spans="1:15">
      <c r="A54" s="5">
        <v>1232775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358</v>
      </c>
      <c r="L54" s="9">
        <v>60</v>
      </c>
      <c r="M54" s="9">
        <v>0</v>
      </c>
      <c r="N54" s="9">
        <v>0</v>
      </c>
      <c r="O54" s="9">
        <v>0</v>
      </c>
    </row>
    <row r="55" spans="1:15">
      <c r="A55" s="5">
        <v>1240180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74</v>
      </c>
      <c r="K55" s="9">
        <v>251</v>
      </c>
      <c r="L55" s="9">
        <v>55</v>
      </c>
      <c r="M55" s="9">
        <v>0</v>
      </c>
      <c r="N55" s="9">
        <v>0</v>
      </c>
      <c r="O55" s="9">
        <v>0</v>
      </c>
    </row>
    <row r="56" spans="1:15">
      <c r="A56" s="5">
        <v>1240184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74</v>
      </c>
      <c r="K56" s="9">
        <v>251</v>
      </c>
      <c r="L56" s="9">
        <v>55</v>
      </c>
      <c r="M56" s="9">
        <v>0</v>
      </c>
      <c r="N56" s="9">
        <v>0</v>
      </c>
      <c r="O56" s="9">
        <v>0</v>
      </c>
    </row>
    <row r="57" spans="1:15">
      <c r="A57" s="5">
        <v>1216452</v>
      </c>
      <c r="B57" s="9">
        <v>166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100</v>
      </c>
      <c r="M57" s="9">
        <v>548</v>
      </c>
      <c r="N57" s="9">
        <v>0</v>
      </c>
      <c r="O57" s="9">
        <v>0</v>
      </c>
    </row>
    <row r="58" spans="1:15">
      <c r="A58" s="5">
        <v>1233580</v>
      </c>
      <c r="B58" s="9">
        <v>0</v>
      </c>
      <c r="C58" s="9">
        <v>0</v>
      </c>
      <c r="D58" s="9">
        <v>0</v>
      </c>
      <c r="E58" s="9">
        <v>0</v>
      </c>
      <c r="F58" s="9">
        <v>126</v>
      </c>
      <c r="G58" s="9">
        <v>0</v>
      </c>
      <c r="H58" s="9">
        <v>0</v>
      </c>
      <c r="I58" s="9">
        <v>74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</sheetData>
  <phoneticPr fontId="11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1C3A-2004-4577-A589-E5920408E036}">
  <dimension ref="A1:V80"/>
  <sheetViews>
    <sheetView zoomScale="130" zoomScaleNormal="130" workbookViewId="0">
      <selection activeCell="Q19" sqref="Q19"/>
    </sheetView>
  </sheetViews>
  <sheetFormatPr defaultRowHeight="12"/>
  <cols>
    <col min="1" max="1" width="10.1640625" style="5" bestFit="1" customWidth="1"/>
    <col min="2" max="2" width="9.5" style="9" bestFit="1" customWidth="1"/>
    <col min="3" max="20" width="9.5" style="9" customWidth="1"/>
    <col min="21" max="21" width="9.5" style="9" bestFit="1" customWidth="1"/>
    <col min="22" max="22" width="9.33203125" style="9"/>
    <col min="23" max="16384" width="9.33203125" style="5"/>
  </cols>
  <sheetData>
    <row r="1" spans="1:21">
      <c r="A1" s="5" t="s">
        <v>0</v>
      </c>
      <c r="B1" s="9" t="s">
        <v>1299</v>
      </c>
      <c r="C1" s="9" t="s">
        <v>1300</v>
      </c>
      <c r="D1" s="9" t="s">
        <v>1301</v>
      </c>
      <c r="E1" s="9" t="s">
        <v>1302</v>
      </c>
      <c r="F1" s="9" t="s">
        <v>1303</v>
      </c>
      <c r="G1" s="9" t="s">
        <v>1304</v>
      </c>
      <c r="H1" s="9" t="s">
        <v>1307</v>
      </c>
      <c r="I1" s="9" t="s">
        <v>1308</v>
      </c>
      <c r="J1" s="9" t="s">
        <v>1309</v>
      </c>
      <c r="K1" s="9" t="s">
        <v>1310</v>
      </c>
      <c r="L1" s="9" t="s">
        <v>1311</v>
      </c>
      <c r="M1" s="9" t="s">
        <v>1312</v>
      </c>
      <c r="N1" s="9" t="s">
        <v>1313</v>
      </c>
      <c r="O1" s="9" t="s">
        <v>1315</v>
      </c>
      <c r="P1" s="9" t="s">
        <v>1316</v>
      </c>
      <c r="Q1" s="9" t="s">
        <v>1317</v>
      </c>
      <c r="R1" s="9" t="s">
        <v>1318</v>
      </c>
      <c r="S1" s="9" t="s">
        <v>1319</v>
      </c>
      <c r="T1" s="9" t="s">
        <v>1320</v>
      </c>
      <c r="U1" s="9" t="s">
        <v>1321</v>
      </c>
    </row>
    <row r="2" spans="1:21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280</v>
      </c>
      <c r="S2" s="9">
        <v>280</v>
      </c>
      <c r="T2" s="9">
        <v>0</v>
      </c>
      <c r="U2" s="9">
        <v>0</v>
      </c>
    </row>
    <row r="3" spans="1:21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280</v>
      </c>
      <c r="S3" s="9">
        <v>280</v>
      </c>
      <c r="T3" s="9">
        <v>0</v>
      </c>
      <c r="U3" s="9">
        <v>0</v>
      </c>
    </row>
    <row r="4" spans="1:21">
      <c r="A4" s="5">
        <v>1229673</v>
      </c>
      <c r="B4" s="9">
        <v>282</v>
      </c>
      <c r="C4" s="9">
        <v>200</v>
      </c>
      <c r="D4" s="9">
        <v>200</v>
      </c>
      <c r="E4" s="18">
        <v>200</v>
      </c>
      <c r="F4" s="9">
        <v>0</v>
      </c>
      <c r="G4" s="9">
        <v>0</v>
      </c>
      <c r="H4" s="9">
        <v>300</v>
      </c>
      <c r="I4" s="9">
        <v>300</v>
      </c>
      <c r="J4" s="9">
        <v>200</v>
      </c>
      <c r="K4" s="9">
        <v>200</v>
      </c>
      <c r="L4" s="9">
        <v>200</v>
      </c>
      <c r="M4" s="9">
        <v>0</v>
      </c>
      <c r="N4" s="9">
        <v>0</v>
      </c>
      <c r="O4" s="9">
        <v>200</v>
      </c>
      <c r="P4" s="9">
        <v>200</v>
      </c>
      <c r="Q4" s="9">
        <v>200</v>
      </c>
      <c r="R4" s="9">
        <v>0</v>
      </c>
      <c r="S4" s="9">
        <v>164</v>
      </c>
      <c r="T4" s="9">
        <v>0</v>
      </c>
      <c r="U4" s="9">
        <v>0</v>
      </c>
    </row>
    <row r="5" spans="1:21">
      <c r="A5" s="5">
        <v>1233492</v>
      </c>
      <c r="B5" s="9">
        <v>600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>
      <c r="A6" s="5">
        <v>1233498</v>
      </c>
      <c r="B6" s="9">
        <v>600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</row>
    <row r="7" spans="1:21">
      <c r="A7" s="5">
        <v>1233623</v>
      </c>
      <c r="B7" s="9">
        <v>600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>
      <c r="A8" s="58">
        <v>1235623</v>
      </c>
      <c r="B8" s="9">
        <v>106</v>
      </c>
      <c r="C8" s="9">
        <v>712</v>
      </c>
      <c r="D8" s="9">
        <v>482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256</v>
      </c>
      <c r="R8" s="9">
        <v>960</v>
      </c>
      <c r="S8" s="9">
        <v>960</v>
      </c>
      <c r="T8" s="9">
        <v>0</v>
      </c>
      <c r="U8" s="9">
        <v>0</v>
      </c>
    </row>
    <row r="9" spans="1:21">
      <c r="A9" s="5">
        <v>1236976</v>
      </c>
      <c r="B9" s="9">
        <v>0</v>
      </c>
      <c r="C9" s="9">
        <v>2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>
      <c r="A10" s="5">
        <v>1237088</v>
      </c>
      <c r="B10" s="9">
        <v>682</v>
      </c>
      <c r="C10" s="9">
        <v>718</v>
      </c>
      <c r="D10" s="9">
        <v>974</v>
      </c>
      <c r="E10" s="18">
        <v>444</v>
      </c>
      <c r="F10" s="9">
        <v>0</v>
      </c>
      <c r="G10" s="9">
        <v>0</v>
      </c>
      <c r="H10" s="9">
        <v>862</v>
      </c>
      <c r="I10" s="9">
        <v>954</v>
      </c>
      <c r="J10" s="9">
        <v>1066</v>
      </c>
      <c r="K10" s="9">
        <v>1048</v>
      </c>
      <c r="L10" s="9">
        <v>754</v>
      </c>
      <c r="M10" s="9">
        <v>0</v>
      </c>
      <c r="N10" s="9">
        <v>0</v>
      </c>
      <c r="O10" s="9">
        <v>712</v>
      </c>
      <c r="P10" s="9">
        <v>612</v>
      </c>
      <c r="Q10" s="9">
        <v>320</v>
      </c>
      <c r="R10" s="9">
        <v>614</v>
      </c>
      <c r="S10" s="9">
        <v>0</v>
      </c>
      <c r="T10" s="9">
        <v>0</v>
      </c>
      <c r="U10" s="9">
        <v>0</v>
      </c>
    </row>
    <row r="11" spans="1:21">
      <c r="A11" s="5">
        <v>1237765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300</v>
      </c>
      <c r="R11" s="9">
        <v>0</v>
      </c>
      <c r="S11" s="9">
        <v>0</v>
      </c>
      <c r="T11" s="9">
        <v>0</v>
      </c>
      <c r="U11" s="9">
        <v>0</v>
      </c>
    </row>
    <row r="12" spans="1:21">
      <c r="A12" s="5">
        <v>1237748</v>
      </c>
      <c r="B12" s="9">
        <v>0</v>
      </c>
      <c r="C12" s="9">
        <v>0</v>
      </c>
      <c r="D12" s="9">
        <v>404</v>
      </c>
      <c r="E12" s="18">
        <v>728</v>
      </c>
      <c r="F12" s="9">
        <v>0</v>
      </c>
      <c r="G12" s="9">
        <v>0</v>
      </c>
      <c r="H12" s="9">
        <v>64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80</v>
      </c>
      <c r="T12" s="9">
        <v>0</v>
      </c>
      <c r="U12" s="9">
        <v>0</v>
      </c>
    </row>
    <row r="13" spans="1:21">
      <c r="A13" s="5">
        <v>1231898</v>
      </c>
      <c r="B13" s="9">
        <v>0</v>
      </c>
      <c r="C13" s="9">
        <v>0</v>
      </c>
      <c r="D13" s="9">
        <v>0</v>
      </c>
      <c r="E13" s="18">
        <v>300</v>
      </c>
      <c r="F13" s="9">
        <v>0</v>
      </c>
      <c r="G13" s="9">
        <v>0</v>
      </c>
      <c r="H13" s="9">
        <v>0</v>
      </c>
      <c r="I13" s="9">
        <v>292</v>
      </c>
      <c r="J13" s="9">
        <v>0</v>
      </c>
      <c r="K13" s="9">
        <v>300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</row>
    <row r="14" spans="1:21">
      <c r="A14" s="5">
        <v>1237586</v>
      </c>
      <c r="B14" s="9">
        <v>0</v>
      </c>
      <c r="C14" s="9">
        <v>0</v>
      </c>
      <c r="D14" s="9">
        <v>0</v>
      </c>
      <c r="E14" s="18">
        <v>300</v>
      </c>
      <c r="F14" s="9">
        <v>0</v>
      </c>
      <c r="G14" s="9">
        <v>0</v>
      </c>
      <c r="H14" s="9">
        <v>0</v>
      </c>
      <c r="I14" s="9">
        <v>292</v>
      </c>
      <c r="J14" s="9">
        <v>0</v>
      </c>
      <c r="K14" s="9">
        <v>300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</row>
    <row r="15" spans="1:21">
      <c r="A15" s="5">
        <v>1236091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200</v>
      </c>
      <c r="P15" s="9">
        <v>0</v>
      </c>
      <c r="Q15" s="9">
        <v>0</v>
      </c>
      <c r="R15" s="9">
        <v>200</v>
      </c>
      <c r="S15" s="9">
        <v>0</v>
      </c>
      <c r="T15" s="9">
        <v>0</v>
      </c>
      <c r="U15" s="9">
        <v>0</v>
      </c>
    </row>
    <row r="16" spans="1:21">
      <c r="A16" s="5">
        <v>1234905</v>
      </c>
      <c r="B16" s="9">
        <v>436</v>
      </c>
      <c r="C16" s="9">
        <v>296</v>
      </c>
      <c r="D16" s="9">
        <v>382</v>
      </c>
      <c r="E16" s="18">
        <v>436</v>
      </c>
      <c r="F16" s="9">
        <v>0</v>
      </c>
      <c r="G16" s="9">
        <v>0</v>
      </c>
      <c r="H16" s="9">
        <v>50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</row>
    <row r="17" spans="1:21">
      <c r="A17" s="5">
        <v>1238480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84</v>
      </c>
      <c r="K17" s="9">
        <v>382</v>
      </c>
      <c r="L17" s="9">
        <v>382</v>
      </c>
      <c r="M17" s="9">
        <v>0</v>
      </c>
      <c r="N17" s="9">
        <v>0</v>
      </c>
      <c r="O17" s="9">
        <v>404</v>
      </c>
      <c r="P17" s="9">
        <v>106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</row>
    <row r="18" spans="1:21">
      <c r="A18" s="5">
        <v>1238128</v>
      </c>
      <c r="B18" s="9">
        <v>1180</v>
      </c>
      <c r="C18" s="9">
        <v>872</v>
      </c>
      <c r="D18" s="9">
        <v>1180</v>
      </c>
      <c r="E18" s="18">
        <v>1070</v>
      </c>
      <c r="F18" s="9">
        <v>0</v>
      </c>
      <c r="G18" s="9">
        <v>0</v>
      </c>
      <c r="H18" s="9">
        <v>1162</v>
      </c>
      <c r="I18" s="9">
        <v>1180</v>
      </c>
      <c r="J18" s="9">
        <v>756</v>
      </c>
      <c r="K18" s="9">
        <v>1098</v>
      </c>
      <c r="L18" s="9">
        <v>1180</v>
      </c>
      <c r="M18" s="9">
        <v>0</v>
      </c>
      <c r="N18" s="9">
        <v>0</v>
      </c>
      <c r="O18" s="9">
        <v>640</v>
      </c>
      <c r="P18" s="9">
        <v>590</v>
      </c>
      <c r="Q18" s="9">
        <v>463</v>
      </c>
      <c r="R18" s="9">
        <v>970</v>
      </c>
      <c r="S18" s="9">
        <v>1110</v>
      </c>
      <c r="T18" s="9">
        <v>0</v>
      </c>
      <c r="U18" s="9">
        <v>0</v>
      </c>
    </row>
    <row r="19" spans="1:21">
      <c r="A19" s="5">
        <v>1236962</v>
      </c>
      <c r="B19" s="9">
        <v>200</v>
      </c>
      <c r="C19" s="9">
        <v>300</v>
      </c>
      <c r="D19" s="9">
        <v>200</v>
      </c>
      <c r="E19" s="18">
        <v>320</v>
      </c>
      <c r="F19" s="9">
        <v>0</v>
      </c>
      <c r="G19" s="9">
        <v>0</v>
      </c>
      <c r="H19" s="9">
        <v>300</v>
      </c>
      <c r="I19" s="9">
        <v>300</v>
      </c>
      <c r="J19" s="9">
        <v>300</v>
      </c>
      <c r="K19" s="9">
        <v>300</v>
      </c>
      <c r="L19" s="9">
        <v>200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</row>
    <row r="20" spans="1:21">
      <c r="A20" s="5">
        <v>1233761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150</v>
      </c>
      <c r="Q20" s="9">
        <v>200</v>
      </c>
      <c r="R20" s="9">
        <v>0</v>
      </c>
      <c r="S20" s="9">
        <v>0</v>
      </c>
      <c r="T20" s="9">
        <v>0</v>
      </c>
      <c r="U20" s="9">
        <v>0</v>
      </c>
    </row>
    <row r="21" spans="1:21">
      <c r="A21" s="5">
        <v>1236930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324</v>
      </c>
      <c r="I21" s="9">
        <v>382</v>
      </c>
      <c r="J21" s="9">
        <v>246</v>
      </c>
      <c r="K21" s="9">
        <v>382</v>
      </c>
      <c r="L21" s="9">
        <v>104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</row>
    <row r="22" spans="1:21">
      <c r="A22" s="5">
        <v>1239651</v>
      </c>
      <c r="B22" s="9">
        <v>0</v>
      </c>
      <c r="C22" s="9">
        <v>0</v>
      </c>
      <c r="D22" s="9">
        <v>0</v>
      </c>
      <c r="E22" s="18">
        <v>217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200</v>
      </c>
      <c r="L22" s="9">
        <v>200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200</v>
      </c>
      <c r="S22" s="9">
        <v>200</v>
      </c>
      <c r="T22" s="9">
        <v>0</v>
      </c>
      <c r="U22" s="9">
        <v>0</v>
      </c>
    </row>
    <row r="23" spans="1:21">
      <c r="A23" s="5">
        <v>1240180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354</v>
      </c>
      <c r="I23" s="9">
        <v>410</v>
      </c>
      <c r="J23" s="9">
        <v>322</v>
      </c>
      <c r="K23" s="9">
        <v>50</v>
      </c>
      <c r="L23" s="9">
        <v>304</v>
      </c>
      <c r="M23" s="9">
        <v>0</v>
      </c>
      <c r="N23" s="9">
        <v>0</v>
      </c>
      <c r="O23" s="9">
        <v>784</v>
      </c>
      <c r="P23" s="9">
        <v>840</v>
      </c>
      <c r="Q23" s="9">
        <v>660</v>
      </c>
      <c r="R23" s="9">
        <v>568</v>
      </c>
      <c r="S23" s="9">
        <v>430</v>
      </c>
      <c r="T23" s="9">
        <v>0</v>
      </c>
      <c r="U23" s="9">
        <v>0</v>
      </c>
    </row>
    <row r="24" spans="1:21">
      <c r="A24" s="5">
        <v>1240184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354</v>
      </c>
      <c r="I24" s="9">
        <v>410</v>
      </c>
      <c r="J24" s="9">
        <v>322</v>
      </c>
      <c r="K24" s="9">
        <v>50</v>
      </c>
      <c r="L24" s="9">
        <v>304</v>
      </c>
      <c r="M24" s="9">
        <v>0</v>
      </c>
      <c r="N24" s="9">
        <v>0</v>
      </c>
      <c r="O24" s="9">
        <v>784</v>
      </c>
      <c r="P24" s="9">
        <v>840</v>
      </c>
      <c r="Q24" s="9">
        <v>660</v>
      </c>
      <c r="R24" s="9">
        <v>498</v>
      </c>
      <c r="S24" s="9">
        <v>0</v>
      </c>
      <c r="T24" s="9">
        <v>0</v>
      </c>
      <c r="U24" s="9">
        <v>0</v>
      </c>
    </row>
    <row r="25" spans="1:21">
      <c r="A25" s="5">
        <v>1239988</v>
      </c>
      <c r="B25" s="9">
        <v>0</v>
      </c>
      <c r="C25" s="9">
        <v>50</v>
      </c>
      <c r="D25" s="9">
        <v>50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</row>
    <row r="26" spans="1:21">
      <c r="A26" s="5">
        <v>1240308</v>
      </c>
      <c r="B26" s="9">
        <v>0</v>
      </c>
      <c r="C26" s="9">
        <v>0</v>
      </c>
      <c r="D26" s="9">
        <v>192</v>
      </c>
      <c r="E26" s="9">
        <v>0</v>
      </c>
      <c r="F26" s="9">
        <v>0</v>
      </c>
      <c r="G26" s="9">
        <v>0</v>
      </c>
      <c r="H26" s="9">
        <v>200</v>
      </c>
      <c r="I26" s="9">
        <v>200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300</v>
      </c>
      <c r="P26" s="9">
        <v>570</v>
      </c>
      <c r="Q26" s="9">
        <v>250</v>
      </c>
      <c r="R26" s="9">
        <v>200</v>
      </c>
      <c r="S26" s="9">
        <v>400</v>
      </c>
      <c r="T26" s="9">
        <v>0</v>
      </c>
      <c r="U26" s="9">
        <v>0</v>
      </c>
    </row>
    <row r="27" spans="1:21">
      <c r="A27" s="58">
        <v>1242242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24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</row>
    <row r="30" spans="1:21">
      <c r="A30" s="5" t="s">
        <v>0</v>
      </c>
      <c r="B30" s="9" t="s">
        <v>1299</v>
      </c>
      <c r="C30" s="9" t="s">
        <v>1300</v>
      </c>
      <c r="D30" s="9" t="s">
        <v>1301</v>
      </c>
      <c r="E30" s="9" t="s">
        <v>1302</v>
      </c>
      <c r="F30" s="9" t="s">
        <v>1303</v>
      </c>
      <c r="G30" s="9" t="s">
        <v>1304</v>
      </c>
      <c r="H30" s="9" t="s">
        <v>1307</v>
      </c>
      <c r="I30" s="9" t="s">
        <v>1308</v>
      </c>
      <c r="J30" s="9" t="s">
        <v>1309</v>
      </c>
      <c r="K30" s="9" t="s">
        <v>1310</v>
      </c>
      <c r="L30" s="9" t="s">
        <v>1311</v>
      </c>
      <c r="M30" s="9" t="s">
        <v>1312</v>
      </c>
      <c r="N30" s="9" t="s">
        <v>1313</v>
      </c>
      <c r="O30" s="9" t="s">
        <v>1315</v>
      </c>
      <c r="P30" s="9" t="s">
        <v>1316</v>
      </c>
      <c r="Q30" s="9" t="s">
        <v>1317</v>
      </c>
      <c r="R30" s="9" t="s">
        <v>1318</v>
      </c>
      <c r="S30" s="9" t="s">
        <v>1319</v>
      </c>
      <c r="T30" s="9" t="s">
        <v>1320</v>
      </c>
      <c r="U30" s="9" t="s">
        <v>1321</v>
      </c>
    </row>
    <row r="31" spans="1:21">
      <c r="A31" s="5">
        <v>1232846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7</v>
      </c>
      <c r="R31" s="9">
        <v>352</v>
      </c>
      <c r="S31" s="9">
        <v>352</v>
      </c>
      <c r="T31" s="9">
        <v>0</v>
      </c>
      <c r="U31" s="9">
        <v>0</v>
      </c>
    </row>
    <row r="32" spans="1:21">
      <c r="A32" s="5">
        <v>1232895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7</v>
      </c>
      <c r="R32" s="9">
        <v>352</v>
      </c>
      <c r="S32" s="9">
        <v>352</v>
      </c>
      <c r="T32" s="9">
        <v>0</v>
      </c>
      <c r="U32" s="9">
        <v>0</v>
      </c>
    </row>
    <row r="33" spans="1:21">
      <c r="A33" s="5">
        <v>1233384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7</v>
      </c>
      <c r="R33" s="9">
        <v>352</v>
      </c>
      <c r="S33" s="9">
        <v>352</v>
      </c>
      <c r="T33" s="9">
        <v>0</v>
      </c>
      <c r="U33" s="9">
        <v>0</v>
      </c>
    </row>
    <row r="34" spans="1:21">
      <c r="A34" s="5">
        <v>1233165</v>
      </c>
      <c r="B34" s="9">
        <v>88</v>
      </c>
      <c r="C34" s="9">
        <v>162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</row>
    <row r="35" spans="1:21">
      <c r="A35" s="5">
        <v>1236387</v>
      </c>
      <c r="B35" s="9">
        <v>0</v>
      </c>
      <c r="C35" s="9">
        <v>110</v>
      </c>
      <c r="D35" s="9">
        <v>377</v>
      </c>
      <c r="E35" s="9">
        <v>377</v>
      </c>
      <c r="F35" s="9">
        <v>0</v>
      </c>
      <c r="G35" s="9">
        <v>0</v>
      </c>
      <c r="H35" s="9">
        <v>26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320</v>
      </c>
      <c r="P35" s="9">
        <v>80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>
      <c r="A36" s="5">
        <v>1232775</v>
      </c>
      <c r="B36" s="9">
        <v>300</v>
      </c>
      <c r="C36" s="9">
        <v>71</v>
      </c>
      <c r="D36" s="9">
        <v>245</v>
      </c>
      <c r="E36" s="9">
        <v>245</v>
      </c>
      <c r="F36" s="9">
        <v>0</v>
      </c>
      <c r="G36" s="9">
        <v>0</v>
      </c>
      <c r="H36" s="9">
        <v>242</v>
      </c>
      <c r="I36" s="9">
        <v>178</v>
      </c>
      <c r="J36" s="9">
        <v>0</v>
      </c>
      <c r="K36" s="9">
        <v>490</v>
      </c>
      <c r="L36" s="9">
        <v>484</v>
      </c>
      <c r="M36" s="9">
        <v>0</v>
      </c>
      <c r="N36" s="9">
        <v>0</v>
      </c>
      <c r="O36" s="9">
        <v>255</v>
      </c>
      <c r="P36" s="9">
        <v>245</v>
      </c>
      <c r="Q36" s="9">
        <v>213</v>
      </c>
      <c r="R36" s="9">
        <v>0</v>
      </c>
      <c r="S36" s="9">
        <v>0</v>
      </c>
      <c r="T36" s="9">
        <v>0</v>
      </c>
      <c r="U36" s="9">
        <v>0</v>
      </c>
    </row>
    <row r="37" spans="1:21">
      <c r="A37" s="5">
        <v>1238605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128</v>
      </c>
      <c r="Q37" s="9">
        <v>189</v>
      </c>
      <c r="R37" s="9">
        <v>191</v>
      </c>
      <c r="S37" s="9">
        <v>193</v>
      </c>
      <c r="T37" s="9">
        <v>0</v>
      </c>
      <c r="U37" s="9">
        <v>0</v>
      </c>
    </row>
    <row r="38" spans="1:21">
      <c r="A38" s="5">
        <v>1230685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292</v>
      </c>
      <c r="I38" s="9">
        <v>330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42" spans="1:21">
      <c r="A42" s="5" t="s">
        <v>0</v>
      </c>
      <c r="B42" s="9" t="s">
        <v>1299</v>
      </c>
      <c r="C42" s="9" t="s">
        <v>1300</v>
      </c>
      <c r="D42" s="9" t="s">
        <v>1301</v>
      </c>
      <c r="E42" s="9" t="s">
        <v>1302</v>
      </c>
      <c r="F42" s="9" t="s">
        <v>1303</v>
      </c>
      <c r="G42" s="9" t="s">
        <v>1304</v>
      </c>
      <c r="H42" s="9" t="s">
        <v>1307</v>
      </c>
      <c r="I42" s="9" t="s">
        <v>1308</v>
      </c>
      <c r="J42" s="9" t="s">
        <v>1309</v>
      </c>
      <c r="K42" s="9" t="s">
        <v>1310</v>
      </c>
      <c r="L42" s="9" t="s">
        <v>1311</v>
      </c>
      <c r="M42" s="9" t="s">
        <v>1312</v>
      </c>
      <c r="N42" s="9" t="s">
        <v>1313</v>
      </c>
      <c r="O42" s="9" t="s">
        <v>1315</v>
      </c>
      <c r="P42" s="9" t="s">
        <v>1316</v>
      </c>
      <c r="Q42" s="9" t="s">
        <v>1317</v>
      </c>
      <c r="R42" s="9" t="s">
        <v>1318</v>
      </c>
      <c r="S42" s="9" t="s">
        <v>1319</v>
      </c>
      <c r="T42" s="9" t="s">
        <v>1320</v>
      </c>
      <c r="U42" s="9" t="s">
        <v>1321</v>
      </c>
    </row>
    <row r="43" spans="1:21">
      <c r="A43" s="5">
        <v>1234614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300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500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>
      <c r="A44" s="5">
        <v>1227306</v>
      </c>
      <c r="B44" s="9">
        <v>239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300</v>
      </c>
      <c r="T44" s="9">
        <v>0</v>
      </c>
      <c r="U44" s="9">
        <v>0</v>
      </c>
    </row>
    <row r="45" spans="1:21">
      <c r="A45" s="5">
        <v>1227359</v>
      </c>
      <c r="B45" s="9">
        <v>235</v>
      </c>
      <c r="C45" s="9">
        <v>225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</row>
    <row r="46" spans="1:21">
      <c r="A46" s="5">
        <v>1231090</v>
      </c>
      <c r="B46" s="9">
        <v>183</v>
      </c>
      <c r="C46" s="9">
        <v>389</v>
      </c>
      <c r="D46" s="9">
        <v>494</v>
      </c>
      <c r="E46" s="9">
        <v>494</v>
      </c>
      <c r="F46" s="9">
        <v>0</v>
      </c>
      <c r="G46" s="9">
        <v>0</v>
      </c>
      <c r="H46" s="9">
        <v>0</v>
      </c>
      <c r="I46" s="9">
        <v>200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450</v>
      </c>
      <c r="T46" s="9">
        <v>0</v>
      </c>
      <c r="U46" s="9">
        <v>0</v>
      </c>
    </row>
    <row r="47" spans="1:21">
      <c r="A47" s="5">
        <v>1229776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200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>
      <c r="A48" s="5">
        <v>1225464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756</v>
      </c>
      <c r="L48" s="9">
        <v>0</v>
      </c>
      <c r="M48" s="9">
        <v>0</v>
      </c>
      <c r="N48" s="9">
        <v>0</v>
      </c>
      <c r="O48" s="9">
        <v>40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>
      <c r="A49" s="5">
        <v>1229088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100</v>
      </c>
      <c r="T49" s="9">
        <v>0</v>
      </c>
      <c r="U49" s="9">
        <v>0</v>
      </c>
    </row>
    <row r="50" spans="1:21">
      <c r="A50" s="5">
        <v>1232693</v>
      </c>
      <c r="B50" s="9">
        <v>910</v>
      </c>
      <c r="C50" s="9">
        <v>777</v>
      </c>
      <c r="D50" s="9">
        <v>988</v>
      </c>
      <c r="E50" s="9">
        <v>675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766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>
      <c r="A51" s="5">
        <v>1233025</v>
      </c>
      <c r="B51" s="9">
        <v>910</v>
      </c>
      <c r="C51" s="9">
        <v>777</v>
      </c>
      <c r="D51" s="9">
        <v>988</v>
      </c>
      <c r="E51" s="9">
        <v>675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766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>
      <c r="A52" s="5">
        <v>1234222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20</v>
      </c>
      <c r="P52" s="9">
        <v>180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>
      <c r="A53" s="5">
        <v>1232528</v>
      </c>
      <c r="B53" s="9">
        <v>1062</v>
      </c>
      <c r="C53" s="9">
        <v>453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324</v>
      </c>
      <c r="L53" s="9">
        <v>686</v>
      </c>
      <c r="M53" s="9">
        <v>0</v>
      </c>
      <c r="N53" s="9">
        <v>0</v>
      </c>
      <c r="O53" s="9">
        <v>692</v>
      </c>
      <c r="P53" s="9">
        <v>700</v>
      </c>
      <c r="Q53" s="9">
        <v>450</v>
      </c>
      <c r="R53" s="9">
        <v>700</v>
      </c>
      <c r="S53" s="9">
        <v>700</v>
      </c>
      <c r="T53" s="9">
        <v>0</v>
      </c>
      <c r="U53" s="9">
        <v>0</v>
      </c>
    </row>
    <row r="54" spans="1:21">
      <c r="A54" s="5">
        <v>1232553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108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>
      <c r="A55" s="5">
        <v>1233587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5</v>
      </c>
      <c r="S55" s="9">
        <v>0</v>
      </c>
      <c r="T55" s="9">
        <v>0</v>
      </c>
      <c r="U55" s="9">
        <v>0</v>
      </c>
    </row>
    <row r="56" spans="1:21">
      <c r="A56" s="5">
        <v>1232846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494</v>
      </c>
      <c r="S56" s="9">
        <v>512</v>
      </c>
      <c r="T56" s="9">
        <v>0</v>
      </c>
      <c r="U56" s="9">
        <v>0</v>
      </c>
    </row>
    <row r="57" spans="1:21">
      <c r="A57" s="5">
        <v>1229050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140</v>
      </c>
      <c r="T57" s="9">
        <v>0</v>
      </c>
      <c r="U57" s="9">
        <v>0</v>
      </c>
    </row>
    <row r="58" spans="1:21">
      <c r="A58" s="5">
        <v>1220847</v>
      </c>
      <c r="B58" s="9">
        <v>249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500</v>
      </c>
      <c r="S58" s="9">
        <v>600</v>
      </c>
      <c r="T58" s="9">
        <v>0</v>
      </c>
      <c r="U58" s="9">
        <v>0</v>
      </c>
    </row>
    <row r="59" spans="1:21">
      <c r="A59" s="5">
        <v>1235097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300</v>
      </c>
      <c r="I59" s="9">
        <v>340</v>
      </c>
      <c r="J59" s="9">
        <v>270</v>
      </c>
      <c r="K59" s="9">
        <v>60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>
      <c r="A60" s="5">
        <v>1235958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5</v>
      </c>
      <c r="T60" s="9">
        <v>0</v>
      </c>
      <c r="U60" s="9">
        <v>0</v>
      </c>
    </row>
    <row r="61" spans="1:21">
      <c r="A61" s="5">
        <v>1236619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162</v>
      </c>
      <c r="R61" s="9">
        <v>0</v>
      </c>
      <c r="S61" s="9">
        <v>0</v>
      </c>
      <c r="T61" s="9">
        <v>0</v>
      </c>
      <c r="U61" s="9">
        <v>0</v>
      </c>
    </row>
    <row r="62" spans="1:21">
      <c r="A62" s="5">
        <v>1236930</v>
      </c>
      <c r="B62" s="9">
        <v>420</v>
      </c>
      <c r="C62" s="9">
        <v>392</v>
      </c>
      <c r="D62" s="9">
        <v>703</v>
      </c>
      <c r="E62" s="9">
        <v>461</v>
      </c>
      <c r="F62" s="9">
        <v>0</v>
      </c>
      <c r="G62" s="9">
        <v>0</v>
      </c>
      <c r="H62" s="9">
        <v>40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150</v>
      </c>
      <c r="P62" s="9">
        <v>350</v>
      </c>
      <c r="Q62" s="9">
        <v>270</v>
      </c>
      <c r="R62" s="9">
        <v>590</v>
      </c>
      <c r="S62" s="9">
        <v>658</v>
      </c>
      <c r="T62" s="9">
        <v>0</v>
      </c>
      <c r="U62" s="9">
        <v>0</v>
      </c>
    </row>
    <row r="63" spans="1:21">
      <c r="A63" s="5">
        <v>1232982</v>
      </c>
      <c r="B63" s="9">
        <v>0</v>
      </c>
      <c r="C63" s="9">
        <v>80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>
      <c r="A64" s="5">
        <v>1237468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87</v>
      </c>
      <c r="K64" s="9">
        <v>0</v>
      </c>
      <c r="L64" s="9">
        <v>16</v>
      </c>
      <c r="M64" s="9">
        <v>0</v>
      </c>
      <c r="N64" s="9">
        <v>0</v>
      </c>
      <c r="O64" s="9">
        <v>80</v>
      </c>
      <c r="P64" s="9">
        <v>432</v>
      </c>
      <c r="Q64" s="9">
        <v>316</v>
      </c>
      <c r="R64" s="9">
        <v>0</v>
      </c>
      <c r="S64" s="9">
        <v>0</v>
      </c>
      <c r="T64" s="9">
        <v>0</v>
      </c>
      <c r="U64" s="9">
        <v>0</v>
      </c>
    </row>
    <row r="65" spans="1:21">
      <c r="A65" s="5">
        <v>1237457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36</v>
      </c>
      <c r="S65" s="9">
        <v>0</v>
      </c>
      <c r="T65" s="9">
        <v>0</v>
      </c>
      <c r="U65" s="9">
        <v>0</v>
      </c>
    </row>
    <row r="66" spans="1:21">
      <c r="A66" s="5">
        <v>1237386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360</v>
      </c>
      <c r="S66" s="9">
        <v>0</v>
      </c>
      <c r="T66" s="9">
        <v>0</v>
      </c>
      <c r="U66" s="9">
        <v>0</v>
      </c>
    </row>
    <row r="67" spans="1:21">
      <c r="A67" s="5">
        <v>1234905</v>
      </c>
      <c r="B67" s="9">
        <v>0</v>
      </c>
      <c r="C67" s="9">
        <v>0</v>
      </c>
      <c r="D67" s="9">
        <v>0</v>
      </c>
      <c r="E67" s="9">
        <v>251</v>
      </c>
      <c r="F67" s="9">
        <v>0</v>
      </c>
      <c r="G67" s="9">
        <v>0</v>
      </c>
      <c r="H67" s="9">
        <v>513</v>
      </c>
      <c r="I67" s="9">
        <v>470</v>
      </c>
      <c r="J67" s="9">
        <v>380</v>
      </c>
      <c r="K67" s="9">
        <v>480</v>
      </c>
      <c r="L67" s="9">
        <v>320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</row>
    <row r="68" spans="1:21">
      <c r="A68" s="5">
        <v>1238480</v>
      </c>
      <c r="B68" s="9">
        <v>775</v>
      </c>
      <c r="C68" s="9">
        <v>610</v>
      </c>
      <c r="D68" s="9">
        <v>1563</v>
      </c>
      <c r="E68" s="9">
        <v>1404</v>
      </c>
      <c r="F68" s="9">
        <v>0</v>
      </c>
      <c r="G68" s="9">
        <v>0</v>
      </c>
      <c r="H68" s="9">
        <v>1072</v>
      </c>
      <c r="I68" s="9">
        <v>1690</v>
      </c>
      <c r="J68" s="9">
        <v>1276</v>
      </c>
      <c r="K68" s="9">
        <v>1504</v>
      </c>
      <c r="L68" s="9">
        <v>1017</v>
      </c>
      <c r="M68" s="9">
        <v>0</v>
      </c>
      <c r="N68" s="9">
        <v>0</v>
      </c>
      <c r="O68" s="9">
        <v>976</v>
      </c>
      <c r="P68" s="9">
        <v>1267</v>
      </c>
      <c r="Q68" s="9">
        <v>633</v>
      </c>
      <c r="R68" s="9">
        <v>1218</v>
      </c>
      <c r="S68" s="9">
        <v>934</v>
      </c>
      <c r="T68" s="9">
        <v>0</v>
      </c>
      <c r="U68" s="9">
        <v>0</v>
      </c>
    </row>
    <row r="69" spans="1:21">
      <c r="A69" s="5">
        <v>1232775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358</v>
      </c>
      <c r="K69" s="9">
        <v>60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>
      <c r="A70" s="5">
        <v>1240180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173</v>
      </c>
      <c r="M70" s="9">
        <v>0</v>
      </c>
      <c r="N70" s="9">
        <v>0</v>
      </c>
      <c r="O70" s="9">
        <v>323</v>
      </c>
      <c r="P70" s="9">
        <v>326</v>
      </c>
      <c r="Q70" s="9">
        <v>108</v>
      </c>
      <c r="R70" s="9">
        <v>0</v>
      </c>
      <c r="S70" s="9">
        <v>0</v>
      </c>
      <c r="T70" s="9">
        <v>0</v>
      </c>
      <c r="U70" s="9">
        <v>0</v>
      </c>
    </row>
    <row r="71" spans="1:21">
      <c r="A71" s="5">
        <v>1240184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173</v>
      </c>
      <c r="M71" s="9">
        <v>0</v>
      </c>
      <c r="N71" s="9">
        <v>0</v>
      </c>
      <c r="O71" s="9">
        <v>323</v>
      </c>
      <c r="P71" s="9">
        <v>326</v>
      </c>
      <c r="Q71" s="9">
        <v>108</v>
      </c>
      <c r="R71" s="9">
        <v>0</v>
      </c>
      <c r="S71" s="9">
        <v>0</v>
      </c>
      <c r="T71" s="9">
        <v>0</v>
      </c>
      <c r="U71" s="9">
        <v>0</v>
      </c>
    </row>
    <row r="72" spans="1:21">
      <c r="A72" s="5">
        <v>1216452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100</v>
      </c>
      <c r="L72" s="9">
        <v>548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168</v>
      </c>
      <c r="T72" s="9">
        <v>0</v>
      </c>
      <c r="U72" s="9">
        <v>0</v>
      </c>
    </row>
    <row r="73" spans="1:21">
      <c r="A73" s="5">
        <v>1230791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30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</row>
    <row r="74" spans="1:21">
      <c r="A74" s="5">
        <v>1232894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464</v>
      </c>
      <c r="S74" s="9">
        <v>512</v>
      </c>
      <c r="T74" s="9">
        <v>0</v>
      </c>
      <c r="U74" s="9">
        <v>0</v>
      </c>
    </row>
    <row r="75" spans="1:21">
      <c r="A75" s="5">
        <v>1233386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416</v>
      </c>
      <c r="S75" s="9">
        <v>512</v>
      </c>
      <c r="T75" s="9">
        <v>0</v>
      </c>
      <c r="U75" s="9">
        <v>0</v>
      </c>
    </row>
    <row r="76" spans="1:21">
      <c r="A76" s="5">
        <v>1233385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48</v>
      </c>
      <c r="S76" s="9">
        <v>0</v>
      </c>
      <c r="T76" s="9">
        <v>0</v>
      </c>
      <c r="U76" s="9">
        <v>0</v>
      </c>
    </row>
    <row r="77" spans="1:21">
      <c r="A77" s="5">
        <v>1232895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30</v>
      </c>
      <c r="S77" s="9">
        <v>0</v>
      </c>
      <c r="T77" s="9">
        <v>0</v>
      </c>
      <c r="U77" s="9">
        <v>0</v>
      </c>
    </row>
    <row r="78" spans="1:21">
      <c r="A78" s="5">
        <v>1232922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30</v>
      </c>
      <c r="S78" s="9">
        <v>0</v>
      </c>
      <c r="T78" s="9">
        <v>0</v>
      </c>
      <c r="U78" s="9">
        <v>0</v>
      </c>
    </row>
    <row r="79" spans="1:21">
      <c r="A79" s="5">
        <v>1233580</v>
      </c>
      <c r="B79" s="9">
        <v>0</v>
      </c>
      <c r="C79" s="9">
        <v>0</v>
      </c>
      <c r="D79" s="9">
        <v>0</v>
      </c>
      <c r="E79" s="9">
        <v>126</v>
      </c>
      <c r="F79" s="9">
        <v>0</v>
      </c>
      <c r="G79" s="9">
        <v>0</v>
      </c>
      <c r="H79" s="9">
        <v>74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</row>
    <row r="80" spans="1:21">
      <c r="A80" s="5">
        <v>1238092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144</v>
      </c>
      <c r="T80" s="9">
        <v>0</v>
      </c>
      <c r="U80" s="9">
        <v>0</v>
      </c>
    </row>
  </sheetData>
  <autoFilter ref="A1:U27" xr:uid="{3DFA1C3A-2004-4577-A589-E5920408E036}"/>
  <phoneticPr fontId="11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A70A-79AF-439F-8870-A82F1A8EC119}">
  <dimension ref="A1:AA71"/>
  <sheetViews>
    <sheetView zoomScale="145" zoomScaleNormal="145" workbookViewId="0">
      <selection activeCell="N25" sqref="N25"/>
    </sheetView>
  </sheetViews>
  <sheetFormatPr defaultRowHeight="12"/>
  <cols>
    <col min="1" max="1" width="10.1640625" style="5" bestFit="1" customWidth="1"/>
    <col min="2" max="2" width="9.5" style="9" bestFit="1" customWidth="1"/>
    <col min="3" max="19" width="9.5" style="9" customWidth="1"/>
    <col min="20" max="20" width="9.5" style="9" bestFit="1" customWidth="1"/>
    <col min="21" max="27" width="9.33203125" style="14"/>
  </cols>
  <sheetData>
    <row r="1" spans="1:20">
      <c r="A1" s="5" t="s">
        <v>0</v>
      </c>
      <c r="B1" s="9" t="s">
        <v>1300</v>
      </c>
      <c r="C1" s="9" t="s">
        <v>1301</v>
      </c>
      <c r="D1" s="9" t="s">
        <v>1302</v>
      </c>
      <c r="E1" s="9" t="s">
        <v>1303</v>
      </c>
      <c r="F1" s="9" t="s">
        <v>1304</v>
      </c>
      <c r="G1" s="9" t="s">
        <v>1307</v>
      </c>
      <c r="H1" s="9" t="s">
        <v>1308</v>
      </c>
      <c r="I1" s="9" t="s">
        <v>1309</v>
      </c>
      <c r="J1" s="9" t="s">
        <v>1310</v>
      </c>
      <c r="K1" s="9" t="s">
        <v>1311</v>
      </c>
      <c r="L1" s="9" t="s">
        <v>1312</v>
      </c>
      <c r="M1" s="9" t="s">
        <v>1313</v>
      </c>
      <c r="N1" s="9" t="s">
        <v>1315</v>
      </c>
      <c r="O1" s="9" t="s">
        <v>1316</v>
      </c>
      <c r="P1" s="9" t="s">
        <v>1317</v>
      </c>
      <c r="Q1" s="9" t="s">
        <v>1318</v>
      </c>
      <c r="R1" s="9" t="s">
        <v>1319</v>
      </c>
      <c r="S1" s="9" t="s">
        <v>1320</v>
      </c>
      <c r="T1" s="9" t="s">
        <v>1321</v>
      </c>
    </row>
    <row r="2" spans="1:20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280</v>
      </c>
      <c r="R2" s="9">
        <v>280</v>
      </c>
      <c r="S2" s="9">
        <v>0</v>
      </c>
      <c r="T2" s="9">
        <v>0</v>
      </c>
    </row>
    <row r="3" spans="1:20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280</v>
      </c>
      <c r="R3" s="9">
        <v>280</v>
      </c>
      <c r="S3" s="9">
        <v>0</v>
      </c>
      <c r="T3" s="9">
        <v>0</v>
      </c>
    </row>
    <row r="4" spans="1:20">
      <c r="A4" s="5">
        <v>1229673</v>
      </c>
      <c r="B4" s="9">
        <v>200</v>
      </c>
      <c r="C4" s="9">
        <v>200</v>
      </c>
      <c r="D4" s="9">
        <v>200</v>
      </c>
      <c r="E4" s="9">
        <v>0</v>
      </c>
      <c r="F4" s="9">
        <v>0</v>
      </c>
      <c r="G4" s="9">
        <v>300</v>
      </c>
      <c r="H4" s="9">
        <v>300</v>
      </c>
      <c r="I4" s="9">
        <v>200</v>
      </c>
      <c r="J4" s="9">
        <v>200</v>
      </c>
      <c r="K4" s="9">
        <v>200</v>
      </c>
      <c r="L4" s="9">
        <v>0</v>
      </c>
      <c r="M4" s="9">
        <v>0</v>
      </c>
      <c r="N4" s="9">
        <v>200</v>
      </c>
      <c r="O4" s="9">
        <v>200</v>
      </c>
      <c r="P4" s="9">
        <v>200</v>
      </c>
      <c r="Q4" s="9">
        <v>0</v>
      </c>
      <c r="R4" s="9">
        <v>164</v>
      </c>
      <c r="S4" s="9">
        <v>0</v>
      </c>
      <c r="T4" s="9">
        <v>0</v>
      </c>
    </row>
    <row r="5" spans="1:20">
      <c r="A5" s="5">
        <v>1235623</v>
      </c>
      <c r="B5" s="9">
        <v>712</v>
      </c>
      <c r="C5" s="9">
        <v>482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</row>
    <row r="6" spans="1:20">
      <c r="A6" s="5">
        <v>1236976</v>
      </c>
      <c r="B6" s="9">
        <v>2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5">
        <v>1237088</v>
      </c>
      <c r="B7" s="9">
        <v>718</v>
      </c>
      <c r="C7" s="9">
        <v>974</v>
      </c>
      <c r="D7" s="9">
        <v>444</v>
      </c>
      <c r="E7" s="9">
        <v>0</v>
      </c>
      <c r="F7" s="9">
        <v>0</v>
      </c>
      <c r="G7" s="9">
        <v>862</v>
      </c>
      <c r="H7" s="9">
        <v>954</v>
      </c>
      <c r="I7" s="9">
        <v>1066</v>
      </c>
      <c r="J7" s="9">
        <v>1048</v>
      </c>
      <c r="K7" s="9">
        <v>754</v>
      </c>
      <c r="L7" s="9">
        <v>0</v>
      </c>
      <c r="M7" s="9">
        <v>0</v>
      </c>
      <c r="N7" s="9">
        <v>712</v>
      </c>
      <c r="O7" s="9">
        <v>612</v>
      </c>
      <c r="P7" s="9">
        <v>320</v>
      </c>
      <c r="Q7" s="9">
        <v>614</v>
      </c>
      <c r="R7" s="9">
        <v>0</v>
      </c>
      <c r="S7" s="9">
        <v>0</v>
      </c>
      <c r="T7" s="9">
        <v>0</v>
      </c>
    </row>
    <row r="8" spans="1:20">
      <c r="A8" s="5">
        <v>1237765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300</v>
      </c>
      <c r="Q8" s="9">
        <v>0</v>
      </c>
      <c r="R8" s="9">
        <v>0</v>
      </c>
      <c r="S8" s="9">
        <v>0</v>
      </c>
      <c r="T8" s="9">
        <v>0</v>
      </c>
    </row>
    <row r="9" spans="1:20">
      <c r="A9" s="5">
        <v>1237748</v>
      </c>
      <c r="B9" s="9">
        <v>0</v>
      </c>
      <c r="C9" s="9">
        <v>404</v>
      </c>
      <c r="D9" s="9">
        <v>728</v>
      </c>
      <c r="E9" s="9">
        <v>0</v>
      </c>
      <c r="F9" s="9">
        <v>0</v>
      </c>
      <c r="G9" s="9">
        <v>64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218</v>
      </c>
      <c r="Q9" s="9">
        <v>840</v>
      </c>
      <c r="R9" s="9">
        <v>910</v>
      </c>
      <c r="S9" s="9">
        <v>0</v>
      </c>
      <c r="T9" s="9">
        <v>0</v>
      </c>
    </row>
    <row r="10" spans="1:20">
      <c r="A10" s="5">
        <v>1231898</v>
      </c>
      <c r="B10" s="9">
        <v>0</v>
      </c>
      <c r="C10" s="9">
        <v>0</v>
      </c>
      <c r="D10" s="9">
        <v>300</v>
      </c>
      <c r="E10" s="9">
        <v>0</v>
      </c>
      <c r="F10" s="9">
        <v>0</v>
      </c>
      <c r="G10" s="9">
        <v>0</v>
      </c>
      <c r="H10" s="9">
        <v>292</v>
      </c>
      <c r="I10" s="9">
        <v>0</v>
      </c>
      <c r="J10" s="9">
        <v>300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</row>
    <row r="11" spans="1:20">
      <c r="A11" s="5">
        <v>1237586</v>
      </c>
      <c r="B11" s="9">
        <v>0</v>
      </c>
      <c r="C11" s="9">
        <v>0</v>
      </c>
      <c r="D11" s="9">
        <v>300</v>
      </c>
      <c r="E11" s="9">
        <v>0</v>
      </c>
      <c r="F11" s="9">
        <v>0</v>
      </c>
      <c r="G11" s="9">
        <v>0</v>
      </c>
      <c r="H11" s="9">
        <v>292</v>
      </c>
      <c r="I11" s="9">
        <v>0</v>
      </c>
      <c r="J11" s="9">
        <v>300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</row>
    <row r="12" spans="1:20">
      <c r="A12" s="5">
        <v>1236091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200</v>
      </c>
      <c r="O12" s="9">
        <v>0</v>
      </c>
      <c r="P12" s="9">
        <v>0</v>
      </c>
      <c r="Q12" s="9">
        <v>200</v>
      </c>
      <c r="R12" s="9">
        <v>0</v>
      </c>
      <c r="S12" s="9">
        <v>0</v>
      </c>
      <c r="T12" s="9">
        <v>0</v>
      </c>
    </row>
    <row r="13" spans="1:20">
      <c r="A13" s="5">
        <v>1234905</v>
      </c>
      <c r="B13" s="9">
        <v>296</v>
      </c>
      <c r="C13" s="9">
        <v>382</v>
      </c>
      <c r="D13" s="9">
        <v>436</v>
      </c>
      <c r="E13" s="9">
        <v>0</v>
      </c>
      <c r="F13" s="9">
        <v>0</v>
      </c>
      <c r="G13" s="9">
        <v>52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</row>
    <row r="14" spans="1:20">
      <c r="A14" s="5">
        <v>1238480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84</v>
      </c>
      <c r="J14" s="9">
        <v>382</v>
      </c>
      <c r="K14" s="9">
        <v>382</v>
      </c>
      <c r="L14" s="9">
        <v>0</v>
      </c>
      <c r="M14" s="9">
        <v>0</v>
      </c>
      <c r="N14" s="9">
        <v>404</v>
      </c>
      <c r="O14" s="9">
        <v>106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</row>
    <row r="15" spans="1:20">
      <c r="A15" s="5">
        <v>1238128</v>
      </c>
      <c r="B15" s="9">
        <v>872</v>
      </c>
      <c r="C15" s="9">
        <v>1180</v>
      </c>
      <c r="D15" s="9">
        <v>1070</v>
      </c>
      <c r="E15" s="9">
        <v>0</v>
      </c>
      <c r="F15" s="9">
        <v>0</v>
      </c>
      <c r="G15" s="9">
        <v>1162</v>
      </c>
      <c r="H15" s="9">
        <v>1180</v>
      </c>
      <c r="I15" s="9">
        <v>756</v>
      </c>
      <c r="J15" s="9">
        <v>1098</v>
      </c>
      <c r="K15" s="9">
        <v>1180</v>
      </c>
      <c r="L15" s="9">
        <v>0</v>
      </c>
      <c r="M15" s="9">
        <v>0</v>
      </c>
      <c r="N15" s="9">
        <v>640</v>
      </c>
      <c r="O15" s="9">
        <v>590</v>
      </c>
      <c r="P15" s="9">
        <v>463</v>
      </c>
      <c r="Q15" s="9">
        <v>970</v>
      </c>
      <c r="R15" s="9">
        <v>1110</v>
      </c>
      <c r="S15" s="9">
        <v>0</v>
      </c>
      <c r="T15" s="9">
        <v>0</v>
      </c>
    </row>
    <row r="16" spans="1:20">
      <c r="A16" s="5">
        <v>1236962</v>
      </c>
      <c r="B16" s="9">
        <v>300</v>
      </c>
      <c r="C16" s="9">
        <v>200</v>
      </c>
      <c r="D16" s="9">
        <v>320</v>
      </c>
      <c r="E16" s="9">
        <v>0</v>
      </c>
      <c r="F16" s="9">
        <v>0</v>
      </c>
      <c r="G16" s="9">
        <v>300</v>
      </c>
      <c r="H16" s="9">
        <v>300</v>
      </c>
      <c r="I16" s="9">
        <v>300</v>
      </c>
      <c r="J16" s="9">
        <v>300</v>
      </c>
      <c r="K16" s="9">
        <v>200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</row>
    <row r="17" spans="1:27">
      <c r="A17" s="5">
        <v>1233761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150</v>
      </c>
      <c r="P17" s="9">
        <v>200</v>
      </c>
      <c r="Q17" s="9">
        <v>0</v>
      </c>
      <c r="R17" s="9">
        <v>0</v>
      </c>
      <c r="S17" s="9">
        <v>0</v>
      </c>
      <c r="T17" s="9">
        <v>0</v>
      </c>
    </row>
    <row r="18" spans="1:27">
      <c r="A18" s="5">
        <v>1236930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322</v>
      </c>
      <c r="H18" s="9">
        <v>382</v>
      </c>
      <c r="I18" s="9">
        <v>246</v>
      </c>
      <c r="J18" s="9">
        <v>382</v>
      </c>
      <c r="K18" s="9">
        <v>104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</row>
    <row r="19" spans="1:27" s="297" customFormat="1">
      <c r="A19" s="20">
        <v>1239651</v>
      </c>
      <c r="B19" s="10">
        <v>0</v>
      </c>
      <c r="C19" s="10">
        <v>0</v>
      </c>
      <c r="D19" s="10">
        <v>217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200</v>
      </c>
      <c r="K19" s="10">
        <v>200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200</v>
      </c>
      <c r="R19" s="10">
        <v>200</v>
      </c>
      <c r="S19" s="10">
        <v>0</v>
      </c>
      <c r="T19" s="10">
        <v>0</v>
      </c>
      <c r="U19" s="296"/>
      <c r="V19" s="296"/>
      <c r="W19" s="296"/>
      <c r="X19" s="296"/>
      <c r="Y19" s="296"/>
      <c r="Z19" s="296"/>
      <c r="AA19" s="296"/>
    </row>
    <row r="20" spans="1:27">
      <c r="A20" s="5">
        <v>1240180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354</v>
      </c>
      <c r="H20" s="9">
        <v>410</v>
      </c>
      <c r="I20" s="9">
        <v>322</v>
      </c>
      <c r="J20" s="9">
        <v>50</v>
      </c>
      <c r="K20" s="9">
        <v>304</v>
      </c>
      <c r="L20" s="9">
        <v>0</v>
      </c>
      <c r="M20" s="9">
        <v>0</v>
      </c>
      <c r="N20" s="9">
        <v>784</v>
      </c>
      <c r="O20" s="9">
        <v>840</v>
      </c>
      <c r="P20" s="9">
        <v>660</v>
      </c>
      <c r="Q20" s="9">
        <v>568</v>
      </c>
      <c r="R20" s="9">
        <v>430</v>
      </c>
      <c r="S20" s="9">
        <v>0</v>
      </c>
      <c r="T20" s="9">
        <v>0</v>
      </c>
    </row>
    <row r="21" spans="1:27">
      <c r="A21" s="5">
        <v>1240184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354</v>
      </c>
      <c r="H21" s="9">
        <v>410</v>
      </c>
      <c r="I21" s="9">
        <v>322</v>
      </c>
      <c r="J21" s="9">
        <v>50</v>
      </c>
      <c r="K21" s="9">
        <v>304</v>
      </c>
      <c r="L21" s="9">
        <v>0</v>
      </c>
      <c r="M21" s="9">
        <v>0</v>
      </c>
      <c r="N21" s="9">
        <v>784</v>
      </c>
      <c r="O21" s="9">
        <v>840</v>
      </c>
      <c r="P21" s="9">
        <v>660</v>
      </c>
      <c r="Q21" s="9">
        <v>498</v>
      </c>
      <c r="R21" s="9">
        <v>0</v>
      </c>
      <c r="S21" s="9">
        <v>0</v>
      </c>
      <c r="T21" s="9">
        <v>0</v>
      </c>
    </row>
    <row r="22" spans="1:27">
      <c r="A22" s="5">
        <v>1239988</v>
      </c>
      <c r="B22" s="9">
        <v>50</v>
      </c>
      <c r="C22" s="9">
        <v>50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</row>
    <row r="23" spans="1:27">
      <c r="A23" s="5">
        <v>1240308</v>
      </c>
      <c r="B23" s="9">
        <v>0</v>
      </c>
      <c r="C23" s="9">
        <v>192</v>
      </c>
      <c r="D23" s="9">
        <v>0</v>
      </c>
      <c r="E23" s="9">
        <v>0</v>
      </c>
      <c r="F23" s="9">
        <v>0</v>
      </c>
      <c r="G23" s="9">
        <v>200</v>
      </c>
      <c r="H23" s="9">
        <v>200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300</v>
      </c>
      <c r="O23" s="9">
        <v>570</v>
      </c>
      <c r="P23" s="9">
        <v>250</v>
      </c>
      <c r="Q23" s="9">
        <v>200</v>
      </c>
      <c r="R23" s="9">
        <v>400</v>
      </c>
      <c r="S23" s="9">
        <v>0</v>
      </c>
      <c r="T23" s="9">
        <v>0</v>
      </c>
    </row>
    <row r="24" spans="1:27">
      <c r="A24" s="5">
        <v>1242242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24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</row>
    <row r="27" spans="1:27">
      <c r="A27" s="5" t="s">
        <v>0</v>
      </c>
      <c r="B27" s="9" t="s">
        <v>1300</v>
      </c>
      <c r="C27" s="9" t="s">
        <v>1301</v>
      </c>
      <c r="D27" s="9" t="s">
        <v>1302</v>
      </c>
      <c r="E27" s="9" t="s">
        <v>1303</v>
      </c>
      <c r="F27" s="9" t="s">
        <v>1304</v>
      </c>
      <c r="G27" s="9" t="s">
        <v>1307</v>
      </c>
      <c r="H27" s="9" t="s">
        <v>1308</v>
      </c>
      <c r="I27" s="9" t="s">
        <v>1309</v>
      </c>
      <c r="J27" s="9" t="s">
        <v>1310</v>
      </c>
      <c r="K27" s="9" t="s">
        <v>1311</v>
      </c>
      <c r="L27" s="9" t="s">
        <v>1312</v>
      </c>
      <c r="M27" s="9" t="s">
        <v>1313</v>
      </c>
      <c r="N27" s="9" t="s">
        <v>1315</v>
      </c>
      <c r="O27" s="9" t="s">
        <v>1316</v>
      </c>
      <c r="P27" s="9" t="s">
        <v>1317</v>
      </c>
      <c r="Q27" s="9" t="s">
        <v>1318</v>
      </c>
      <c r="R27" s="9" t="s">
        <v>1319</v>
      </c>
      <c r="S27" s="9" t="s">
        <v>1320</v>
      </c>
      <c r="T27" s="9" t="s">
        <v>1321</v>
      </c>
    </row>
    <row r="28" spans="1:27">
      <c r="A28" s="5">
        <v>1232846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3</v>
      </c>
      <c r="Q28" s="9">
        <v>352</v>
      </c>
      <c r="R28" s="9">
        <v>352</v>
      </c>
      <c r="S28" s="9">
        <v>0</v>
      </c>
      <c r="T28" s="9">
        <v>0</v>
      </c>
    </row>
    <row r="29" spans="1:27">
      <c r="A29" s="5">
        <v>1232895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3</v>
      </c>
      <c r="Q29" s="9">
        <v>352</v>
      </c>
      <c r="R29" s="9">
        <v>352</v>
      </c>
      <c r="S29" s="9">
        <v>0</v>
      </c>
      <c r="T29" s="9">
        <v>0</v>
      </c>
    </row>
    <row r="30" spans="1:27">
      <c r="A30" s="5">
        <v>1233384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3</v>
      </c>
      <c r="Q30" s="9">
        <v>352</v>
      </c>
      <c r="R30" s="9">
        <v>352</v>
      </c>
      <c r="S30" s="9">
        <v>0</v>
      </c>
      <c r="T30" s="9">
        <v>0</v>
      </c>
    </row>
    <row r="31" spans="1:27">
      <c r="A31" s="5">
        <v>1233165</v>
      </c>
      <c r="B31" s="9">
        <v>162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</row>
    <row r="32" spans="1:27">
      <c r="A32" s="5">
        <v>1236387</v>
      </c>
      <c r="B32" s="9">
        <v>110</v>
      </c>
      <c r="C32" s="9">
        <v>377</v>
      </c>
      <c r="D32" s="9">
        <v>377</v>
      </c>
      <c r="E32" s="9">
        <v>0</v>
      </c>
      <c r="F32" s="9">
        <v>0</v>
      </c>
      <c r="G32" s="9">
        <v>26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320</v>
      </c>
      <c r="O32" s="9">
        <v>80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</row>
    <row r="33" spans="1:20">
      <c r="A33" s="5">
        <v>1232775</v>
      </c>
      <c r="B33" s="9">
        <v>71</v>
      </c>
      <c r="C33" s="9">
        <v>245</v>
      </c>
      <c r="D33" s="9">
        <v>245</v>
      </c>
      <c r="E33" s="9">
        <v>0</v>
      </c>
      <c r="F33" s="9">
        <v>0</v>
      </c>
      <c r="G33" s="9">
        <v>242</v>
      </c>
      <c r="H33" s="9">
        <v>178</v>
      </c>
      <c r="I33" s="9">
        <v>0</v>
      </c>
      <c r="J33" s="9">
        <v>490</v>
      </c>
      <c r="K33" s="9">
        <v>484</v>
      </c>
      <c r="L33" s="9">
        <v>0</v>
      </c>
      <c r="M33" s="9">
        <v>0</v>
      </c>
      <c r="N33" s="9">
        <v>255</v>
      </c>
      <c r="O33" s="9">
        <v>245</v>
      </c>
      <c r="P33" s="9">
        <v>213</v>
      </c>
      <c r="Q33" s="9">
        <v>0</v>
      </c>
      <c r="R33" s="9">
        <v>0</v>
      </c>
      <c r="S33" s="9">
        <v>0</v>
      </c>
      <c r="T33" s="9">
        <v>0</v>
      </c>
    </row>
    <row r="34" spans="1:20">
      <c r="A34" s="5">
        <v>1238605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128</v>
      </c>
      <c r="P34" s="9">
        <v>189</v>
      </c>
      <c r="Q34" s="9">
        <v>191</v>
      </c>
      <c r="R34" s="9">
        <v>193</v>
      </c>
      <c r="S34" s="9">
        <v>0</v>
      </c>
      <c r="T34" s="9">
        <v>0</v>
      </c>
    </row>
    <row r="35" spans="1:20">
      <c r="A35" s="5">
        <v>1230685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292</v>
      </c>
      <c r="H35" s="9">
        <v>330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</row>
    <row r="36" spans="1:20">
      <c r="A36" s="5">
        <v>1241601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50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</row>
    <row r="39" spans="1:20">
      <c r="A39" s="5" t="s">
        <v>0</v>
      </c>
      <c r="B39" s="9" t="s">
        <v>1300</v>
      </c>
      <c r="C39" s="9" t="s">
        <v>1301</v>
      </c>
      <c r="D39" s="9" t="s">
        <v>1302</v>
      </c>
      <c r="E39" s="9" t="s">
        <v>1303</v>
      </c>
      <c r="F39" s="9" t="s">
        <v>1304</v>
      </c>
      <c r="G39" s="9" t="s">
        <v>1307</v>
      </c>
      <c r="H39" s="9" t="s">
        <v>1308</v>
      </c>
      <c r="I39" s="9" t="s">
        <v>1309</v>
      </c>
      <c r="J39" s="9" t="s">
        <v>1310</v>
      </c>
      <c r="K39" s="9" t="s">
        <v>1311</v>
      </c>
      <c r="L39" s="9" t="s">
        <v>1312</v>
      </c>
      <c r="M39" s="9" t="s">
        <v>1313</v>
      </c>
      <c r="N39" s="9" t="s">
        <v>1315</v>
      </c>
      <c r="O39" s="9" t="s">
        <v>1316</v>
      </c>
      <c r="P39" s="9" t="s">
        <v>1317</v>
      </c>
      <c r="Q39" s="9" t="s">
        <v>1318</v>
      </c>
      <c r="R39" s="9" t="s">
        <v>1319</v>
      </c>
      <c r="S39" s="9" t="s">
        <v>1320</v>
      </c>
      <c r="T39" s="9" t="s">
        <v>1321</v>
      </c>
    </row>
    <row r="40" spans="1:20">
      <c r="A40" s="5">
        <v>1234614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300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500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</row>
    <row r="41" spans="1:20">
      <c r="A41" s="5">
        <v>1227359</v>
      </c>
      <c r="B41" s="9">
        <v>225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</row>
    <row r="42" spans="1:20">
      <c r="A42" s="5">
        <v>1231090</v>
      </c>
      <c r="B42" s="9">
        <v>389</v>
      </c>
      <c r="C42" s="9">
        <v>494</v>
      </c>
      <c r="D42" s="9">
        <v>494</v>
      </c>
      <c r="E42" s="9">
        <v>0</v>
      </c>
      <c r="F42" s="9">
        <v>0</v>
      </c>
      <c r="G42" s="9">
        <v>0</v>
      </c>
      <c r="H42" s="9">
        <v>200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450</v>
      </c>
      <c r="S42" s="9">
        <v>0</v>
      </c>
      <c r="T42" s="9">
        <v>0</v>
      </c>
    </row>
    <row r="43" spans="1:20">
      <c r="A43" s="5">
        <v>1229776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200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</row>
    <row r="44" spans="1:20">
      <c r="A44" s="5">
        <v>1225464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784</v>
      </c>
      <c r="K44" s="9">
        <v>12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</row>
    <row r="45" spans="1:20">
      <c r="A45" s="5">
        <v>1231797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139</v>
      </c>
      <c r="S45" s="9">
        <v>0</v>
      </c>
      <c r="T45" s="9">
        <v>0</v>
      </c>
    </row>
    <row r="46" spans="1:20">
      <c r="A46" s="5">
        <v>1229088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70</v>
      </c>
      <c r="R46" s="9">
        <v>30</v>
      </c>
      <c r="S46" s="9">
        <v>0</v>
      </c>
      <c r="T46" s="9">
        <v>0</v>
      </c>
    </row>
    <row r="47" spans="1:20">
      <c r="A47" s="5">
        <v>1232693</v>
      </c>
      <c r="B47" s="9">
        <v>777</v>
      </c>
      <c r="C47" s="9">
        <v>988</v>
      </c>
      <c r="D47" s="9">
        <v>675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187</v>
      </c>
      <c r="O47" s="9">
        <v>579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</row>
    <row r="48" spans="1:20">
      <c r="A48" s="5">
        <v>1233025</v>
      </c>
      <c r="B48" s="9">
        <v>777</v>
      </c>
      <c r="C48" s="9">
        <v>988</v>
      </c>
      <c r="D48" s="9">
        <v>675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187</v>
      </c>
      <c r="O48" s="9">
        <v>579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</row>
    <row r="49" spans="1:20">
      <c r="A49" s="5">
        <v>1234222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200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</row>
    <row r="50" spans="1:20">
      <c r="A50" s="5">
        <v>1232528</v>
      </c>
      <c r="B50" s="9">
        <v>453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168</v>
      </c>
      <c r="K50" s="9">
        <v>686</v>
      </c>
      <c r="L50" s="9">
        <v>0</v>
      </c>
      <c r="M50" s="9">
        <v>0</v>
      </c>
      <c r="N50" s="9">
        <v>662</v>
      </c>
      <c r="O50" s="9">
        <v>700</v>
      </c>
      <c r="P50" s="9">
        <v>450</v>
      </c>
      <c r="Q50" s="9">
        <v>700</v>
      </c>
      <c r="R50" s="9">
        <v>706</v>
      </c>
      <c r="S50" s="9">
        <v>0</v>
      </c>
      <c r="T50" s="9">
        <v>0</v>
      </c>
    </row>
    <row r="51" spans="1:20">
      <c r="A51" s="5">
        <v>1232846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464</v>
      </c>
      <c r="S51" s="9">
        <v>0</v>
      </c>
      <c r="T51" s="9">
        <v>0</v>
      </c>
    </row>
    <row r="52" spans="1:20">
      <c r="A52" s="5">
        <v>1220847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500</v>
      </c>
      <c r="R52" s="9">
        <v>600</v>
      </c>
      <c r="S52" s="9">
        <v>0</v>
      </c>
      <c r="T52" s="9">
        <v>0</v>
      </c>
    </row>
    <row r="53" spans="1:20">
      <c r="A53" s="5">
        <v>1235097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110</v>
      </c>
      <c r="I53" s="9">
        <v>269</v>
      </c>
      <c r="J53" s="9">
        <v>51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</row>
    <row r="54" spans="1:20">
      <c r="A54" s="5">
        <v>1236619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162</v>
      </c>
      <c r="Q54" s="9">
        <v>0</v>
      </c>
      <c r="R54" s="9">
        <v>0</v>
      </c>
      <c r="S54" s="9">
        <v>0</v>
      </c>
      <c r="T54" s="9">
        <v>0</v>
      </c>
    </row>
    <row r="55" spans="1:20">
      <c r="A55" s="58">
        <v>1236930</v>
      </c>
      <c r="B55" s="9">
        <v>392</v>
      </c>
      <c r="C55" s="9">
        <v>703</v>
      </c>
      <c r="D55" s="9">
        <v>461</v>
      </c>
      <c r="E55" s="9">
        <v>0</v>
      </c>
      <c r="F55" s="9">
        <v>0</v>
      </c>
      <c r="G55" s="9">
        <v>317</v>
      </c>
      <c r="H55" s="9">
        <v>198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129</v>
      </c>
      <c r="O55" s="9">
        <v>610</v>
      </c>
      <c r="P55" s="9">
        <v>498</v>
      </c>
      <c r="Q55" s="9">
        <v>679</v>
      </c>
      <c r="R55" s="9">
        <v>271</v>
      </c>
      <c r="S55" s="9">
        <v>0</v>
      </c>
      <c r="T55" s="9">
        <v>0</v>
      </c>
    </row>
    <row r="56" spans="1:20">
      <c r="A56" s="5">
        <v>1232982</v>
      </c>
      <c r="B56" s="9">
        <v>80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</row>
    <row r="57" spans="1:20">
      <c r="A57" s="5">
        <v>1237468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87</v>
      </c>
      <c r="J57" s="9">
        <v>0</v>
      </c>
      <c r="K57" s="9">
        <v>16</v>
      </c>
      <c r="L57" s="9">
        <v>0</v>
      </c>
      <c r="M57" s="9">
        <v>0</v>
      </c>
      <c r="N57" s="9">
        <v>363</v>
      </c>
      <c r="O57" s="9">
        <v>410</v>
      </c>
      <c r="P57" s="9">
        <v>55</v>
      </c>
      <c r="Q57" s="9">
        <v>0</v>
      </c>
      <c r="R57" s="9">
        <v>0</v>
      </c>
      <c r="S57" s="9">
        <v>0</v>
      </c>
      <c r="T57" s="9">
        <v>0</v>
      </c>
    </row>
    <row r="58" spans="1:20">
      <c r="A58" s="5">
        <v>1237457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36</v>
      </c>
      <c r="R58" s="9">
        <v>0</v>
      </c>
      <c r="S58" s="9">
        <v>0</v>
      </c>
      <c r="T58" s="9">
        <v>0</v>
      </c>
    </row>
    <row r="59" spans="1:20">
      <c r="A59" s="5">
        <v>1237386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150</v>
      </c>
      <c r="R59" s="9">
        <v>0</v>
      </c>
      <c r="S59" s="9">
        <v>0</v>
      </c>
      <c r="T59" s="9">
        <v>0</v>
      </c>
    </row>
    <row r="60" spans="1:20">
      <c r="A60" s="5">
        <v>1234905</v>
      </c>
      <c r="B60" s="9">
        <v>0</v>
      </c>
      <c r="C60" s="9">
        <v>0</v>
      </c>
      <c r="D60" s="9">
        <v>251</v>
      </c>
      <c r="E60" s="9">
        <v>0</v>
      </c>
      <c r="F60" s="9">
        <v>0</v>
      </c>
      <c r="G60" s="9">
        <v>395</v>
      </c>
      <c r="H60" s="9">
        <v>392</v>
      </c>
      <c r="I60" s="9">
        <v>63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500</v>
      </c>
      <c r="S60" s="9">
        <v>0</v>
      </c>
      <c r="T60" s="9">
        <v>0</v>
      </c>
    </row>
    <row r="61" spans="1:20">
      <c r="A61" s="5">
        <v>1238480</v>
      </c>
      <c r="B61" s="9">
        <v>610</v>
      </c>
      <c r="C61" s="9">
        <v>1563</v>
      </c>
      <c r="D61" s="9">
        <v>1404</v>
      </c>
      <c r="E61" s="9">
        <v>0</v>
      </c>
      <c r="F61" s="9">
        <v>0</v>
      </c>
      <c r="G61" s="9">
        <v>1240</v>
      </c>
      <c r="H61" s="9">
        <v>1775</v>
      </c>
      <c r="I61" s="9">
        <v>1340</v>
      </c>
      <c r="J61" s="9">
        <v>1589</v>
      </c>
      <c r="K61" s="9">
        <v>1267</v>
      </c>
      <c r="L61" s="9">
        <v>0</v>
      </c>
      <c r="M61" s="9">
        <v>0</v>
      </c>
      <c r="N61" s="9">
        <v>1415</v>
      </c>
      <c r="O61" s="9">
        <v>1597</v>
      </c>
      <c r="P61" s="9">
        <v>593</v>
      </c>
      <c r="Q61" s="9">
        <v>1181</v>
      </c>
      <c r="R61" s="9">
        <v>677</v>
      </c>
      <c r="S61" s="9">
        <v>0</v>
      </c>
      <c r="T61" s="9">
        <v>0</v>
      </c>
    </row>
    <row r="62" spans="1:20">
      <c r="A62" s="5">
        <v>1232775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337</v>
      </c>
      <c r="J62" s="9">
        <v>81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</row>
    <row r="63" spans="1:20">
      <c r="A63" s="5">
        <v>1240180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199</v>
      </c>
      <c r="J63" s="9">
        <v>336</v>
      </c>
      <c r="K63" s="9">
        <v>0</v>
      </c>
      <c r="L63" s="9">
        <v>0</v>
      </c>
      <c r="M63" s="9">
        <v>0</v>
      </c>
      <c r="N63" s="9">
        <v>336</v>
      </c>
      <c r="O63" s="9">
        <v>59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</row>
    <row r="64" spans="1:20">
      <c r="A64" s="5">
        <v>1240184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199</v>
      </c>
      <c r="J64" s="9">
        <v>336</v>
      </c>
      <c r="K64" s="9">
        <v>0</v>
      </c>
      <c r="L64" s="9">
        <v>0</v>
      </c>
      <c r="M64" s="9">
        <v>0</v>
      </c>
      <c r="N64" s="9">
        <v>336</v>
      </c>
      <c r="O64" s="9">
        <v>59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</row>
    <row r="65" spans="1:20">
      <c r="A65" s="5">
        <v>1216452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816</v>
      </c>
      <c r="R65" s="9">
        <v>0</v>
      </c>
      <c r="S65" s="9">
        <v>0</v>
      </c>
      <c r="T65" s="9">
        <v>0</v>
      </c>
    </row>
    <row r="66" spans="1:20">
      <c r="A66" s="5">
        <v>1230791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30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</row>
    <row r="67" spans="1:20">
      <c r="A67" s="5">
        <v>1232894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464</v>
      </c>
      <c r="S67" s="9">
        <v>0</v>
      </c>
      <c r="T67" s="9">
        <v>0</v>
      </c>
    </row>
    <row r="68" spans="1:20">
      <c r="A68" s="5">
        <v>1233386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416</v>
      </c>
      <c r="S68" s="9">
        <v>0</v>
      </c>
      <c r="T68" s="9">
        <v>0</v>
      </c>
    </row>
    <row r="69" spans="1:20">
      <c r="A69" s="5">
        <v>1233385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48</v>
      </c>
      <c r="S69" s="9">
        <v>0</v>
      </c>
      <c r="T69" s="9">
        <v>0</v>
      </c>
    </row>
    <row r="70" spans="1:20">
      <c r="A70" s="5">
        <v>1233580</v>
      </c>
      <c r="B70" s="9">
        <v>0</v>
      </c>
      <c r="C70" s="9">
        <v>0</v>
      </c>
      <c r="D70" s="9">
        <v>126</v>
      </c>
      <c r="E70" s="9">
        <v>0</v>
      </c>
      <c r="F70" s="9">
        <v>0</v>
      </c>
      <c r="G70" s="9">
        <v>74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</row>
    <row r="71" spans="1:20">
      <c r="A71" s="5">
        <v>1238092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144</v>
      </c>
      <c r="S71" s="9">
        <v>0</v>
      </c>
      <c r="T71" s="9">
        <v>0</v>
      </c>
    </row>
  </sheetData>
  <phoneticPr fontId="11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3B30-04D4-41F1-825B-0C7F540E5B59}">
  <sheetPr>
    <tabColor rgb="FFFFFF00"/>
  </sheetPr>
  <dimension ref="A1:L97"/>
  <sheetViews>
    <sheetView topLeftCell="A7" zoomScale="145" zoomScaleNormal="145" workbookViewId="0">
      <selection activeCell="K34" sqref="K34:K35"/>
    </sheetView>
  </sheetViews>
  <sheetFormatPr defaultRowHeight="12"/>
  <cols>
    <col min="1" max="1" width="9.33203125" style="5"/>
    <col min="2" max="2" width="10.1640625" style="19" bestFit="1" customWidth="1"/>
    <col min="3" max="12" width="13.5" style="9" customWidth="1"/>
    <col min="13" max="16384" width="9.33203125" style="5"/>
  </cols>
  <sheetData>
    <row r="1" spans="1:12" s="19" customFormat="1">
      <c r="A1" s="284"/>
      <c r="B1" s="284" t="s">
        <v>0</v>
      </c>
      <c r="C1" s="285" t="s">
        <v>1255</v>
      </c>
      <c r="D1" s="285" t="s">
        <v>12</v>
      </c>
      <c r="E1" s="285" t="s">
        <v>13</v>
      </c>
      <c r="F1" s="285" t="s">
        <v>14</v>
      </c>
      <c r="G1" s="285" t="s">
        <v>15</v>
      </c>
      <c r="H1" s="285" t="s">
        <v>16</v>
      </c>
      <c r="I1" s="285" t="s">
        <v>17</v>
      </c>
      <c r="J1" s="285" t="s">
        <v>18</v>
      </c>
      <c r="K1" s="285" t="s">
        <v>19</v>
      </c>
      <c r="L1" s="285" t="s">
        <v>20</v>
      </c>
    </row>
    <row r="2" spans="1:12" s="19" customFormat="1">
      <c r="A2" s="284"/>
      <c r="B2" s="284"/>
      <c r="C2" s="285" t="s">
        <v>1256</v>
      </c>
      <c r="D2" s="285" t="s">
        <v>1257</v>
      </c>
      <c r="E2" s="285" t="s">
        <v>1265</v>
      </c>
      <c r="F2" s="285" t="s">
        <v>1273</v>
      </c>
      <c r="G2" s="285" t="s">
        <v>1281</v>
      </c>
      <c r="H2" s="285" t="s">
        <v>1289</v>
      </c>
      <c r="I2" s="285" t="s">
        <v>1297</v>
      </c>
      <c r="J2" s="285" t="s">
        <v>1305</v>
      </c>
      <c r="K2" s="285" t="s">
        <v>1314</v>
      </c>
      <c r="L2" s="285" t="s">
        <v>1322</v>
      </c>
    </row>
    <row r="3" spans="1:12">
      <c r="B3" s="19">
        <v>1221154</v>
      </c>
      <c r="C3" s="9">
        <v>50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</row>
    <row r="4" spans="1:12">
      <c r="B4" s="19">
        <v>1226384</v>
      </c>
      <c r="C4" s="9">
        <v>0</v>
      </c>
      <c r="D4" s="9">
        <v>400</v>
      </c>
      <c r="E4" s="9">
        <v>1075</v>
      </c>
      <c r="F4" s="9">
        <v>0</v>
      </c>
      <c r="G4" s="9">
        <v>0</v>
      </c>
      <c r="H4" s="9">
        <v>0</v>
      </c>
      <c r="I4" s="9">
        <v>860</v>
      </c>
      <c r="J4" s="9">
        <v>0</v>
      </c>
      <c r="K4" s="9">
        <v>0</v>
      </c>
      <c r="L4" s="9">
        <v>0</v>
      </c>
    </row>
    <row r="5" spans="1:12">
      <c r="B5" s="19">
        <v>1226388</v>
      </c>
      <c r="C5" s="9">
        <v>0</v>
      </c>
      <c r="D5" s="9">
        <v>400</v>
      </c>
      <c r="E5" s="9">
        <v>1075</v>
      </c>
      <c r="F5" s="9">
        <v>0</v>
      </c>
      <c r="G5" s="9">
        <v>0</v>
      </c>
      <c r="H5" s="9">
        <v>0</v>
      </c>
      <c r="I5" s="9">
        <v>860</v>
      </c>
      <c r="J5" s="9">
        <v>0</v>
      </c>
      <c r="K5" s="9">
        <v>0</v>
      </c>
      <c r="L5" s="9">
        <v>0</v>
      </c>
    </row>
    <row r="6" spans="1:12">
      <c r="B6" s="19">
        <v>1229673</v>
      </c>
      <c r="C6" s="9">
        <v>900</v>
      </c>
      <c r="D6" s="9">
        <v>636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900</v>
      </c>
      <c r="L6" s="9">
        <v>900</v>
      </c>
    </row>
    <row r="7" spans="1:12">
      <c r="B7" s="19">
        <v>1230692</v>
      </c>
      <c r="C7" s="9">
        <v>500</v>
      </c>
      <c r="D7" s="9">
        <v>600</v>
      </c>
      <c r="E7" s="9">
        <v>500</v>
      </c>
      <c r="F7" s="9">
        <v>0</v>
      </c>
      <c r="G7" s="9">
        <v>900</v>
      </c>
      <c r="H7" s="9">
        <v>900</v>
      </c>
      <c r="I7" s="9">
        <v>900</v>
      </c>
      <c r="J7" s="9">
        <v>1200</v>
      </c>
      <c r="K7" s="9">
        <v>1200</v>
      </c>
      <c r="L7" s="9">
        <v>1000</v>
      </c>
    </row>
    <row r="8" spans="1:12">
      <c r="B8" s="19">
        <v>1230696</v>
      </c>
      <c r="C8" s="9">
        <v>0</v>
      </c>
      <c r="D8" s="9">
        <v>0</v>
      </c>
      <c r="E8" s="9">
        <v>0</v>
      </c>
      <c r="F8" s="9">
        <v>0</v>
      </c>
      <c r="G8" s="9">
        <v>200</v>
      </c>
      <c r="H8" s="9">
        <v>200</v>
      </c>
      <c r="I8" s="9">
        <v>0</v>
      </c>
      <c r="J8" s="9">
        <v>200</v>
      </c>
      <c r="K8" s="9">
        <v>300</v>
      </c>
      <c r="L8" s="9">
        <v>300</v>
      </c>
    </row>
    <row r="9" spans="1:12">
      <c r="B9" s="19">
        <v>1231202</v>
      </c>
      <c r="C9" s="9">
        <v>200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</row>
    <row r="10" spans="1:12">
      <c r="B10" s="19">
        <v>1231898</v>
      </c>
      <c r="C10" s="9">
        <v>896</v>
      </c>
      <c r="D10" s="9">
        <v>0</v>
      </c>
      <c r="E10" s="9">
        <v>0</v>
      </c>
      <c r="F10" s="9">
        <v>0</v>
      </c>
      <c r="G10" s="9">
        <v>2240</v>
      </c>
      <c r="H10" s="9">
        <v>2240</v>
      </c>
      <c r="I10" s="9">
        <v>896</v>
      </c>
      <c r="J10" s="9">
        <v>124</v>
      </c>
      <c r="K10" s="9">
        <v>0</v>
      </c>
      <c r="L10" s="9">
        <v>0</v>
      </c>
    </row>
    <row r="11" spans="1:12">
      <c r="B11" s="19">
        <v>1233492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500</v>
      </c>
      <c r="L11" s="9">
        <v>0</v>
      </c>
    </row>
    <row r="12" spans="1:12">
      <c r="B12" s="19">
        <v>1233498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500</v>
      </c>
      <c r="L12" s="9">
        <v>0</v>
      </c>
    </row>
    <row r="13" spans="1:12">
      <c r="B13" s="19">
        <v>1233623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500</v>
      </c>
      <c r="L13" s="9">
        <v>0</v>
      </c>
    </row>
    <row r="14" spans="1:12">
      <c r="B14" s="127">
        <v>1233761</v>
      </c>
      <c r="C14" s="9">
        <v>600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200</v>
      </c>
      <c r="L14" s="9">
        <v>300</v>
      </c>
    </row>
    <row r="15" spans="1:12">
      <c r="B15" s="19">
        <v>1234905</v>
      </c>
      <c r="C15" s="9">
        <v>800</v>
      </c>
      <c r="D15" s="9">
        <v>0</v>
      </c>
      <c r="E15" s="9">
        <v>0</v>
      </c>
      <c r="F15" s="9">
        <v>0</v>
      </c>
      <c r="G15" s="9">
        <v>600</v>
      </c>
      <c r="H15" s="9">
        <v>950</v>
      </c>
      <c r="I15" s="9">
        <v>600</v>
      </c>
      <c r="J15" s="9">
        <v>500</v>
      </c>
      <c r="K15" s="9">
        <v>1200</v>
      </c>
      <c r="L15" s="9">
        <v>750</v>
      </c>
    </row>
    <row r="16" spans="1:12">
      <c r="B16" s="19">
        <v>1235623</v>
      </c>
      <c r="C16" s="9">
        <v>2288</v>
      </c>
      <c r="D16" s="9">
        <v>0</v>
      </c>
      <c r="E16" s="9">
        <v>936</v>
      </c>
      <c r="F16" s="9">
        <v>0</v>
      </c>
      <c r="G16" s="9">
        <v>1872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</row>
    <row r="17" spans="2:12">
      <c r="B17" s="19">
        <v>1236091</v>
      </c>
      <c r="C17" s="9">
        <v>0</v>
      </c>
      <c r="D17" s="9">
        <v>0</v>
      </c>
      <c r="E17" s="9">
        <v>0</v>
      </c>
      <c r="F17" s="9">
        <v>0</v>
      </c>
      <c r="G17" s="9">
        <v>400</v>
      </c>
      <c r="H17" s="9">
        <v>450</v>
      </c>
      <c r="I17" s="9">
        <v>0</v>
      </c>
      <c r="J17" s="9">
        <v>300</v>
      </c>
      <c r="K17" s="9">
        <v>200</v>
      </c>
      <c r="L17" s="9">
        <v>200</v>
      </c>
    </row>
    <row r="18" spans="2:12">
      <c r="B18" s="19">
        <v>1236488</v>
      </c>
      <c r="C18" s="9">
        <v>700</v>
      </c>
      <c r="D18" s="9">
        <v>300</v>
      </c>
      <c r="E18" s="9">
        <v>0</v>
      </c>
      <c r="F18" s="9">
        <v>0</v>
      </c>
      <c r="G18" s="9">
        <v>900</v>
      </c>
      <c r="H18" s="9">
        <v>700</v>
      </c>
      <c r="I18" s="9">
        <v>700</v>
      </c>
      <c r="J18" s="9">
        <v>1200</v>
      </c>
      <c r="K18" s="9">
        <v>900</v>
      </c>
      <c r="L18" s="9">
        <v>900</v>
      </c>
    </row>
    <row r="19" spans="2:12">
      <c r="B19" s="19">
        <v>1236534</v>
      </c>
      <c r="C19" s="9">
        <v>0</v>
      </c>
      <c r="D19" s="9">
        <v>0</v>
      </c>
      <c r="E19" s="9">
        <v>0</v>
      </c>
      <c r="F19" s="9">
        <v>0</v>
      </c>
      <c r="G19" s="9">
        <v>500</v>
      </c>
      <c r="H19" s="9">
        <v>0</v>
      </c>
      <c r="I19" s="9">
        <v>0</v>
      </c>
      <c r="J19" s="9">
        <v>0</v>
      </c>
      <c r="K19" s="9">
        <v>300</v>
      </c>
      <c r="L19" s="9">
        <v>300</v>
      </c>
    </row>
    <row r="20" spans="2:12">
      <c r="B20" s="19">
        <v>1236962</v>
      </c>
      <c r="C20" s="9">
        <v>0</v>
      </c>
      <c r="D20" s="9">
        <v>800</v>
      </c>
      <c r="E20" s="9">
        <v>700</v>
      </c>
      <c r="F20" s="9">
        <v>0</v>
      </c>
      <c r="G20" s="9">
        <v>0</v>
      </c>
      <c r="H20" s="9">
        <v>0</v>
      </c>
      <c r="I20" s="9">
        <v>0</v>
      </c>
      <c r="J20" s="9">
        <v>700</v>
      </c>
      <c r="K20" s="9">
        <v>700</v>
      </c>
      <c r="L20" s="9">
        <v>700</v>
      </c>
    </row>
    <row r="21" spans="2:12">
      <c r="B21" s="19">
        <v>1237088</v>
      </c>
      <c r="C21" s="9">
        <v>1792</v>
      </c>
      <c r="D21" s="9">
        <v>348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</row>
    <row r="22" spans="2:12">
      <c r="B22" s="19">
        <v>1237586</v>
      </c>
      <c r="C22" s="9">
        <v>896</v>
      </c>
      <c r="D22" s="9">
        <v>0</v>
      </c>
      <c r="E22" s="9">
        <v>0</v>
      </c>
      <c r="F22" s="9">
        <v>0</v>
      </c>
      <c r="G22" s="9">
        <v>2240</v>
      </c>
      <c r="H22" s="9">
        <v>2240</v>
      </c>
      <c r="I22" s="9">
        <v>896</v>
      </c>
      <c r="J22" s="9">
        <v>124</v>
      </c>
      <c r="K22" s="9">
        <v>0</v>
      </c>
      <c r="L22" s="9">
        <v>0</v>
      </c>
    </row>
    <row r="23" spans="2:12">
      <c r="B23" s="19">
        <v>1237748</v>
      </c>
      <c r="C23" s="9">
        <v>824</v>
      </c>
      <c r="D23" s="9">
        <v>832</v>
      </c>
      <c r="E23" s="9">
        <v>780</v>
      </c>
      <c r="F23" s="9">
        <v>0</v>
      </c>
      <c r="G23" s="9">
        <v>572</v>
      </c>
      <c r="H23" s="9">
        <v>260</v>
      </c>
      <c r="I23" s="9">
        <v>208</v>
      </c>
      <c r="J23" s="9">
        <v>0</v>
      </c>
      <c r="K23" s="9">
        <v>633</v>
      </c>
      <c r="L23" s="9">
        <v>416</v>
      </c>
    </row>
    <row r="24" spans="2:12">
      <c r="B24" s="19">
        <v>1238128</v>
      </c>
      <c r="C24" s="9">
        <v>198</v>
      </c>
      <c r="D24" s="9">
        <v>348</v>
      </c>
      <c r="E24" s="9">
        <v>0</v>
      </c>
      <c r="F24" s="9">
        <v>0</v>
      </c>
      <c r="G24" s="9">
        <v>0</v>
      </c>
      <c r="H24" s="9">
        <v>1732</v>
      </c>
      <c r="I24" s="9">
        <v>3820</v>
      </c>
      <c r="J24" s="9">
        <v>1452</v>
      </c>
      <c r="K24" s="9">
        <v>1208</v>
      </c>
      <c r="L24" s="9">
        <v>672</v>
      </c>
    </row>
    <row r="25" spans="2:12">
      <c r="B25" s="19">
        <v>1238480</v>
      </c>
      <c r="C25" s="9">
        <v>1460</v>
      </c>
      <c r="D25" s="9">
        <v>2000</v>
      </c>
      <c r="E25" s="9">
        <v>852</v>
      </c>
      <c r="F25" s="9">
        <v>0</v>
      </c>
      <c r="G25" s="9">
        <v>0</v>
      </c>
      <c r="H25" s="9">
        <v>3000</v>
      </c>
      <c r="I25" s="9">
        <v>3000</v>
      </c>
      <c r="J25" s="9">
        <v>0</v>
      </c>
      <c r="K25" s="9">
        <v>0</v>
      </c>
      <c r="L25" s="9">
        <v>3000</v>
      </c>
    </row>
    <row r="26" spans="2:12">
      <c r="B26" s="19">
        <v>1239651</v>
      </c>
      <c r="C26" s="9">
        <v>400</v>
      </c>
      <c r="D26" s="9">
        <v>400</v>
      </c>
      <c r="E26" s="9">
        <v>600</v>
      </c>
      <c r="F26" s="9">
        <v>0</v>
      </c>
      <c r="G26" s="9">
        <v>950</v>
      </c>
      <c r="H26" s="9">
        <v>800</v>
      </c>
      <c r="I26" s="9">
        <v>800</v>
      </c>
      <c r="J26" s="9">
        <v>0</v>
      </c>
      <c r="K26" s="9">
        <v>0</v>
      </c>
      <c r="L26" s="9">
        <v>0</v>
      </c>
    </row>
    <row r="27" spans="2:12">
      <c r="B27" s="19">
        <v>1239988</v>
      </c>
      <c r="C27" s="9">
        <v>2520</v>
      </c>
      <c r="D27" s="9">
        <v>2640</v>
      </c>
      <c r="E27" s="9">
        <v>1644</v>
      </c>
      <c r="F27" s="9">
        <v>1816</v>
      </c>
      <c r="G27" s="9">
        <v>3600</v>
      </c>
      <c r="H27" s="9">
        <v>3500</v>
      </c>
      <c r="I27" s="9">
        <v>3000</v>
      </c>
      <c r="J27" s="9">
        <v>1600</v>
      </c>
      <c r="K27" s="9">
        <v>2800</v>
      </c>
      <c r="L27" s="9">
        <v>2400</v>
      </c>
    </row>
    <row r="28" spans="2:12">
      <c r="B28" s="19">
        <v>1240180</v>
      </c>
      <c r="C28" s="9">
        <v>432</v>
      </c>
      <c r="D28" s="9">
        <v>2386</v>
      </c>
      <c r="E28" s="9">
        <v>696</v>
      </c>
      <c r="F28" s="9">
        <v>312</v>
      </c>
      <c r="G28" s="9">
        <v>2950</v>
      </c>
      <c r="H28" s="9">
        <v>3100</v>
      </c>
      <c r="I28" s="9">
        <v>2000</v>
      </c>
      <c r="J28" s="9">
        <v>1200</v>
      </c>
      <c r="K28" s="9">
        <v>2200</v>
      </c>
      <c r="L28" s="9">
        <v>2150</v>
      </c>
    </row>
    <row r="29" spans="2:12">
      <c r="B29" s="19">
        <v>1240184</v>
      </c>
      <c r="C29" s="9">
        <v>432</v>
      </c>
      <c r="D29" s="9">
        <v>2186</v>
      </c>
      <c r="E29" s="9">
        <v>696</v>
      </c>
      <c r="F29" s="9">
        <v>312</v>
      </c>
      <c r="G29" s="9">
        <v>2500</v>
      </c>
      <c r="H29" s="9">
        <v>2700</v>
      </c>
      <c r="I29" s="9">
        <v>1800</v>
      </c>
      <c r="J29" s="9">
        <v>1200</v>
      </c>
      <c r="K29" s="9">
        <v>2200</v>
      </c>
      <c r="L29" s="9">
        <v>1800</v>
      </c>
    </row>
    <row r="30" spans="2:12">
      <c r="B30" s="19">
        <v>1240308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200</v>
      </c>
      <c r="K30" s="9">
        <v>1050</v>
      </c>
      <c r="L30" s="9">
        <v>800</v>
      </c>
    </row>
    <row r="31" spans="2:12">
      <c r="B31" s="19">
        <v>1241601</v>
      </c>
      <c r="C31" s="9">
        <v>4300</v>
      </c>
      <c r="D31" s="9">
        <v>4500</v>
      </c>
      <c r="E31" s="9">
        <v>3300</v>
      </c>
      <c r="F31" s="9">
        <v>0</v>
      </c>
      <c r="G31" s="9">
        <v>4400</v>
      </c>
      <c r="H31" s="9">
        <v>4800</v>
      </c>
      <c r="I31" s="9">
        <v>4400</v>
      </c>
      <c r="J31" s="9">
        <v>6100</v>
      </c>
      <c r="K31" s="9">
        <v>5100</v>
      </c>
      <c r="L31" s="9">
        <v>5100</v>
      </c>
    </row>
    <row r="32" spans="2:12">
      <c r="B32" s="19">
        <v>1242242</v>
      </c>
      <c r="C32" s="9">
        <v>0</v>
      </c>
      <c r="D32" s="9">
        <v>200</v>
      </c>
      <c r="E32" s="9">
        <v>900</v>
      </c>
      <c r="F32" s="9">
        <v>0</v>
      </c>
      <c r="G32" s="9">
        <v>800</v>
      </c>
      <c r="H32" s="9">
        <v>650</v>
      </c>
      <c r="I32" s="9">
        <v>0</v>
      </c>
      <c r="J32" s="9">
        <v>0</v>
      </c>
      <c r="K32" s="9">
        <v>600</v>
      </c>
      <c r="L32" s="9">
        <v>500</v>
      </c>
    </row>
    <row r="36" spans="1:12" ht="9" customHeight="1"/>
    <row r="37" spans="1:12" s="19" customFormat="1">
      <c r="A37" s="284"/>
      <c r="B37" s="284" t="s">
        <v>0</v>
      </c>
      <c r="C37" s="285" t="s">
        <v>1255</v>
      </c>
      <c r="D37" s="285" t="s">
        <v>12</v>
      </c>
      <c r="E37" s="285" t="s">
        <v>13</v>
      </c>
      <c r="F37" s="285" t="s">
        <v>14</v>
      </c>
      <c r="G37" s="285" t="s">
        <v>15</v>
      </c>
      <c r="H37" s="285" t="s">
        <v>16</v>
      </c>
      <c r="I37" s="285" t="s">
        <v>17</v>
      </c>
      <c r="J37" s="285" t="s">
        <v>18</v>
      </c>
      <c r="K37" s="285" t="s">
        <v>19</v>
      </c>
      <c r="L37" s="285" t="s">
        <v>20</v>
      </c>
    </row>
    <row r="38" spans="1:12" s="19" customFormat="1">
      <c r="A38" s="284"/>
      <c r="B38" s="284"/>
      <c r="C38" s="285" t="s">
        <v>1256</v>
      </c>
      <c r="D38" s="285" t="s">
        <v>1257</v>
      </c>
      <c r="E38" s="285" t="s">
        <v>1265</v>
      </c>
      <c r="F38" s="285" t="s">
        <v>1273</v>
      </c>
      <c r="G38" s="285" t="s">
        <v>1281</v>
      </c>
      <c r="H38" s="285" t="s">
        <v>1289</v>
      </c>
      <c r="I38" s="285" t="s">
        <v>1297</v>
      </c>
      <c r="J38" s="285" t="s">
        <v>1305</v>
      </c>
      <c r="K38" s="285" t="s">
        <v>1314</v>
      </c>
      <c r="L38" s="285" t="s">
        <v>1322</v>
      </c>
    </row>
    <row r="39" spans="1:12">
      <c r="B39" s="19">
        <v>1206068</v>
      </c>
      <c r="C39" s="9">
        <v>17</v>
      </c>
      <c r="D39" s="9">
        <v>856</v>
      </c>
      <c r="E39" s="9">
        <v>0</v>
      </c>
      <c r="F39" s="9">
        <v>0</v>
      </c>
      <c r="G39" s="9">
        <v>414</v>
      </c>
      <c r="H39" s="9">
        <v>0</v>
      </c>
      <c r="I39" s="9">
        <v>856</v>
      </c>
      <c r="J39" s="9">
        <v>0</v>
      </c>
      <c r="K39" s="9">
        <v>0</v>
      </c>
      <c r="L39" s="9">
        <v>0</v>
      </c>
    </row>
    <row r="40" spans="1:12">
      <c r="B40" s="19">
        <v>1216452</v>
      </c>
      <c r="C40" s="9">
        <v>1170</v>
      </c>
      <c r="D40" s="9">
        <v>36</v>
      </c>
      <c r="E40" s="9">
        <v>1584</v>
      </c>
      <c r="F40" s="9">
        <v>0</v>
      </c>
      <c r="G40" s="9">
        <v>288</v>
      </c>
      <c r="H40" s="9">
        <v>612</v>
      </c>
      <c r="I40" s="9">
        <v>0</v>
      </c>
      <c r="J40" s="9">
        <v>0</v>
      </c>
      <c r="K40" s="9">
        <v>0</v>
      </c>
      <c r="L40" s="9">
        <v>0</v>
      </c>
    </row>
    <row r="41" spans="1:12">
      <c r="B41" s="19">
        <v>1220847</v>
      </c>
      <c r="C41" s="9">
        <v>1405</v>
      </c>
      <c r="D41" s="9">
        <v>905</v>
      </c>
      <c r="E41" s="9">
        <v>0</v>
      </c>
      <c r="F41" s="9">
        <v>9</v>
      </c>
      <c r="G41" s="9">
        <v>1260</v>
      </c>
      <c r="H41" s="9">
        <v>0</v>
      </c>
      <c r="I41" s="9">
        <v>0</v>
      </c>
      <c r="J41" s="9">
        <v>0</v>
      </c>
      <c r="K41" s="9">
        <v>244</v>
      </c>
      <c r="L41" s="9">
        <v>0</v>
      </c>
    </row>
    <row r="42" spans="1:12">
      <c r="B42" s="19">
        <v>1221254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50</v>
      </c>
      <c r="L42" s="9">
        <v>0</v>
      </c>
    </row>
    <row r="43" spans="1:12">
      <c r="B43" s="19">
        <v>1221967</v>
      </c>
      <c r="C43" s="9">
        <v>0</v>
      </c>
      <c r="D43" s="9">
        <v>0</v>
      </c>
      <c r="E43" s="9">
        <v>0</v>
      </c>
      <c r="F43" s="9">
        <v>0</v>
      </c>
      <c r="G43" s="9">
        <v>17</v>
      </c>
      <c r="H43" s="9">
        <v>0</v>
      </c>
      <c r="I43" s="9">
        <v>0</v>
      </c>
      <c r="J43" s="9">
        <v>0</v>
      </c>
      <c r="K43" s="9">
        <v>35</v>
      </c>
      <c r="L43" s="9">
        <v>0</v>
      </c>
    </row>
    <row r="44" spans="1:12">
      <c r="B44" s="19">
        <v>1225464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756</v>
      </c>
      <c r="L44" s="9">
        <v>0</v>
      </c>
    </row>
    <row r="45" spans="1:12">
      <c r="B45" s="19">
        <v>1227306</v>
      </c>
      <c r="C45" s="9">
        <v>1000</v>
      </c>
      <c r="D45" s="9">
        <v>600</v>
      </c>
      <c r="E45" s="9">
        <v>500</v>
      </c>
      <c r="F45" s="9">
        <v>0</v>
      </c>
      <c r="G45" s="9">
        <v>600</v>
      </c>
      <c r="H45" s="9">
        <v>1400</v>
      </c>
      <c r="I45" s="9">
        <v>0</v>
      </c>
      <c r="J45" s="9">
        <v>400</v>
      </c>
      <c r="K45" s="9">
        <v>700</v>
      </c>
      <c r="L45" s="9">
        <v>400</v>
      </c>
    </row>
    <row r="46" spans="1:12">
      <c r="B46" s="19">
        <v>1229050</v>
      </c>
      <c r="C46" s="9">
        <v>140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235</v>
      </c>
      <c r="K46" s="9">
        <v>275</v>
      </c>
      <c r="L46" s="9">
        <v>0</v>
      </c>
    </row>
    <row r="47" spans="1:12">
      <c r="B47" s="19">
        <v>1229088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500</v>
      </c>
      <c r="I47" s="9">
        <v>0</v>
      </c>
      <c r="J47" s="9">
        <v>0</v>
      </c>
      <c r="K47" s="9">
        <v>0</v>
      </c>
      <c r="L47" s="9">
        <v>0</v>
      </c>
    </row>
    <row r="48" spans="1:12">
      <c r="B48" s="19">
        <v>1229776</v>
      </c>
      <c r="C48" s="9">
        <v>90</v>
      </c>
      <c r="D48" s="9">
        <v>0</v>
      </c>
      <c r="E48" s="9">
        <v>0</v>
      </c>
      <c r="F48" s="9">
        <v>0</v>
      </c>
      <c r="G48" s="9">
        <v>250</v>
      </c>
      <c r="H48" s="9">
        <v>180</v>
      </c>
      <c r="I48" s="9">
        <v>0</v>
      </c>
      <c r="J48" s="9">
        <v>0</v>
      </c>
      <c r="K48" s="9">
        <v>0</v>
      </c>
      <c r="L48" s="9">
        <v>0</v>
      </c>
    </row>
    <row r="49" spans="2:12">
      <c r="B49" s="19">
        <v>1230685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500</v>
      </c>
      <c r="L49" s="9">
        <v>0</v>
      </c>
    </row>
    <row r="50" spans="2:12">
      <c r="B50" s="19">
        <v>1231011</v>
      </c>
      <c r="C50" s="9">
        <v>0</v>
      </c>
      <c r="D50" s="9">
        <v>300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</row>
    <row r="51" spans="2:12">
      <c r="B51" s="19">
        <v>1231090</v>
      </c>
      <c r="C51" s="9">
        <v>496</v>
      </c>
      <c r="D51" s="9">
        <v>0</v>
      </c>
      <c r="E51" s="9">
        <v>0</v>
      </c>
      <c r="F51" s="9">
        <v>0</v>
      </c>
      <c r="G51" s="9">
        <v>705</v>
      </c>
      <c r="H51" s="9">
        <v>180</v>
      </c>
      <c r="I51" s="9">
        <v>461</v>
      </c>
      <c r="J51" s="9">
        <v>927</v>
      </c>
      <c r="K51" s="9">
        <v>0</v>
      </c>
      <c r="L51" s="9">
        <v>0</v>
      </c>
    </row>
    <row r="52" spans="2:12">
      <c r="B52" s="19">
        <v>1231578</v>
      </c>
      <c r="C52" s="9">
        <v>100</v>
      </c>
      <c r="D52" s="9">
        <v>200</v>
      </c>
      <c r="E52" s="9">
        <v>0</v>
      </c>
      <c r="F52" s="9">
        <v>0</v>
      </c>
      <c r="G52" s="9">
        <v>200</v>
      </c>
      <c r="H52" s="9">
        <v>400</v>
      </c>
      <c r="I52" s="9">
        <v>0</v>
      </c>
      <c r="J52" s="9">
        <v>0</v>
      </c>
      <c r="K52" s="9">
        <v>200</v>
      </c>
      <c r="L52" s="9">
        <v>200</v>
      </c>
    </row>
    <row r="53" spans="2:12">
      <c r="B53" s="19">
        <v>1231797</v>
      </c>
      <c r="C53" s="9">
        <v>0</v>
      </c>
      <c r="D53" s="9">
        <v>0</v>
      </c>
      <c r="E53" s="9">
        <v>0</v>
      </c>
      <c r="F53" s="9">
        <v>0</v>
      </c>
      <c r="G53" s="9">
        <v>106</v>
      </c>
      <c r="H53" s="9">
        <v>0</v>
      </c>
      <c r="I53" s="9">
        <v>0</v>
      </c>
      <c r="J53" s="9">
        <v>0</v>
      </c>
      <c r="K53" s="9">
        <v>0</v>
      </c>
      <c r="L53" s="9">
        <v>119</v>
      </c>
    </row>
    <row r="54" spans="2:12">
      <c r="B54" s="19">
        <v>1231860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100</v>
      </c>
      <c r="L54" s="9">
        <v>0</v>
      </c>
    </row>
    <row r="55" spans="2:12">
      <c r="B55" s="19">
        <v>1232066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72</v>
      </c>
      <c r="I55" s="9">
        <v>180</v>
      </c>
      <c r="J55" s="9">
        <v>0</v>
      </c>
      <c r="K55" s="9">
        <v>0</v>
      </c>
      <c r="L55" s="9">
        <v>0</v>
      </c>
    </row>
    <row r="56" spans="2:12">
      <c r="B56" s="19">
        <v>1232528</v>
      </c>
      <c r="C56" s="9">
        <v>8099</v>
      </c>
      <c r="D56" s="9">
        <v>5771</v>
      </c>
      <c r="E56" s="9">
        <v>5428</v>
      </c>
      <c r="F56" s="9">
        <v>0</v>
      </c>
      <c r="G56" s="9">
        <v>1350</v>
      </c>
      <c r="H56" s="9">
        <v>2000</v>
      </c>
      <c r="I56" s="9">
        <v>2000</v>
      </c>
      <c r="J56" s="9">
        <v>2900</v>
      </c>
      <c r="K56" s="9">
        <v>3177</v>
      </c>
      <c r="L56" s="9">
        <v>3000</v>
      </c>
    </row>
    <row r="57" spans="2:12" s="3" customFormat="1">
      <c r="B57" s="192">
        <v>1232553</v>
      </c>
      <c r="C57" s="11">
        <v>108</v>
      </c>
      <c r="D57" s="11">
        <v>108</v>
      </c>
      <c r="E57" s="11">
        <v>0</v>
      </c>
      <c r="F57" s="11">
        <v>0</v>
      </c>
      <c r="G57" s="11">
        <v>0</v>
      </c>
      <c r="H57" s="11">
        <v>108</v>
      </c>
      <c r="I57" s="11">
        <v>0</v>
      </c>
      <c r="J57" s="11">
        <v>0</v>
      </c>
      <c r="K57" s="11">
        <v>0</v>
      </c>
      <c r="L57" s="11">
        <v>0</v>
      </c>
    </row>
    <row r="58" spans="2:12">
      <c r="B58" s="19">
        <v>1232693</v>
      </c>
      <c r="C58" s="9">
        <v>0</v>
      </c>
      <c r="D58" s="9">
        <v>0</v>
      </c>
      <c r="E58" s="9">
        <v>0</v>
      </c>
      <c r="F58" s="9">
        <v>0</v>
      </c>
      <c r="G58" s="9">
        <v>1000</v>
      </c>
      <c r="H58" s="9">
        <v>974</v>
      </c>
      <c r="I58" s="9">
        <v>1000</v>
      </c>
      <c r="J58" s="9">
        <v>1113</v>
      </c>
      <c r="K58" s="9">
        <v>46</v>
      </c>
      <c r="L58" s="9">
        <v>0</v>
      </c>
    </row>
    <row r="59" spans="2:12">
      <c r="B59" s="19">
        <v>1232775</v>
      </c>
      <c r="C59" s="9">
        <v>100</v>
      </c>
      <c r="D59" s="9">
        <v>1045</v>
      </c>
      <c r="E59" s="9">
        <v>600</v>
      </c>
      <c r="F59" s="9">
        <v>0</v>
      </c>
      <c r="G59" s="9">
        <v>346</v>
      </c>
      <c r="H59" s="9">
        <v>0</v>
      </c>
      <c r="I59" s="9">
        <v>0</v>
      </c>
      <c r="J59" s="9">
        <v>0</v>
      </c>
      <c r="K59" s="9">
        <v>1700</v>
      </c>
      <c r="L59" s="9">
        <v>2157</v>
      </c>
    </row>
    <row r="60" spans="2:12">
      <c r="B60" s="19">
        <v>1232846</v>
      </c>
      <c r="C60" s="9">
        <v>798</v>
      </c>
      <c r="D60" s="9">
        <v>168</v>
      </c>
      <c r="E60" s="9">
        <v>0</v>
      </c>
      <c r="F60" s="9">
        <v>0</v>
      </c>
      <c r="G60" s="9">
        <v>530</v>
      </c>
      <c r="H60" s="9">
        <v>0</v>
      </c>
      <c r="I60" s="9">
        <v>240</v>
      </c>
      <c r="J60" s="9">
        <v>739</v>
      </c>
      <c r="K60" s="9">
        <v>600</v>
      </c>
      <c r="L60" s="9">
        <v>651</v>
      </c>
    </row>
    <row r="61" spans="2:12">
      <c r="B61" s="19">
        <v>1232894</v>
      </c>
      <c r="C61" s="9">
        <v>512</v>
      </c>
      <c r="D61" s="9">
        <v>168</v>
      </c>
      <c r="E61" s="9">
        <v>0</v>
      </c>
      <c r="F61" s="9">
        <v>0</v>
      </c>
      <c r="G61" s="9">
        <v>288</v>
      </c>
      <c r="H61" s="9">
        <v>0</v>
      </c>
      <c r="I61" s="9">
        <v>240</v>
      </c>
      <c r="J61" s="9">
        <v>539</v>
      </c>
      <c r="K61" s="9">
        <v>100</v>
      </c>
      <c r="L61" s="9">
        <v>0</v>
      </c>
    </row>
    <row r="62" spans="2:12">
      <c r="B62" s="19">
        <v>1232895</v>
      </c>
      <c r="C62" s="9">
        <v>286</v>
      </c>
      <c r="D62" s="9">
        <v>0</v>
      </c>
      <c r="E62" s="9">
        <v>0</v>
      </c>
      <c r="F62" s="9">
        <v>0</v>
      </c>
      <c r="G62" s="9">
        <v>242</v>
      </c>
      <c r="H62" s="9">
        <v>0</v>
      </c>
      <c r="I62" s="9">
        <v>0</v>
      </c>
      <c r="J62" s="9">
        <v>200</v>
      </c>
      <c r="K62" s="9">
        <v>500</v>
      </c>
      <c r="L62" s="9">
        <v>651</v>
      </c>
    </row>
    <row r="63" spans="2:12">
      <c r="B63" s="19">
        <v>1232922</v>
      </c>
      <c r="C63" s="9">
        <v>286</v>
      </c>
      <c r="D63" s="9">
        <v>0</v>
      </c>
      <c r="E63" s="9">
        <v>0</v>
      </c>
      <c r="F63" s="9">
        <v>0</v>
      </c>
      <c r="G63" s="9">
        <v>242</v>
      </c>
      <c r="H63" s="9">
        <v>0</v>
      </c>
      <c r="I63" s="9">
        <v>0</v>
      </c>
      <c r="J63" s="9">
        <v>0</v>
      </c>
      <c r="K63" s="9">
        <v>0</v>
      </c>
      <c r="L63" s="9">
        <v>251</v>
      </c>
    </row>
    <row r="64" spans="2:12">
      <c r="B64" s="19">
        <v>1232982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100</v>
      </c>
      <c r="J64" s="9">
        <v>0</v>
      </c>
      <c r="K64" s="9">
        <v>0</v>
      </c>
      <c r="L64" s="9">
        <v>0</v>
      </c>
    </row>
    <row r="65" spans="2:12">
      <c r="B65" s="19">
        <v>1233025</v>
      </c>
      <c r="C65" s="9">
        <v>0</v>
      </c>
      <c r="D65" s="9">
        <v>0</v>
      </c>
      <c r="E65" s="9">
        <v>0</v>
      </c>
      <c r="F65" s="9">
        <v>0</v>
      </c>
      <c r="G65" s="9">
        <v>1000</v>
      </c>
      <c r="H65" s="9">
        <v>974</v>
      </c>
      <c r="I65" s="9">
        <v>1000</v>
      </c>
      <c r="J65" s="9">
        <v>1113</v>
      </c>
      <c r="K65" s="9">
        <v>46</v>
      </c>
      <c r="L65" s="9">
        <v>0</v>
      </c>
    </row>
    <row r="66" spans="2:12">
      <c r="B66" s="19">
        <v>1233165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200</v>
      </c>
    </row>
    <row r="67" spans="2:12">
      <c r="B67" s="19">
        <v>1233383</v>
      </c>
      <c r="C67" s="9">
        <v>52</v>
      </c>
      <c r="D67" s="9">
        <v>0</v>
      </c>
      <c r="E67" s="9">
        <v>0</v>
      </c>
      <c r="F67" s="9">
        <v>0</v>
      </c>
      <c r="G67" s="9">
        <v>122</v>
      </c>
      <c r="H67" s="9">
        <v>0</v>
      </c>
      <c r="I67" s="9">
        <v>0</v>
      </c>
      <c r="J67" s="9">
        <v>0</v>
      </c>
      <c r="K67" s="9">
        <v>0</v>
      </c>
      <c r="L67" s="9">
        <v>132</v>
      </c>
    </row>
    <row r="68" spans="2:12">
      <c r="B68" s="19">
        <v>1233384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200</v>
      </c>
      <c r="K68" s="9">
        <v>500</v>
      </c>
      <c r="L68" s="9">
        <v>400</v>
      </c>
    </row>
    <row r="69" spans="2:12">
      <c r="B69" s="19">
        <v>1233385</v>
      </c>
      <c r="C69" s="9">
        <v>0</v>
      </c>
      <c r="D69" s="9">
        <v>168</v>
      </c>
      <c r="E69" s="9">
        <v>0</v>
      </c>
      <c r="F69" s="9">
        <v>0</v>
      </c>
      <c r="G69" s="9">
        <v>0</v>
      </c>
      <c r="H69" s="9">
        <v>0</v>
      </c>
      <c r="I69" s="9">
        <v>240</v>
      </c>
      <c r="J69" s="9">
        <v>0</v>
      </c>
      <c r="K69" s="9">
        <v>0</v>
      </c>
      <c r="L69" s="9">
        <v>0</v>
      </c>
    </row>
    <row r="70" spans="2:12">
      <c r="B70" s="19">
        <v>1233386</v>
      </c>
      <c r="C70" s="9">
        <v>512</v>
      </c>
      <c r="D70" s="9">
        <v>0</v>
      </c>
      <c r="E70" s="9">
        <v>0</v>
      </c>
      <c r="F70" s="9">
        <v>0</v>
      </c>
      <c r="G70" s="9">
        <v>288</v>
      </c>
      <c r="H70" s="9">
        <v>0</v>
      </c>
      <c r="I70" s="9">
        <v>0</v>
      </c>
      <c r="J70" s="9">
        <v>539</v>
      </c>
      <c r="K70" s="9">
        <v>0</v>
      </c>
      <c r="L70" s="9">
        <v>0</v>
      </c>
    </row>
    <row r="71" spans="2:12">
      <c r="B71" s="19">
        <v>1233387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100</v>
      </c>
      <c r="L71" s="9">
        <v>0</v>
      </c>
    </row>
    <row r="72" spans="2:12">
      <c r="B72" s="19">
        <v>1234110</v>
      </c>
      <c r="C72" s="9">
        <v>0</v>
      </c>
      <c r="D72" s="9">
        <v>0</v>
      </c>
      <c r="E72" s="9">
        <v>190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</row>
    <row r="73" spans="2:12">
      <c r="B73" s="19">
        <v>1234111</v>
      </c>
      <c r="C73" s="9">
        <v>0</v>
      </c>
      <c r="D73" s="9">
        <v>0</v>
      </c>
      <c r="E73" s="9">
        <v>190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</row>
    <row r="74" spans="2:12">
      <c r="B74" s="19">
        <v>1234217</v>
      </c>
      <c r="C74" s="9">
        <v>0</v>
      </c>
      <c r="D74" s="9">
        <v>0</v>
      </c>
      <c r="E74" s="9">
        <v>190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</row>
    <row r="75" spans="2:12">
      <c r="B75" s="19">
        <v>1234222</v>
      </c>
      <c r="C75" s="9">
        <v>1180</v>
      </c>
      <c r="D75" s="9">
        <v>713</v>
      </c>
      <c r="E75" s="9">
        <v>0</v>
      </c>
      <c r="F75" s="9">
        <v>0</v>
      </c>
      <c r="G75" s="9">
        <v>0</v>
      </c>
      <c r="H75" s="9">
        <v>0</v>
      </c>
      <c r="I75" s="9">
        <v>713</v>
      </c>
      <c r="J75" s="9">
        <v>0</v>
      </c>
      <c r="K75" s="9">
        <v>0</v>
      </c>
      <c r="L75" s="9">
        <v>0</v>
      </c>
    </row>
    <row r="76" spans="2:12">
      <c r="B76" s="19">
        <v>1234614</v>
      </c>
      <c r="C76" s="9">
        <v>0</v>
      </c>
      <c r="D76" s="9">
        <v>432</v>
      </c>
      <c r="E76" s="9">
        <v>0</v>
      </c>
      <c r="F76" s="9">
        <v>0</v>
      </c>
      <c r="G76" s="9">
        <v>400</v>
      </c>
      <c r="H76" s="9">
        <v>400</v>
      </c>
      <c r="I76" s="9">
        <v>0</v>
      </c>
      <c r="J76" s="9">
        <v>400</v>
      </c>
      <c r="K76" s="9">
        <v>300</v>
      </c>
      <c r="L76" s="9">
        <v>300</v>
      </c>
    </row>
    <row r="77" spans="2:12">
      <c r="B77" s="19">
        <v>1235097</v>
      </c>
      <c r="C77" s="9">
        <v>300</v>
      </c>
      <c r="D77" s="9">
        <v>840</v>
      </c>
      <c r="E77" s="9">
        <v>0</v>
      </c>
      <c r="F77" s="9">
        <v>0</v>
      </c>
      <c r="G77" s="9">
        <v>600</v>
      </c>
      <c r="H77" s="9">
        <v>500</v>
      </c>
      <c r="I77" s="9">
        <v>0</v>
      </c>
      <c r="J77" s="9">
        <v>0</v>
      </c>
      <c r="K77" s="9">
        <v>400</v>
      </c>
      <c r="L77" s="9">
        <v>400</v>
      </c>
    </row>
    <row r="78" spans="2:12">
      <c r="B78" s="19">
        <v>1235845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790</v>
      </c>
      <c r="J78" s="9">
        <v>0</v>
      </c>
      <c r="K78" s="9">
        <v>0</v>
      </c>
      <c r="L78" s="9">
        <v>0</v>
      </c>
    </row>
    <row r="79" spans="2:12">
      <c r="B79" s="19">
        <v>1236387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200</v>
      </c>
      <c r="K79" s="9">
        <v>300</v>
      </c>
      <c r="L79" s="9">
        <v>300</v>
      </c>
    </row>
    <row r="80" spans="2:12">
      <c r="B80" s="19">
        <v>1236600</v>
      </c>
      <c r="C80" s="9">
        <v>1150</v>
      </c>
      <c r="D80" s="9">
        <v>0</v>
      </c>
      <c r="E80" s="9">
        <v>0</v>
      </c>
      <c r="F80" s="9">
        <v>0</v>
      </c>
      <c r="G80" s="9">
        <v>748</v>
      </c>
      <c r="H80" s="9">
        <v>0</v>
      </c>
      <c r="I80" s="9">
        <v>0</v>
      </c>
      <c r="J80" s="9">
        <v>0</v>
      </c>
      <c r="K80" s="9">
        <v>0</v>
      </c>
      <c r="L80" s="9">
        <v>761</v>
      </c>
    </row>
    <row r="81" spans="2:12">
      <c r="B81" s="19">
        <v>1236601</v>
      </c>
      <c r="C81" s="9">
        <v>100</v>
      </c>
      <c r="D81" s="9">
        <v>0</v>
      </c>
      <c r="E81" s="9">
        <v>0</v>
      </c>
      <c r="F81" s="9">
        <v>0</v>
      </c>
      <c r="G81" s="9">
        <v>84</v>
      </c>
      <c r="H81" s="9">
        <v>0</v>
      </c>
      <c r="I81" s="9">
        <v>0</v>
      </c>
      <c r="J81" s="9">
        <v>0</v>
      </c>
      <c r="K81" s="9">
        <v>0</v>
      </c>
      <c r="L81" s="9">
        <v>87</v>
      </c>
    </row>
    <row r="82" spans="2:12">
      <c r="B82" s="19">
        <v>1236619</v>
      </c>
      <c r="C82" s="9">
        <v>0</v>
      </c>
      <c r="D82" s="9">
        <v>0</v>
      </c>
      <c r="E82" s="9">
        <v>0</v>
      </c>
      <c r="F82" s="9">
        <v>0</v>
      </c>
      <c r="G82" s="9">
        <v>270</v>
      </c>
      <c r="H82" s="9">
        <v>0</v>
      </c>
      <c r="I82" s="9">
        <v>0</v>
      </c>
      <c r="J82" s="9">
        <v>0</v>
      </c>
      <c r="K82" s="9">
        <v>360</v>
      </c>
      <c r="L82" s="9">
        <v>0</v>
      </c>
    </row>
    <row r="83" spans="2:12">
      <c r="B83" s="19">
        <v>1236930</v>
      </c>
      <c r="C83" s="9">
        <v>1480</v>
      </c>
      <c r="D83" s="9">
        <v>2042</v>
      </c>
      <c r="E83" s="9">
        <v>0</v>
      </c>
      <c r="F83" s="9">
        <v>0</v>
      </c>
      <c r="G83" s="9">
        <v>1458</v>
      </c>
      <c r="H83" s="9">
        <v>1970</v>
      </c>
      <c r="I83" s="9">
        <v>2212</v>
      </c>
      <c r="J83" s="9">
        <v>900</v>
      </c>
      <c r="K83" s="9">
        <v>3237</v>
      </c>
      <c r="L83" s="9">
        <v>1600</v>
      </c>
    </row>
    <row r="84" spans="2:12">
      <c r="B84" s="19">
        <v>1237210</v>
      </c>
      <c r="C84" s="9">
        <v>196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375</v>
      </c>
      <c r="J84" s="9">
        <v>0</v>
      </c>
      <c r="K84" s="9">
        <v>0</v>
      </c>
      <c r="L84" s="9">
        <v>0</v>
      </c>
    </row>
    <row r="85" spans="2:12">
      <c r="B85" s="19">
        <v>1237386</v>
      </c>
      <c r="C85" s="9">
        <v>210</v>
      </c>
      <c r="D85" s="9">
        <v>0</v>
      </c>
      <c r="E85" s="9">
        <v>0</v>
      </c>
      <c r="F85" s="9">
        <v>0</v>
      </c>
      <c r="G85" s="9">
        <v>300</v>
      </c>
      <c r="H85" s="9">
        <v>0</v>
      </c>
      <c r="I85" s="9">
        <v>0</v>
      </c>
      <c r="J85" s="9">
        <v>0</v>
      </c>
      <c r="K85" s="9">
        <v>360</v>
      </c>
      <c r="L85" s="9">
        <v>0</v>
      </c>
    </row>
    <row r="86" spans="2:12">
      <c r="B86" s="19">
        <v>1237457</v>
      </c>
      <c r="C86" s="9">
        <v>0</v>
      </c>
      <c r="D86" s="9">
        <v>0</v>
      </c>
      <c r="E86" s="9">
        <v>0</v>
      </c>
      <c r="F86" s="9">
        <v>0</v>
      </c>
      <c r="G86" s="9">
        <v>18</v>
      </c>
      <c r="H86" s="9">
        <v>0</v>
      </c>
      <c r="I86" s="9">
        <v>0</v>
      </c>
      <c r="J86" s="9">
        <v>0</v>
      </c>
      <c r="K86" s="9">
        <v>72</v>
      </c>
      <c r="L86" s="9">
        <v>0</v>
      </c>
    </row>
    <row r="87" spans="2:12">
      <c r="B87" s="19">
        <v>1237468</v>
      </c>
      <c r="C87" s="9">
        <v>176</v>
      </c>
      <c r="D87" s="9">
        <v>432</v>
      </c>
      <c r="E87" s="9">
        <v>0</v>
      </c>
      <c r="F87" s="9">
        <v>0</v>
      </c>
      <c r="G87" s="9">
        <v>70</v>
      </c>
      <c r="H87" s="9">
        <v>0</v>
      </c>
      <c r="I87" s="9">
        <v>0</v>
      </c>
      <c r="J87" s="9">
        <v>0</v>
      </c>
      <c r="K87" s="9">
        <v>0</v>
      </c>
      <c r="L87" s="9">
        <v>80</v>
      </c>
    </row>
    <row r="88" spans="2:12">
      <c r="B88" s="19">
        <v>1238453</v>
      </c>
      <c r="C88" s="9">
        <v>672</v>
      </c>
      <c r="D88" s="9">
        <v>0</v>
      </c>
      <c r="E88" s="9">
        <v>0</v>
      </c>
      <c r="F88" s="9">
        <v>0</v>
      </c>
      <c r="G88" s="9">
        <v>113</v>
      </c>
      <c r="H88" s="9">
        <v>0</v>
      </c>
      <c r="I88" s="9">
        <v>0</v>
      </c>
      <c r="J88" s="9">
        <v>0</v>
      </c>
      <c r="K88" s="9">
        <v>0</v>
      </c>
      <c r="L88" s="9">
        <v>133</v>
      </c>
    </row>
    <row r="89" spans="2:12">
      <c r="B89" s="19">
        <v>1238480</v>
      </c>
      <c r="C89" s="9">
        <v>7730</v>
      </c>
      <c r="D89" s="9">
        <v>6687</v>
      </c>
      <c r="E89" s="9">
        <v>5815</v>
      </c>
      <c r="F89" s="9">
        <v>0</v>
      </c>
      <c r="G89" s="9">
        <v>1600</v>
      </c>
      <c r="H89" s="9">
        <v>3034</v>
      </c>
      <c r="I89" s="9">
        <v>1635</v>
      </c>
      <c r="J89" s="9">
        <v>3895</v>
      </c>
      <c r="K89" s="9">
        <v>6403</v>
      </c>
      <c r="L89" s="9">
        <v>2900</v>
      </c>
    </row>
    <row r="90" spans="2:12">
      <c r="B90" s="19">
        <v>1238605</v>
      </c>
      <c r="C90" s="9">
        <v>0</v>
      </c>
      <c r="D90" s="9">
        <v>0</v>
      </c>
      <c r="E90" s="9">
        <v>30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spans="2:12">
      <c r="B91" s="19">
        <v>1240180</v>
      </c>
      <c r="C91" s="9">
        <v>600</v>
      </c>
      <c r="D91" s="9">
        <v>200</v>
      </c>
      <c r="E91" s="9">
        <v>0</v>
      </c>
      <c r="F91" s="9">
        <v>0</v>
      </c>
      <c r="G91" s="9">
        <v>1282</v>
      </c>
      <c r="H91" s="9">
        <v>550</v>
      </c>
      <c r="I91" s="9">
        <v>0</v>
      </c>
      <c r="J91" s="9">
        <v>200</v>
      </c>
      <c r="K91" s="9">
        <v>400</v>
      </c>
      <c r="L91" s="9">
        <v>350</v>
      </c>
    </row>
    <row r="92" spans="2:12">
      <c r="B92" s="19">
        <v>1240184</v>
      </c>
      <c r="C92" s="9">
        <v>600</v>
      </c>
      <c r="D92" s="9">
        <v>200</v>
      </c>
      <c r="E92" s="9">
        <v>0</v>
      </c>
      <c r="F92" s="9">
        <v>0</v>
      </c>
      <c r="G92" s="9">
        <v>1282</v>
      </c>
      <c r="H92" s="9">
        <v>550</v>
      </c>
      <c r="I92" s="9">
        <v>0</v>
      </c>
      <c r="J92" s="9">
        <v>200</v>
      </c>
      <c r="K92" s="9">
        <v>400</v>
      </c>
      <c r="L92" s="9">
        <v>350</v>
      </c>
    </row>
    <row r="93" spans="2:12">
      <c r="B93" s="19">
        <v>1241343</v>
      </c>
      <c r="C93" s="9">
        <v>0</v>
      </c>
      <c r="D93" s="9">
        <v>0</v>
      </c>
      <c r="E93" s="9">
        <v>0</v>
      </c>
      <c r="F93" s="9">
        <v>0</v>
      </c>
      <c r="G93" s="9">
        <v>36</v>
      </c>
      <c r="H93" s="9">
        <v>72</v>
      </c>
      <c r="I93" s="9">
        <v>0</v>
      </c>
      <c r="J93" s="9">
        <v>0</v>
      </c>
      <c r="K93" s="9">
        <v>0</v>
      </c>
      <c r="L93" s="9">
        <v>0</v>
      </c>
    </row>
    <row r="94" spans="2:12">
      <c r="B94" s="19">
        <v>1241347</v>
      </c>
      <c r="C94" s="9">
        <v>0</v>
      </c>
      <c r="D94" s="9">
        <v>0</v>
      </c>
      <c r="E94" s="9">
        <v>0</v>
      </c>
      <c r="F94" s="9">
        <v>0</v>
      </c>
      <c r="G94" s="9">
        <v>36</v>
      </c>
      <c r="H94" s="9">
        <v>72</v>
      </c>
      <c r="I94" s="9">
        <v>0</v>
      </c>
      <c r="J94" s="9">
        <v>0</v>
      </c>
      <c r="K94" s="9">
        <v>0</v>
      </c>
      <c r="L94" s="9">
        <v>0</v>
      </c>
    </row>
    <row r="95" spans="2:12">
      <c r="B95" s="19">
        <v>1241387</v>
      </c>
      <c r="C95" s="9">
        <v>0</v>
      </c>
      <c r="D95" s="9">
        <v>0</v>
      </c>
      <c r="E95" s="9">
        <v>0</v>
      </c>
      <c r="F95" s="9">
        <v>0</v>
      </c>
      <c r="G95" s="9">
        <v>224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</row>
    <row r="96" spans="2:12">
      <c r="B96" s="19">
        <v>1241474</v>
      </c>
      <c r="C96" s="9">
        <v>0</v>
      </c>
      <c r="D96" s="9">
        <v>0</v>
      </c>
      <c r="E96" s="9">
        <v>0</v>
      </c>
      <c r="F96" s="9">
        <v>0</v>
      </c>
      <c r="G96" s="9">
        <v>223</v>
      </c>
      <c r="H96" s="9">
        <v>72</v>
      </c>
      <c r="I96" s="9">
        <v>0</v>
      </c>
      <c r="J96" s="9">
        <v>0</v>
      </c>
      <c r="K96" s="9">
        <v>0</v>
      </c>
      <c r="L96" s="9">
        <v>0</v>
      </c>
    </row>
    <row r="97" spans="2:12">
      <c r="B97" s="19">
        <v>1241480</v>
      </c>
      <c r="C97" s="9">
        <v>0</v>
      </c>
      <c r="D97" s="9">
        <v>0</v>
      </c>
      <c r="E97" s="9">
        <v>0</v>
      </c>
      <c r="F97" s="9">
        <v>0</v>
      </c>
      <c r="G97" s="9">
        <v>93</v>
      </c>
      <c r="H97" s="9">
        <v>252</v>
      </c>
      <c r="I97" s="9">
        <v>0</v>
      </c>
      <c r="J97" s="9">
        <v>0</v>
      </c>
      <c r="K97" s="9">
        <v>0</v>
      </c>
      <c r="L97" s="9">
        <v>0</v>
      </c>
    </row>
  </sheetData>
  <phoneticPr fontId="11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239C-DB00-437B-B9F6-79F284B9C417}">
  <dimension ref="A1:X68"/>
  <sheetViews>
    <sheetView tabSelected="1" zoomScale="160" zoomScaleNormal="160" workbookViewId="0">
      <selection activeCell="L15" sqref="L14:L15"/>
    </sheetView>
  </sheetViews>
  <sheetFormatPr defaultRowHeight="12"/>
  <cols>
    <col min="1" max="1" width="10.1640625" style="5" bestFit="1" customWidth="1"/>
    <col min="2" max="2" width="9.5" style="9" bestFit="1" customWidth="1"/>
    <col min="3" max="18" width="9.5" style="9" customWidth="1"/>
    <col min="19" max="19" width="9.5" style="9" bestFit="1" customWidth="1"/>
    <col min="20" max="24" width="9.33203125" style="9"/>
    <col min="25" max="16384" width="9.33203125" style="5"/>
  </cols>
  <sheetData>
    <row r="1" spans="1:19">
      <c r="A1" s="5" t="s">
        <v>0</v>
      </c>
      <c r="B1" s="9" t="s">
        <v>1301</v>
      </c>
      <c r="C1" s="9" t="s">
        <v>1302</v>
      </c>
      <c r="D1" s="9" t="s">
        <v>1303</v>
      </c>
      <c r="E1" s="9" t="s">
        <v>1304</v>
      </c>
      <c r="F1" s="9" t="s">
        <v>1307</v>
      </c>
      <c r="G1" s="9" t="s">
        <v>1308</v>
      </c>
      <c r="H1" s="9" t="s">
        <v>1309</v>
      </c>
      <c r="I1" s="9" t="s">
        <v>1310</v>
      </c>
      <c r="J1" s="9" t="s">
        <v>1311</v>
      </c>
      <c r="K1" s="9" t="s">
        <v>1312</v>
      </c>
      <c r="L1" s="9" t="s">
        <v>1313</v>
      </c>
      <c r="M1" s="9" t="s">
        <v>1315</v>
      </c>
      <c r="N1" s="9" t="s">
        <v>1316</v>
      </c>
      <c r="O1" s="9" t="s">
        <v>1317</v>
      </c>
      <c r="P1" s="9" t="s">
        <v>1318</v>
      </c>
      <c r="Q1" s="9" t="s">
        <v>1319</v>
      </c>
      <c r="R1" s="9" t="s">
        <v>1320</v>
      </c>
      <c r="S1" s="9" t="s">
        <v>1321</v>
      </c>
    </row>
    <row r="2" spans="1:19">
      <c r="A2" s="5">
        <v>1226384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280</v>
      </c>
      <c r="Q2" s="9">
        <v>280</v>
      </c>
      <c r="R2" s="9">
        <v>0</v>
      </c>
      <c r="S2" s="9">
        <v>0</v>
      </c>
    </row>
    <row r="3" spans="1:19">
      <c r="A3" s="5">
        <v>1226388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280</v>
      </c>
      <c r="Q3" s="9">
        <v>280</v>
      </c>
      <c r="R3" s="9">
        <v>0</v>
      </c>
      <c r="S3" s="9">
        <v>0</v>
      </c>
    </row>
    <row r="4" spans="1:19">
      <c r="A4" s="5">
        <v>1229673</v>
      </c>
      <c r="B4" s="9">
        <v>200</v>
      </c>
      <c r="C4" s="9">
        <v>200</v>
      </c>
      <c r="D4" s="9">
        <v>0</v>
      </c>
      <c r="E4" s="9">
        <v>0</v>
      </c>
      <c r="F4" s="9">
        <v>300</v>
      </c>
      <c r="G4" s="9">
        <v>300</v>
      </c>
      <c r="H4" s="9">
        <v>200</v>
      </c>
      <c r="I4" s="9">
        <v>200</v>
      </c>
      <c r="J4" s="9">
        <v>200</v>
      </c>
      <c r="K4" s="9">
        <v>0</v>
      </c>
      <c r="L4" s="9">
        <v>0</v>
      </c>
      <c r="M4" s="9">
        <v>200</v>
      </c>
      <c r="N4" s="9">
        <v>200</v>
      </c>
      <c r="O4" s="9">
        <v>200</v>
      </c>
      <c r="P4" s="9">
        <v>0</v>
      </c>
      <c r="Q4" s="9">
        <v>164</v>
      </c>
      <c r="R4" s="9">
        <v>0</v>
      </c>
      <c r="S4" s="9">
        <v>0</v>
      </c>
    </row>
    <row r="5" spans="1:19">
      <c r="A5" s="5">
        <v>1235623</v>
      </c>
      <c r="B5" s="9">
        <v>482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</row>
    <row r="6" spans="1:19">
      <c r="A6" s="5">
        <v>1237088</v>
      </c>
      <c r="B6" s="9">
        <v>974</v>
      </c>
      <c r="C6" s="9">
        <v>444</v>
      </c>
      <c r="D6" s="9">
        <v>0</v>
      </c>
      <c r="E6" s="9">
        <v>0</v>
      </c>
      <c r="F6" s="9">
        <v>862</v>
      </c>
      <c r="G6" s="9">
        <v>954</v>
      </c>
      <c r="H6" s="9">
        <v>1066</v>
      </c>
      <c r="I6" s="9">
        <v>1048</v>
      </c>
      <c r="J6" s="9">
        <v>754</v>
      </c>
      <c r="K6" s="9">
        <v>0</v>
      </c>
      <c r="L6" s="9">
        <v>0</v>
      </c>
      <c r="M6" s="9">
        <v>712</v>
      </c>
      <c r="N6" s="9">
        <v>612</v>
      </c>
      <c r="O6" s="9">
        <v>320</v>
      </c>
      <c r="P6" s="9">
        <v>614</v>
      </c>
      <c r="Q6" s="9">
        <v>0</v>
      </c>
      <c r="R6" s="9">
        <v>0</v>
      </c>
      <c r="S6" s="9">
        <v>0</v>
      </c>
    </row>
    <row r="7" spans="1:19">
      <c r="A7" s="5">
        <v>1237748</v>
      </c>
      <c r="B7" s="9">
        <v>404</v>
      </c>
      <c r="C7" s="9">
        <v>728</v>
      </c>
      <c r="D7" s="9">
        <v>0</v>
      </c>
      <c r="E7" s="9">
        <v>0</v>
      </c>
      <c r="F7" s="9">
        <v>64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714</v>
      </c>
      <c r="N7" s="9">
        <v>830</v>
      </c>
      <c r="O7" s="9">
        <v>660</v>
      </c>
      <c r="P7" s="9">
        <v>536</v>
      </c>
      <c r="Q7" s="9">
        <v>0</v>
      </c>
      <c r="R7" s="9">
        <v>0</v>
      </c>
      <c r="S7" s="9">
        <v>0</v>
      </c>
    </row>
    <row r="8" spans="1:19">
      <c r="A8" s="5">
        <v>1231898</v>
      </c>
      <c r="B8" s="9">
        <v>0</v>
      </c>
      <c r="C8" s="9">
        <v>300</v>
      </c>
      <c r="D8" s="9">
        <v>0</v>
      </c>
      <c r="E8" s="9">
        <v>0</v>
      </c>
      <c r="F8" s="9">
        <v>0</v>
      </c>
      <c r="G8" s="9">
        <v>292</v>
      </c>
      <c r="H8" s="9">
        <v>0</v>
      </c>
      <c r="I8" s="9">
        <v>300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</row>
    <row r="9" spans="1:19">
      <c r="A9" s="5">
        <v>1237586</v>
      </c>
      <c r="B9" s="9">
        <v>0</v>
      </c>
      <c r="C9" s="9">
        <v>300</v>
      </c>
      <c r="D9" s="9">
        <v>0</v>
      </c>
      <c r="E9" s="9">
        <v>0</v>
      </c>
      <c r="F9" s="9">
        <v>0</v>
      </c>
      <c r="G9" s="9">
        <v>292</v>
      </c>
      <c r="H9" s="9">
        <v>0</v>
      </c>
      <c r="I9" s="9">
        <v>300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>
      <c r="A10" s="5">
        <v>1236091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200</v>
      </c>
      <c r="N10" s="9">
        <v>0</v>
      </c>
      <c r="O10" s="9">
        <v>0</v>
      </c>
      <c r="P10" s="9">
        <v>200</v>
      </c>
      <c r="Q10" s="9">
        <v>0</v>
      </c>
      <c r="R10" s="9">
        <v>0</v>
      </c>
      <c r="S10" s="9">
        <v>0</v>
      </c>
    </row>
    <row r="11" spans="1:19">
      <c r="A11" s="5">
        <v>1234905</v>
      </c>
      <c r="B11" s="9">
        <v>382</v>
      </c>
      <c r="C11" s="9">
        <v>436</v>
      </c>
      <c r="D11" s="9">
        <v>0</v>
      </c>
      <c r="E11" s="9">
        <v>0</v>
      </c>
      <c r="F11" s="9">
        <v>52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spans="1:19">
      <c r="A12" s="5">
        <v>1238480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84</v>
      </c>
      <c r="I12" s="9">
        <v>382</v>
      </c>
      <c r="J12" s="9">
        <v>382</v>
      </c>
      <c r="K12" s="9">
        <v>0</v>
      </c>
      <c r="L12" s="9">
        <v>0</v>
      </c>
      <c r="M12" s="9">
        <v>404</v>
      </c>
      <c r="N12" s="9">
        <v>106</v>
      </c>
      <c r="O12" s="9">
        <v>104</v>
      </c>
      <c r="P12" s="9">
        <v>404</v>
      </c>
      <c r="Q12" s="9">
        <v>404</v>
      </c>
      <c r="R12" s="9">
        <v>0</v>
      </c>
      <c r="S12" s="9">
        <v>0</v>
      </c>
    </row>
    <row r="13" spans="1:19">
      <c r="A13" s="5">
        <v>1238128</v>
      </c>
      <c r="B13" s="9">
        <v>1180</v>
      </c>
      <c r="C13" s="9">
        <v>1070</v>
      </c>
      <c r="D13" s="9">
        <v>0</v>
      </c>
      <c r="E13" s="9">
        <v>0</v>
      </c>
      <c r="F13" s="9">
        <v>1162</v>
      </c>
      <c r="G13" s="9">
        <v>1180</v>
      </c>
      <c r="H13" s="9">
        <v>756</v>
      </c>
      <c r="I13" s="9">
        <v>1098</v>
      </c>
      <c r="J13" s="9">
        <v>1180</v>
      </c>
      <c r="K13" s="9">
        <v>0</v>
      </c>
      <c r="L13" s="9">
        <v>0</v>
      </c>
      <c r="M13" s="9">
        <v>640</v>
      </c>
      <c r="N13" s="9">
        <v>590</v>
      </c>
      <c r="O13" s="9">
        <v>463</v>
      </c>
      <c r="P13" s="9">
        <v>784</v>
      </c>
      <c r="Q13" s="9">
        <v>1180</v>
      </c>
      <c r="R13" s="9">
        <v>0</v>
      </c>
      <c r="S13" s="9">
        <v>0</v>
      </c>
    </row>
    <row r="14" spans="1:19">
      <c r="A14" s="5">
        <v>1236962</v>
      </c>
      <c r="B14" s="9">
        <v>200</v>
      </c>
      <c r="C14" s="9">
        <v>320</v>
      </c>
      <c r="D14" s="9">
        <v>0</v>
      </c>
      <c r="E14" s="9">
        <v>0</v>
      </c>
      <c r="F14" s="9">
        <v>300</v>
      </c>
      <c r="G14" s="9">
        <v>300</v>
      </c>
      <c r="H14" s="9">
        <v>300</v>
      </c>
      <c r="I14" s="9">
        <v>300</v>
      </c>
      <c r="J14" s="9">
        <v>200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</row>
    <row r="15" spans="1:19">
      <c r="A15" s="5">
        <v>1233761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150</v>
      </c>
      <c r="O15" s="9">
        <v>200</v>
      </c>
      <c r="P15" s="9">
        <v>0</v>
      </c>
      <c r="Q15" s="9">
        <v>0</v>
      </c>
      <c r="R15" s="9">
        <v>0</v>
      </c>
      <c r="S15" s="9">
        <v>0</v>
      </c>
    </row>
    <row r="16" spans="1:19">
      <c r="A16" s="5">
        <v>1236930</v>
      </c>
      <c r="B16" s="9">
        <v>0</v>
      </c>
      <c r="C16" s="9">
        <v>0</v>
      </c>
      <c r="D16" s="9">
        <v>0</v>
      </c>
      <c r="E16" s="9">
        <v>0</v>
      </c>
      <c r="F16" s="9">
        <v>322</v>
      </c>
      <c r="G16" s="9">
        <v>382</v>
      </c>
      <c r="H16" s="9">
        <v>246</v>
      </c>
      <c r="I16" s="9">
        <v>382</v>
      </c>
      <c r="J16" s="9">
        <v>104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</row>
    <row r="17" spans="1:19">
      <c r="A17" s="5">
        <v>1239651</v>
      </c>
      <c r="B17" s="9">
        <v>0</v>
      </c>
      <c r="C17" s="9">
        <v>217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200</v>
      </c>
      <c r="J17" s="9">
        <v>200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200</v>
      </c>
      <c r="Q17" s="9">
        <v>200</v>
      </c>
      <c r="R17" s="9">
        <v>0</v>
      </c>
      <c r="S17" s="9">
        <v>0</v>
      </c>
    </row>
    <row r="18" spans="1:19">
      <c r="A18" s="5">
        <v>1240180</v>
      </c>
      <c r="B18" s="9">
        <v>0</v>
      </c>
      <c r="C18" s="9">
        <v>0</v>
      </c>
      <c r="D18" s="9">
        <v>0</v>
      </c>
      <c r="E18" s="9">
        <v>0</v>
      </c>
      <c r="F18" s="9">
        <v>354</v>
      </c>
      <c r="G18" s="9">
        <v>410</v>
      </c>
      <c r="H18" s="9">
        <v>322</v>
      </c>
      <c r="I18" s="9">
        <v>50</v>
      </c>
      <c r="J18" s="9">
        <v>304</v>
      </c>
      <c r="K18" s="9">
        <v>0</v>
      </c>
      <c r="L18" s="9">
        <v>0</v>
      </c>
      <c r="M18" s="9">
        <v>430</v>
      </c>
      <c r="N18" s="9">
        <v>430</v>
      </c>
      <c r="O18" s="9">
        <v>338</v>
      </c>
      <c r="P18" s="9">
        <v>430</v>
      </c>
      <c r="Q18" s="9">
        <v>430</v>
      </c>
      <c r="R18" s="9">
        <v>0</v>
      </c>
      <c r="S18" s="9">
        <v>0</v>
      </c>
    </row>
    <row r="19" spans="1:19">
      <c r="A19" s="5">
        <v>1240184</v>
      </c>
      <c r="B19" s="9">
        <v>0</v>
      </c>
      <c r="C19" s="9">
        <v>0</v>
      </c>
      <c r="D19" s="9">
        <v>0</v>
      </c>
      <c r="E19" s="9">
        <v>0</v>
      </c>
      <c r="F19" s="9">
        <v>354</v>
      </c>
      <c r="G19" s="9">
        <v>410</v>
      </c>
      <c r="H19" s="9">
        <v>322</v>
      </c>
      <c r="I19" s="9">
        <v>50</v>
      </c>
      <c r="J19" s="9">
        <v>304</v>
      </c>
      <c r="K19" s="9">
        <v>0</v>
      </c>
      <c r="L19" s="9">
        <v>0</v>
      </c>
      <c r="M19" s="9">
        <v>430</v>
      </c>
      <c r="N19" s="9">
        <v>430</v>
      </c>
      <c r="O19" s="9">
        <v>338</v>
      </c>
      <c r="P19" s="9">
        <v>360</v>
      </c>
      <c r="Q19" s="9">
        <v>0</v>
      </c>
      <c r="R19" s="9">
        <v>0</v>
      </c>
      <c r="S19" s="9">
        <v>0</v>
      </c>
    </row>
    <row r="20" spans="1:19">
      <c r="A20" s="5">
        <v>1239988</v>
      </c>
      <c r="B20" s="9">
        <v>50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</row>
    <row r="21" spans="1:19">
      <c r="A21" s="5">
        <v>1240308</v>
      </c>
      <c r="B21" s="9">
        <v>192</v>
      </c>
      <c r="C21" s="9">
        <v>0</v>
      </c>
      <c r="D21" s="9">
        <v>0</v>
      </c>
      <c r="E21" s="9">
        <v>0</v>
      </c>
      <c r="F21" s="9">
        <v>200</v>
      </c>
      <c r="G21" s="9">
        <v>200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300</v>
      </c>
      <c r="N21" s="9">
        <v>570</v>
      </c>
      <c r="O21" s="9">
        <v>250</v>
      </c>
      <c r="P21" s="9">
        <v>200</v>
      </c>
      <c r="Q21" s="9">
        <v>400</v>
      </c>
      <c r="R21" s="9">
        <v>0</v>
      </c>
      <c r="S21" s="9">
        <v>0</v>
      </c>
    </row>
    <row r="22" spans="1:19">
      <c r="A22" s="5">
        <v>1242242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24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</row>
    <row r="23" spans="1:19">
      <c r="A23" s="58">
        <v>1238609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70</v>
      </c>
      <c r="P23" s="9">
        <v>0</v>
      </c>
      <c r="Q23" s="9">
        <v>0</v>
      </c>
      <c r="R23" s="9">
        <v>0</v>
      </c>
      <c r="S23" s="9">
        <v>0</v>
      </c>
    </row>
    <row r="26" spans="1:19">
      <c r="A26" s="5" t="s">
        <v>0</v>
      </c>
      <c r="B26" s="9" t="s">
        <v>1301</v>
      </c>
      <c r="C26" s="9" t="s">
        <v>1302</v>
      </c>
      <c r="D26" s="9" t="s">
        <v>1303</v>
      </c>
      <c r="E26" s="9" t="s">
        <v>1304</v>
      </c>
      <c r="F26" s="9" t="s">
        <v>1307</v>
      </c>
      <c r="G26" s="9" t="s">
        <v>1308</v>
      </c>
      <c r="H26" s="9" t="s">
        <v>1309</v>
      </c>
      <c r="I26" s="9" t="s">
        <v>1310</v>
      </c>
      <c r="J26" s="9" t="s">
        <v>1311</v>
      </c>
      <c r="K26" s="9" t="s">
        <v>1312</v>
      </c>
      <c r="L26" s="9" t="s">
        <v>1313</v>
      </c>
      <c r="M26" s="9" t="s">
        <v>1315</v>
      </c>
      <c r="N26" s="9" t="s">
        <v>1316</v>
      </c>
      <c r="O26" s="9" t="s">
        <v>1317</v>
      </c>
      <c r="P26" s="9" t="s">
        <v>1318</v>
      </c>
      <c r="Q26" s="9" t="s">
        <v>1319</v>
      </c>
      <c r="R26" s="9" t="s">
        <v>1320</v>
      </c>
      <c r="S26" s="9" t="s">
        <v>1321</v>
      </c>
    </row>
    <row r="27" spans="1:19">
      <c r="A27" s="5">
        <v>1232846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3</v>
      </c>
      <c r="P27" s="9">
        <v>352</v>
      </c>
      <c r="Q27" s="9">
        <v>352</v>
      </c>
      <c r="R27" s="9">
        <v>0</v>
      </c>
      <c r="S27" s="9">
        <v>0</v>
      </c>
    </row>
    <row r="28" spans="1:19">
      <c r="A28" s="5">
        <v>1232895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3</v>
      </c>
      <c r="P28" s="9">
        <v>352</v>
      </c>
      <c r="Q28" s="9">
        <v>352</v>
      </c>
      <c r="R28" s="9">
        <v>0</v>
      </c>
      <c r="S28" s="9">
        <v>0</v>
      </c>
    </row>
    <row r="29" spans="1:19">
      <c r="A29" s="5">
        <v>1233384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3</v>
      </c>
      <c r="P29" s="9">
        <v>352</v>
      </c>
      <c r="Q29" s="9">
        <v>352</v>
      </c>
      <c r="R29" s="9">
        <v>0</v>
      </c>
      <c r="S29" s="9">
        <v>0</v>
      </c>
    </row>
    <row r="30" spans="1:19">
      <c r="A30" s="5">
        <v>1236387</v>
      </c>
      <c r="B30" s="9">
        <v>377</v>
      </c>
      <c r="C30" s="9">
        <v>377</v>
      </c>
      <c r="D30" s="9">
        <v>0</v>
      </c>
      <c r="E30" s="9">
        <v>0</v>
      </c>
      <c r="F30" s="9">
        <v>26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320</v>
      </c>
      <c r="N30" s="9">
        <v>80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</row>
    <row r="31" spans="1:19">
      <c r="A31" s="5">
        <v>1232775</v>
      </c>
      <c r="B31" s="9">
        <v>245</v>
      </c>
      <c r="C31" s="9">
        <v>245</v>
      </c>
      <c r="D31" s="9">
        <v>0</v>
      </c>
      <c r="E31" s="9">
        <v>0</v>
      </c>
      <c r="F31" s="9">
        <v>242</v>
      </c>
      <c r="G31" s="9">
        <v>178</v>
      </c>
      <c r="H31" s="9">
        <v>0</v>
      </c>
      <c r="I31" s="9">
        <v>490</v>
      </c>
      <c r="J31" s="9">
        <v>484</v>
      </c>
      <c r="K31" s="9">
        <v>0</v>
      </c>
      <c r="L31" s="9">
        <v>0</v>
      </c>
      <c r="M31" s="9">
        <v>255</v>
      </c>
      <c r="N31" s="9">
        <v>245</v>
      </c>
      <c r="O31" s="9">
        <v>213</v>
      </c>
      <c r="P31" s="9">
        <v>0</v>
      </c>
      <c r="Q31" s="9">
        <v>0</v>
      </c>
      <c r="R31" s="9">
        <v>0</v>
      </c>
      <c r="S31" s="9">
        <v>0</v>
      </c>
    </row>
    <row r="32" spans="1:19">
      <c r="A32" s="5">
        <v>1238605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128</v>
      </c>
      <c r="O32" s="9">
        <v>189</v>
      </c>
      <c r="P32" s="9">
        <v>191</v>
      </c>
      <c r="Q32" s="9">
        <v>193</v>
      </c>
      <c r="R32" s="9">
        <v>0</v>
      </c>
      <c r="S32" s="9">
        <v>0</v>
      </c>
    </row>
    <row r="33" spans="1:19">
      <c r="A33" s="5">
        <v>1230685</v>
      </c>
      <c r="B33" s="9">
        <v>0</v>
      </c>
      <c r="C33" s="9">
        <v>0</v>
      </c>
      <c r="D33" s="9">
        <v>0</v>
      </c>
      <c r="E33" s="9">
        <v>0</v>
      </c>
      <c r="F33" s="9">
        <v>292</v>
      </c>
      <c r="G33" s="9">
        <v>330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</row>
    <row r="34" spans="1:19">
      <c r="A34" s="5">
        <v>1241601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50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</row>
    <row r="37" spans="1:19">
      <c r="A37" s="5" t="s">
        <v>0</v>
      </c>
      <c r="B37" s="9" t="s">
        <v>1301</v>
      </c>
      <c r="C37" s="9" t="s">
        <v>1302</v>
      </c>
      <c r="D37" s="9" t="s">
        <v>1303</v>
      </c>
      <c r="E37" s="9" t="s">
        <v>1304</v>
      </c>
      <c r="F37" s="9" t="s">
        <v>1307</v>
      </c>
      <c r="G37" s="9" t="s">
        <v>1308</v>
      </c>
      <c r="H37" s="9" t="s">
        <v>1309</v>
      </c>
      <c r="I37" s="9" t="s">
        <v>1310</v>
      </c>
      <c r="J37" s="9" t="s">
        <v>1311</v>
      </c>
      <c r="K37" s="9" t="s">
        <v>1312</v>
      </c>
      <c r="L37" s="9" t="s">
        <v>1313</v>
      </c>
      <c r="M37" s="9" t="s">
        <v>1315</v>
      </c>
      <c r="N37" s="9" t="s">
        <v>1316</v>
      </c>
      <c r="O37" s="9" t="s">
        <v>1317</v>
      </c>
      <c r="P37" s="9" t="s">
        <v>1318</v>
      </c>
      <c r="Q37" s="9" t="s">
        <v>1319</v>
      </c>
      <c r="R37" s="9" t="s">
        <v>1320</v>
      </c>
      <c r="S37" s="9" t="s">
        <v>1321</v>
      </c>
    </row>
    <row r="38" spans="1:19">
      <c r="A38" s="5">
        <v>1234614</v>
      </c>
      <c r="B38" s="9">
        <v>0</v>
      </c>
      <c r="C38" s="9">
        <v>0</v>
      </c>
      <c r="D38" s="9">
        <v>0</v>
      </c>
      <c r="E38" s="9">
        <v>0</v>
      </c>
      <c r="F38" s="9">
        <v>300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500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 spans="1:19">
      <c r="A39" s="5">
        <v>1227306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207</v>
      </c>
      <c r="N39" s="9">
        <v>487</v>
      </c>
      <c r="O39" s="9">
        <v>306</v>
      </c>
      <c r="P39" s="9">
        <v>0</v>
      </c>
      <c r="Q39" s="9">
        <v>0</v>
      </c>
      <c r="R39" s="9">
        <v>0</v>
      </c>
      <c r="S39" s="9">
        <v>0</v>
      </c>
    </row>
    <row r="40" spans="1:19">
      <c r="A40" s="5">
        <v>1231090</v>
      </c>
      <c r="B40" s="9">
        <v>494</v>
      </c>
      <c r="C40" s="9">
        <v>494</v>
      </c>
      <c r="D40" s="9">
        <v>0</v>
      </c>
      <c r="E40" s="9">
        <v>0</v>
      </c>
      <c r="F40" s="9">
        <v>0</v>
      </c>
      <c r="G40" s="9">
        <v>200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90</v>
      </c>
      <c r="Q40" s="9">
        <v>450</v>
      </c>
      <c r="R40" s="9">
        <v>0</v>
      </c>
      <c r="S40" s="9">
        <v>0</v>
      </c>
    </row>
    <row r="41" spans="1:19">
      <c r="A41" s="5">
        <v>1229776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200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90</v>
      </c>
      <c r="Q41" s="9">
        <v>0</v>
      </c>
      <c r="R41" s="9">
        <v>0</v>
      </c>
      <c r="S41" s="9">
        <v>0</v>
      </c>
    </row>
    <row r="42" spans="1:19">
      <c r="A42" s="5">
        <v>1225464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784</v>
      </c>
      <c r="J42" s="9">
        <v>12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</row>
    <row r="43" spans="1:19">
      <c r="A43" s="5">
        <v>1231797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139</v>
      </c>
      <c r="R43" s="9">
        <v>0</v>
      </c>
      <c r="S43" s="9">
        <v>0</v>
      </c>
    </row>
    <row r="44" spans="1:19">
      <c r="A44" s="5">
        <v>1229088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70</v>
      </c>
      <c r="Q44" s="9">
        <v>30</v>
      </c>
      <c r="R44" s="9">
        <v>0</v>
      </c>
      <c r="S44" s="9">
        <v>0</v>
      </c>
    </row>
    <row r="45" spans="1:19">
      <c r="A45" s="5">
        <v>1232693</v>
      </c>
      <c r="B45" s="9">
        <v>988</v>
      </c>
      <c r="C45" s="9">
        <v>675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187</v>
      </c>
      <c r="N45" s="9">
        <v>579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1:19">
      <c r="A46" s="5">
        <v>1233025</v>
      </c>
      <c r="B46" s="9">
        <v>988</v>
      </c>
      <c r="C46" s="9">
        <v>675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187</v>
      </c>
      <c r="N46" s="9">
        <v>579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>
      <c r="A47" s="5">
        <v>1234222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200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spans="1:19">
      <c r="A48" s="5">
        <v>1232528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168</v>
      </c>
      <c r="J48" s="9">
        <v>686</v>
      </c>
      <c r="K48" s="9">
        <v>0</v>
      </c>
      <c r="L48" s="9">
        <v>0</v>
      </c>
      <c r="M48" s="9">
        <v>662</v>
      </c>
      <c r="N48" s="9">
        <v>700</v>
      </c>
      <c r="O48" s="9">
        <v>450</v>
      </c>
      <c r="P48" s="9">
        <v>700</v>
      </c>
      <c r="Q48" s="9">
        <v>706</v>
      </c>
      <c r="R48" s="9">
        <v>0</v>
      </c>
      <c r="S48" s="9">
        <v>0</v>
      </c>
    </row>
    <row r="49" spans="1:19">
      <c r="A49" s="5">
        <v>1232846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464</v>
      </c>
      <c r="R49" s="9">
        <v>0</v>
      </c>
      <c r="S49" s="9">
        <v>0</v>
      </c>
    </row>
    <row r="50" spans="1:19">
      <c r="A50" s="5">
        <v>1220847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500</v>
      </c>
      <c r="Q50" s="9">
        <v>600</v>
      </c>
      <c r="R50" s="9">
        <v>0</v>
      </c>
      <c r="S50" s="9">
        <v>0</v>
      </c>
    </row>
    <row r="51" spans="1:19">
      <c r="A51" s="5">
        <v>1235097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110</v>
      </c>
      <c r="H51" s="9">
        <v>269</v>
      </c>
      <c r="I51" s="9">
        <v>51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</row>
    <row r="52" spans="1:19">
      <c r="A52" s="5">
        <v>1236619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162</v>
      </c>
      <c r="P52" s="9">
        <v>0</v>
      </c>
      <c r="Q52" s="9">
        <v>0</v>
      </c>
      <c r="R52" s="9">
        <v>0</v>
      </c>
      <c r="S52" s="9">
        <v>0</v>
      </c>
    </row>
    <row r="53" spans="1:19">
      <c r="A53" s="5">
        <v>1236930</v>
      </c>
      <c r="B53" s="9">
        <v>703</v>
      </c>
      <c r="C53" s="9">
        <v>461</v>
      </c>
      <c r="D53" s="9">
        <v>0</v>
      </c>
      <c r="E53" s="9">
        <v>0</v>
      </c>
      <c r="F53" s="9">
        <v>317</v>
      </c>
      <c r="G53" s="9">
        <v>198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290</v>
      </c>
      <c r="O53" s="9">
        <v>508</v>
      </c>
      <c r="P53" s="9">
        <v>679</v>
      </c>
      <c r="Q53" s="9">
        <v>271</v>
      </c>
      <c r="R53" s="9">
        <v>0</v>
      </c>
      <c r="S53" s="9">
        <v>0</v>
      </c>
    </row>
    <row r="54" spans="1:19">
      <c r="A54" s="5">
        <v>1237468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87</v>
      </c>
      <c r="I54" s="9">
        <v>0</v>
      </c>
      <c r="J54" s="9">
        <v>16</v>
      </c>
      <c r="K54" s="9">
        <v>0</v>
      </c>
      <c r="L54" s="9">
        <v>0</v>
      </c>
      <c r="M54" s="9">
        <v>363</v>
      </c>
      <c r="N54" s="9">
        <v>410</v>
      </c>
      <c r="O54" s="9">
        <v>55</v>
      </c>
      <c r="P54" s="9">
        <v>0</v>
      </c>
      <c r="Q54" s="9">
        <v>0</v>
      </c>
      <c r="R54" s="9">
        <v>0</v>
      </c>
      <c r="S54" s="9">
        <v>0</v>
      </c>
    </row>
    <row r="55" spans="1:19">
      <c r="A55" s="5">
        <v>1237457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36</v>
      </c>
      <c r="Q55" s="9">
        <v>0</v>
      </c>
      <c r="R55" s="9">
        <v>0</v>
      </c>
      <c r="S55" s="9">
        <v>0</v>
      </c>
    </row>
    <row r="56" spans="1:19">
      <c r="A56" s="5">
        <v>1237386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150</v>
      </c>
      <c r="Q56" s="9">
        <v>0</v>
      </c>
      <c r="R56" s="9">
        <v>0</v>
      </c>
      <c r="S56" s="9">
        <v>0</v>
      </c>
    </row>
    <row r="57" spans="1:19">
      <c r="A57" s="5">
        <v>1234905</v>
      </c>
      <c r="B57" s="9">
        <v>0</v>
      </c>
      <c r="C57" s="9">
        <v>222</v>
      </c>
      <c r="D57" s="9">
        <v>0</v>
      </c>
      <c r="E57" s="9">
        <v>0</v>
      </c>
      <c r="F57" s="9">
        <v>395</v>
      </c>
      <c r="G57" s="9">
        <v>392</v>
      </c>
      <c r="H57" s="9">
        <v>63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500</v>
      </c>
      <c r="R57" s="9">
        <v>0</v>
      </c>
      <c r="S57" s="9">
        <v>0</v>
      </c>
    </row>
    <row r="58" spans="1:19">
      <c r="A58" s="5">
        <v>1238480</v>
      </c>
      <c r="B58" s="9">
        <v>1538</v>
      </c>
      <c r="C58" s="9">
        <v>1429</v>
      </c>
      <c r="D58" s="9">
        <v>0</v>
      </c>
      <c r="E58" s="9">
        <v>0</v>
      </c>
      <c r="F58" s="9">
        <v>1240</v>
      </c>
      <c r="G58" s="9">
        <v>1775</v>
      </c>
      <c r="H58" s="9">
        <v>1340</v>
      </c>
      <c r="I58" s="9">
        <v>1589</v>
      </c>
      <c r="J58" s="9">
        <v>1267</v>
      </c>
      <c r="K58" s="9">
        <v>0</v>
      </c>
      <c r="L58" s="9">
        <v>0</v>
      </c>
      <c r="M58" s="9">
        <v>1415</v>
      </c>
      <c r="N58" s="9">
        <v>1597</v>
      </c>
      <c r="O58" s="9">
        <v>593</v>
      </c>
      <c r="P58" s="9">
        <v>1181</v>
      </c>
      <c r="Q58" s="9">
        <v>677</v>
      </c>
      <c r="R58" s="9">
        <v>0</v>
      </c>
      <c r="S58" s="9">
        <v>0</v>
      </c>
    </row>
    <row r="59" spans="1:19">
      <c r="A59" s="5">
        <v>1232775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337</v>
      </c>
      <c r="I59" s="9">
        <v>81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</row>
    <row r="60" spans="1:19">
      <c r="A60" s="5">
        <v>1240180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199</v>
      </c>
      <c r="I60" s="9">
        <v>336</v>
      </c>
      <c r="J60" s="9">
        <v>336</v>
      </c>
      <c r="K60" s="9">
        <v>0</v>
      </c>
      <c r="L60" s="9">
        <v>0</v>
      </c>
      <c r="M60" s="9">
        <v>0</v>
      </c>
      <c r="N60" s="9">
        <v>59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</row>
    <row r="61" spans="1:19">
      <c r="A61" s="5">
        <v>1240184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199</v>
      </c>
      <c r="I61" s="9">
        <v>336</v>
      </c>
      <c r="J61" s="9">
        <v>336</v>
      </c>
      <c r="K61" s="9">
        <v>0</v>
      </c>
      <c r="L61" s="9">
        <v>0</v>
      </c>
      <c r="M61" s="9">
        <v>0</v>
      </c>
      <c r="N61" s="9">
        <v>59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</row>
    <row r="62" spans="1:19">
      <c r="A62" s="58">
        <v>1238453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610</v>
      </c>
      <c r="Q62" s="9">
        <v>0</v>
      </c>
      <c r="R62" s="9">
        <v>0</v>
      </c>
      <c r="S62" s="9">
        <v>0</v>
      </c>
    </row>
    <row r="63" spans="1:19">
      <c r="A63" s="5">
        <v>1216452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816</v>
      </c>
      <c r="Q63" s="9">
        <v>0</v>
      </c>
      <c r="R63" s="9">
        <v>0</v>
      </c>
      <c r="S63" s="9">
        <v>0</v>
      </c>
    </row>
    <row r="64" spans="1:19">
      <c r="A64" s="5">
        <v>1230791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30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 spans="1:19">
      <c r="A65" s="5">
        <v>1232894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464</v>
      </c>
      <c r="R65" s="9">
        <v>0</v>
      </c>
      <c r="S65" s="9">
        <v>0</v>
      </c>
    </row>
    <row r="66" spans="1:19">
      <c r="A66" s="5">
        <v>1233386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416</v>
      </c>
      <c r="R66" s="9">
        <v>0</v>
      </c>
      <c r="S66" s="9">
        <v>0</v>
      </c>
    </row>
    <row r="67" spans="1:19">
      <c r="A67" s="5">
        <v>1233385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48</v>
      </c>
      <c r="R67" s="9">
        <v>0</v>
      </c>
      <c r="S67" s="9">
        <v>0</v>
      </c>
    </row>
    <row r="68" spans="1:19">
      <c r="A68" s="5">
        <v>1233580</v>
      </c>
      <c r="B68" s="9">
        <v>0</v>
      </c>
      <c r="C68" s="9">
        <v>126</v>
      </c>
      <c r="D68" s="9">
        <v>0</v>
      </c>
      <c r="E68" s="9">
        <v>0</v>
      </c>
      <c r="F68" s="9">
        <v>74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</row>
  </sheetData>
  <phoneticPr fontId="11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026-6A89-4377-8B68-78CB460C2517}">
  <dimension ref="A1:G510"/>
  <sheetViews>
    <sheetView workbookViewId="0">
      <pane xSplit="6" ySplit="1" topLeftCell="G445" activePane="bottomRight" state="frozen"/>
      <selection pane="topRight"/>
      <selection pane="bottomLeft"/>
      <selection pane="bottomRight" activeCell="I476" sqref="I476:J476"/>
    </sheetView>
  </sheetViews>
  <sheetFormatPr defaultColWidth="9" defaultRowHeight="16.5"/>
  <cols>
    <col min="1" max="1" width="10.5" style="55" customWidth="1"/>
    <col min="2" max="2" width="29.6640625" style="56" customWidth="1"/>
    <col min="3" max="3" width="46.5" style="34" customWidth="1"/>
    <col min="4" max="4" width="24.5" style="34" customWidth="1"/>
    <col min="5" max="5" width="21.33203125" style="34" customWidth="1"/>
    <col min="6" max="6" width="36.33203125" style="34" customWidth="1"/>
    <col min="7" max="7" width="13.5" style="34" customWidth="1"/>
    <col min="8" max="16384" width="9" style="34"/>
  </cols>
  <sheetData>
    <row r="1" spans="1:6" ht="13.5">
      <c r="A1" s="34" t="s">
        <v>32</v>
      </c>
      <c r="B1" s="34" t="s">
        <v>33</v>
      </c>
      <c r="C1" s="34" t="s">
        <v>34</v>
      </c>
      <c r="D1" s="34" t="s">
        <v>35</v>
      </c>
      <c r="E1" s="34" t="s">
        <v>11</v>
      </c>
      <c r="F1" s="34" t="s">
        <v>36</v>
      </c>
    </row>
    <row r="2" spans="1:6" ht="13.5">
      <c r="A2" s="34">
        <v>1232227</v>
      </c>
      <c r="B2" s="34"/>
      <c r="C2" s="34" t="s">
        <v>37</v>
      </c>
      <c r="D2" s="34" t="s">
        <v>38</v>
      </c>
      <c r="E2" s="34" t="s">
        <v>39</v>
      </c>
      <c r="F2" s="34">
        <v>1232227</v>
      </c>
    </row>
    <row r="3" spans="1:6" ht="13.5">
      <c r="A3" s="34">
        <v>1219022</v>
      </c>
      <c r="B3" s="34" t="s">
        <v>40</v>
      </c>
      <c r="C3" s="34" t="s">
        <v>41</v>
      </c>
      <c r="D3" s="34" t="s">
        <v>42</v>
      </c>
      <c r="E3" s="34" t="s">
        <v>43</v>
      </c>
      <c r="F3" s="34">
        <f>A3</f>
        <v>1219022</v>
      </c>
    </row>
    <row r="4" spans="1:6" ht="13.5">
      <c r="A4" s="34"/>
      <c r="B4" s="34"/>
      <c r="C4" s="34" t="s">
        <v>44</v>
      </c>
    </row>
    <row r="5" spans="1:6" ht="13.5">
      <c r="A5" s="34">
        <v>3304430</v>
      </c>
      <c r="B5" s="34" t="s">
        <v>45</v>
      </c>
      <c r="C5" s="34" t="s">
        <v>46</v>
      </c>
      <c r="E5" s="34" t="s">
        <v>47</v>
      </c>
      <c r="F5" s="34">
        <v>3304430</v>
      </c>
    </row>
    <row r="6" spans="1:6" ht="13.5">
      <c r="A6" s="34">
        <v>3119022</v>
      </c>
      <c r="B6" s="34"/>
      <c r="C6" s="34" t="s">
        <v>48</v>
      </c>
      <c r="E6" s="34" t="s">
        <v>49</v>
      </c>
      <c r="F6" s="34">
        <v>3119022</v>
      </c>
    </row>
    <row r="7" spans="1:6" ht="13.5">
      <c r="A7" s="34"/>
      <c r="B7" s="34" t="s">
        <v>50</v>
      </c>
      <c r="C7" s="34" t="s">
        <v>51</v>
      </c>
    </row>
    <row r="8" spans="1:6" ht="13.5">
      <c r="A8" s="34"/>
      <c r="B8" s="34"/>
      <c r="C8" s="34" t="s">
        <v>51</v>
      </c>
    </row>
    <row r="9" spans="1:6" ht="13.5">
      <c r="A9" s="34">
        <v>1235560</v>
      </c>
      <c r="B9" s="34"/>
      <c r="C9" s="34" t="s">
        <v>52</v>
      </c>
      <c r="D9" s="34" t="s">
        <v>53</v>
      </c>
      <c r="E9" s="34" t="s">
        <v>54</v>
      </c>
      <c r="F9" s="34">
        <v>1235560</v>
      </c>
    </row>
    <row r="10" spans="1:6" ht="13.5">
      <c r="A10" s="34"/>
      <c r="B10" s="34"/>
      <c r="E10" s="34" t="s">
        <v>55</v>
      </c>
    </row>
    <row r="11" spans="1:6" ht="13.5">
      <c r="A11" s="34">
        <v>1221318</v>
      </c>
      <c r="B11" s="34" t="s">
        <v>56</v>
      </c>
      <c r="C11" s="34" t="s">
        <v>57</v>
      </c>
      <c r="D11" s="34" t="s">
        <v>58</v>
      </c>
      <c r="E11" s="34" t="s">
        <v>54</v>
      </c>
      <c r="F11" s="34">
        <v>1221318</v>
      </c>
    </row>
    <row r="12" spans="1:6" ht="13.5">
      <c r="A12" s="34">
        <v>3304622</v>
      </c>
      <c r="B12" s="34"/>
      <c r="E12" s="34" t="s">
        <v>59</v>
      </c>
      <c r="F12" s="34">
        <v>3304622</v>
      </c>
    </row>
    <row r="13" spans="1:6" ht="13.5">
      <c r="A13" s="34">
        <v>3121318</v>
      </c>
      <c r="B13" s="34"/>
      <c r="C13" s="34" t="s">
        <v>60</v>
      </c>
      <c r="E13" s="34" t="s">
        <v>61</v>
      </c>
      <c r="F13" s="34">
        <v>3121318</v>
      </c>
    </row>
    <row r="14" spans="1:6" ht="13.5">
      <c r="A14" s="34">
        <v>1218125</v>
      </c>
      <c r="B14" s="34" t="s">
        <v>62</v>
      </c>
      <c r="C14" s="34" t="s">
        <v>63</v>
      </c>
      <c r="D14" s="34" t="s">
        <v>64</v>
      </c>
      <c r="E14" s="34" t="s">
        <v>54</v>
      </c>
      <c r="F14" s="34">
        <v>1218125</v>
      </c>
    </row>
    <row r="15" spans="1:6" ht="13.5">
      <c r="A15" s="34">
        <v>3118125</v>
      </c>
      <c r="B15" s="34"/>
      <c r="E15" s="34" t="s">
        <v>47</v>
      </c>
      <c r="F15" s="34">
        <v>3118125</v>
      </c>
    </row>
    <row r="16" spans="1:6" ht="13.5">
      <c r="A16" s="34">
        <v>1230248</v>
      </c>
      <c r="B16" s="34" t="s">
        <v>65</v>
      </c>
      <c r="C16" s="34" t="s">
        <v>66</v>
      </c>
      <c r="D16" s="34" t="s">
        <v>67</v>
      </c>
      <c r="E16" s="34" t="s">
        <v>54</v>
      </c>
      <c r="F16" s="34">
        <v>1230248</v>
      </c>
    </row>
    <row r="17" spans="1:6" ht="13.5">
      <c r="A17" s="34"/>
      <c r="B17" s="34"/>
      <c r="E17" s="34" t="s">
        <v>47</v>
      </c>
    </row>
    <row r="18" spans="1:6" ht="13.5">
      <c r="A18" s="34">
        <v>1231578</v>
      </c>
      <c r="B18" s="34" t="s">
        <v>68</v>
      </c>
      <c r="C18" s="34" t="s">
        <v>69</v>
      </c>
      <c r="D18" s="34" t="s">
        <v>70</v>
      </c>
      <c r="E18" s="34" t="s">
        <v>54</v>
      </c>
      <c r="F18" s="34">
        <v>1231578</v>
      </c>
    </row>
    <row r="19" spans="1:6" ht="13.5">
      <c r="A19" s="34">
        <v>3108070</v>
      </c>
      <c r="B19" s="34" t="s">
        <v>71</v>
      </c>
      <c r="E19" s="34" t="s">
        <v>72</v>
      </c>
      <c r="F19" s="34">
        <v>3108070</v>
      </c>
    </row>
    <row r="20" spans="1:6" ht="13.5">
      <c r="A20" s="34">
        <v>3108234</v>
      </c>
      <c r="B20" s="34" t="s">
        <v>73</v>
      </c>
      <c r="C20" s="34" t="s">
        <v>74</v>
      </c>
      <c r="E20" s="34" t="s">
        <v>75</v>
      </c>
      <c r="F20" s="34">
        <v>3108234</v>
      </c>
    </row>
    <row r="21" spans="1:6" ht="13.5">
      <c r="A21" s="34">
        <v>1232982</v>
      </c>
      <c r="B21" s="34" t="s">
        <v>68</v>
      </c>
      <c r="C21" s="34" t="s">
        <v>69</v>
      </c>
      <c r="D21" s="34" t="s">
        <v>76</v>
      </c>
      <c r="E21" s="34" t="s">
        <v>54</v>
      </c>
      <c r="F21" s="34">
        <v>1232982</v>
      </c>
    </row>
    <row r="22" spans="1:6" ht="13.5">
      <c r="A22" s="34"/>
      <c r="B22" s="34" t="s">
        <v>77</v>
      </c>
      <c r="C22" s="34" t="s">
        <v>78</v>
      </c>
      <c r="E22" s="34" t="s">
        <v>72</v>
      </c>
      <c r="F22" s="34">
        <v>3109392</v>
      </c>
    </row>
    <row r="23" spans="1:6" ht="13.5">
      <c r="A23" s="34" t="s">
        <v>79</v>
      </c>
      <c r="B23" s="34"/>
      <c r="C23" s="34" t="s">
        <v>66</v>
      </c>
      <c r="D23" s="34" t="s">
        <v>80</v>
      </c>
      <c r="E23" s="34" t="s">
        <v>54</v>
      </c>
      <c r="F23" s="34">
        <v>1232289</v>
      </c>
    </row>
    <row r="24" spans="1:6" ht="13.5">
      <c r="A24" s="34">
        <v>1219535</v>
      </c>
      <c r="B24" s="34" t="s">
        <v>81</v>
      </c>
      <c r="C24" s="34" t="s">
        <v>82</v>
      </c>
      <c r="D24" s="34" t="s">
        <v>83</v>
      </c>
      <c r="E24" s="34" t="s">
        <v>84</v>
      </c>
      <c r="F24" s="34">
        <v>1219535</v>
      </c>
    </row>
    <row r="25" spans="1:6" ht="13.5">
      <c r="A25" s="34">
        <v>3119528</v>
      </c>
      <c r="B25" s="34" t="s">
        <v>85</v>
      </c>
      <c r="C25" s="34" t="s">
        <v>86</v>
      </c>
      <c r="E25" s="34" t="s">
        <v>55</v>
      </c>
      <c r="F25" s="34">
        <v>3119528</v>
      </c>
    </row>
    <row r="26" spans="1:6" ht="13.5">
      <c r="A26" s="34">
        <v>3108603</v>
      </c>
      <c r="B26" s="34"/>
      <c r="C26" s="34" t="s">
        <v>87</v>
      </c>
      <c r="E26" s="34" t="s">
        <v>88</v>
      </c>
      <c r="F26" s="34">
        <v>3108603</v>
      </c>
    </row>
    <row r="27" spans="1:6" ht="13.5">
      <c r="A27" s="34">
        <v>1219536</v>
      </c>
      <c r="B27" s="34"/>
      <c r="D27" s="34" t="s">
        <v>89</v>
      </c>
      <c r="E27" s="34" t="s">
        <v>90</v>
      </c>
      <c r="F27" s="34">
        <v>1219536</v>
      </c>
    </row>
    <row r="28" spans="1:6" ht="13.5">
      <c r="A28" s="34">
        <v>3119536</v>
      </c>
      <c r="B28" s="34"/>
      <c r="E28" s="34" t="s">
        <v>91</v>
      </c>
      <c r="F28" s="34">
        <v>3119536</v>
      </c>
    </row>
    <row r="29" spans="1:6" ht="13.5">
      <c r="A29" s="34"/>
      <c r="B29" s="34"/>
      <c r="D29" s="34" t="s">
        <v>92</v>
      </c>
      <c r="E29" s="34" t="s">
        <v>93</v>
      </c>
    </row>
    <row r="30" spans="1:6" ht="13.5">
      <c r="A30" s="34">
        <v>1232921</v>
      </c>
      <c r="B30" s="34"/>
      <c r="D30" s="34" t="s">
        <v>94</v>
      </c>
      <c r="E30" s="34" t="s">
        <v>95</v>
      </c>
      <c r="F30" s="34">
        <v>1232921</v>
      </c>
    </row>
    <row r="31" spans="1:6" ht="13.5">
      <c r="A31" s="34">
        <v>1227702</v>
      </c>
      <c r="B31" s="34"/>
      <c r="D31" s="34" t="s">
        <v>96</v>
      </c>
      <c r="E31" s="34" t="s">
        <v>97</v>
      </c>
      <c r="F31" s="34">
        <v>1227702</v>
      </c>
    </row>
    <row r="32" spans="1:6" ht="13.5">
      <c r="A32" s="34">
        <v>1219538</v>
      </c>
      <c r="B32" s="34"/>
      <c r="C32" s="34" t="s">
        <v>98</v>
      </c>
      <c r="D32" s="34" t="s">
        <v>99</v>
      </c>
      <c r="E32" s="34" t="s">
        <v>100</v>
      </c>
      <c r="F32" s="34">
        <v>1219538</v>
      </c>
    </row>
    <row r="33" spans="1:6" ht="13.5">
      <c r="A33" s="34">
        <v>1219539</v>
      </c>
      <c r="B33" s="34"/>
      <c r="D33" s="34" t="s">
        <v>101</v>
      </c>
      <c r="E33" s="34" t="s">
        <v>71</v>
      </c>
      <c r="F33" s="34">
        <v>1219539</v>
      </c>
    </row>
    <row r="34" spans="1:6" ht="13.5">
      <c r="A34" s="34">
        <v>3106210</v>
      </c>
      <c r="B34" s="34"/>
      <c r="C34" s="34" t="s">
        <v>102</v>
      </c>
      <c r="E34" s="34" t="s">
        <v>103</v>
      </c>
      <c r="F34" s="34">
        <v>3106210</v>
      </c>
    </row>
    <row r="35" spans="1:6" ht="13.5">
      <c r="A35" s="34">
        <v>3109841</v>
      </c>
      <c r="B35" s="34"/>
      <c r="E35" s="34" t="s">
        <v>103</v>
      </c>
      <c r="F35" s="34">
        <v>3109841</v>
      </c>
    </row>
    <row r="36" spans="1:6" ht="13.5">
      <c r="A36" s="34">
        <v>1219615</v>
      </c>
      <c r="B36" s="34"/>
      <c r="D36" s="34" t="s">
        <v>104</v>
      </c>
      <c r="E36" s="34" t="s">
        <v>39</v>
      </c>
      <c r="F36" s="34">
        <v>1219615</v>
      </c>
    </row>
    <row r="37" spans="1:6" ht="13.5">
      <c r="A37" s="34">
        <v>1220200</v>
      </c>
      <c r="B37" s="34"/>
      <c r="E37" s="34" t="s">
        <v>105</v>
      </c>
      <c r="F37" s="34">
        <v>1220200</v>
      </c>
    </row>
    <row r="38" spans="1:6" ht="13.5">
      <c r="A38" s="34">
        <v>3119614</v>
      </c>
      <c r="B38" s="34"/>
      <c r="E38" s="34" t="s">
        <v>55</v>
      </c>
      <c r="F38" s="34">
        <v>3119614</v>
      </c>
    </row>
    <row r="39" spans="1:6" ht="13.5">
      <c r="A39" s="34">
        <v>3119615</v>
      </c>
      <c r="B39" s="34"/>
      <c r="E39" s="34" t="s">
        <v>103</v>
      </c>
      <c r="F39" s="34">
        <v>3119615</v>
      </c>
    </row>
    <row r="40" spans="1:6" ht="13.5">
      <c r="A40" s="34">
        <v>1227699</v>
      </c>
      <c r="B40" s="34"/>
      <c r="C40" s="34" t="s">
        <v>97</v>
      </c>
      <c r="D40" s="34" t="s">
        <v>106</v>
      </c>
      <c r="E40" s="34" t="s">
        <v>39</v>
      </c>
      <c r="F40" s="34">
        <v>1227699</v>
      </c>
    </row>
    <row r="41" spans="1:6" ht="13.5">
      <c r="A41" s="34"/>
      <c r="B41" s="34"/>
      <c r="E41" s="34" t="s">
        <v>103</v>
      </c>
    </row>
    <row r="42" spans="1:6" ht="13.5">
      <c r="A42" s="34">
        <v>1232112</v>
      </c>
      <c r="B42" s="34" t="s">
        <v>107</v>
      </c>
      <c r="C42" s="34" t="s">
        <v>108</v>
      </c>
      <c r="D42" s="34" t="s">
        <v>109</v>
      </c>
      <c r="E42" s="34" t="s">
        <v>84</v>
      </c>
      <c r="F42" s="34">
        <v>1232112</v>
      </c>
    </row>
    <row r="43" spans="1:6" ht="13.5">
      <c r="A43" s="34"/>
      <c r="B43" s="34" t="s">
        <v>110</v>
      </c>
      <c r="C43" s="34" t="s">
        <v>111</v>
      </c>
      <c r="E43" s="34" t="s">
        <v>55</v>
      </c>
    </row>
    <row r="44" spans="1:6" ht="13.5">
      <c r="A44" s="34">
        <v>9236603</v>
      </c>
      <c r="B44" s="34"/>
      <c r="C44" s="34" t="s">
        <v>112</v>
      </c>
      <c r="D44" s="34" t="s">
        <v>113</v>
      </c>
      <c r="E44" s="34" t="s">
        <v>71</v>
      </c>
      <c r="F44" s="34">
        <v>9236603</v>
      </c>
    </row>
    <row r="45" spans="1:6" ht="13.5">
      <c r="A45" s="34"/>
      <c r="B45" s="34"/>
      <c r="E45" s="34" t="s">
        <v>114</v>
      </c>
      <c r="F45" s="34">
        <v>3108954</v>
      </c>
    </row>
    <row r="46" spans="1:6" ht="13.5">
      <c r="A46" s="34"/>
      <c r="B46" s="34"/>
      <c r="C46" s="34" t="s">
        <v>115</v>
      </c>
      <c r="D46" s="34" t="s">
        <v>116</v>
      </c>
      <c r="E46" s="34" t="s">
        <v>95</v>
      </c>
      <c r="F46" s="34">
        <v>9237333</v>
      </c>
    </row>
    <row r="47" spans="1:6" ht="13.5">
      <c r="A47" s="34"/>
      <c r="B47" s="34"/>
    </row>
    <row r="48" spans="1:6" ht="27">
      <c r="A48" s="34"/>
      <c r="B48" s="34"/>
      <c r="C48" s="34" t="s">
        <v>117</v>
      </c>
      <c r="D48" s="34" t="s">
        <v>118</v>
      </c>
      <c r="E48" s="35" t="s">
        <v>119</v>
      </c>
      <c r="F48" s="34">
        <v>9237332</v>
      </c>
    </row>
    <row r="49" spans="1:6" ht="13.5">
      <c r="A49" s="34"/>
      <c r="B49" s="34"/>
    </row>
    <row r="50" spans="1:6" ht="13.5">
      <c r="A50" s="34">
        <v>1232227</v>
      </c>
      <c r="B50" s="34"/>
      <c r="C50" s="34" t="s">
        <v>37</v>
      </c>
      <c r="D50" s="34" t="s">
        <v>38</v>
      </c>
      <c r="E50" s="34" t="s">
        <v>39</v>
      </c>
      <c r="F50" s="34">
        <v>1232227</v>
      </c>
    </row>
    <row r="51" spans="1:6" ht="13.5">
      <c r="A51" s="34"/>
      <c r="B51" s="34"/>
      <c r="E51" s="34" t="s">
        <v>114</v>
      </c>
      <c r="F51" s="34">
        <v>3108953</v>
      </c>
    </row>
    <row r="52" spans="1:6" ht="27">
      <c r="A52" s="34">
        <v>1233384</v>
      </c>
      <c r="B52" s="35" t="s">
        <v>120</v>
      </c>
      <c r="C52" s="34" t="s">
        <v>121</v>
      </c>
      <c r="D52" s="34" t="s">
        <v>122</v>
      </c>
      <c r="E52" s="34" t="s">
        <v>123</v>
      </c>
      <c r="F52" s="34">
        <v>1233384</v>
      </c>
    </row>
    <row r="53" spans="1:6" ht="13.5">
      <c r="A53" s="34"/>
      <c r="B53" s="34"/>
      <c r="E53" s="34" t="s">
        <v>124</v>
      </c>
    </row>
    <row r="54" spans="1:6" ht="13.5">
      <c r="A54" s="34">
        <v>1232922</v>
      </c>
      <c r="B54" s="34"/>
      <c r="C54" s="34" t="s">
        <v>125</v>
      </c>
      <c r="D54" s="34" t="s">
        <v>126</v>
      </c>
      <c r="E54" s="34" t="s">
        <v>127</v>
      </c>
      <c r="F54" s="34">
        <v>1232922</v>
      </c>
    </row>
    <row r="55" spans="1:6" ht="13.5">
      <c r="A55" s="34"/>
      <c r="B55" s="34"/>
      <c r="E55" s="34" t="s">
        <v>124</v>
      </c>
    </row>
    <row r="56" spans="1:6" ht="13.5">
      <c r="A56" s="34">
        <v>1233387</v>
      </c>
      <c r="B56" s="34"/>
      <c r="C56" s="34" t="s">
        <v>128</v>
      </c>
      <c r="D56" s="34" t="s">
        <v>129</v>
      </c>
      <c r="E56" s="34" t="s">
        <v>130</v>
      </c>
      <c r="F56" s="34">
        <v>1233387</v>
      </c>
    </row>
    <row r="57" spans="1:6" ht="13.5">
      <c r="A57" s="34"/>
      <c r="B57" s="34"/>
      <c r="C57" s="34" t="s">
        <v>131</v>
      </c>
      <c r="E57" s="34" t="s">
        <v>124</v>
      </c>
    </row>
    <row r="58" spans="1:6" ht="13.5">
      <c r="A58" s="34">
        <v>1233385</v>
      </c>
      <c r="B58" s="34"/>
      <c r="C58" s="34" t="s">
        <v>132</v>
      </c>
      <c r="D58" s="34" t="s">
        <v>133</v>
      </c>
      <c r="E58" s="34" t="s">
        <v>134</v>
      </c>
      <c r="F58" s="34">
        <v>1233385</v>
      </c>
    </row>
    <row r="59" spans="1:6" ht="13.5">
      <c r="A59" s="34"/>
      <c r="B59" s="34"/>
      <c r="E59" s="34" t="s">
        <v>124</v>
      </c>
    </row>
    <row r="60" spans="1:6" ht="13.5">
      <c r="A60" s="34">
        <v>1233386</v>
      </c>
      <c r="B60" s="34"/>
      <c r="C60" s="34" t="s">
        <v>135</v>
      </c>
      <c r="D60" s="34" t="s">
        <v>136</v>
      </c>
      <c r="E60" s="34" t="s">
        <v>137</v>
      </c>
      <c r="F60" s="34">
        <v>1233386</v>
      </c>
    </row>
    <row r="61" spans="1:6" ht="13.5">
      <c r="A61" s="34"/>
      <c r="B61" s="34"/>
      <c r="E61" s="34" t="s">
        <v>124</v>
      </c>
    </row>
    <row r="62" spans="1:6" ht="13.5">
      <c r="A62" s="34">
        <v>1217440</v>
      </c>
      <c r="B62" s="34" t="s">
        <v>138</v>
      </c>
      <c r="C62" s="34" t="s">
        <v>139</v>
      </c>
      <c r="D62" s="34" t="s">
        <v>140</v>
      </c>
      <c r="E62" s="34" t="s">
        <v>43</v>
      </c>
      <c r="F62" s="34">
        <v>1217440</v>
      </c>
    </row>
    <row r="63" spans="1:6" ht="13.5">
      <c r="A63" s="34">
        <v>3304130</v>
      </c>
      <c r="B63" s="34" t="s">
        <v>141</v>
      </c>
      <c r="C63" s="34" t="s">
        <v>142</v>
      </c>
      <c r="E63" s="34" t="s">
        <v>55</v>
      </c>
      <c r="F63" s="34">
        <v>3304130</v>
      </c>
    </row>
    <row r="64" spans="1:6" ht="13.5">
      <c r="A64" s="34">
        <v>3305089</v>
      </c>
      <c r="B64" s="34"/>
      <c r="E64" s="34" t="s">
        <v>103</v>
      </c>
      <c r="F64" s="34">
        <v>3305089</v>
      </c>
    </row>
    <row r="65" spans="1:7" ht="13.5">
      <c r="A65" s="34">
        <v>1216235</v>
      </c>
      <c r="B65" s="34" t="s">
        <v>143</v>
      </c>
      <c r="C65" s="34" t="s">
        <v>144</v>
      </c>
      <c r="D65" s="34" t="s">
        <v>145</v>
      </c>
      <c r="E65" s="34" t="s">
        <v>43</v>
      </c>
      <c r="F65" s="34">
        <v>1216235</v>
      </c>
    </row>
    <row r="66" spans="1:7" ht="13.5">
      <c r="A66" s="34"/>
      <c r="B66" s="34" t="s">
        <v>146</v>
      </c>
      <c r="C66" s="34" t="s">
        <v>147</v>
      </c>
    </row>
    <row r="67" spans="1:7" ht="13.5">
      <c r="A67" s="34">
        <v>3116235</v>
      </c>
      <c r="B67" s="34" t="s">
        <v>148</v>
      </c>
      <c r="C67" s="34" t="s">
        <v>149</v>
      </c>
      <c r="E67" s="34" t="s">
        <v>55</v>
      </c>
      <c r="F67" s="34">
        <v>3116235</v>
      </c>
    </row>
    <row r="68" spans="1:7" ht="13.5">
      <c r="A68" s="34">
        <v>1222225</v>
      </c>
      <c r="B68" s="34" t="s">
        <v>141</v>
      </c>
      <c r="C68" s="34" t="s">
        <v>142</v>
      </c>
      <c r="D68" s="34" t="s">
        <v>150</v>
      </c>
      <c r="E68" s="34" t="s">
        <v>151</v>
      </c>
      <c r="F68" s="34">
        <v>1222225</v>
      </c>
    </row>
    <row r="69" spans="1:7" ht="13.5">
      <c r="A69" s="34">
        <v>3122225</v>
      </c>
      <c r="B69" s="34" t="s">
        <v>152</v>
      </c>
      <c r="C69" s="34" t="s">
        <v>153</v>
      </c>
      <c r="D69" s="34" t="s">
        <v>154</v>
      </c>
      <c r="E69" s="34" t="s">
        <v>103</v>
      </c>
      <c r="F69" s="34">
        <v>3122225</v>
      </c>
    </row>
    <row r="70" spans="1:7" ht="13.5">
      <c r="A70" s="34">
        <v>3123940</v>
      </c>
      <c r="B70" s="34" t="s">
        <v>155</v>
      </c>
      <c r="C70" s="34" t="s">
        <v>156</v>
      </c>
      <c r="D70" s="34" t="s">
        <v>157</v>
      </c>
      <c r="E70" s="34" t="s">
        <v>158</v>
      </c>
      <c r="F70" s="34">
        <v>3123940</v>
      </c>
    </row>
    <row r="71" spans="1:7" ht="13.5">
      <c r="A71" s="34">
        <v>3102015</v>
      </c>
      <c r="B71" s="34" t="s">
        <v>159</v>
      </c>
      <c r="C71" s="34" t="s">
        <v>160</v>
      </c>
      <c r="D71" s="34" t="s">
        <v>161</v>
      </c>
      <c r="E71" s="34" t="s">
        <v>162</v>
      </c>
      <c r="F71" s="34">
        <v>3102015</v>
      </c>
    </row>
    <row r="72" spans="1:7" ht="13.5">
      <c r="A72" s="34">
        <v>1231090</v>
      </c>
      <c r="B72" s="34" t="s">
        <v>163</v>
      </c>
      <c r="C72" s="34" t="s">
        <v>164</v>
      </c>
      <c r="D72" s="34" t="s">
        <v>165</v>
      </c>
      <c r="E72" s="34" t="s">
        <v>43</v>
      </c>
      <c r="F72" s="34">
        <v>1231090</v>
      </c>
    </row>
    <row r="73" spans="1:7" ht="13.5">
      <c r="A73" s="34">
        <v>3107153</v>
      </c>
      <c r="B73" s="34"/>
      <c r="C73" s="34" t="s">
        <v>166</v>
      </c>
      <c r="E73" s="34" t="s">
        <v>167</v>
      </c>
      <c r="F73" s="34">
        <v>3107153</v>
      </c>
      <c r="G73" s="34" t="s">
        <v>168</v>
      </c>
    </row>
    <row r="74" spans="1:7" ht="13.5">
      <c r="A74" s="34">
        <v>1230932</v>
      </c>
      <c r="B74" s="34" t="s">
        <v>169</v>
      </c>
      <c r="C74" s="34" t="s">
        <v>164</v>
      </c>
      <c r="D74" s="34" t="s">
        <v>170</v>
      </c>
      <c r="E74" s="34" t="s">
        <v>169</v>
      </c>
      <c r="F74" s="34">
        <v>1230932</v>
      </c>
    </row>
    <row r="75" spans="1:7" ht="13.5">
      <c r="A75" s="34"/>
      <c r="B75" s="34" t="s">
        <v>171</v>
      </c>
      <c r="C75" s="34" t="s">
        <v>172</v>
      </c>
      <c r="E75" s="34" t="s">
        <v>61</v>
      </c>
    </row>
    <row r="76" spans="1:7" ht="13.5">
      <c r="A76" s="34">
        <v>1220847</v>
      </c>
      <c r="B76" s="34" t="s">
        <v>173</v>
      </c>
      <c r="C76" s="34" t="s">
        <v>174</v>
      </c>
      <c r="D76" s="34" t="s">
        <v>175</v>
      </c>
      <c r="E76" s="34" t="s">
        <v>43</v>
      </c>
      <c r="F76" s="34">
        <v>1220847</v>
      </c>
    </row>
    <row r="77" spans="1:7" ht="13.5">
      <c r="A77" s="34">
        <v>3120847</v>
      </c>
      <c r="B77" s="34"/>
      <c r="C77" s="34" t="s">
        <v>176</v>
      </c>
      <c r="D77" s="34" t="s">
        <v>177</v>
      </c>
      <c r="E77" s="34" t="s">
        <v>55</v>
      </c>
      <c r="F77" s="34">
        <v>3120847</v>
      </c>
    </row>
    <row r="78" spans="1:7" ht="13.5">
      <c r="A78" s="34">
        <v>3114423</v>
      </c>
      <c r="B78" s="34"/>
      <c r="C78" s="34" t="s">
        <v>178</v>
      </c>
      <c r="D78" s="34" t="s">
        <v>179</v>
      </c>
      <c r="E78" s="34" t="s">
        <v>103</v>
      </c>
      <c r="F78" s="34">
        <v>3114423</v>
      </c>
    </row>
    <row r="79" spans="1:7" ht="13.5">
      <c r="A79" s="34">
        <v>3306428</v>
      </c>
      <c r="B79" s="34"/>
      <c r="E79" s="34" t="s">
        <v>103</v>
      </c>
      <c r="F79" s="34">
        <v>3306428</v>
      </c>
    </row>
    <row r="80" spans="1:7" ht="13.5">
      <c r="A80" s="34">
        <v>3108257</v>
      </c>
      <c r="B80" s="34"/>
      <c r="C80" s="34" t="s">
        <v>180</v>
      </c>
      <c r="D80" s="34" t="s">
        <v>181</v>
      </c>
      <c r="E80" s="34" t="s">
        <v>182</v>
      </c>
      <c r="F80" s="34">
        <v>3108257</v>
      </c>
    </row>
    <row r="81" spans="1:6" ht="13.5">
      <c r="A81" s="34">
        <v>9215846</v>
      </c>
      <c r="B81" s="34"/>
      <c r="C81" s="34" t="s">
        <v>183</v>
      </c>
      <c r="D81" s="34" t="s">
        <v>184</v>
      </c>
      <c r="E81" s="34" t="s">
        <v>185</v>
      </c>
      <c r="F81" s="34">
        <v>9215846</v>
      </c>
    </row>
    <row r="82" spans="1:6" ht="13.5">
      <c r="A82" s="34">
        <v>9219943</v>
      </c>
      <c r="B82" s="34" t="s">
        <v>186</v>
      </c>
      <c r="C82" s="34" t="s">
        <v>187</v>
      </c>
      <c r="D82" s="34" t="s">
        <v>188</v>
      </c>
      <c r="E82" s="34" t="s">
        <v>185</v>
      </c>
      <c r="F82" s="34">
        <v>9219943</v>
      </c>
    </row>
    <row r="83" spans="1:6" ht="13.5">
      <c r="A83" s="34">
        <v>1221082</v>
      </c>
      <c r="B83" s="34" t="s">
        <v>189</v>
      </c>
      <c r="C83" s="34" t="s">
        <v>190</v>
      </c>
      <c r="D83" s="34" t="s">
        <v>191</v>
      </c>
      <c r="E83" s="34" t="s">
        <v>192</v>
      </c>
      <c r="F83" s="34">
        <v>1221082</v>
      </c>
    </row>
    <row r="84" spans="1:6" ht="13.5">
      <c r="A84" s="34">
        <v>3121082</v>
      </c>
      <c r="B84" s="34"/>
      <c r="E84" s="34" t="s">
        <v>193</v>
      </c>
      <c r="F84" s="34">
        <v>3121082</v>
      </c>
    </row>
    <row r="85" spans="1:6" ht="13.5">
      <c r="A85" s="34">
        <v>1221036</v>
      </c>
      <c r="B85" s="34"/>
      <c r="C85" s="34" t="s">
        <v>194</v>
      </c>
      <c r="D85" s="34" t="s">
        <v>195</v>
      </c>
      <c r="E85" s="34" t="s">
        <v>196</v>
      </c>
      <c r="F85" s="34">
        <v>1221036</v>
      </c>
    </row>
    <row r="86" spans="1:6" ht="13.5">
      <c r="A86" s="34">
        <v>3305311</v>
      </c>
      <c r="B86" s="34"/>
      <c r="E86" s="34" t="s">
        <v>103</v>
      </c>
      <c r="F86" s="34">
        <v>3305311</v>
      </c>
    </row>
    <row r="87" spans="1:6" ht="13.5">
      <c r="A87" s="34">
        <v>3209782</v>
      </c>
      <c r="B87" s="34"/>
      <c r="E87" s="34" t="s">
        <v>197</v>
      </c>
      <c r="F87" s="34">
        <v>3209782</v>
      </c>
    </row>
    <row r="88" spans="1:6" ht="13.5">
      <c r="A88" s="34">
        <v>3305609</v>
      </c>
      <c r="B88" s="34"/>
      <c r="E88" s="34" t="s">
        <v>197</v>
      </c>
      <c r="F88" s="34">
        <v>3305609</v>
      </c>
    </row>
    <row r="89" spans="1:6" ht="13.5">
      <c r="A89" s="34">
        <v>3123907</v>
      </c>
      <c r="B89" s="34"/>
      <c r="E89" s="34" t="s">
        <v>103</v>
      </c>
      <c r="F89" s="34">
        <v>3123907</v>
      </c>
    </row>
    <row r="90" spans="1:6" ht="13.5">
      <c r="A90" s="34"/>
      <c r="B90" s="34"/>
      <c r="C90" s="34" t="s">
        <v>198</v>
      </c>
      <c r="D90" s="34" t="s">
        <v>199</v>
      </c>
      <c r="E90" s="34" t="s">
        <v>200</v>
      </c>
    </row>
    <row r="91" spans="1:6" ht="13.5">
      <c r="A91" s="34"/>
      <c r="B91" s="34"/>
      <c r="E91" s="34" t="s">
        <v>103</v>
      </c>
    </row>
    <row r="92" spans="1:6" ht="13.5">
      <c r="A92" s="34">
        <v>1222324</v>
      </c>
      <c r="B92" s="34"/>
      <c r="C92" s="34" t="s">
        <v>198</v>
      </c>
      <c r="D92" s="34" t="s">
        <v>201</v>
      </c>
      <c r="E92" s="34" t="s">
        <v>97</v>
      </c>
      <c r="F92" s="34">
        <v>1222324</v>
      </c>
    </row>
    <row r="93" spans="1:6" ht="13.5">
      <c r="A93" s="34">
        <v>3122093</v>
      </c>
      <c r="B93" s="34"/>
      <c r="E93" s="34" t="s">
        <v>202</v>
      </c>
      <c r="F93" s="34">
        <v>3122093</v>
      </c>
    </row>
    <row r="94" spans="1:6" ht="13.5">
      <c r="A94" s="34">
        <v>3122324</v>
      </c>
      <c r="B94" s="34"/>
      <c r="E94" s="34" t="s">
        <v>202</v>
      </c>
      <c r="F94" s="34">
        <v>3122324</v>
      </c>
    </row>
    <row r="95" spans="1:6" ht="13.5">
      <c r="A95" s="34">
        <v>1219626</v>
      </c>
      <c r="B95" s="34" t="s">
        <v>203</v>
      </c>
      <c r="C95" s="34" t="s">
        <v>204</v>
      </c>
      <c r="D95" s="34" t="s">
        <v>205</v>
      </c>
      <c r="E95" s="34" t="s">
        <v>43</v>
      </c>
      <c r="F95" s="34">
        <v>1219626</v>
      </c>
    </row>
    <row r="96" spans="1:6" ht="13.5">
      <c r="A96" s="34">
        <v>3119626</v>
      </c>
      <c r="B96" s="34" t="s">
        <v>206</v>
      </c>
      <c r="E96" s="34" t="s">
        <v>55</v>
      </c>
      <c r="F96" s="34">
        <v>3119626</v>
      </c>
    </row>
    <row r="97" spans="1:6" ht="13.5">
      <c r="A97" s="34">
        <v>3304799</v>
      </c>
      <c r="B97" s="34"/>
      <c r="E97" s="34" t="s">
        <v>193</v>
      </c>
      <c r="F97" s="34">
        <v>3304799</v>
      </c>
    </row>
    <row r="98" spans="1:6" ht="13.5">
      <c r="A98" s="34">
        <v>1219622</v>
      </c>
      <c r="B98" s="34"/>
      <c r="D98" s="34" t="s">
        <v>207</v>
      </c>
      <c r="E98" s="34" t="s">
        <v>43</v>
      </c>
      <c r="F98" s="34">
        <v>1219622</v>
      </c>
    </row>
    <row r="99" spans="1:6" ht="13.5">
      <c r="A99" s="34">
        <v>3119622</v>
      </c>
      <c r="B99" s="34"/>
      <c r="E99" s="34" t="s">
        <v>55</v>
      </c>
      <c r="F99" s="34">
        <v>3119622</v>
      </c>
    </row>
    <row r="100" spans="1:6" ht="13.5">
      <c r="A100" s="34">
        <v>3304797</v>
      </c>
      <c r="B100" s="34"/>
      <c r="E100" s="34" t="s">
        <v>193</v>
      </c>
      <c r="F100" s="34">
        <v>3304797</v>
      </c>
    </row>
    <row r="101" spans="1:6" ht="13.5">
      <c r="A101" s="34">
        <v>9219263</v>
      </c>
      <c r="B101" s="34"/>
      <c r="D101" s="34" t="s">
        <v>208</v>
      </c>
      <c r="E101" s="34" t="s">
        <v>43</v>
      </c>
      <c r="F101" s="34">
        <v>9219263</v>
      </c>
    </row>
    <row r="102" spans="1:6" ht="13.5">
      <c r="A102" s="34">
        <v>9220550</v>
      </c>
      <c r="B102" s="34" t="s">
        <v>209</v>
      </c>
      <c r="C102" s="34" t="s">
        <v>210</v>
      </c>
      <c r="D102" s="34" t="s">
        <v>211</v>
      </c>
      <c r="E102" s="34" t="s">
        <v>43</v>
      </c>
      <c r="F102" s="34">
        <v>9220550</v>
      </c>
    </row>
    <row r="103" spans="1:6" ht="13.5">
      <c r="A103" s="34">
        <v>3220550</v>
      </c>
      <c r="B103" s="34" t="s">
        <v>212</v>
      </c>
      <c r="E103" s="34" t="s">
        <v>193</v>
      </c>
      <c r="F103" s="34">
        <v>3220550</v>
      </c>
    </row>
    <row r="104" spans="1:6" ht="13.5">
      <c r="A104" s="34">
        <v>9215441</v>
      </c>
      <c r="B104" s="34" t="s">
        <v>213</v>
      </c>
      <c r="C104" s="34" t="s">
        <v>214</v>
      </c>
      <c r="D104" s="34" t="s">
        <v>215</v>
      </c>
      <c r="E104" s="34" t="s">
        <v>43</v>
      </c>
      <c r="F104" s="34">
        <v>9215441</v>
      </c>
    </row>
    <row r="105" spans="1:6" ht="13.5">
      <c r="A105" s="34">
        <v>9219341</v>
      </c>
      <c r="B105" s="34" t="s">
        <v>216</v>
      </c>
      <c r="D105" s="34" t="s">
        <v>217</v>
      </c>
      <c r="E105" s="34" t="s">
        <v>43</v>
      </c>
      <c r="F105" s="34">
        <v>9219341</v>
      </c>
    </row>
    <row r="106" spans="1:6" ht="13.5">
      <c r="A106" s="34">
        <v>9222746</v>
      </c>
      <c r="B106" s="34"/>
      <c r="D106" s="34" t="s">
        <v>218</v>
      </c>
      <c r="E106" s="34" t="s">
        <v>43</v>
      </c>
      <c r="F106" s="34">
        <v>9222746</v>
      </c>
    </row>
    <row r="107" spans="1:6" ht="13.5">
      <c r="A107" s="34">
        <v>9224156</v>
      </c>
      <c r="B107" s="34"/>
      <c r="D107" s="34" t="s">
        <v>219</v>
      </c>
      <c r="E107" s="34" t="s">
        <v>43</v>
      </c>
      <c r="F107" s="34">
        <v>9224156</v>
      </c>
    </row>
    <row r="108" spans="1:6" ht="13.5">
      <c r="A108" s="34">
        <v>1221154</v>
      </c>
      <c r="B108" s="34" t="s">
        <v>220</v>
      </c>
      <c r="C108" s="34" t="s">
        <v>221</v>
      </c>
      <c r="D108" s="34" t="s">
        <v>222</v>
      </c>
      <c r="E108" s="34" t="s">
        <v>43</v>
      </c>
      <c r="F108" s="34">
        <v>1221154</v>
      </c>
    </row>
    <row r="109" spans="1:6" ht="13.5">
      <c r="A109" s="34">
        <v>3305401</v>
      </c>
      <c r="B109" s="34"/>
      <c r="E109" s="34" t="s">
        <v>55</v>
      </c>
      <c r="F109" s="34">
        <v>3305401</v>
      </c>
    </row>
    <row r="110" spans="1:6" ht="13.5">
      <c r="A110" s="34">
        <v>3121154</v>
      </c>
      <c r="B110" s="34"/>
      <c r="E110" s="34" t="s">
        <v>103</v>
      </c>
      <c r="F110" s="34">
        <v>3121154</v>
      </c>
    </row>
    <row r="111" spans="1:6" ht="13.5">
      <c r="A111" s="34">
        <v>1229673</v>
      </c>
      <c r="B111" s="34"/>
      <c r="C111" s="34" t="s">
        <v>223</v>
      </c>
      <c r="D111" s="34" t="s">
        <v>224</v>
      </c>
      <c r="E111" s="34" t="s">
        <v>43</v>
      </c>
      <c r="F111" s="34">
        <v>1229673</v>
      </c>
    </row>
    <row r="112" spans="1:6" ht="13.5">
      <c r="A112" s="34">
        <v>3104649</v>
      </c>
      <c r="B112" s="34"/>
      <c r="E112" s="34" t="s">
        <v>55</v>
      </c>
      <c r="F112" s="34">
        <v>3104649</v>
      </c>
    </row>
    <row r="113" spans="1:6" ht="13.5">
      <c r="A113" s="34"/>
      <c r="B113" s="34"/>
      <c r="E113" s="34" t="s">
        <v>103</v>
      </c>
    </row>
    <row r="114" spans="1:6" ht="13.5">
      <c r="A114" s="34">
        <v>1222565</v>
      </c>
      <c r="B114" s="34" t="s">
        <v>225</v>
      </c>
      <c r="C114" s="34" t="s">
        <v>226</v>
      </c>
      <c r="D114" s="34" t="s">
        <v>227</v>
      </c>
      <c r="E114" s="34" t="s">
        <v>43</v>
      </c>
      <c r="F114" s="34">
        <v>1222565</v>
      </c>
    </row>
    <row r="115" spans="1:6" ht="13.5">
      <c r="A115" s="34">
        <v>3222709</v>
      </c>
      <c r="B115" s="34"/>
      <c r="E115" s="34" t="s">
        <v>55</v>
      </c>
      <c r="F115" s="34">
        <v>3222709</v>
      </c>
    </row>
    <row r="116" spans="1:6" ht="13.5">
      <c r="A116" s="34">
        <v>3219682</v>
      </c>
      <c r="B116" s="34"/>
      <c r="E116" s="34" t="s">
        <v>103</v>
      </c>
      <c r="F116" s="34">
        <v>3219682</v>
      </c>
    </row>
    <row r="117" spans="1:6" ht="13.5">
      <c r="A117" s="34">
        <v>3306429</v>
      </c>
      <c r="B117" s="34"/>
      <c r="E117" s="34" t="s">
        <v>103</v>
      </c>
      <c r="F117" s="34">
        <v>3306429</v>
      </c>
    </row>
    <row r="118" spans="1:6" ht="13.5">
      <c r="A118" s="34">
        <v>1223216</v>
      </c>
      <c r="B118" s="34" t="s">
        <v>228</v>
      </c>
      <c r="C118" s="34" t="s">
        <v>229</v>
      </c>
      <c r="D118" s="34" t="s">
        <v>230</v>
      </c>
      <c r="E118" s="34" t="s">
        <v>43</v>
      </c>
      <c r="F118" s="34">
        <v>1223216</v>
      </c>
    </row>
    <row r="119" spans="1:6" ht="13.5">
      <c r="A119" s="34">
        <v>3223409</v>
      </c>
      <c r="B119" s="34"/>
      <c r="E119" s="34" t="s">
        <v>55</v>
      </c>
      <c r="F119" s="34">
        <v>3223409</v>
      </c>
    </row>
    <row r="120" spans="1:6" ht="13.5">
      <c r="A120" s="34">
        <v>1234614</v>
      </c>
      <c r="B120" s="34"/>
      <c r="C120" s="34" t="s">
        <v>231</v>
      </c>
      <c r="D120" s="34" t="s">
        <v>232</v>
      </c>
      <c r="E120" s="34" t="s">
        <v>43</v>
      </c>
      <c r="F120" s="34">
        <v>1234614</v>
      </c>
    </row>
    <row r="121" spans="1:6" ht="13.5">
      <c r="A121" s="34"/>
      <c r="B121" s="34"/>
      <c r="E121" s="34" t="s">
        <v>55</v>
      </c>
    </row>
    <row r="122" spans="1:6" ht="13.5">
      <c r="A122" s="34">
        <v>1232528</v>
      </c>
      <c r="B122" s="34" t="s">
        <v>233</v>
      </c>
      <c r="C122" s="34" t="s">
        <v>234</v>
      </c>
      <c r="D122" s="34" t="s">
        <v>235</v>
      </c>
      <c r="E122" s="34" t="s">
        <v>43</v>
      </c>
      <c r="F122" s="34">
        <v>1232528</v>
      </c>
    </row>
    <row r="123" spans="1:6" ht="13.5">
      <c r="A123" s="34">
        <v>3109141</v>
      </c>
      <c r="B123" s="34"/>
      <c r="C123" s="34" t="s">
        <v>71</v>
      </c>
      <c r="E123" s="34" t="s">
        <v>103</v>
      </c>
      <c r="F123" s="34">
        <v>3109141</v>
      </c>
    </row>
    <row r="124" spans="1:6" ht="13.5">
      <c r="A124" s="34">
        <v>1223466</v>
      </c>
      <c r="B124" s="34" t="s">
        <v>236</v>
      </c>
      <c r="C124" s="34" t="s">
        <v>237</v>
      </c>
      <c r="D124" s="34" t="s">
        <v>238</v>
      </c>
      <c r="E124" s="34" t="s">
        <v>43</v>
      </c>
      <c r="F124" s="34">
        <v>1223466</v>
      </c>
    </row>
    <row r="125" spans="1:6" ht="13.5">
      <c r="A125" s="34">
        <v>1223135</v>
      </c>
      <c r="B125" s="34" t="s">
        <v>239</v>
      </c>
      <c r="C125" s="34" t="s">
        <v>240</v>
      </c>
      <c r="D125" s="34" t="s">
        <v>241</v>
      </c>
      <c r="E125" s="34" t="s">
        <v>43</v>
      </c>
      <c r="F125" s="34">
        <v>1223135</v>
      </c>
    </row>
    <row r="126" spans="1:6" ht="13.5">
      <c r="A126" s="34">
        <v>3123135</v>
      </c>
      <c r="B126" s="34"/>
      <c r="E126" s="34" t="s">
        <v>55</v>
      </c>
      <c r="F126" s="34">
        <v>3123135</v>
      </c>
    </row>
    <row r="127" spans="1:6" ht="13.5">
      <c r="A127" s="34">
        <v>9223791</v>
      </c>
      <c r="B127" s="34" t="s">
        <v>242</v>
      </c>
      <c r="C127" s="34" t="s">
        <v>243</v>
      </c>
      <c r="D127" s="34" t="s">
        <v>244</v>
      </c>
      <c r="E127" s="34" t="s">
        <v>43</v>
      </c>
      <c r="F127" s="34">
        <v>9223791</v>
      </c>
    </row>
    <row r="128" spans="1:6" ht="13.5">
      <c r="A128" s="34" t="s">
        <v>245</v>
      </c>
      <c r="B128" s="34"/>
      <c r="E128" s="34" t="s">
        <v>55</v>
      </c>
      <c r="F128" s="34" t="s">
        <v>245</v>
      </c>
    </row>
    <row r="129" spans="1:6" ht="13.5">
      <c r="A129" s="34">
        <v>3108109</v>
      </c>
      <c r="B129" s="34" t="s">
        <v>246</v>
      </c>
      <c r="C129" s="34" t="s">
        <v>247</v>
      </c>
      <c r="D129" s="34" t="s">
        <v>248</v>
      </c>
      <c r="E129" s="34" t="s">
        <v>47</v>
      </c>
      <c r="F129" s="34">
        <v>3108109</v>
      </c>
    </row>
    <row r="130" spans="1:6" ht="13.5">
      <c r="A130" s="34">
        <v>3300528</v>
      </c>
      <c r="B130" s="34" t="s">
        <v>246</v>
      </c>
      <c r="C130" s="34" t="s">
        <v>247</v>
      </c>
      <c r="D130" s="34" t="s">
        <v>248</v>
      </c>
      <c r="E130" s="34" t="s">
        <v>47</v>
      </c>
      <c r="F130" s="34">
        <v>3300528</v>
      </c>
    </row>
    <row r="131" spans="1:6" ht="13.5">
      <c r="A131" s="34">
        <v>1224672</v>
      </c>
      <c r="B131" s="34" t="s">
        <v>249</v>
      </c>
      <c r="C131" s="34" t="s">
        <v>250</v>
      </c>
      <c r="D131" s="34" t="s">
        <v>251</v>
      </c>
      <c r="E131" s="34" t="s">
        <v>43</v>
      </c>
      <c r="F131" s="34">
        <v>1224672</v>
      </c>
    </row>
    <row r="132" spans="1:6" ht="13.5">
      <c r="A132" s="34">
        <v>3124672</v>
      </c>
      <c r="B132" s="34"/>
      <c r="E132" s="34" t="s">
        <v>55</v>
      </c>
      <c r="F132" s="34">
        <v>3124672</v>
      </c>
    </row>
    <row r="133" spans="1:6" ht="13.5">
      <c r="A133" s="34">
        <v>1225274</v>
      </c>
      <c r="B133" s="34" t="s">
        <v>252</v>
      </c>
      <c r="C133" s="34" t="s">
        <v>253</v>
      </c>
      <c r="D133" s="34" t="s">
        <v>254</v>
      </c>
      <c r="E133" s="34" t="s">
        <v>43</v>
      </c>
      <c r="F133" s="34">
        <v>1225274</v>
      </c>
    </row>
    <row r="134" spans="1:6" ht="13.5">
      <c r="A134" s="34">
        <v>3125274</v>
      </c>
      <c r="B134" s="34" t="s">
        <v>255</v>
      </c>
      <c r="C134" s="34" t="s">
        <v>256</v>
      </c>
      <c r="D134" s="34" t="s">
        <v>257</v>
      </c>
      <c r="E134" s="34" t="s">
        <v>202</v>
      </c>
      <c r="F134" s="34">
        <v>3125274</v>
      </c>
    </row>
    <row r="135" spans="1:6" ht="27">
      <c r="A135" s="34">
        <v>1221648</v>
      </c>
      <c r="B135" s="34" t="s">
        <v>258</v>
      </c>
      <c r="C135" s="35" t="s">
        <v>259</v>
      </c>
      <c r="D135" s="34" t="s">
        <v>260</v>
      </c>
      <c r="E135" s="34" t="s">
        <v>43</v>
      </c>
      <c r="F135" s="34">
        <v>1221648</v>
      </c>
    </row>
    <row r="136" spans="1:6" ht="27">
      <c r="A136" s="34">
        <v>3100562</v>
      </c>
      <c r="B136" s="34" t="s">
        <v>261</v>
      </c>
      <c r="C136" s="35" t="s">
        <v>262</v>
      </c>
      <c r="D136" s="34" t="s">
        <v>257</v>
      </c>
      <c r="E136" s="34" t="s">
        <v>202</v>
      </c>
      <c r="F136" s="34">
        <v>3100562</v>
      </c>
    </row>
    <row r="137" spans="1:6" ht="13.5">
      <c r="A137" s="34">
        <v>1233877</v>
      </c>
      <c r="B137" s="34" t="s">
        <v>263</v>
      </c>
      <c r="C137" s="34" t="s">
        <v>264</v>
      </c>
      <c r="D137" s="34" t="s">
        <v>265</v>
      </c>
      <c r="E137" s="34" t="s">
        <v>43</v>
      </c>
      <c r="F137" s="34">
        <v>1233877</v>
      </c>
    </row>
    <row r="138" spans="1:6" ht="13.5">
      <c r="A138" s="34"/>
      <c r="B138" s="34" t="s">
        <v>266</v>
      </c>
      <c r="E138" s="34" t="s">
        <v>55</v>
      </c>
      <c r="F138" s="34">
        <v>3111280</v>
      </c>
    </row>
    <row r="139" spans="1:6" ht="13.5">
      <c r="A139" s="34">
        <v>1225033</v>
      </c>
      <c r="B139" s="34" t="s">
        <v>267</v>
      </c>
      <c r="C139" s="34" t="s">
        <v>268</v>
      </c>
      <c r="D139" s="34" t="s">
        <v>269</v>
      </c>
      <c r="E139" s="34" t="s">
        <v>43</v>
      </c>
      <c r="F139" s="34">
        <v>1225033</v>
      </c>
    </row>
    <row r="140" spans="1:6" ht="13.5">
      <c r="A140" s="34">
        <v>3125033</v>
      </c>
      <c r="B140" s="34"/>
      <c r="C140" s="34" t="s">
        <v>270</v>
      </c>
      <c r="E140" s="34" t="s">
        <v>47</v>
      </c>
      <c r="F140" s="34">
        <v>3125033</v>
      </c>
    </row>
    <row r="141" spans="1:6" ht="13.5">
      <c r="A141" s="34">
        <v>3100854</v>
      </c>
      <c r="B141" s="34"/>
      <c r="C141" s="34" t="s">
        <v>271</v>
      </c>
      <c r="E141" s="34" t="s">
        <v>272</v>
      </c>
      <c r="F141" s="34">
        <v>3100854</v>
      </c>
    </row>
    <row r="142" spans="1:6" ht="13.5">
      <c r="A142" s="34">
        <v>1236091</v>
      </c>
      <c r="B142" s="34" t="s">
        <v>267</v>
      </c>
      <c r="C142" s="34" t="s">
        <v>268</v>
      </c>
      <c r="D142" s="34" t="s">
        <v>273</v>
      </c>
      <c r="E142" s="34" t="s">
        <v>43</v>
      </c>
      <c r="F142" s="34">
        <v>1236091</v>
      </c>
    </row>
    <row r="143" spans="1:6" ht="13.5">
      <c r="A143" s="34"/>
      <c r="B143" s="34"/>
      <c r="E143" s="34" t="s">
        <v>47</v>
      </c>
    </row>
    <row r="144" spans="1:6" ht="13.5">
      <c r="A144" s="34"/>
      <c r="B144" s="34"/>
    </row>
    <row r="145" spans="1:6" ht="13.5">
      <c r="A145" s="34">
        <v>1225801</v>
      </c>
      <c r="B145" s="34" t="s">
        <v>274</v>
      </c>
      <c r="C145" s="34" t="s">
        <v>275</v>
      </c>
      <c r="D145" s="34" t="s">
        <v>276</v>
      </c>
      <c r="E145" s="34" t="s">
        <v>43</v>
      </c>
      <c r="F145" s="34">
        <v>1225801</v>
      </c>
    </row>
    <row r="146" spans="1:6" ht="13.5">
      <c r="A146" s="34">
        <v>3100377</v>
      </c>
      <c r="B146" s="34" t="s">
        <v>277</v>
      </c>
      <c r="E146" s="34" t="s">
        <v>47</v>
      </c>
      <c r="F146" s="34">
        <v>3100377</v>
      </c>
    </row>
    <row r="147" spans="1:6" ht="13.5">
      <c r="A147" s="34"/>
      <c r="B147" s="34" t="s">
        <v>278</v>
      </c>
    </row>
    <row r="148" spans="1:6" ht="13.5">
      <c r="A148" s="34"/>
      <c r="B148" s="34" t="s">
        <v>279</v>
      </c>
    </row>
    <row r="149" spans="1:6" ht="13.5">
      <c r="A149" s="34">
        <v>1225725</v>
      </c>
      <c r="B149" s="34" t="s">
        <v>277</v>
      </c>
      <c r="C149" s="34" t="s">
        <v>280</v>
      </c>
      <c r="D149" s="34" t="s">
        <v>281</v>
      </c>
      <c r="E149" s="34" t="s">
        <v>43</v>
      </c>
      <c r="F149" s="34">
        <v>1225725</v>
      </c>
    </row>
    <row r="150" spans="1:6" ht="13.5">
      <c r="A150" s="34">
        <v>3100379</v>
      </c>
      <c r="B150" s="34" t="s">
        <v>278</v>
      </c>
      <c r="C150" s="34" t="s">
        <v>282</v>
      </c>
      <c r="E150" s="34" t="s">
        <v>47</v>
      </c>
      <c r="F150" s="34">
        <v>3100379</v>
      </c>
    </row>
    <row r="151" spans="1:6" ht="13.5">
      <c r="A151" s="34"/>
      <c r="B151" s="34"/>
      <c r="C151" s="34" t="s">
        <v>283</v>
      </c>
    </row>
    <row r="152" spans="1:6" ht="13.5">
      <c r="A152" s="34">
        <v>1228038</v>
      </c>
      <c r="B152" s="34" t="s">
        <v>284</v>
      </c>
      <c r="C152" s="34" t="s">
        <v>285</v>
      </c>
      <c r="D152" s="34" t="s">
        <v>286</v>
      </c>
      <c r="E152" s="34" t="s">
        <v>43</v>
      </c>
      <c r="F152" s="34">
        <v>1228038</v>
      </c>
    </row>
    <row r="153" spans="1:6" ht="13.5">
      <c r="A153" s="34">
        <v>3107030</v>
      </c>
      <c r="B153" s="34"/>
      <c r="C153" s="34" t="s">
        <v>282</v>
      </c>
      <c r="E153" s="34" t="s">
        <v>287</v>
      </c>
      <c r="F153" s="34">
        <v>3107030</v>
      </c>
    </row>
    <row r="154" spans="1:6" ht="13.5">
      <c r="A154" s="34">
        <v>1234765</v>
      </c>
      <c r="B154" s="34" t="s">
        <v>288</v>
      </c>
      <c r="C154" s="34" t="s">
        <v>289</v>
      </c>
      <c r="D154" s="34" t="s">
        <v>290</v>
      </c>
      <c r="E154" s="34" t="s">
        <v>291</v>
      </c>
      <c r="F154" s="34">
        <v>1234765</v>
      </c>
    </row>
    <row r="155" spans="1:6" ht="13.5">
      <c r="A155" s="34"/>
      <c r="B155" s="34"/>
      <c r="C155" s="34" t="s">
        <v>292</v>
      </c>
      <c r="E155" s="34" t="s">
        <v>293</v>
      </c>
    </row>
    <row r="156" spans="1:6" ht="13.5">
      <c r="A156" s="34">
        <v>1230615</v>
      </c>
      <c r="B156" s="34" t="s">
        <v>294</v>
      </c>
      <c r="C156" s="34" t="s">
        <v>295</v>
      </c>
      <c r="D156" s="34" t="s">
        <v>296</v>
      </c>
      <c r="E156" s="34" t="s">
        <v>43</v>
      </c>
      <c r="F156" s="34">
        <v>1230615</v>
      </c>
    </row>
    <row r="157" spans="1:6" ht="13.5">
      <c r="A157" s="34">
        <v>3104865</v>
      </c>
      <c r="B157" s="34"/>
      <c r="E157" s="34" t="s">
        <v>47</v>
      </c>
      <c r="F157" s="34">
        <v>3104865</v>
      </c>
    </row>
    <row r="158" spans="1:6" ht="13.5">
      <c r="A158" s="34">
        <v>1231047</v>
      </c>
      <c r="B158" s="34" t="s">
        <v>297</v>
      </c>
      <c r="C158" s="34" t="s">
        <v>298</v>
      </c>
      <c r="D158" s="34" t="s">
        <v>299</v>
      </c>
      <c r="E158" s="34" t="s">
        <v>43</v>
      </c>
      <c r="F158" s="34">
        <v>1231047</v>
      </c>
    </row>
    <row r="159" spans="1:6" ht="13.5">
      <c r="A159" s="34">
        <v>3107028</v>
      </c>
      <c r="B159" s="34"/>
      <c r="C159" s="34" t="s">
        <v>300</v>
      </c>
      <c r="E159" s="34" t="s">
        <v>287</v>
      </c>
      <c r="F159" s="34">
        <v>3107028</v>
      </c>
    </row>
    <row r="160" spans="1:6" ht="13.5">
      <c r="A160" s="34">
        <v>1221254</v>
      </c>
      <c r="B160" s="34" t="s">
        <v>301</v>
      </c>
      <c r="C160" s="34" t="s">
        <v>302</v>
      </c>
      <c r="D160" s="34" t="s">
        <v>303</v>
      </c>
      <c r="E160" s="34" t="s">
        <v>43</v>
      </c>
      <c r="F160" s="34">
        <v>1221254</v>
      </c>
    </row>
    <row r="161" spans="1:6" ht="13.5">
      <c r="A161" s="34">
        <v>3100511</v>
      </c>
      <c r="B161" s="34"/>
      <c r="C161" s="34" t="s">
        <v>304</v>
      </c>
      <c r="E161" s="34" t="s">
        <v>47</v>
      </c>
      <c r="F161" s="34">
        <v>3100511</v>
      </c>
    </row>
    <row r="162" spans="1:6" ht="13.5">
      <c r="A162" s="34">
        <v>1234111</v>
      </c>
      <c r="B162" s="34" t="s">
        <v>305</v>
      </c>
      <c r="C162" s="34" t="s">
        <v>306</v>
      </c>
      <c r="D162" s="34" t="s">
        <v>307</v>
      </c>
      <c r="E162" s="34" t="s">
        <v>43</v>
      </c>
      <c r="F162" s="34">
        <v>1234111</v>
      </c>
    </row>
    <row r="163" spans="1:6" ht="13.5">
      <c r="A163" s="34"/>
      <c r="B163" s="34" t="s">
        <v>308</v>
      </c>
      <c r="E163" s="34" t="s">
        <v>55</v>
      </c>
    </row>
    <row r="164" spans="1:6" ht="13.5">
      <c r="A164" s="34">
        <v>1234151</v>
      </c>
      <c r="B164" s="34" t="s">
        <v>309</v>
      </c>
      <c r="C164" s="34" t="s">
        <v>310</v>
      </c>
      <c r="D164" s="34" t="s">
        <v>311</v>
      </c>
      <c r="E164" s="34" t="s">
        <v>43</v>
      </c>
      <c r="F164" s="34">
        <v>1234151</v>
      </c>
    </row>
    <row r="165" spans="1:6" ht="13.5">
      <c r="A165" s="34"/>
      <c r="B165" s="34"/>
      <c r="E165" s="34" t="s">
        <v>55</v>
      </c>
    </row>
    <row r="166" spans="1:6" ht="13.5">
      <c r="A166" s="34">
        <v>1235003</v>
      </c>
      <c r="B166" s="34" t="s">
        <v>312</v>
      </c>
      <c r="C166" s="34" t="s">
        <v>313</v>
      </c>
      <c r="D166" s="34" t="s">
        <v>314</v>
      </c>
      <c r="E166" s="34" t="s">
        <v>43</v>
      </c>
      <c r="F166" s="34">
        <v>1235003</v>
      </c>
    </row>
    <row r="167" spans="1:6" ht="13.5">
      <c r="A167" s="34"/>
      <c r="B167" s="34"/>
      <c r="E167" s="34" t="s">
        <v>55</v>
      </c>
      <c r="F167" s="34">
        <v>3112438</v>
      </c>
    </row>
    <row r="168" spans="1:6" ht="13.5">
      <c r="A168" s="34">
        <v>1235058</v>
      </c>
      <c r="B168" s="34" t="s">
        <v>315</v>
      </c>
      <c r="C168" s="34" t="s">
        <v>316</v>
      </c>
      <c r="D168" s="34" t="s">
        <v>317</v>
      </c>
      <c r="E168" s="34" t="s">
        <v>43</v>
      </c>
      <c r="F168" s="34">
        <v>1235058</v>
      </c>
    </row>
    <row r="169" spans="1:6" ht="13.5">
      <c r="A169" s="34"/>
      <c r="B169" s="34"/>
      <c r="E169" s="34" t="s">
        <v>55</v>
      </c>
      <c r="F169" s="34">
        <v>3112440</v>
      </c>
    </row>
    <row r="170" spans="1:6" ht="13.5">
      <c r="A170" s="34">
        <v>1235623</v>
      </c>
      <c r="B170" s="34"/>
      <c r="C170" s="34" t="s">
        <v>318</v>
      </c>
      <c r="D170" s="34" t="s">
        <v>319</v>
      </c>
      <c r="E170" s="34" t="s">
        <v>43</v>
      </c>
      <c r="F170" s="34">
        <v>1235623</v>
      </c>
    </row>
    <row r="171" spans="1:6" ht="13.5">
      <c r="A171" s="34"/>
      <c r="B171" s="34"/>
      <c r="E171" s="34" t="s">
        <v>55</v>
      </c>
      <c r="F171" s="34">
        <v>3112771</v>
      </c>
    </row>
    <row r="172" spans="1:6" ht="13.5">
      <c r="A172" s="34">
        <v>1234110</v>
      </c>
      <c r="B172" s="34"/>
      <c r="C172" s="34" t="s">
        <v>320</v>
      </c>
      <c r="D172" s="34" t="s">
        <v>321</v>
      </c>
      <c r="E172" s="34" t="s">
        <v>43</v>
      </c>
      <c r="F172" s="34">
        <v>1234110</v>
      </c>
    </row>
    <row r="173" spans="1:6" ht="13.5">
      <c r="A173" s="34"/>
      <c r="B173" s="34"/>
      <c r="E173" s="34" t="s">
        <v>55</v>
      </c>
    </row>
    <row r="174" spans="1:6" ht="13.5">
      <c r="A174" s="34">
        <v>1234217</v>
      </c>
      <c r="B174" s="34"/>
      <c r="C174" s="34" t="s">
        <v>322</v>
      </c>
      <c r="D174" s="34" t="s">
        <v>323</v>
      </c>
      <c r="E174" s="34" t="s">
        <v>43</v>
      </c>
      <c r="F174" s="34">
        <v>1234217</v>
      </c>
    </row>
    <row r="175" spans="1:6" ht="13.5">
      <c r="A175" s="34"/>
      <c r="B175" s="34"/>
      <c r="E175" s="34" t="s">
        <v>55</v>
      </c>
    </row>
    <row r="176" spans="1:6" ht="13.5">
      <c r="A176" s="34">
        <v>1236034</v>
      </c>
      <c r="B176" s="35" t="s">
        <v>324</v>
      </c>
      <c r="C176" s="34" t="s">
        <v>325</v>
      </c>
      <c r="D176" s="34" t="s">
        <v>326</v>
      </c>
      <c r="E176" s="34" t="s">
        <v>43</v>
      </c>
      <c r="F176" s="34">
        <v>1236034</v>
      </c>
    </row>
    <row r="177" spans="1:6" ht="13.5">
      <c r="A177" s="34"/>
      <c r="B177" s="34"/>
      <c r="E177" s="34" t="s">
        <v>55</v>
      </c>
    </row>
    <row r="178" spans="1:6" ht="13.5">
      <c r="A178" s="34">
        <v>1236033</v>
      </c>
      <c r="B178" s="35" t="s">
        <v>324</v>
      </c>
      <c r="C178" s="34" t="s">
        <v>327</v>
      </c>
      <c r="D178" s="34" t="s">
        <v>328</v>
      </c>
      <c r="E178" s="34" t="s">
        <v>43</v>
      </c>
      <c r="F178" s="34">
        <v>1236033</v>
      </c>
    </row>
    <row r="179" spans="1:6" ht="13.5">
      <c r="A179" s="34"/>
      <c r="B179" s="34"/>
      <c r="E179" s="34" t="s">
        <v>55</v>
      </c>
    </row>
    <row r="180" spans="1:6" ht="13.5">
      <c r="A180" s="34">
        <v>1236552</v>
      </c>
      <c r="B180" s="35" t="s">
        <v>329</v>
      </c>
      <c r="C180" s="34" t="s">
        <v>330</v>
      </c>
      <c r="D180" s="34" t="s">
        <v>331</v>
      </c>
      <c r="E180" s="34" t="s">
        <v>43</v>
      </c>
      <c r="F180" s="34">
        <v>1236552</v>
      </c>
    </row>
    <row r="181" spans="1:6" ht="13.5">
      <c r="A181" s="34"/>
      <c r="B181" s="34"/>
      <c r="E181" s="34" t="s">
        <v>55</v>
      </c>
    </row>
    <row r="182" spans="1:6" ht="13.5">
      <c r="A182" s="34">
        <v>1226461</v>
      </c>
      <c r="B182" s="34" t="s">
        <v>332</v>
      </c>
      <c r="C182" s="34" t="s">
        <v>333</v>
      </c>
      <c r="D182" s="34" t="s">
        <v>334</v>
      </c>
      <c r="E182" s="34" t="s">
        <v>43</v>
      </c>
      <c r="F182" s="34">
        <v>1226461</v>
      </c>
    </row>
    <row r="183" spans="1:6" ht="13.5">
      <c r="A183" s="34">
        <v>3100949</v>
      </c>
      <c r="B183" s="34"/>
      <c r="C183" s="34" t="s">
        <v>335</v>
      </c>
      <c r="E183" s="34" t="s">
        <v>47</v>
      </c>
      <c r="F183" s="34">
        <v>3100949</v>
      </c>
    </row>
    <row r="184" spans="1:6" ht="13.5">
      <c r="A184" s="34">
        <v>1226488</v>
      </c>
      <c r="B184" s="34" t="s">
        <v>336</v>
      </c>
      <c r="C184" s="34" t="s">
        <v>337</v>
      </c>
      <c r="D184" s="34" t="s">
        <v>338</v>
      </c>
      <c r="E184" s="34" t="s">
        <v>43</v>
      </c>
      <c r="F184" s="34">
        <v>1226488</v>
      </c>
    </row>
    <row r="185" spans="1:6" ht="13.5">
      <c r="A185" s="34">
        <v>3101661</v>
      </c>
      <c r="B185" s="34" t="s">
        <v>339</v>
      </c>
      <c r="C185" s="34" t="s">
        <v>340</v>
      </c>
      <c r="E185" s="34" t="s">
        <v>49</v>
      </c>
      <c r="F185" s="34">
        <v>3101661</v>
      </c>
    </row>
    <row r="186" spans="1:6" ht="13.5">
      <c r="A186" s="34"/>
      <c r="B186" s="34"/>
      <c r="C186" s="34" t="s">
        <v>341</v>
      </c>
    </row>
    <row r="187" spans="1:6" ht="13.5">
      <c r="A187" s="34">
        <v>1226384</v>
      </c>
      <c r="B187" s="34" t="s">
        <v>342</v>
      </c>
      <c r="C187" s="34" t="s">
        <v>343</v>
      </c>
      <c r="D187" s="34" t="s">
        <v>344</v>
      </c>
      <c r="E187" s="34" t="s">
        <v>43</v>
      </c>
      <c r="F187" s="34">
        <v>1226384</v>
      </c>
    </row>
    <row r="188" spans="1:6" ht="13.5">
      <c r="A188" s="34">
        <v>3101660</v>
      </c>
      <c r="B188" s="34"/>
      <c r="C188" s="34" t="s">
        <v>340</v>
      </c>
      <c r="E188" s="34" t="s">
        <v>49</v>
      </c>
      <c r="F188" s="34">
        <v>3101660</v>
      </c>
    </row>
    <row r="189" spans="1:6" ht="13.5">
      <c r="A189" s="34"/>
      <c r="B189" s="34"/>
      <c r="C189" s="34" t="s">
        <v>341</v>
      </c>
    </row>
    <row r="190" spans="1:6" ht="13.5">
      <c r="A190" s="34">
        <v>1226388</v>
      </c>
      <c r="B190" s="34" t="s">
        <v>342</v>
      </c>
      <c r="C190" s="34" t="s">
        <v>345</v>
      </c>
      <c r="D190" s="34" t="s">
        <v>346</v>
      </c>
      <c r="E190" s="34" t="s">
        <v>43</v>
      </c>
      <c r="F190" s="34">
        <v>1226388</v>
      </c>
    </row>
    <row r="191" spans="1:6" ht="13.5">
      <c r="A191" s="34">
        <v>3101663</v>
      </c>
      <c r="B191" s="34"/>
      <c r="C191" s="34" t="s">
        <v>347</v>
      </c>
      <c r="E191" s="34" t="s">
        <v>49</v>
      </c>
      <c r="F191" s="34">
        <v>3101663</v>
      </c>
    </row>
    <row r="192" spans="1:6" ht="13.5">
      <c r="A192" s="34">
        <v>1227505</v>
      </c>
      <c r="B192" s="34" t="s">
        <v>336</v>
      </c>
      <c r="C192" s="34" t="s">
        <v>348</v>
      </c>
      <c r="D192" s="34" t="s">
        <v>349</v>
      </c>
      <c r="E192" s="34" t="s">
        <v>43</v>
      </c>
      <c r="F192" s="34">
        <v>1227505</v>
      </c>
    </row>
    <row r="193" spans="1:6" ht="13.5">
      <c r="A193" s="34">
        <v>3102986</v>
      </c>
      <c r="B193" s="34" t="s">
        <v>350</v>
      </c>
      <c r="C193" s="34" t="s">
        <v>340</v>
      </c>
      <c r="E193" s="34" t="s">
        <v>49</v>
      </c>
      <c r="F193" s="34">
        <v>3102986</v>
      </c>
    </row>
    <row r="194" spans="1:6" ht="13.5">
      <c r="A194" s="34"/>
      <c r="B194" s="34"/>
      <c r="C194" s="34" t="s">
        <v>341</v>
      </c>
    </row>
    <row r="195" spans="1:6" ht="13.5">
      <c r="A195" s="34">
        <v>1227431</v>
      </c>
      <c r="B195" s="34" t="s">
        <v>351</v>
      </c>
      <c r="C195" s="34" t="s">
        <v>352</v>
      </c>
      <c r="D195" s="34" t="s">
        <v>353</v>
      </c>
      <c r="E195" s="34" t="s">
        <v>43</v>
      </c>
      <c r="F195" s="34">
        <v>1227431</v>
      </c>
    </row>
    <row r="196" spans="1:6" ht="13.5">
      <c r="A196" s="34">
        <v>3102985</v>
      </c>
      <c r="B196" s="34"/>
      <c r="C196" s="34" t="s">
        <v>340</v>
      </c>
      <c r="E196" s="34" t="s">
        <v>49</v>
      </c>
      <c r="F196" s="34">
        <v>3102985</v>
      </c>
    </row>
    <row r="197" spans="1:6" ht="13.5">
      <c r="A197" s="34"/>
      <c r="B197" s="34"/>
      <c r="C197" s="34" t="s">
        <v>341</v>
      </c>
    </row>
    <row r="198" spans="1:6" ht="13.5">
      <c r="A198" s="34">
        <v>1227433</v>
      </c>
      <c r="B198" s="34" t="s">
        <v>351</v>
      </c>
      <c r="C198" s="34" t="s">
        <v>352</v>
      </c>
      <c r="D198" s="34" t="s">
        <v>354</v>
      </c>
      <c r="E198" s="34" t="s">
        <v>43</v>
      </c>
      <c r="F198" s="34">
        <v>1227433</v>
      </c>
    </row>
    <row r="199" spans="1:6" ht="13.5">
      <c r="A199" s="34">
        <v>3102987</v>
      </c>
      <c r="B199" s="34"/>
      <c r="C199" s="34" t="s">
        <v>347</v>
      </c>
      <c r="E199" s="34" t="s">
        <v>49</v>
      </c>
      <c r="F199" s="34">
        <v>3102987</v>
      </c>
    </row>
    <row r="200" spans="1:6" ht="13.5">
      <c r="A200" s="34">
        <v>1226868</v>
      </c>
      <c r="B200" s="34" t="s">
        <v>355</v>
      </c>
      <c r="C200" s="34" t="s">
        <v>356</v>
      </c>
      <c r="D200" s="34" t="s">
        <v>357</v>
      </c>
      <c r="E200" s="34" t="s">
        <v>43</v>
      </c>
      <c r="F200" s="34">
        <v>1226868</v>
      </c>
    </row>
    <row r="201" spans="1:6" ht="13.5">
      <c r="A201" s="34">
        <v>3101790</v>
      </c>
      <c r="B201" s="34"/>
      <c r="E201" s="34" t="s">
        <v>47</v>
      </c>
      <c r="F201" s="34">
        <v>3101790</v>
      </c>
    </row>
    <row r="202" spans="1:6" ht="13.5">
      <c r="A202" s="34">
        <v>3103768</v>
      </c>
      <c r="B202" s="34"/>
      <c r="E202" s="34" t="s">
        <v>49</v>
      </c>
      <c r="F202" s="34">
        <v>3103768</v>
      </c>
    </row>
    <row r="203" spans="1:6" ht="13.5">
      <c r="A203" s="34">
        <v>1227226</v>
      </c>
      <c r="B203" s="34" t="s">
        <v>358</v>
      </c>
      <c r="C203" s="34" t="s">
        <v>359</v>
      </c>
      <c r="D203" s="34" t="s">
        <v>360</v>
      </c>
      <c r="E203" s="34" t="s">
        <v>43</v>
      </c>
      <c r="F203" s="34">
        <v>1227226</v>
      </c>
    </row>
    <row r="204" spans="1:6" ht="13.5">
      <c r="A204" s="34">
        <v>3101929</v>
      </c>
      <c r="B204" s="34"/>
      <c r="E204" s="34" t="s">
        <v>47</v>
      </c>
      <c r="F204" s="34">
        <v>3101929</v>
      </c>
    </row>
    <row r="205" spans="1:6" ht="13.5">
      <c r="A205" s="34">
        <v>1234905</v>
      </c>
      <c r="B205" s="34" t="s">
        <v>361</v>
      </c>
      <c r="C205" s="34" t="s">
        <v>5</v>
      </c>
      <c r="D205" s="34" t="s">
        <v>362</v>
      </c>
      <c r="E205" s="34" t="s">
        <v>291</v>
      </c>
      <c r="F205" s="34">
        <v>1234905</v>
      </c>
    </row>
    <row r="206" spans="1:6" ht="13.5">
      <c r="A206" s="34"/>
      <c r="B206" s="34"/>
      <c r="E206" s="34" t="s">
        <v>363</v>
      </c>
    </row>
    <row r="207" spans="1:6" ht="13.5">
      <c r="A207" s="34">
        <v>1235958</v>
      </c>
      <c r="B207" s="34"/>
      <c r="D207" s="34" t="s">
        <v>364</v>
      </c>
    </row>
    <row r="208" spans="1:6" ht="13.5">
      <c r="A208" s="34">
        <v>1227306</v>
      </c>
      <c r="B208" s="34" t="s">
        <v>365</v>
      </c>
      <c r="C208" s="34" t="s">
        <v>333</v>
      </c>
      <c r="D208" s="34" t="s">
        <v>366</v>
      </c>
      <c r="E208" s="34" t="s">
        <v>43</v>
      </c>
      <c r="F208" s="34">
        <v>1227306</v>
      </c>
    </row>
    <row r="209" spans="1:6" ht="13.5">
      <c r="A209" s="34">
        <v>3102078</v>
      </c>
      <c r="B209" s="34"/>
      <c r="C209" s="34" t="s">
        <v>367</v>
      </c>
      <c r="D209" s="34" t="s">
        <v>368</v>
      </c>
      <c r="E209" s="34" t="s">
        <v>47</v>
      </c>
      <c r="F209" s="34">
        <v>3102078</v>
      </c>
    </row>
    <row r="210" spans="1:6" ht="13.5">
      <c r="A210" s="34">
        <v>1227359</v>
      </c>
      <c r="B210" s="34" t="s">
        <v>369</v>
      </c>
      <c r="C210" s="34" t="s">
        <v>333</v>
      </c>
      <c r="D210" s="34" t="s">
        <v>370</v>
      </c>
      <c r="E210" s="34" t="s">
        <v>43</v>
      </c>
      <c r="F210" s="34">
        <v>1227359</v>
      </c>
    </row>
    <row r="211" spans="1:6" ht="13.5">
      <c r="A211" s="34">
        <v>3102189</v>
      </c>
      <c r="B211" s="34"/>
      <c r="C211" s="34" t="s">
        <v>371</v>
      </c>
      <c r="D211" s="34" t="s">
        <v>342</v>
      </c>
      <c r="E211" s="34" t="s">
        <v>49</v>
      </c>
      <c r="F211" s="34">
        <v>3102189</v>
      </c>
    </row>
    <row r="212" spans="1:6" ht="13.5">
      <c r="A212" s="34">
        <v>1229050</v>
      </c>
      <c r="B212" s="34" t="s">
        <v>372</v>
      </c>
      <c r="C212" s="34" t="s">
        <v>333</v>
      </c>
      <c r="D212" s="34" t="s">
        <v>373</v>
      </c>
      <c r="E212" s="34" t="s">
        <v>43</v>
      </c>
      <c r="F212" s="34" t="s">
        <v>43</v>
      </c>
    </row>
    <row r="213" spans="1:6" ht="13.5">
      <c r="A213" s="34">
        <v>3104180</v>
      </c>
      <c r="B213" s="34"/>
      <c r="C213" s="34" t="s">
        <v>374</v>
      </c>
      <c r="D213" s="34" t="s">
        <v>375</v>
      </c>
      <c r="E213" s="34" t="s">
        <v>49</v>
      </c>
      <c r="F213" s="34">
        <v>3104180</v>
      </c>
    </row>
    <row r="214" spans="1:6" ht="13.5">
      <c r="A214" s="34">
        <v>1232247</v>
      </c>
      <c r="B214" s="34" t="s">
        <v>376</v>
      </c>
      <c r="C214" s="34" t="s">
        <v>377</v>
      </c>
      <c r="D214" s="34" t="s">
        <v>378</v>
      </c>
      <c r="E214" s="34" t="s">
        <v>43</v>
      </c>
      <c r="F214" s="34">
        <v>1232247</v>
      </c>
    </row>
    <row r="215" spans="1:6" ht="13.5">
      <c r="A215" s="34">
        <v>3108382</v>
      </c>
      <c r="B215" s="34"/>
      <c r="C215" s="34" t="s">
        <v>379</v>
      </c>
      <c r="E215" s="34" t="s">
        <v>49</v>
      </c>
      <c r="F215" s="34">
        <v>3108382</v>
      </c>
    </row>
    <row r="216" spans="1:6" ht="13.5">
      <c r="A216" s="34">
        <v>1229865</v>
      </c>
      <c r="B216" s="34" t="s">
        <v>372</v>
      </c>
      <c r="C216" s="34" t="s">
        <v>333</v>
      </c>
      <c r="D216" s="34" t="s">
        <v>380</v>
      </c>
      <c r="E216" s="34" t="s">
        <v>43</v>
      </c>
      <c r="F216" s="34">
        <v>1229865</v>
      </c>
    </row>
    <row r="217" spans="1:6" ht="13.5">
      <c r="A217" s="34">
        <v>3104385</v>
      </c>
      <c r="B217" s="34"/>
      <c r="C217" s="34" t="s">
        <v>374</v>
      </c>
      <c r="D217" s="34" t="s">
        <v>381</v>
      </c>
      <c r="E217" s="34" t="s">
        <v>49</v>
      </c>
      <c r="F217" s="34">
        <v>3104385</v>
      </c>
    </row>
    <row r="218" spans="1:6" ht="13.5">
      <c r="A218" s="34">
        <v>1236930</v>
      </c>
      <c r="B218" s="34" t="s">
        <v>382</v>
      </c>
      <c r="C218" s="34" t="s">
        <v>383</v>
      </c>
      <c r="D218" s="34" t="s">
        <v>384</v>
      </c>
      <c r="E218" s="34" t="s">
        <v>43</v>
      </c>
      <c r="F218" s="34">
        <v>1236930</v>
      </c>
    </row>
    <row r="219" spans="1:6" ht="13.5">
      <c r="A219" s="34"/>
      <c r="B219" s="34"/>
      <c r="E219" s="34" t="s">
        <v>49</v>
      </c>
    </row>
    <row r="220" spans="1:6" ht="13.5">
      <c r="A220" s="34">
        <v>1227617</v>
      </c>
      <c r="B220" s="34" t="s">
        <v>385</v>
      </c>
      <c r="C220" s="34" t="s">
        <v>386</v>
      </c>
      <c r="D220" s="34" t="s">
        <v>387</v>
      </c>
      <c r="E220" s="34" t="s">
        <v>43</v>
      </c>
      <c r="F220" s="34">
        <v>1227617</v>
      </c>
    </row>
    <row r="221" spans="1:6" ht="13.5">
      <c r="A221" s="34">
        <v>3102408</v>
      </c>
      <c r="B221" s="34" t="s">
        <v>388</v>
      </c>
      <c r="C221" s="34" t="s">
        <v>371</v>
      </c>
      <c r="E221" s="34" t="s">
        <v>47</v>
      </c>
      <c r="F221" s="34">
        <v>3102408</v>
      </c>
    </row>
    <row r="222" spans="1:6" ht="13.5">
      <c r="A222" s="34">
        <v>1229011</v>
      </c>
      <c r="B222" s="34" t="s">
        <v>389</v>
      </c>
      <c r="C222" s="34" t="s">
        <v>390</v>
      </c>
      <c r="D222" s="34" t="s">
        <v>391</v>
      </c>
      <c r="E222" s="34" t="s">
        <v>43</v>
      </c>
      <c r="F222" s="34">
        <v>1229011</v>
      </c>
    </row>
    <row r="223" spans="1:6" ht="13.5">
      <c r="A223" s="34">
        <v>9228171</v>
      </c>
      <c r="B223" s="34"/>
      <c r="C223" s="34" t="s">
        <v>298</v>
      </c>
      <c r="E223" s="34" t="s">
        <v>392</v>
      </c>
      <c r="F223" s="34">
        <v>9228171</v>
      </c>
    </row>
    <row r="224" spans="1:6" ht="13.5">
      <c r="A224" s="34">
        <v>9230913</v>
      </c>
      <c r="B224" s="34"/>
      <c r="E224" s="34" t="s">
        <v>392</v>
      </c>
      <c r="F224" s="34">
        <v>9230913</v>
      </c>
    </row>
    <row r="225" spans="1:6" ht="13.5">
      <c r="A225" s="34">
        <v>9230914</v>
      </c>
      <c r="B225" s="34"/>
      <c r="E225" s="34" t="s">
        <v>392</v>
      </c>
      <c r="F225" s="34">
        <v>9230914</v>
      </c>
    </row>
    <row r="226" spans="1:6" ht="13.5">
      <c r="A226" s="34">
        <v>3103603</v>
      </c>
      <c r="B226" s="34" t="s">
        <v>393</v>
      </c>
      <c r="E226" s="34" t="s">
        <v>47</v>
      </c>
      <c r="F226" s="34">
        <v>3103603</v>
      </c>
    </row>
    <row r="227" spans="1:6" ht="13.5">
      <c r="A227" s="34">
        <v>1229088</v>
      </c>
      <c r="B227" s="34" t="s">
        <v>394</v>
      </c>
      <c r="C227" s="34" t="s">
        <v>395</v>
      </c>
      <c r="D227" s="34" t="s">
        <v>396</v>
      </c>
      <c r="E227" s="34" t="s">
        <v>43</v>
      </c>
      <c r="F227" s="34">
        <v>1229088</v>
      </c>
    </row>
    <row r="228" spans="1:6" ht="13.5">
      <c r="A228" s="34">
        <v>3103891</v>
      </c>
      <c r="B228" s="34" t="s">
        <v>397</v>
      </c>
      <c r="E228" s="34" t="s">
        <v>47</v>
      </c>
      <c r="F228" s="34">
        <v>3103891</v>
      </c>
    </row>
    <row r="229" spans="1:6" ht="13.5">
      <c r="A229" s="34">
        <v>9231178</v>
      </c>
      <c r="B229" s="34"/>
      <c r="E229" s="34" t="s">
        <v>392</v>
      </c>
      <c r="F229" s="34">
        <v>9231178</v>
      </c>
    </row>
    <row r="230" spans="1:6" ht="13.5">
      <c r="A230" s="34">
        <v>9231179</v>
      </c>
      <c r="B230" s="34"/>
      <c r="E230" s="34" t="s">
        <v>392</v>
      </c>
      <c r="F230" s="34">
        <v>9231179</v>
      </c>
    </row>
    <row r="231" spans="1:6" ht="13.5">
      <c r="A231" s="34">
        <v>9231180</v>
      </c>
      <c r="B231" s="34"/>
      <c r="E231" s="34" t="s">
        <v>392</v>
      </c>
      <c r="F231" s="34">
        <v>9231180</v>
      </c>
    </row>
    <row r="232" spans="1:6" ht="13.5">
      <c r="A232" s="34"/>
      <c r="B232" s="34"/>
      <c r="C232" s="34" t="s">
        <v>298</v>
      </c>
      <c r="E232" s="34" t="s">
        <v>49</v>
      </c>
    </row>
    <row r="233" spans="1:6" ht="13.5">
      <c r="A233" s="34">
        <v>1231797</v>
      </c>
      <c r="B233" s="34" t="s">
        <v>394</v>
      </c>
      <c r="C233" s="34" t="s">
        <v>398</v>
      </c>
      <c r="D233" s="34" t="s">
        <v>399</v>
      </c>
      <c r="E233" s="34" t="s">
        <v>43</v>
      </c>
      <c r="F233" s="34">
        <v>1231797</v>
      </c>
    </row>
    <row r="234" spans="1:6" ht="13.5">
      <c r="A234" s="34">
        <v>3108154</v>
      </c>
      <c r="B234" s="34" t="s">
        <v>93</v>
      </c>
      <c r="E234" s="34" t="s">
        <v>49</v>
      </c>
      <c r="F234" s="34">
        <v>3108154</v>
      </c>
    </row>
    <row r="235" spans="1:6" ht="13.5">
      <c r="A235" s="34">
        <v>1229263</v>
      </c>
      <c r="B235" s="34" t="s">
        <v>400</v>
      </c>
      <c r="C235" s="34" t="s">
        <v>401</v>
      </c>
      <c r="D235" s="34" t="s">
        <v>402</v>
      </c>
      <c r="E235" s="34" t="s">
        <v>43</v>
      </c>
      <c r="F235" s="34">
        <v>1229263</v>
      </c>
    </row>
    <row r="236" spans="1:6" ht="13.5">
      <c r="A236" s="34">
        <v>9231424</v>
      </c>
      <c r="B236" s="34"/>
      <c r="C236" s="34" t="s">
        <v>403</v>
      </c>
      <c r="E236" s="34" t="s">
        <v>392</v>
      </c>
      <c r="F236" s="34">
        <v>9231424</v>
      </c>
    </row>
    <row r="237" spans="1:6" ht="13.5">
      <c r="A237" s="34">
        <v>9231425</v>
      </c>
      <c r="B237" s="34"/>
      <c r="E237" s="34" t="s">
        <v>392</v>
      </c>
      <c r="F237" s="34">
        <v>9231425</v>
      </c>
    </row>
    <row r="238" spans="1:6" ht="13.5">
      <c r="A238" s="34">
        <v>3104613</v>
      </c>
      <c r="B238" s="34"/>
      <c r="E238" s="34" t="s">
        <v>47</v>
      </c>
      <c r="F238" s="34">
        <v>3104613</v>
      </c>
    </row>
    <row r="239" spans="1:6" ht="13.5">
      <c r="A239" s="34">
        <v>1229350</v>
      </c>
      <c r="B239" s="34"/>
      <c r="C239" s="34" t="s">
        <v>404</v>
      </c>
      <c r="D239" s="34" t="s">
        <v>405</v>
      </c>
      <c r="E239" s="34" t="s">
        <v>43</v>
      </c>
      <c r="F239" s="34">
        <v>1229350</v>
      </c>
    </row>
    <row r="240" spans="1:6" ht="13.5">
      <c r="A240" s="34">
        <v>9231424</v>
      </c>
      <c r="B240" s="34"/>
      <c r="C240" s="34" t="s">
        <v>298</v>
      </c>
      <c r="E240" s="34" t="s">
        <v>392</v>
      </c>
      <c r="F240" s="34">
        <v>9231424</v>
      </c>
    </row>
    <row r="241" spans="1:6" ht="13.5">
      <c r="A241" s="34">
        <v>9231696</v>
      </c>
      <c r="B241" s="34"/>
      <c r="E241" s="34" t="s">
        <v>392</v>
      </c>
      <c r="F241" s="34">
        <v>9231696</v>
      </c>
    </row>
    <row r="242" spans="1:6" ht="13.5">
      <c r="A242" s="34">
        <v>3104640</v>
      </c>
      <c r="B242" s="34"/>
      <c r="E242" s="34" t="s">
        <v>47</v>
      </c>
      <c r="F242" s="34">
        <v>3104640</v>
      </c>
    </row>
    <row r="243" spans="1:6" ht="13.5">
      <c r="A243" s="34">
        <v>1231377</v>
      </c>
      <c r="B243" s="34" t="s">
        <v>406</v>
      </c>
      <c r="C243" s="34" t="s">
        <v>407</v>
      </c>
      <c r="D243" s="34" t="s">
        <v>408</v>
      </c>
      <c r="E243" s="34" t="s">
        <v>43</v>
      </c>
      <c r="F243" s="34">
        <v>1231377</v>
      </c>
    </row>
    <row r="244" spans="1:6" ht="13.5">
      <c r="A244" s="34">
        <v>3107324</v>
      </c>
      <c r="B244" s="34"/>
      <c r="C244" s="34" t="s">
        <v>409</v>
      </c>
      <c r="E244" s="34" t="s">
        <v>47</v>
      </c>
      <c r="F244" s="34">
        <v>3107324</v>
      </c>
    </row>
    <row r="245" spans="1:6" ht="13.5">
      <c r="A245" s="34">
        <v>1236677</v>
      </c>
      <c r="B245" s="34" t="s">
        <v>329</v>
      </c>
      <c r="C245" s="34" t="s">
        <v>410</v>
      </c>
      <c r="D245" s="34" t="s">
        <v>411</v>
      </c>
      <c r="E245" s="34" t="s">
        <v>43</v>
      </c>
      <c r="F245" s="34">
        <v>1236677</v>
      </c>
    </row>
    <row r="246" spans="1:6" ht="13.5">
      <c r="A246" s="34"/>
      <c r="B246" s="34"/>
      <c r="E246" s="34" t="s">
        <v>47</v>
      </c>
    </row>
    <row r="247" spans="1:6" ht="13.5">
      <c r="A247" s="34">
        <v>1229370</v>
      </c>
      <c r="B247" s="34"/>
      <c r="C247" s="34" t="s">
        <v>412</v>
      </c>
      <c r="D247" s="34" t="s">
        <v>413</v>
      </c>
      <c r="E247" s="34" t="s">
        <v>43</v>
      </c>
      <c r="F247" s="34">
        <v>1229370</v>
      </c>
    </row>
    <row r="248" spans="1:6" ht="13.5">
      <c r="A248" s="34">
        <v>3107334</v>
      </c>
      <c r="B248" s="34"/>
      <c r="C248" s="34" t="s">
        <v>414</v>
      </c>
      <c r="E248" s="34" t="s">
        <v>47</v>
      </c>
      <c r="F248" s="34">
        <v>3107334</v>
      </c>
    </row>
    <row r="249" spans="1:6" ht="13.5">
      <c r="A249" s="34">
        <v>1232066</v>
      </c>
      <c r="B249" s="34" t="s">
        <v>406</v>
      </c>
      <c r="C249" s="34" t="s">
        <v>415</v>
      </c>
      <c r="D249" s="34" t="s">
        <v>416</v>
      </c>
      <c r="E249" s="34" t="s">
        <v>43</v>
      </c>
      <c r="F249" s="34">
        <v>1232066</v>
      </c>
    </row>
    <row r="250" spans="1:6" ht="13.5">
      <c r="A250" s="34">
        <v>3108804</v>
      </c>
      <c r="B250" s="34"/>
      <c r="C250" s="34" t="s">
        <v>409</v>
      </c>
      <c r="E250" s="34" t="s">
        <v>47</v>
      </c>
      <c r="F250" s="34">
        <v>3108804</v>
      </c>
    </row>
    <row r="251" spans="1:6" ht="13.5">
      <c r="A251" s="34">
        <v>1229369</v>
      </c>
      <c r="B251" s="34" t="s">
        <v>406</v>
      </c>
      <c r="C251" s="34" t="s">
        <v>407</v>
      </c>
      <c r="D251" s="34" t="s">
        <v>408</v>
      </c>
      <c r="E251" s="34" t="s">
        <v>43</v>
      </c>
      <c r="F251" s="34">
        <v>1229369</v>
      </c>
    </row>
    <row r="252" spans="1:6" ht="13.5">
      <c r="A252" s="34">
        <v>3104715</v>
      </c>
      <c r="B252" s="34"/>
      <c r="C252" s="34" t="s">
        <v>417</v>
      </c>
      <c r="E252" s="34" t="s">
        <v>47</v>
      </c>
      <c r="F252" s="34">
        <v>3104715</v>
      </c>
    </row>
    <row r="253" spans="1:6" ht="13.5">
      <c r="A253" s="34">
        <v>1229370</v>
      </c>
      <c r="B253" s="34"/>
      <c r="C253" s="34" t="s">
        <v>412</v>
      </c>
      <c r="D253" s="34" t="s">
        <v>413</v>
      </c>
      <c r="E253" s="34" t="s">
        <v>43</v>
      </c>
      <c r="F253" s="34">
        <v>1229370</v>
      </c>
    </row>
    <row r="254" spans="1:6" ht="13.5">
      <c r="A254" s="34">
        <v>3104716</v>
      </c>
      <c r="B254" s="34"/>
      <c r="C254" s="34" t="s">
        <v>418</v>
      </c>
      <c r="E254" s="34" t="s">
        <v>47</v>
      </c>
      <c r="F254" s="34">
        <v>3104716</v>
      </c>
    </row>
    <row r="255" spans="1:6" ht="13.5">
      <c r="A255" s="34">
        <v>1235845</v>
      </c>
      <c r="B255" s="34"/>
      <c r="C255" s="34" t="s">
        <v>419</v>
      </c>
      <c r="D255" s="34" t="s">
        <v>420</v>
      </c>
      <c r="E255" s="34" t="s">
        <v>43</v>
      </c>
      <c r="F255" s="34">
        <v>1235845</v>
      </c>
    </row>
    <row r="256" spans="1:6" ht="13.5">
      <c r="A256" s="34"/>
      <c r="B256" s="34"/>
      <c r="E256" s="34" t="s">
        <v>47</v>
      </c>
    </row>
    <row r="257" spans="1:6" ht="13.5">
      <c r="A257" s="34">
        <v>1229905</v>
      </c>
      <c r="B257" s="34" t="s">
        <v>406</v>
      </c>
      <c r="C257" s="34" t="s">
        <v>407</v>
      </c>
      <c r="D257" s="34" t="s">
        <v>421</v>
      </c>
      <c r="E257" s="34" t="s">
        <v>43</v>
      </c>
      <c r="F257" s="34">
        <v>1229905</v>
      </c>
    </row>
    <row r="258" spans="1:6" ht="13.5">
      <c r="A258" s="34">
        <v>3104718</v>
      </c>
      <c r="B258" s="34"/>
      <c r="C258" s="34" t="s">
        <v>422</v>
      </c>
      <c r="E258" s="34" t="s">
        <v>47</v>
      </c>
      <c r="F258" s="34">
        <v>3104718</v>
      </c>
    </row>
    <row r="259" spans="1:6" ht="13.5">
      <c r="A259" s="34">
        <v>1229923</v>
      </c>
      <c r="B259" s="34"/>
      <c r="C259" s="34" t="s">
        <v>412</v>
      </c>
      <c r="D259" s="34" t="s">
        <v>423</v>
      </c>
      <c r="E259" s="34" t="s">
        <v>43</v>
      </c>
      <c r="F259" s="34">
        <v>1229923</v>
      </c>
    </row>
    <row r="260" spans="1:6" ht="13.5">
      <c r="A260" s="34">
        <v>3104719</v>
      </c>
      <c r="B260" s="34"/>
      <c r="C260" s="34" t="s">
        <v>422</v>
      </c>
      <c r="E260" s="34" t="s">
        <v>47</v>
      </c>
      <c r="F260" s="34">
        <v>3104719</v>
      </c>
    </row>
    <row r="261" spans="1:6" ht="13.5">
      <c r="A261" s="34">
        <v>1232553</v>
      </c>
      <c r="B261" s="34" t="s">
        <v>424</v>
      </c>
      <c r="C261" s="34" t="s">
        <v>425</v>
      </c>
      <c r="D261" s="34" t="s">
        <v>426</v>
      </c>
      <c r="E261" s="34" t="s">
        <v>43</v>
      </c>
      <c r="F261" s="34">
        <v>1232553</v>
      </c>
    </row>
    <row r="262" spans="1:6" ht="13.5">
      <c r="A262" s="34">
        <v>3109037</v>
      </c>
      <c r="B262" s="34" t="s">
        <v>427</v>
      </c>
      <c r="C262" s="34" t="s">
        <v>417</v>
      </c>
      <c r="E262" s="34" t="s">
        <v>47</v>
      </c>
      <c r="F262" s="34">
        <v>3109037</v>
      </c>
    </row>
    <row r="263" spans="1:6" ht="13.5">
      <c r="A263" s="34">
        <v>1229776</v>
      </c>
      <c r="B263" s="34" t="s">
        <v>428</v>
      </c>
      <c r="C263" s="34" t="s">
        <v>429</v>
      </c>
      <c r="D263" s="34" t="s">
        <v>430</v>
      </c>
      <c r="E263" s="34" t="s">
        <v>43</v>
      </c>
      <c r="F263" s="34">
        <v>1229776</v>
      </c>
    </row>
    <row r="264" spans="1:6" ht="13.5">
      <c r="A264" s="34">
        <v>3105694</v>
      </c>
      <c r="B264" s="34"/>
      <c r="E264" s="34" t="s">
        <v>47</v>
      </c>
      <c r="F264" s="34">
        <v>3105694</v>
      </c>
    </row>
    <row r="265" spans="1:6" ht="13.5">
      <c r="A265" s="34">
        <v>1230584</v>
      </c>
      <c r="B265" s="34" t="s">
        <v>294</v>
      </c>
      <c r="C265" s="34" t="s">
        <v>431</v>
      </c>
      <c r="D265" s="34" t="s">
        <v>432</v>
      </c>
      <c r="E265" s="34" t="s">
        <v>43</v>
      </c>
      <c r="F265" s="34">
        <v>1230584</v>
      </c>
    </row>
    <row r="266" spans="1:6" ht="13.5">
      <c r="A266" s="34">
        <v>1229776</v>
      </c>
      <c r="B266" s="34"/>
      <c r="C266" s="34" t="s">
        <v>282</v>
      </c>
      <c r="E266" s="34" t="s">
        <v>392</v>
      </c>
      <c r="F266" s="34">
        <v>1229776</v>
      </c>
    </row>
    <row r="267" spans="1:6" ht="13.5">
      <c r="A267" s="34">
        <v>9229461</v>
      </c>
      <c r="B267" s="34"/>
      <c r="E267" s="34" t="s">
        <v>392</v>
      </c>
      <c r="F267" s="34">
        <v>9229461</v>
      </c>
    </row>
    <row r="268" spans="1:6" ht="13.5">
      <c r="A268" s="34"/>
      <c r="B268" s="34"/>
      <c r="E268" s="34" t="s">
        <v>47</v>
      </c>
    </row>
    <row r="269" spans="1:6" ht="13.5">
      <c r="A269" s="34">
        <v>1229812</v>
      </c>
      <c r="B269" s="34" t="s">
        <v>433</v>
      </c>
      <c r="C269" s="34" t="s">
        <v>434</v>
      </c>
      <c r="D269" s="34" t="s">
        <v>435</v>
      </c>
      <c r="E269" s="34" t="s">
        <v>43</v>
      </c>
      <c r="F269" s="34">
        <v>1229812</v>
      </c>
    </row>
    <row r="270" spans="1:6" ht="13.5">
      <c r="A270" s="34"/>
      <c r="B270" s="34"/>
      <c r="E270" s="34" t="s">
        <v>392</v>
      </c>
    </row>
    <row r="271" spans="1:6" ht="13.5">
      <c r="A271" s="34"/>
      <c r="B271" s="34"/>
      <c r="E271" s="34" t="s">
        <v>392</v>
      </c>
    </row>
    <row r="272" spans="1:6" ht="13.5">
      <c r="A272" s="34">
        <v>3105058</v>
      </c>
      <c r="B272" s="34"/>
      <c r="E272" s="34" t="s">
        <v>47</v>
      </c>
      <c r="F272" s="34">
        <v>3105058</v>
      </c>
    </row>
    <row r="273" spans="1:6" ht="13.5">
      <c r="A273" s="34">
        <v>9232864</v>
      </c>
      <c r="B273" s="34" t="s">
        <v>436</v>
      </c>
      <c r="C273" s="34" t="s">
        <v>437</v>
      </c>
      <c r="D273" s="34" t="s">
        <v>438</v>
      </c>
      <c r="E273" s="34" t="s">
        <v>43</v>
      </c>
      <c r="F273" s="34">
        <v>9232864</v>
      </c>
    </row>
    <row r="274" spans="1:6" ht="13.5">
      <c r="A274" s="34"/>
      <c r="B274" s="34"/>
      <c r="C274" s="34" t="s">
        <v>439</v>
      </c>
      <c r="E274" s="34" t="s">
        <v>392</v>
      </c>
    </row>
    <row r="275" spans="1:6" ht="13.5">
      <c r="A275" s="34"/>
      <c r="B275" s="34"/>
      <c r="E275" s="34" t="s">
        <v>392</v>
      </c>
    </row>
    <row r="276" spans="1:6" ht="13.5">
      <c r="A276" s="34"/>
      <c r="B276" s="34"/>
      <c r="E276" s="34" t="s">
        <v>47</v>
      </c>
    </row>
    <row r="277" spans="1:6" ht="13.5">
      <c r="A277" s="34">
        <v>1230692</v>
      </c>
      <c r="B277" s="34" t="s">
        <v>440</v>
      </c>
      <c r="C277" s="34" t="s">
        <v>441</v>
      </c>
      <c r="D277" s="34" t="s">
        <v>442</v>
      </c>
      <c r="E277" s="34" t="s">
        <v>43</v>
      </c>
      <c r="F277" s="34">
        <v>1230692</v>
      </c>
    </row>
    <row r="278" spans="1:6" ht="13.5">
      <c r="A278" s="34">
        <v>3106045</v>
      </c>
      <c r="B278" s="34"/>
      <c r="C278" s="34" t="s">
        <v>443</v>
      </c>
      <c r="E278" s="34" t="s">
        <v>47</v>
      </c>
      <c r="F278" s="34">
        <v>3106045</v>
      </c>
    </row>
    <row r="279" spans="1:6" ht="13.5">
      <c r="A279" s="34">
        <v>1233383</v>
      </c>
      <c r="B279" s="34" t="s">
        <v>444</v>
      </c>
      <c r="C279" s="34" t="s">
        <v>445</v>
      </c>
      <c r="D279" s="34" t="s">
        <v>446</v>
      </c>
      <c r="E279" s="34" t="s">
        <v>43</v>
      </c>
      <c r="F279" s="34">
        <v>1233383</v>
      </c>
    </row>
    <row r="280" spans="1:6" ht="13.5">
      <c r="A280" s="34">
        <v>3109792</v>
      </c>
      <c r="B280" s="34" t="s">
        <v>342</v>
      </c>
      <c r="C280" s="34" t="s">
        <v>26</v>
      </c>
      <c r="E280" s="34" t="s">
        <v>49</v>
      </c>
      <c r="F280" s="34">
        <v>3109792</v>
      </c>
    </row>
    <row r="281" spans="1:6" ht="13.5">
      <c r="A281" s="34">
        <v>1236110</v>
      </c>
      <c r="B281" s="34" t="s">
        <v>447</v>
      </c>
      <c r="C281" s="34" t="s">
        <v>448</v>
      </c>
      <c r="D281" s="34" t="s">
        <v>449</v>
      </c>
      <c r="E281" s="34" t="s">
        <v>43</v>
      </c>
      <c r="F281" s="34">
        <v>1236110</v>
      </c>
    </row>
    <row r="282" spans="1:6" ht="13.5">
      <c r="A282" s="34"/>
      <c r="B282" s="34"/>
      <c r="E282" s="34" t="s">
        <v>49</v>
      </c>
    </row>
    <row r="283" spans="1:6" ht="13.5">
      <c r="A283" s="34">
        <v>1230696</v>
      </c>
      <c r="B283" s="34" t="s">
        <v>450</v>
      </c>
      <c r="C283" s="34" t="s">
        <v>451</v>
      </c>
      <c r="D283" s="34" t="s">
        <v>452</v>
      </c>
      <c r="E283" s="34" t="s">
        <v>43</v>
      </c>
      <c r="F283" s="34">
        <v>1230696</v>
      </c>
    </row>
    <row r="284" spans="1:6" ht="13.5">
      <c r="A284" s="34">
        <v>3106046</v>
      </c>
      <c r="B284" s="34"/>
      <c r="C284" s="34" t="s">
        <v>443</v>
      </c>
      <c r="E284" s="34" t="s">
        <v>47</v>
      </c>
      <c r="F284" s="34">
        <v>3106046</v>
      </c>
    </row>
    <row r="285" spans="1:6" ht="13.5">
      <c r="A285" s="34">
        <v>1233587</v>
      </c>
      <c r="B285" s="34" t="s">
        <v>450</v>
      </c>
      <c r="C285" s="34" t="s">
        <v>451</v>
      </c>
      <c r="D285" s="34" t="s">
        <v>453</v>
      </c>
      <c r="E285" s="34" t="s">
        <v>43</v>
      </c>
      <c r="F285" s="34">
        <v>1233587</v>
      </c>
    </row>
    <row r="286" spans="1:6" ht="13.5">
      <c r="A286" s="34">
        <v>3109423</v>
      </c>
      <c r="B286" s="34" t="s">
        <v>97</v>
      </c>
      <c r="C286" s="34" t="s">
        <v>443</v>
      </c>
      <c r="E286" s="34" t="s">
        <v>47</v>
      </c>
      <c r="F286" s="34">
        <v>3109423</v>
      </c>
    </row>
    <row r="287" spans="1:6" ht="13.5">
      <c r="A287" s="34">
        <v>1221967</v>
      </c>
      <c r="B287" s="34"/>
      <c r="C287" s="34" t="s">
        <v>454</v>
      </c>
      <c r="D287" s="34" t="s">
        <v>455</v>
      </c>
      <c r="E287" s="34" t="s">
        <v>43</v>
      </c>
      <c r="F287" s="34">
        <v>1221967</v>
      </c>
    </row>
    <row r="288" spans="1:6" ht="13.5">
      <c r="A288" s="34"/>
      <c r="B288" s="34"/>
      <c r="C288" s="34" t="s">
        <v>443</v>
      </c>
      <c r="E288" s="34" t="s">
        <v>47</v>
      </c>
    </row>
    <row r="289" spans="1:6" ht="13.5">
      <c r="A289" s="34">
        <v>3110035</v>
      </c>
      <c r="B289" s="34"/>
      <c r="E289" s="34" t="s">
        <v>49</v>
      </c>
      <c r="F289" s="34">
        <v>3110035</v>
      </c>
    </row>
    <row r="290" spans="1:6" ht="13.5">
      <c r="A290" s="34">
        <v>1230685</v>
      </c>
      <c r="B290" s="34" t="s">
        <v>456</v>
      </c>
      <c r="C290" s="34" t="s">
        <v>457</v>
      </c>
      <c r="D290" s="34" t="s">
        <v>458</v>
      </c>
      <c r="E290" s="34" t="s">
        <v>43</v>
      </c>
      <c r="F290" s="34">
        <v>1230685</v>
      </c>
    </row>
    <row r="291" spans="1:6" ht="13.5">
      <c r="A291" s="34">
        <v>3105457</v>
      </c>
      <c r="B291" s="34" t="s">
        <v>459</v>
      </c>
      <c r="C291" s="34" t="s">
        <v>460</v>
      </c>
      <c r="E291" s="34" t="s">
        <v>47</v>
      </c>
      <c r="F291" s="34">
        <v>3105457</v>
      </c>
    </row>
    <row r="292" spans="1:6" ht="13.5">
      <c r="A292" s="34">
        <v>3105916</v>
      </c>
      <c r="B292" s="34"/>
      <c r="E292" s="34" t="s">
        <v>47</v>
      </c>
      <c r="F292" s="34">
        <v>3105916</v>
      </c>
    </row>
    <row r="293" spans="1:6" ht="13.5">
      <c r="A293" s="34">
        <v>1231011</v>
      </c>
      <c r="B293" s="34" t="s">
        <v>461</v>
      </c>
      <c r="C293" s="34" t="s">
        <v>462</v>
      </c>
      <c r="D293" s="34" t="s">
        <v>463</v>
      </c>
      <c r="E293" s="34" t="s">
        <v>43</v>
      </c>
      <c r="F293" s="34">
        <v>1231011</v>
      </c>
    </row>
    <row r="294" spans="1:6" ht="13.5">
      <c r="A294" s="34">
        <v>3107378</v>
      </c>
      <c r="B294" s="34" t="s">
        <v>459</v>
      </c>
      <c r="C294" s="34" t="s">
        <v>464</v>
      </c>
      <c r="E294" s="34" t="s">
        <v>47</v>
      </c>
      <c r="F294" s="34">
        <v>3107378</v>
      </c>
    </row>
    <row r="295" spans="1:6" ht="13.5">
      <c r="A295" s="34">
        <v>1230854</v>
      </c>
      <c r="B295" s="34" t="s">
        <v>465</v>
      </c>
      <c r="C295" s="34" t="s">
        <v>466</v>
      </c>
      <c r="D295" s="34" t="s">
        <v>467</v>
      </c>
      <c r="E295" s="34" t="s">
        <v>43</v>
      </c>
      <c r="F295" s="34">
        <v>1230854</v>
      </c>
    </row>
    <row r="296" spans="1:6" ht="13.5">
      <c r="A296" s="34">
        <v>3106127</v>
      </c>
      <c r="B296" s="34" t="s">
        <v>468</v>
      </c>
      <c r="E296" s="34" t="s">
        <v>55</v>
      </c>
      <c r="F296" s="34">
        <v>3106127</v>
      </c>
    </row>
    <row r="297" spans="1:6" ht="13.5">
      <c r="A297" s="34">
        <v>1230985</v>
      </c>
      <c r="B297" s="34" t="s">
        <v>469</v>
      </c>
      <c r="C297" s="34" t="s">
        <v>470</v>
      </c>
      <c r="D297" s="34" t="s">
        <v>471</v>
      </c>
      <c r="E297" s="34" t="s">
        <v>43</v>
      </c>
      <c r="F297" s="34">
        <v>1230985</v>
      </c>
    </row>
    <row r="298" spans="1:6" ht="13.5">
      <c r="A298" s="34"/>
      <c r="B298" s="34" t="s">
        <v>468</v>
      </c>
      <c r="E298" s="34" t="s">
        <v>55</v>
      </c>
    </row>
    <row r="299" spans="1:6" ht="13.5">
      <c r="A299" s="34"/>
      <c r="B299" s="34"/>
      <c r="E299" s="34" t="s">
        <v>103</v>
      </c>
    </row>
    <row r="300" spans="1:6" ht="13.5">
      <c r="A300" s="34">
        <v>1231469</v>
      </c>
      <c r="B300" s="34" t="s">
        <v>472</v>
      </c>
      <c r="C300" s="34" t="s">
        <v>473</v>
      </c>
      <c r="D300" s="34" t="s">
        <v>474</v>
      </c>
      <c r="E300" s="34" t="s">
        <v>43</v>
      </c>
      <c r="F300" s="34">
        <v>1231469</v>
      </c>
    </row>
    <row r="301" spans="1:6" ht="13.5">
      <c r="A301" s="34">
        <v>3107387</v>
      </c>
      <c r="B301" s="34"/>
      <c r="C301" s="34" t="s">
        <v>475</v>
      </c>
      <c r="E301" s="34" t="s">
        <v>55</v>
      </c>
      <c r="F301" s="34">
        <v>3107387</v>
      </c>
    </row>
    <row r="302" spans="1:6" ht="13.5">
      <c r="A302" s="34">
        <v>1230767</v>
      </c>
      <c r="B302" s="34" t="s">
        <v>476</v>
      </c>
      <c r="C302" s="34" t="s">
        <v>477</v>
      </c>
      <c r="D302" s="34" t="s">
        <v>478</v>
      </c>
      <c r="E302" s="34" t="s">
        <v>43</v>
      </c>
      <c r="F302" s="34">
        <v>1230767</v>
      </c>
    </row>
    <row r="303" spans="1:6" ht="13.5">
      <c r="A303" s="34">
        <v>3107197</v>
      </c>
      <c r="B303" s="34" t="s">
        <v>479</v>
      </c>
      <c r="E303" s="34" t="s">
        <v>103</v>
      </c>
      <c r="F303" s="34">
        <v>3107197</v>
      </c>
    </row>
    <row r="304" spans="1:6" ht="13.5">
      <c r="A304" s="34">
        <v>1231408</v>
      </c>
      <c r="B304" s="34" t="s">
        <v>480</v>
      </c>
      <c r="C304" s="34" t="s">
        <v>481</v>
      </c>
      <c r="D304" s="34" t="s">
        <v>482</v>
      </c>
      <c r="E304" s="34" t="s">
        <v>43</v>
      </c>
      <c r="F304" s="34">
        <v>1231408</v>
      </c>
    </row>
    <row r="305" spans="1:6" ht="13.5">
      <c r="A305" s="34">
        <v>3107616</v>
      </c>
      <c r="B305" s="34" t="s">
        <v>483</v>
      </c>
      <c r="E305" s="34" t="s">
        <v>55</v>
      </c>
      <c r="F305" s="34">
        <v>3107616</v>
      </c>
    </row>
    <row r="306" spans="1:6" ht="13.5">
      <c r="A306" s="34">
        <v>1231440</v>
      </c>
      <c r="B306" s="34" t="s">
        <v>484</v>
      </c>
      <c r="C306" s="34" t="s">
        <v>485</v>
      </c>
      <c r="D306" s="34" t="s">
        <v>486</v>
      </c>
      <c r="E306" s="34" t="s">
        <v>43</v>
      </c>
      <c r="F306" s="34">
        <v>1231440</v>
      </c>
    </row>
    <row r="307" spans="1:6" ht="13.5">
      <c r="A307" s="34">
        <v>3107657</v>
      </c>
      <c r="B307" s="34"/>
      <c r="E307" s="34" t="s">
        <v>55</v>
      </c>
      <c r="F307" s="34">
        <v>3107657</v>
      </c>
    </row>
    <row r="308" spans="1:6" ht="13.5">
      <c r="A308" s="34">
        <v>1232705</v>
      </c>
      <c r="B308" s="34" t="s">
        <v>79</v>
      </c>
      <c r="C308" s="34" t="s">
        <v>487</v>
      </c>
      <c r="D308" s="34" t="s">
        <v>488</v>
      </c>
      <c r="E308" s="34" t="s">
        <v>43</v>
      </c>
      <c r="F308" s="34">
        <v>1232705</v>
      </c>
    </row>
    <row r="309" spans="1:6" ht="13.5">
      <c r="A309" s="34"/>
      <c r="B309" s="34" t="s">
        <v>483</v>
      </c>
      <c r="E309" s="34" t="s">
        <v>55</v>
      </c>
      <c r="F309" s="34">
        <v>3109539</v>
      </c>
    </row>
    <row r="310" spans="1:6" ht="13.5">
      <c r="A310" s="34">
        <v>1232706</v>
      </c>
      <c r="B310" s="34" t="s">
        <v>489</v>
      </c>
      <c r="C310" s="34" t="s">
        <v>490</v>
      </c>
      <c r="D310" s="34" t="s">
        <v>491</v>
      </c>
      <c r="E310" s="34" t="s">
        <v>43</v>
      </c>
      <c r="F310" s="34">
        <v>1232706</v>
      </c>
    </row>
    <row r="311" spans="1:6" ht="13.5">
      <c r="A311" s="34"/>
      <c r="B311" s="34"/>
      <c r="E311" s="34" t="s">
        <v>55</v>
      </c>
      <c r="F311" s="34">
        <v>3109592</v>
      </c>
    </row>
    <row r="312" spans="1:6" ht="13.5">
      <c r="A312" s="34">
        <v>1233580</v>
      </c>
      <c r="B312" s="34" t="s">
        <v>492</v>
      </c>
      <c r="C312" s="34" t="s">
        <v>493</v>
      </c>
      <c r="D312" s="34" t="s">
        <v>494</v>
      </c>
      <c r="E312" s="34" t="s">
        <v>43</v>
      </c>
      <c r="F312" s="34">
        <v>1233580</v>
      </c>
    </row>
    <row r="313" spans="1:6" ht="13.5">
      <c r="A313" s="34"/>
      <c r="B313" s="34" t="s">
        <v>495</v>
      </c>
      <c r="C313" s="34" t="s">
        <v>496</v>
      </c>
      <c r="E313" s="34" t="s">
        <v>55</v>
      </c>
      <c r="F313" s="34">
        <v>3110502</v>
      </c>
    </row>
    <row r="314" spans="1:6" ht="13.5">
      <c r="A314" s="34">
        <v>1233920</v>
      </c>
      <c r="B314" s="34" t="s">
        <v>492</v>
      </c>
      <c r="C314" s="34" t="s">
        <v>497</v>
      </c>
      <c r="D314" s="34" t="s">
        <v>498</v>
      </c>
      <c r="E314" s="34" t="s">
        <v>43</v>
      </c>
      <c r="F314" s="34">
        <v>1233920</v>
      </c>
    </row>
    <row r="315" spans="1:6" ht="13.5">
      <c r="A315" s="34"/>
      <c r="B315" s="34" t="s">
        <v>499</v>
      </c>
      <c r="C315" s="34" t="s">
        <v>496</v>
      </c>
      <c r="E315" s="34" t="s">
        <v>55</v>
      </c>
      <c r="F315" s="34">
        <v>3110503</v>
      </c>
    </row>
    <row r="316" spans="1:6" ht="13.5">
      <c r="A316" s="34">
        <v>1231260</v>
      </c>
      <c r="B316" s="34" t="s">
        <v>500</v>
      </c>
      <c r="C316" s="34" t="s">
        <v>501</v>
      </c>
      <c r="D316" s="34" t="s">
        <v>502</v>
      </c>
      <c r="E316" s="34" t="s">
        <v>43</v>
      </c>
      <c r="F316" s="34">
        <v>1231260</v>
      </c>
    </row>
    <row r="317" spans="1:6" ht="13.5">
      <c r="A317" s="34">
        <v>3107470</v>
      </c>
      <c r="B317" s="34"/>
      <c r="E317" s="34" t="s">
        <v>55</v>
      </c>
      <c r="F317" s="34">
        <v>3107470</v>
      </c>
    </row>
    <row r="318" spans="1:6" ht="13.5">
      <c r="A318" s="34">
        <v>1229452</v>
      </c>
      <c r="B318" s="34" t="s">
        <v>503</v>
      </c>
      <c r="C318" s="34" t="s">
        <v>504</v>
      </c>
      <c r="D318" s="34" t="s">
        <v>505</v>
      </c>
      <c r="E318" s="34" t="s">
        <v>43</v>
      </c>
      <c r="F318" s="34">
        <v>1229452</v>
      </c>
    </row>
    <row r="319" spans="1:6" ht="13.5">
      <c r="A319" s="34">
        <v>3104198</v>
      </c>
      <c r="B319" s="34" t="s">
        <v>506</v>
      </c>
      <c r="C319" s="34" t="s">
        <v>507</v>
      </c>
      <c r="E319" s="34" t="s">
        <v>55</v>
      </c>
      <c r="F319" s="34">
        <v>3104198</v>
      </c>
    </row>
    <row r="320" spans="1:6" ht="13.5">
      <c r="A320" s="34">
        <v>3104199</v>
      </c>
      <c r="B320" s="34"/>
      <c r="E320" s="34" t="s">
        <v>55</v>
      </c>
      <c r="F320" s="34">
        <v>3104199</v>
      </c>
    </row>
    <row r="321" spans="1:6" ht="13.5">
      <c r="A321" s="34">
        <v>1236387</v>
      </c>
      <c r="B321" s="34" t="s">
        <v>503</v>
      </c>
      <c r="C321" s="34" t="s">
        <v>504</v>
      </c>
      <c r="D321" s="34" t="s">
        <v>508</v>
      </c>
      <c r="E321" s="34" t="s">
        <v>43</v>
      </c>
      <c r="F321" s="34">
        <v>1236387</v>
      </c>
    </row>
    <row r="322" spans="1:6" ht="13.5">
      <c r="A322" s="34"/>
      <c r="B322" s="34"/>
      <c r="E322" s="34" t="s">
        <v>55</v>
      </c>
    </row>
    <row r="323" spans="1:6" ht="13.5">
      <c r="A323" s="34"/>
      <c r="B323" s="34"/>
      <c r="E323" s="34" t="s">
        <v>55</v>
      </c>
    </row>
    <row r="324" spans="1:6" ht="13.5">
      <c r="A324" s="34">
        <v>1230175</v>
      </c>
      <c r="B324" s="34" t="s">
        <v>509</v>
      </c>
      <c r="C324" s="34" t="s">
        <v>510</v>
      </c>
      <c r="D324" s="34" t="s">
        <v>511</v>
      </c>
      <c r="E324" s="34" t="s">
        <v>43</v>
      </c>
      <c r="F324" s="34">
        <v>1230175</v>
      </c>
    </row>
    <row r="325" spans="1:6" ht="13.5">
      <c r="A325" s="34">
        <v>3105392</v>
      </c>
      <c r="B325" s="34" t="s">
        <v>512</v>
      </c>
      <c r="C325" s="34" t="s">
        <v>507</v>
      </c>
      <c r="E325" s="34" t="s">
        <v>55</v>
      </c>
      <c r="F325" s="34">
        <v>3105392</v>
      </c>
    </row>
    <row r="326" spans="1:6" ht="13.5">
      <c r="A326" s="34">
        <v>1230385</v>
      </c>
      <c r="B326" s="34"/>
      <c r="C326" s="34" t="s">
        <v>513</v>
      </c>
      <c r="D326" s="34" t="s">
        <v>514</v>
      </c>
      <c r="E326" s="34" t="s">
        <v>43</v>
      </c>
      <c r="F326" s="34">
        <v>1230385</v>
      </c>
    </row>
    <row r="327" spans="1:6" ht="13.5">
      <c r="A327" s="34"/>
      <c r="B327" s="34"/>
      <c r="C327" s="34" t="s">
        <v>507</v>
      </c>
    </row>
    <row r="328" spans="1:6" ht="13.5">
      <c r="A328" s="34">
        <v>1230462</v>
      </c>
      <c r="B328" s="34"/>
      <c r="C328" s="34" t="s">
        <v>515</v>
      </c>
      <c r="D328" s="34" t="s">
        <v>516</v>
      </c>
      <c r="E328" s="34" t="s">
        <v>43</v>
      </c>
      <c r="F328" s="34">
        <v>1230462</v>
      </c>
    </row>
    <row r="329" spans="1:6" ht="13.5">
      <c r="A329" s="34"/>
      <c r="B329" s="34"/>
      <c r="C329" s="34" t="s">
        <v>507</v>
      </c>
    </row>
    <row r="330" spans="1:6" ht="13.5">
      <c r="A330" s="34">
        <v>1230467</v>
      </c>
      <c r="B330" s="34"/>
      <c r="C330" s="34" t="s">
        <v>517</v>
      </c>
      <c r="D330" s="34" t="s">
        <v>518</v>
      </c>
      <c r="E330" s="34" t="s">
        <v>43</v>
      </c>
      <c r="F330" s="34">
        <v>1230467</v>
      </c>
    </row>
    <row r="331" spans="1:6" ht="13.5">
      <c r="A331" s="34"/>
      <c r="B331" s="34"/>
      <c r="C331" s="34" t="s">
        <v>507</v>
      </c>
    </row>
    <row r="332" spans="1:6" ht="13.5">
      <c r="A332" s="34">
        <v>1230791</v>
      </c>
      <c r="B332" s="34"/>
      <c r="C332" s="34" t="s">
        <v>519</v>
      </c>
      <c r="D332" s="34" t="s">
        <v>520</v>
      </c>
      <c r="E332" s="34" t="s">
        <v>43</v>
      </c>
      <c r="F332" s="34">
        <v>1230791</v>
      </c>
    </row>
    <row r="333" spans="1:6" ht="13.5">
      <c r="A333" s="34"/>
      <c r="B333" s="34"/>
      <c r="C333" s="34" t="s">
        <v>507</v>
      </c>
    </row>
    <row r="334" spans="1:6" ht="40.5">
      <c r="A334" s="34">
        <v>1232894</v>
      </c>
      <c r="B334" s="35" t="s">
        <v>521</v>
      </c>
      <c r="C334" s="34" t="s">
        <v>522</v>
      </c>
      <c r="D334" s="34" t="s">
        <v>523</v>
      </c>
      <c r="E334" s="34" t="s">
        <v>43</v>
      </c>
      <c r="F334" s="34">
        <v>1232894</v>
      </c>
    </row>
    <row r="335" spans="1:6" ht="13.5">
      <c r="A335" s="34"/>
      <c r="B335" s="34"/>
      <c r="E335" s="34" t="s">
        <v>55</v>
      </c>
      <c r="F335" s="34">
        <v>3109772</v>
      </c>
    </row>
    <row r="336" spans="1:6" ht="13.5">
      <c r="A336" s="34">
        <v>1232895</v>
      </c>
      <c r="B336" s="34"/>
      <c r="C336" s="34" t="s">
        <v>524</v>
      </c>
      <c r="D336" s="34" t="s">
        <v>525</v>
      </c>
      <c r="E336" s="34" t="s">
        <v>43</v>
      </c>
      <c r="F336" s="34">
        <v>1232895</v>
      </c>
    </row>
    <row r="337" spans="1:6" ht="13.5">
      <c r="A337" s="34"/>
      <c r="B337" s="34"/>
      <c r="E337" s="34" t="s">
        <v>55</v>
      </c>
      <c r="F337" s="34">
        <v>3109771</v>
      </c>
    </row>
    <row r="338" spans="1:6" ht="13.5">
      <c r="A338" s="34"/>
      <c r="B338" s="34"/>
      <c r="E338" s="34" t="s">
        <v>526</v>
      </c>
      <c r="F338" s="34">
        <v>3109815</v>
      </c>
    </row>
    <row r="339" spans="1:6" ht="13.5">
      <c r="A339" s="34">
        <v>1232846</v>
      </c>
      <c r="B339" s="34"/>
      <c r="C339" s="34" t="s">
        <v>527</v>
      </c>
      <c r="D339" s="34" t="s">
        <v>528</v>
      </c>
      <c r="E339" s="34" t="s">
        <v>43</v>
      </c>
      <c r="F339" s="34">
        <v>1232846</v>
      </c>
    </row>
    <row r="340" spans="1:6" ht="13.5">
      <c r="A340" s="34"/>
      <c r="B340" s="34"/>
      <c r="E340" s="34" t="s">
        <v>55</v>
      </c>
      <c r="F340" s="34">
        <v>3109255</v>
      </c>
    </row>
    <row r="341" spans="1:6" ht="13.5">
      <c r="A341" s="34"/>
      <c r="B341" s="34"/>
      <c r="E341" s="34" t="s">
        <v>526</v>
      </c>
      <c r="F341" s="34">
        <v>3109818</v>
      </c>
    </row>
    <row r="342" spans="1:6" ht="13.5">
      <c r="A342" s="34">
        <v>1231497</v>
      </c>
      <c r="B342" s="34" t="s">
        <v>500</v>
      </c>
      <c r="C342" s="34" t="s">
        <v>529</v>
      </c>
      <c r="D342" s="34" t="s">
        <v>530</v>
      </c>
      <c r="E342" s="34" t="s">
        <v>43</v>
      </c>
      <c r="F342" s="34">
        <v>1231497</v>
      </c>
    </row>
    <row r="343" spans="1:6" ht="13.5">
      <c r="A343" s="34">
        <v>3107474</v>
      </c>
      <c r="B343" s="34"/>
      <c r="E343" s="34" t="s">
        <v>55</v>
      </c>
      <c r="F343" s="34">
        <v>3107474</v>
      </c>
    </row>
    <row r="344" spans="1:6" ht="13.5">
      <c r="A344" s="34">
        <v>1231227</v>
      </c>
      <c r="B344" s="34" t="s">
        <v>500</v>
      </c>
      <c r="C344" s="34" t="s">
        <v>531</v>
      </c>
      <c r="D344" s="34" t="s">
        <v>532</v>
      </c>
      <c r="E344" s="34" t="s">
        <v>43</v>
      </c>
      <c r="F344" s="34">
        <v>1231227</v>
      </c>
    </row>
    <row r="345" spans="1:6" ht="13.5">
      <c r="A345" s="34">
        <v>3107473</v>
      </c>
      <c r="B345" s="34"/>
      <c r="E345" s="34" t="s">
        <v>55</v>
      </c>
      <c r="F345" s="34">
        <v>3107473</v>
      </c>
    </row>
    <row r="346" spans="1:6" ht="13.5">
      <c r="A346" s="34">
        <v>1231202</v>
      </c>
      <c r="B346" s="34" t="s">
        <v>533</v>
      </c>
      <c r="C346" s="34" t="s">
        <v>534</v>
      </c>
      <c r="D346" s="34" t="s">
        <v>535</v>
      </c>
      <c r="E346" s="34" t="s">
        <v>43</v>
      </c>
      <c r="F346" s="34">
        <v>1231202</v>
      </c>
    </row>
    <row r="347" spans="1:6" ht="13.5">
      <c r="A347" s="34">
        <v>3107440</v>
      </c>
      <c r="B347" s="34"/>
      <c r="E347" s="34" t="s">
        <v>55</v>
      </c>
      <c r="F347" s="34">
        <v>3107440</v>
      </c>
    </row>
    <row r="348" spans="1:6" ht="13.5">
      <c r="A348" s="34">
        <v>1231769</v>
      </c>
      <c r="B348" s="34" t="s">
        <v>536</v>
      </c>
      <c r="C348" s="34" t="s">
        <v>537</v>
      </c>
      <c r="D348" s="34" t="s">
        <v>538</v>
      </c>
      <c r="E348" s="34" t="s">
        <v>43</v>
      </c>
      <c r="F348" s="34">
        <v>1231769</v>
      </c>
    </row>
    <row r="349" spans="1:6" ht="13.5">
      <c r="A349" s="34">
        <v>3108455</v>
      </c>
      <c r="B349" s="34"/>
      <c r="C349" s="34" t="s">
        <v>539</v>
      </c>
      <c r="E349" s="34" t="s">
        <v>55</v>
      </c>
      <c r="F349" s="34">
        <v>3108455</v>
      </c>
    </row>
    <row r="350" spans="1:6" ht="13.5">
      <c r="A350" s="34">
        <v>1232289</v>
      </c>
      <c r="B350" s="34" t="s">
        <v>79</v>
      </c>
      <c r="C350" s="34" t="s">
        <v>540</v>
      </c>
      <c r="D350" s="34" t="s">
        <v>80</v>
      </c>
      <c r="E350" s="34" t="s">
        <v>54</v>
      </c>
      <c r="F350" s="34">
        <v>1232289</v>
      </c>
    </row>
    <row r="351" spans="1:6" ht="13.5">
      <c r="A351" s="34"/>
      <c r="B351" s="34"/>
      <c r="E351" s="34" t="s">
        <v>55</v>
      </c>
      <c r="F351" s="34">
        <v>3109049</v>
      </c>
    </row>
    <row r="352" spans="1:6" ht="13.5">
      <c r="A352" s="34">
        <v>1232416</v>
      </c>
      <c r="B352" s="34" t="s">
        <v>79</v>
      </c>
      <c r="C352" s="34" t="s">
        <v>541</v>
      </c>
      <c r="D352" s="34" t="s">
        <v>542</v>
      </c>
      <c r="E352" s="34" t="s">
        <v>54</v>
      </c>
      <c r="F352" s="34">
        <v>1232416</v>
      </c>
    </row>
    <row r="353" spans="1:6" ht="13.5">
      <c r="A353" s="34"/>
      <c r="B353" s="34"/>
      <c r="E353" s="34" t="s">
        <v>55</v>
      </c>
    </row>
    <row r="354" spans="1:6" ht="13.5">
      <c r="A354" s="34">
        <v>1233735</v>
      </c>
      <c r="B354" s="34" t="s">
        <v>543</v>
      </c>
      <c r="C354" s="34" t="s">
        <v>544</v>
      </c>
      <c r="D354" s="34" t="s">
        <v>545</v>
      </c>
      <c r="E354" s="34" t="s">
        <v>43</v>
      </c>
      <c r="F354" s="34">
        <v>1233735</v>
      </c>
    </row>
    <row r="355" spans="1:6" ht="13.5">
      <c r="A355" s="34"/>
      <c r="B355" s="34" t="s">
        <v>546</v>
      </c>
      <c r="E355" s="34" t="s">
        <v>55</v>
      </c>
    </row>
    <row r="356" spans="1:6" ht="13.5">
      <c r="A356" s="34">
        <v>1233808</v>
      </c>
      <c r="B356" s="34" t="s">
        <v>547</v>
      </c>
      <c r="C356" s="34" t="s">
        <v>548</v>
      </c>
      <c r="D356" s="34" t="s">
        <v>549</v>
      </c>
      <c r="E356" s="34" t="s">
        <v>43</v>
      </c>
      <c r="F356" s="34">
        <v>1233808</v>
      </c>
    </row>
    <row r="357" spans="1:6" ht="13.5">
      <c r="A357" s="34"/>
      <c r="B357" s="34"/>
      <c r="E357" s="34" t="s">
        <v>55</v>
      </c>
    </row>
    <row r="358" spans="1:6" ht="13.5">
      <c r="A358" s="34">
        <v>1234034</v>
      </c>
      <c r="B358" s="34" t="s">
        <v>543</v>
      </c>
      <c r="C358" s="34" t="s">
        <v>550</v>
      </c>
      <c r="D358" s="34" t="s">
        <v>551</v>
      </c>
      <c r="E358" s="34" t="s">
        <v>43</v>
      </c>
      <c r="F358" s="34">
        <v>1234034</v>
      </c>
    </row>
    <row r="359" spans="1:6" ht="13.5">
      <c r="A359" s="34"/>
      <c r="B359" s="34" t="s">
        <v>552</v>
      </c>
      <c r="E359" s="34" t="s">
        <v>55</v>
      </c>
      <c r="F359" s="34">
        <v>3111479</v>
      </c>
    </row>
    <row r="360" spans="1:6" ht="13.5">
      <c r="A360" s="34">
        <v>1234049</v>
      </c>
      <c r="B360" s="34" t="s">
        <v>553</v>
      </c>
      <c r="C360" s="34" t="s">
        <v>554</v>
      </c>
      <c r="D360" s="34" t="s">
        <v>555</v>
      </c>
      <c r="E360" s="34" t="s">
        <v>43</v>
      </c>
      <c r="F360" s="34">
        <v>1234049</v>
      </c>
    </row>
    <row r="361" spans="1:6" ht="13.5">
      <c r="A361" s="34"/>
      <c r="B361" s="34"/>
      <c r="E361" s="34" t="s">
        <v>55</v>
      </c>
      <c r="F361" s="34">
        <v>3111480</v>
      </c>
    </row>
    <row r="362" spans="1:6" ht="13.5">
      <c r="A362" s="34">
        <v>1232775</v>
      </c>
      <c r="B362" s="34" t="s">
        <v>556</v>
      </c>
      <c r="C362" s="34" t="s">
        <v>557</v>
      </c>
      <c r="D362" s="34" t="s">
        <v>558</v>
      </c>
      <c r="E362" s="34" t="s">
        <v>559</v>
      </c>
      <c r="F362" s="34">
        <v>1232775</v>
      </c>
    </row>
    <row r="363" spans="1:6" ht="13.5">
      <c r="A363" s="34">
        <v>3109735</v>
      </c>
      <c r="B363" s="34" t="s">
        <v>560</v>
      </c>
      <c r="C363" s="34" t="s">
        <v>561</v>
      </c>
      <c r="E363" s="34" t="s">
        <v>562</v>
      </c>
      <c r="F363" s="34">
        <v>3109735</v>
      </c>
    </row>
    <row r="364" spans="1:6" ht="13.5">
      <c r="A364" s="34">
        <v>1233165</v>
      </c>
      <c r="B364" s="34" t="s">
        <v>563</v>
      </c>
      <c r="C364" s="34" t="s">
        <v>564</v>
      </c>
      <c r="D364" s="34" t="s">
        <v>565</v>
      </c>
      <c r="E364" s="34" t="s">
        <v>559</v>
      </c>
      <c r="F364" s="34">
        <v>1233165</v>
      </c>
    </row>
    <row r="365" spans="1:6" ht="13.5">
      <c r="A365" s="34">
        <v>3109919</v>
      </c>
      <c r="B365" s="34" t="s">
        <v>566</v>
      </c>
      <c r="E365" s="34" t="s">
        <v>562</v>
      </c>
      <c r="F365" s="34">
        <v>3109919</v>
      </c>
    </row>
    <row r="366" spans="1:6" ht="13.5">
      <c r="A366" s="34">
        <v>9237610</v>
      </c>
      <c r="B366" s="34" t="s">
        <v>567</v>
      </c>
      <c r="C366" s="34" t="s">
        <v>568</v>
      </c>
      <c r="D366" s="34" t="s">
        <v>569</v>
      </c>
      <c r="E366" s="34" t="s">
        <v>559</v>
      </c>
      <c r="F366" s="34">
        <v>3109919</v>
      </c>
    </row>
    <row r="367" spans="1:6" ht="13.5">
      <c r="A367" s="34"/>
      <c r="B367" s="34" t="s">
        <v>512</v>
      </c>
      <c r="D367" s="34" t="s">
        <v>570</v>
      </c>
      <c r="E367" s="34" t="s">
        <v>562</v>
      </c>
    </row>
    <row r="368" spans="1:6" ht="13.5">
      <c r="A368" s="34">
        <v>1233498</v>
      </c>
      <c r="B368" s="34" t="s">
        <v>571</v>
      </c>
      <c r="C368" s="34" t="s">
        <v>572</v>
      </c>
      <c r="D368" s="34" t="s">
        <v>573</v>
      </c>
      <c r="E368" s="34" t="s">
        <v>559</v>
      </c>
      <c r="F368" s="34">
        <v>1233498</v>
      </c>
    </row>
    <row r="369" spans="1:6" ht="13.5">
      <c r="A369" s="34"/>
      <c r="B369" s="34" t="s">
        <v>574</v>
      </c>
      <c r="E369" s="34" t="s">
        <v>562</v>
      </c>
      <c r="F369" s="34">
        <v>3110120</v>
      </c>
    </row>
    <row r="370" spans="1:6" ht="13.5">
      <c r="A370" s="34">
        <v>1233492</v>
      </c>
      <c r="B370" s="34" t="s">
        <v>575</v>
      </c>
      <c r="C370" s="34" t="s">
        <v>576</v>
      </c>
      <c r="D370" s="34" t="s">
        <v>577</v>
      </c>
      <c r="E370" s="34" t="s">
        <v>559</v>
      </c>
      <c r="F370" s="34">
        <v>1233492</v>
      </c>
    </row>
    <row r="371" spans="1:6" ht="13.5">
      <c r="A371" s="34"/>
      <c r="B371" s="34"/>
      <c r="E371" s="34" t="s">
        <v>562</v>
      </c>
      <c r="F371" s="34">
        <v>3110110</v>
      </c>
    </row>
    <row r="372" spans="1:6" ht="13.5">
      <c r="A372" s="34">
        <v>1233623</v>
      </c>
      <c r="B372" s="34"/>
      <c r="C372" s="34" t="s">
        <v>578</v>
      </c>
      <c r="D372" s="34" t="s">
        <v>579</v>
      </c>
      <c r="E372" s="34" t="s">
        <v>559</v>
      </c>
      <c r="F372" s="34">
        <v>1233623</v>
      </c>
    </row>
    <row r="373" spans="1:6" ht="13.5">
      <c r="A373" s="34"/>
      <c r="B373" s="34"/>
      <c r="E373" s="34" t="s">
        <v>562</v>
      </c>
      <c r="F373" s="34">
        <v>3110105</v>
      </c>
    </row>
    <row r="374" spans="1:6" ht="13.5">
      <c r="A374" s="34">
        <v>1235097</v>
      </c>
      <c r="B374" s="36" t="s">
        <v>580</v>
      </c>
      <c r="C374" s="36" t="s">
        <v>8</v>
      </c>
      <c r="D374" s="34" t="s">
        <v>581</v>
      </c>
      <c r="E374" s="34" t="s">
        <v>559</v>
      </c>
      <c r="F374" s="34">
        <v>1235097</v>
      </c>
    </row>
    <row r="375" spans="1:6" ht="13.5">
      <c r="A375" s="34"/>
      <c r="B375" s="34"/>
      <c r="E375" s="34" t="s">
        <v>562</v>
      </c>
    </row>
    <row r="376" spans="1:6" ht="13.5">
      <c r="A376" s="34">
        <v>1232781</v>
      </c>
      <c r="B376" s="34"/>
      <c r="C376" s="34" t="s">
        <v>582</v>
      </c>
      <c r="D376" s="34" t="s">
        <v>583</v>
      </c>
      <c r="E376" s="34" t="s">
        <v>559</v>
      </c>
      <c r="F376" s="34">
        <v>1232781</v>
      </c>
    </row>
    <row r="377" spans="1:6" ht="13.5">
      <c r="A377" s="34"/>
      <c r="B377" s="34"/>
      <c r="D377" s="34" t="s">
        <v>584</v>
      </c>
      <c r="E377" s="34" t="s">
        <v>562</v>
      </c>
    </row>
    <row r="378" spans="1:6" ht="13.5">
      <c r="A378" s="34">
        <v>1231769</v>
      </c>
      <c r="B378" s="34" t="s">
        <v>533</v>
      </c>
      <c r="C378" s="34" t="s">
        <v>585</v>
      </c>
      <c r="D378" s="34" t="s">
        <v>538</v>
      </c>
      <c r="E378" s="34" t="s">
        <v>559</v>
      </c>
      <c r="F378" s="34">
        <v>1231769</v>
      </c>
    </row>
    <row r="379" spans="1:6" ht="13.5">
      <c r="A379" s="34">
        <v>3108455</v>
      </c>
      <c r="B379" s="34"/>
      <c r="E379" s="34" t="s">
        <v>562</v>
      </c>
      <c r="F379" s="34">
        <v>3108455</v>
      </c>
    </row>
    <row r="380" spans="1:6" ht="13.5">
      <c r="A380" s="34">
        <v>1233025</v>
      </c>
      <c r="B380" s="34" t="s">
        <v>536</v>
      </c>
      <c r="C380" s="34" t="s">
        <v>585</v>
      </c>
      <c r="D380" s="34" t="s">
        <v>586</v>
      </c>
      <c r="E380" s="34" t="s">
        <v>559</v>
      </c>
      <c r="F380" s="34">
        <v>1233025</v>
      </c>
    </row>
    <row r="381" spans="1:6" ht="13.5">
      <c r="A381" s="34"/>
      <c r="B381" s="34"/>
      <c r="E381" s="34" t="s">
        <v>562</v>
      </c>
      <c r="F381" s="34">
        <v>3109442</v>
      </c>
    </row>
    <row r="382" spans="1:6" ht="13.5">
      <c r="A382" s="34">
        <v>1232693</v>
      </c>
      <c r="B382" s="34" t="s">
        <v>79</v>
      </c>
      <c r="C382" s="34" t="s">
        <v>587</v>
      </c>
      <c r="D382" s="34" t="s">
        <v>588</v>
      </c>
      <c r="E382" s="34" t="s">
        <v>559</v>
      </c>
      <c r="F382" s="34">
        <v>1232693</v>
      </c>
    </row>
    <row r="383" spans="1:6" ht="13.5">
      <c r="A383" s="34">
        <v>3109531</v>
      </c>
      <c r="B383" s="34"/>
      <c r="E383" s="34" t="s">
        <v>562</v>
      </c>
      <c r="F383" s="34">
        <v>3109531</v>
      </c>
    </row>
    <row r="384" spans="1:6" ht="13.5">
      <c r="A384" s="34">
        <v>3110182</v>
      </c>
      <c r="B384" s="34"/>
      <c r="E384" s="34" t="s">
        <v>589</v>
      </c>
      <c r="F384" s="34">
        <v>3110182</v>
      </c>
    </row>
    <row r="385" spans="1:6" ht="27">
      <c r="A385" s="34">
        <v>1231896</v>
      </c>
      <c r="B385" s="34" t="s">
        <v>590</v>
      </c>
      <c r="C385" s="35" t="s">
        <v>591</v>
      </c>
      <c r="D385" s="34" t="s">
        <v>592</v>
      </c>
      <c r="E385" s="34" t="s">
        <v>43</v>
      </c>
      <c r="F385" s="34">
        <v>1231896</v>
      </c>
    </row>
    <row r="386" spans="1:6" ht="13.5">
      <c r="A386" s="34">
        <v>3107879</v>
      </c>
      <c r="B386" s="34" t="s">
        <v>593</v>
      </c>
      <c r="C386" s="34" t="s">
        <v>594</v>
      </c>
      <c r="E386" s="34" t="s">
        <v>55</v>
      </c>
      <c r="F386" s="34">
        <v>3107879</v>
      </c>
    </row>
    <row r="387" spans="1:6" ht="13.5">
      <c r="A387" s="34">
        <v>1231898</v>
      </c>
      <c r="B387" s="34"/>
      <c r="C387" s="34" t="s">
        <v>595</v>
      </c>
      <c r="D387" s="34" t="s">
        <v>596</v>
      </c>
      <c r="E387" s="34" t="s">
        <v>43</v>
      </c>
      <c r="F387" s="34">
        <v>1231898</v>
      </c>
    </row>
    <row r="388" spans="1:6" ht="13.5">
      <c r="A388" s="34">
        <v>3107881</v>
      </c>
      <c r="B388" s="34"/>
      <c r="E388" s="34" t="s">
        <v>55</v>
      </c>
      <c r="F388" s="34">
        <v>3107881</v>
      </c>
    </row>
    <row r="389" spans="1:6" ht="13.5">
      <c r="A389" s="34">
        <v>1233632</v>
      </c>
      <c r="B389" s="34" t="s">
        <v>597</v>
      </c>
      <c r="C389" s="34" t="s">
        <v>598</v>
      </c>
      <c r="D389" s="34" t="s">
        <v>599</v>
      </c>
      <c r="E389" s="34" t="s">
        <v>43</v>
      </c>
      <c r="F389" s="34">
        <v>1233632</v>
      </c>
    </row>
    <row r="390" spans="1:6" ht="13.5">
      <c r="A390" s="34"/>
      <c r="B390" s="34" t="s">
        <v>600</v>
      </c>
      <c r="E390" s="34" t="s">
        <v>55</v>
      </c>
      <c r="F390" s="34">
        <v>3110436</v>
      </c>
    </row>
    <row r="391" spans="1:6" ht="13.5">
      <c r="A391" s="34">
        <v>1233577</v>
      </c>
      <c r="B391" s="34" t="s">
        <v>601</v>
      </c>
      <c r="C391" s="34" t="s">
        <v>602</v>
      </c>
      <c r="D391" s="34" t="s">
        <v>603</v>
      </c>
      <c r="E391" s="34" t="s">
        <v>43</v>
      </c>
      <c r="F391" s="34">
        <v>1233577</v>
      </c>
    </row>
    <row r="392" spans="1:6" ht="13.5">
      <c r="A392" s="34"/>
      <c r="B392" s="34" t="s">
        <v>604</v>
      </c>
      <c r="E392" s="34" t="s">
        <v>55</v>
      </c>
      <c r="F392" s="34">
        <v>3110242</v>
      </c>
    </row>
    <row r="393" spans="1:6" ht="13.5">
      <c r="A393" s="34">
        <v>1233761</v>
      </c>
      <c r="B393" s="34" t="s">
        <v>605</v>
      </c>
      <c r="C393" s="34" t="s">
        <v>606</v>
      </c>
      <c r="D393" s="34" t="s">
        <v>607</v>
      </c>
      <c r="E393" s="34" t="s">
        <v>43</v>
      </c>
      <c r="F393" s="34">
        <v>1233761</v>
      </c>
    </row>
    <row r="394" spans="1:6" ht="13.5">
      <c r="A394" s="34"/>
      <c r="B394" s="34" t="s">
        <v>608</v>
      </c>
      <c r="E394" s="34" t="s">
        <v>55</v>
      </c>
      <c r="F394" s="34">
        <v>3110248</v>
      </c>
    </row>
    <row r="395" spans="1:6" ht="13.5">
      <c r="A395" s="34">
        <v>1236962</v>
      </c>
      <c r="B395" s="34" t="s">
        <v>609</v>
      </c>
      <c r="C395" s="34" t="s">
        <v>610</v>
      </c>
      <c r="D395" s="34" t="s">
        <v>611</v>
      </c>
      <c r="E395" s="34" t="s">
        <v>43</v>
      </c>
      <c r="F395" s="34">
        <v>1236962</v>
      </c>
    </row>
    <row r="396" spans="1:6" ht="13.5">
      <c r="A396" s="34"/>
      <c r="B396" s="34" t="s">
        <v>612</v>
      </c>
      <c r="E396" s="34" t="s">
        <v>55</v>
      </c>
    </row>
    <row r="397" spans="1:6" ht="13.5">
      <c r="A397" s="34">
        <v>9239063</v>
      </c>
      <c r="B397" s="34" t="s">
        <v>605</v>
      </c>
      <c r="C397" s="34" t="s">
        <v>613</v>
      </c>
      <c r="D397" s="34" t="s">
        <v>614</v>
      </c>
      <c r="E397" s="34" t="s">
        <v>43</v>
      </c>
      <c r="F397" s="34">
        <v>9239063</v>
      </c>
    </row>
    <row r="398" spans="1:6" ht="13.5">
      <c r="A398" s="34"/>
      <c r="B398" s="34" t="s">
        <v>608</v>
      </c>
      <c r="E398" s="34" t="s">
        <v>55</v>
      </c>
    </row>
    <row r="399" spans="1:6" ht="13.5">
      <c r="A399" s="34">
        <v>1231860</v>
      </c>
      <c r="B399" s="34" t="s">
        <v>615</v>
      </c>
      <c r="C399" s="34" t="s">
        <v>616</v>
      </c>
      <c r="D399" s="34" t="s">
        <v>617</v>
      </c>
      <c r="E399" s="34" t="s">
        <v>43</v>
      </c>
      <c r="F399" s="34">
        <v>1231860</v>
      </c>
    </row>
    <row r="400" spans="1:6" ht="13.5">
      <c r="A400" s="34">
        <v>3108532</v>
      </c>
      <c r="B400" s="34"/>
      <c r="C400" s="34" t="s">
        <v>618</v>
      </c>
      <c r="E400" s="34" t="s">
        <v>55</v>
      </c>
      <c r="F400" s="34">
        <v>3108532</v>
      </c>
    </row>
    <row r="401" spans="1:6" ht="13.5">
      <c r="A401" s="34">
        <v>1215215</v>
      </c>
      <c r="B401" s="34" t="s">
        <v>619</v>
      </c>
      <c r="C401" s="34" t="s">
        <v>29</v>
      </c>
      <c r="D401" s="34" t="s">
        <v>620</v>
      </c>
      <c r="E401" s="34" t="s">
        <v>43</v>
      </c>
      <c r="F401" s="34">
        <v>1215215</v>
      </c>
    </row>
    <row r="402" spans="1:6" ht="13.5">
      <c r="A402" s="34">
        <v>3115215</v>
      </c>
      <c r="B402" s="34"/>
      <c r="E402" s="34" t="s">
        <v>55</v>
      </c>
      <c r="F402" s="34">
        <v>3115215</v>
      </c>
    </row>
    <row r="403" spans="1:6" ht="13.5">
      <c r="A403" s="34">
        <v>3304246</v>
      </c>
      <c r="B403" s="34"/>
      <c r="C403" s="34" t="s">
        <v>621</v>
      </c>
      <c r="E403" s="34" t="s">
        <v>622</v>
      </c>
      <c r="F403" s="34">
        <v>3304246</v>
      </c>
    </row>
    <row r="404" spans="1:6" ht="13.5">
      <c r="A404" s="34">
        <v>1220172</v>
      </c>
      <c r="B404" s="34"/>
      <c r="C404" s="34" t="s">
        <v>623</v>
      </c>
      <c r="D404" s="34" t="s">
        <v>624</v>
      </c>
      <c r="E404" s="34" t="s">
        <v>43</v>
      </c>
      <c r="F404" s="34">
        <v>1220172</v>
      </c>
    </row>
    <row r="405" spans="1:6" ht="13.5">
      <c r="A405" s="34">
        <v>3120172</v>
      </c>
      <c r="B405" s="34"/>
      <c r="E405" s="34" t="s">
        <v>103</v>
      </c>
      <c r="F405" s="34">
        <v>3120172</v>
      </c>
    </row>
    <row r="406" spans="1:6" ht="13.5">
      <c r="A406" s="34">
        <v>1226573</v>
      </c>
      <c r="B406" s="34"/>
      <c r="C406" s="34" t="s">
        <v>625</v>
      </c>
      <c r="D406" s="34" t="s">
        <v>626</v>
      </c>
      <c r="E406" s="34" t="s">
        <v>43</v>
      </c>
      <c r="F406" s="34">
        <v>1226573</v>
      </c>
    </row>
    <row r="407" spans="1:6" ht="13.5">
      <c r="A407" s="34">
        <v>3100800</v>
      </c>
      <c r="B407" s="34"/>
      <c r="E407" s="34" t="s">
        <v>103</v>
      </c>
      <c r="F407" s="34">
        <v>3100800</v>
      </c>
    </row>
    <row r="408" spans="1:6" ht="13.5">
      <c r="A408" s="34">
        <v>1225464</v>
      </c>
      <c r="B408" s="34"/>
      <c r="C408" s="34" t="s">
        <v>28</v>
      </c>
      <c r="D408" s="34" t="s">
        <v>627</v>
      </c>
      <c r="E408" s="34" t="s">
        <v>43</v>
      </c>
      <c r="F408" s="34">
        <v>1225464</v>
      </c>
    </row>
    <row r="409" spans="1:6" ht="13.5">
      <c r="A409" s="34">
        <v>3100142</v>
      </c>
      <c r="B409" s="34"/>
      <c r="E409" s="34" t="s">
        <v>55</v>
      </c>
      <c r="F409" s="34">
        <v>3100142</v>
      </c>
    </row>
    <row r="410" spans="1:6" ht="13.5">
      <c r="A410" s="34">
        <v>3107889</v>
      </c>
      <c r="B410" s="34"/>
      <c r="C410" s="34" t="s">
        <v>628</v>
      </c>
      <c r="E410" s="34" t="s">
        <v>629</v>
      </c>
      <c r="F410" s="34">
        <v>3107889</v>
      </c>
    </row>
    <row r="411" spans="1:6" ht="13.5">
      <c r="A411" s="34">
        <v>1216452</v>
      </c>
      <c r="B411" s="34"/>
      <c r="C411" s="34" t="s">
        <v>630</v>
      </c>
      <c r="D411" s="34" t="s">
        <v>631</v>
      </c>
      <c r="E411" s="34" t="s">
        <v>43</v>
      </c>
      <c r="F411" s="34">
        <v>1216452</v>
      </c>
    </row>
    <row r="412" spans="1:6" ht="13.5">
      <c r="A412" s="34">
        <v>3212443</v>
      </c>
      <c r="B412" s="34"/>
      <c r="E412" s="34" t="s">
        <v>55</v>
      </c>
      <c r="F412" s="34">
        <v>3212443</v>
      </c>
    </row>
    <row r="413" spans="1:6" ht="13.5">
      <c r="A413" s="34">
        <v>3105883</v>
      </c>
      <c r="B413" s="34"/>
      <c r="E413" s="34" t="s">
        <v>622</v>
      </c>
      <c r="F413" s="34">
        <v>3105883</v>
      </c>
    </row>
    <row r="414" spans="1:6" ht="13.5">
      <c r="A414" s="34">
        <v>1231242</v>
      </c>
      <c r="B414" s="34"/>
      <c r="C414" s="34" t="s">
        <v>632</v>
      </c>
      <c r="D414" s="34" t="s">
        <v>633</v>
      </c>
      <c r="E414" s="34" t="s">
        <v>43</v>
      </c>
      <c r="F414" s="34">
        <v>1231242</v>
      </c>
    </row>
    <row r="415" spans="1:6" ht="13.5">
      <c r="A415" s="34"/>
      <c r="B415" s="34"/>
      <c r="E415" s="34" t="s">
        <v>55</v>
      </c>
      <c r="F415" s="34" t="s">
        <v>634</v>
      </c>
    </row>
    <row r="416" spans="1:6" ht="13.5">
      <c r="A416" s="34">
        <v>1215693</v>
      </c>
      <c r="B416" s="34"/>
      <c r="C416" s="34" t="s">
        <v>635</v>
      </c>
      <c r="D416" s="34" t="s">
        <v>636</v>
      </c>
      <c r="E416" s="34" t="s">
        <v>43</v>
      </c>
      <c r="F416" s="34">
        <v>1215693</v>
      </c>
    </row>
    <row r="417" spans="1:6" ht="13.5">
      <c r="A417" s="34">
        <v>3302482</v>
      </c>
      <c r="B417" s="34"/>
      <c r="E417" s="34" t="s">
        <v>55</v>
      </c>
      <c r="F417" s="34">
        <v>3302482</v>
      </c>
    </row>
    <row r="418" spans="1:6" ht="13.5">
      <c r="A418" s="34">
        <v>3115693</v>
      </c>
      <c r="B418" s="34"/>
      <c r="C418" s="34" t="s">
        <v>637</v>
      </c>
      <c r="E418" s="34" t="s">
        <v>622</v>
      </c>
      <c r="F418" s="34">
        <v>3115693</v>
      </c>
    </row>
    <row r="419" spans="1:6" ht="13.5">
      <c r="A419" s="34">
        <v>3303846</v>
      </c>
      <c r="B419" s="34"/>
      <c r="C419" s="34" t="s">
        <v>638</v>
      </c>
      <c r="E419" s="34" t="s">
        <v>639</v>
      </c>
      <c r="F419" s="34">
        <v>3303846</v>
      </c>
    </row>
    <row r="420" spans="1:6" ht="13.5">
      <c r="A420" s="34">
        <v>1212624</v>
      </c>
      <c r="B420" s="34"/>
      <c r="C420" s="34" t="s">
        <v>640</v>
      </c>
      <c r="D420" s="34" t="s">
        <v>641</v>
      </c>
      <c r="E420" s="34" t="s">
        <v>43</v>
      </c>
      <c r="F420" s="34">
        <v>1212624</v>
      </c>
    </row>
    <row r="421" spans="1:6" ht="13.5">
      <c r="A421" s="34">
        <v>3112624</v>
      </c>
      <c r="B421" s="34"/>
      <c r="E421" s="34" t="s">
        <v>55</v>
      </c>
      <c r="F421" s="34">
        <v>3112624</v>
      </c>
    </row>
    <row r="422" spans="1:6" ht="13.5">
      <c r="A422" s="34">
        <v>1228162</v>
      </c>
      <c r="B422" s="34"/>
      <c r="C422" s="34" t="s">
        <v>642</v>
      </c>
      <c r="D422" s="34" t="s">
        <v>643</v>
      </c>
      <c r="E422" s="34" t="s">
        <v>43</v>
      </c>
      <c r="F422" s="34">
        <v>1228162</v>
      </c>
    </row>
    <row r="423" spans="1:6" ht="13.5">
      <c r="A423" s="34">
        <v>3103022</v>
      </c>
      <c r="B423" s="34"/>
      <c r="E423" s="34" t="s">
        <v>55</v>
      </c>
      <c r="F423" s="34">
        <v>3103022</v>
      </c>
    </row>
    <row r="424" spans="1:6" ht="13.5">
      <c r="A424" s="34">
        <v>9234503</v>
      </c>
      <c r="B424" s="34"/>
      <c r="C424" s="34" t="s">
        <v>644</v>
      </c>
      <c r="D424" s="34" t="s">
        <v>645</v>
      </c>
      <c r="E424" s="34" t="s">
        <v>43</v>
      </c>
      <c r="F424" s="34">
        <v>9234503</v>
      </c>
    </row>
    <row r="425" spans="1:6" ht="13.5">
      <c r="A425" s="34">
        <v>1218240</v>
      </c>
      <c r="B425" s="34" t="s">
        <v>646</v>
      </c>
      <c r="C425" s="36" t="s">
        <v>647</v>
      </c>
      <c r="D425" s="34" t="s">
        <v>648</v>
      </c>
      <c r="E425" s="34" t="s">
        <v>43</v>
      </c>
      <c r="F425" s="34">
        <v>1218240</v>
      </c>
    </row>
    <row r="426" spans="1:6" ht="13.5">
      <c r="A426" s="34"/>
      <c r="B426" s="34"/>
      <c r="E426" s="34" t="s">
        <v>55</v>
      </c>
      <c r="F426" s="34">
        <v>3118240</v>
      </c>
    </row>
    <row r="427" spans="1:6" ht="13.5">
      <c r="A427" s="34">
        <v>9232974</v>
      </c>
      <c r="B427" s="34"/>
      <c r="C427" s="34" t="s">
        <v>649</v>
      </c>
      <c r="D427" s="34" t="s">
        <v>650</v>
      </c>
      <c r="E427" s="34" t="s">
        <v>43</v>
      </c>
      <c r="F427" s="34">
        <v>9232974</v>
      </c>
    </row>
    <row r="428" spans="1:6" ht="13.5">
      <c r="A428" s="34"/>
      <c r="B428" s="34"/>
      <c r="E428" s="34" t="s">
        <v>55</v>
      </c>
    </row>
    <row r="429" spans="1:6" ht="13.5">
      <c r="A429" s="34">
        <v>9229615</v>
      </c>
      <c r="B429" s="34"/>
      <c r="C429" s="34" t="s">
        <v>651</v>
      </c>
      <c r="D429" s="34" t="s">
        <v>652</v>
      </c>
      <c r="E429" s="34" t="s">
        <v>43</v>
      </c>
      <c r="F429" s="34">
        <v>9229615</v>
      </c>
    </row>
    <row r="430" spans="1:6" ht="13.5">
      <c r="A430" s="34"/>
      <c r="B430" s="34"/>
      <c r="E430" s="34" t="s">
        <v>55</v>
      </c>
    </row>
    <row r="431" spans="1:6" ht="13.5">
      <c r="A431" s="34">
        <v>1234837</v>
      </c>
      <c r="B431" s="34" t="s">
        <v>653</v>
      </c>
      <c r="C431" s="34" t="s">
        <v>654</v>
      </c>
      <c r="D431" s="34" t="s">
        <v>655</v>
      </c>
      <c r="E431" s="34" t="s">
        <v>291</v>
      </c>
      <c r="F431" s="34">
        <v>1234837</v>
      </c>
    </row>
    <row r="432" spans="1:6" ht="13.5">
      <c r="A432" s="34"/>
      <c r="B432" s="34"/>
      <c r="C432" s="34" t="s">
        <v>656</v>
      </c>
      <c r="D432" s="34" t="s">
        <v>657</v>
      </c>
      <c r="E432" s="34" t="s">
        <v>363</v>
      </c>
    </row>
    <row r="433" spans="1:6" ht="13.5">
      <c r="A433" s="34">
        <v>1232002</v>
      </c>
      <c r="B433" s="34" t="s">
        <v>658</v>
      </c>
      <c r="C433" s="34" t="s">
        <v>659</v>
      </c>
      <c r="D433" s="34" t="s">
        <v>660</v>
      </c>
      <c r="E433" s="34" t="s">
        <v>43</v>
      </c>
      <c r="F433" s="34">
        <v>1232002</v>
      </c>
    </row>
    <row r="434" spans="1:6" ht="13.5">
      <c r="A434" s="34"/>
      <c r="B434" s="34" t="s">
        <v>661</v>
      </c>
      <c r="C434" s="34" t="s">
        <v>662</v>
      </c>
      <c r="D434" s="34" t="s">
        <v>663</v>
      </c>
      <c r="E434" s="34" t="s">
        <v>55</v>
      </c>
      <c r="F434" s="34">
        <v>3109026</v>
      </c>
    </row>
    <row r="435" spans="1:6" ht="13.5">
      <c r="A435" s="34">
        <v>1234116</v>
      </c>
      <c r="B435" s="34" t="s">
        <v>664</v>
      </c>
      <c r="C435" s="34" t="s">
        <v>665</v>
      </c>
      <c r="D435" s="34" t="s">
        <v>666</v>
      </c>
      <c r="E435" s="34" t="s">
        <v>43</v>
      </c>
      <c r="F435" s="34">
        <v>1234116</v>
      </c>
    </row>
    <row r="436" spans="1:6" ht="13.5">
      <c r="A436" s="34"/>
      <c r="B436" s="34"/>
      <c r="C436" s="34" t="s">
        <v>667</v>
      </c>
      <c r="E436" s="34" t="s">
        <v>55</v>
      </c>
    </row>
    <row r="437" spans="1:6" ht="13.5">
      <c r="A437" s="34">
        <v>1234222</v>
      </c>
      <c r="B437" s="34" t="s">
        <v>658</v>
      </c>
      <c r="C437" s="34" t="s">
        <v>668</v>
      </c>
      <c r="D437" s="34" t="s">
        <v>669</v>
      </c>
      <c r="E437" s="34" t="s">
        <v>43</v>
      </c>
      <c r="F437" s="34">
        <v>1234222</v>
      </c>
    </row>
    <row r="438" spans="1:6" ht="13.5">
      <c r="A438" s="34"/>
      <c r="B438" s="34" t="s">
        <v>670</v>
      </c>
      <c r="C438" s="34" t="s">
        <v>671</v>
      </c>
      <c r="D438" s="34" t="s">
        <v>663</v>
      </c>
      <c r="E438" s="34" t="s">
        <v>55</v>
      </c>
    </row>
    <row r="439" spans="1:6" ht="13.5">
      <c r="A439" s="37">
        <v>1236600</v>
      </c>
      <c r="B439" s="38" t="s">
        <v>9</v>
      </c>
      <c r="C439" s="39" t="s">
        <v>672</v>
      </c>
      <c r="D439" s="40" t="s">
        <v>673</v>
      </c>
      <c r="E439" s="41" t="s">
        <v>291</v>
      </c>
      <c r="F439" s="42">
        <v>1236600</v>
      </c>
    </row>
    <row r="440" spans="1:6" ht="27">
      <c r="A440" s="42">
        <v>1236601</v>
      </c>
      <c r="B440" s="38" t="s">
        <v>25</v>
      </c>
      <c r="C440" s="39" t="s">
        <v>674</v>
      </c>
      <c r="D440" s="43" t="s">
        <v>675</v>
      </c>
      <c r="E440" s="41" t="s">
        <v>291</v>
      </c>
      <c r="F440" s="42">
        <v>1236601</v>
      </c>
    </row>
    <row r="441" spans="1:6" ht="13.5">
      <c r="A441" s="42">
        <v>1236488</v>
      </c>
      <c r="B441" s="38" t="s">
        <v>21</v>
      </c>
      <c r="C441" s="39" t="s">
        <v>676</v>
      </c>
      <c r="D441" s="40" t="s">
        <v>677</v>
      </c>
      <c r="E441" s="41" t="s">
        <v>291</v>
      </c>
      <c r="F441" s="42">
        <v>1236488</v>
      </c>
    </row>
    <row r="442" spans="1:6" ht="27">
      <c r="A442" s="42">
        <v>1236534</v>
      </c>
      <c r="B442" s="38" t="s">
        <v>22</v>
      </c>
      <c r="C442" s="39" t="s">
        <v>678</v>
      </c>
      <c r="D442" s="43" t="s">
        <v>679</v>
      </c>
      <c r="E442" s="41" t="s">
        <v>291</v>
      </c>
      <c r="F442" s="42">
        <v>1236534</v>
      </c>
    </row>
    <row r="443" spans="1:6" ht="13.5">
      <c r="A443" s="42">
        <v>1236740</v>
      </c>
      <c r="B443" s="34"/>
      <c r="C443" s="39" t="s">
        <v>680</v>
      </c>
      <c r="D443" s="34" t="s">
        <v>681</v>
      </c>
      <c r="E443" s="44" t="s">
        <v>291</v>
      </c>
      <c r="F443" s="45">
        <v>1236740</v>
      </c>
    </row>
    <row r="444" spans="1:6" ht="13.5">
      <c r="A444" s="42">
        <v>1236619</v>
      </c>
      <c r="B444" s="38" t="s">
        <v>682</v>
      </c>
      <c r="C444" s="46" t="s">
        <v>683</v>
      </c>
      <c r="D444" s="34" t="s">
        <v>684</v>
      </c>
      <c r="F444" s="42">
        <f t="shared" ref="F444:F468" si="0">A444</f>
        <v>1236619</v>
      </c>
    </row>
    <row r="445" spans="1:6" ht="13.5">
      <c r="A445" s="42">
        <v>1237088</v>
      </c>
      <c r="B445" s="47" t="s">
        <v>1</v>
      </c>
      <c r="C445" s="48" t="s">
        <v>685</v>
      </c>
      <c r="D445" s="49" t="s">
        <v>686</v>
      </c>
      <c r="F445" s="42">
        <f t="shared" si="0"/>
        <v>1237088</v>
      </c>
    </row>
    <row r="446" spans="1:6" ht="27">
      <c r="A446" s="42">
        <v>1237210</v>
      </c>
      <c r="B446" s="50" t="s">
        <v>23</v>
      </c>
      <c r="C446" s="51" t="s">
        <v>687</v>
      </c>
      <c r="D446" s="51" t="s">
        <v>688</v>
      </c>
      <c r="F446" s="42">
        <f t="shared" si="0"/>
        <v>1237210</v>
      </c>
    </row>
    <row r="447" spans="1:6" ht="13.5">
      <c r="A447" s="42">
        <v>1237468</v>
      </c>
      <c r="B447" s="47" t="s">
        <v>689</v>
      </c>
      <c r="C447" s="52"/>
      <c r="D447" s="53" t="s">
        <v>690</v>
      </c>
      <c r="F447" s="42">
        <f t="shared" si="0"/>
        <v>1237468</v>
      </c>
    </row>
    <row r="448" spans="1:6" ht="13.5">
      <c r="A448" s="42">
        <v>1236976</v>
      </c>
      <c r="B448" s="34" t="s">
        <v>691</v>
      </c>
      <c r="C448" s="34" t="s">
        <v>692</v>
      </c>
      <c r="D448" s="34" t="s">
        <v>693</v>
      </c>
      <c r="F448" s="42">
        <f t="shared" si="0"/>
        <v>1236976</v>
      </c>
    </row>
    <row r="449" spans="1:6" ht="13.5">
      <c r="A449" s="42">
        <v>1237748</v>
      </c>
      <c r="B449" s="47" t="s">
        <v>689</v>
      </c>
      <c r="C449" s="34" t="s">
        <v>3</v>
      </c>
      <c r="D449" s="34" t="s">
        <v>694</v>
      </c>
      <c r="F449" s="42">
        <f t="shared" si="0"/>
        <v>1237748</v>
      </c>
    </row>
    <row r="450" spans="1:6" ht="13.5">
      <c r="A450" s="42">
        <v>1237608</v>
      </c>
      <c r="B450" s="34"/>
      <c r="C450" s="34" t="s">
        <v>695</v>
      </c>
      <c r="D450" s="34" t="s">
        <v>696</v>
      </c>
      <c r="F450" s="42">
        <f t="shared" si="0"/>
        <v>1237608</v>
      </c>
    </row>
    <row r="451" spans="1:6" ht="13.5">
      <c r="A451" s="42">
        <v>1237586</v>
      </c>
      <c r="B451" s="34"/>
      <c r="C451" s="34" t="s">
        <v>4</v>
      </c>
      <c r="D451" s="34" t="s">
        <v>697</v>
      </c>
      <c r="F451" s="42">
        <f t="shared" si="0"/>
        <v>1237586</v>
      </c>
    </row>
    <row r="452" spans="1:6" ht="13.5">
      <c r="A452" s="42">
        <v>1237386</v>
      </c>
      <c r="B452" s="34"/>
      <c r="D452" s="34" t="s">
        <v>698</v>
      </c>
      <c r="F452" s="42">
        <f t="shared" si="0"/>
        <v>1237386</v>
      </c>
    </row>
    <row r="453" spans="1:6" ht="13.5">
      <c r="A453" s="42">
        <v>1237457</v>
      </c>
      <c r="B453" s="34"/>
      <c r="C453" s="34" t="s">
        <v>699</v>
      </c>
      <c r="D453" s="34" t="s">
        <v>700</v>
      </c>
      <c r="F453" s="42">
        <f t="shared" si="0"/>
        <v>1237457</v>
      </c>
    </row>
    <row r="454" spans="1:6" ht="13.5">
      <c r="A454" s="42">
        <v>1237765</v>
      </c>
      <c r="B454" s="34"/>
      <c r="C454" s="34" t="s">
        <v>2</v>
      </c>
      <c r="D454" s="34" t="s">
        <v>701</v>
      </c>
      <c r="F454" s="42">
        <f t="shared" si="0"/>
        <v>1237765</v>
      </c>
    </row>
    <row r="455" spans="1:6" ht="13.5">
      <c r="A455" s="42">
        <v>1238020</v>
      </c>
      <c r="B455" s="34"/>
      <c r="D455" s="34" t="s">
        <v>702</v>
      </c>
      <c r="F455" s="42">
        <f t="shared" si="0"/>
        <v>1238020</v>
      </c>
    </row>
    <row r="456" spans="1:6" ht="13.5">
      <c r="A456" s="42">
        <v>1238453</v>
      </c>
      <c r="B456" s="34"/>
      <c r="D456" s="34" t="s">
        <v>703</v>
      </c>
      <c r="F456" s="42">
        <f t="shared" si="0"/>
        <v>1238453</v>
      </c>
    </row>
    <row r="457" spans="1:6" ht="13.5">
      <c r="A457" s="42">
        <v>1238092</v>
      </c>
      <c r="B457" s="34"/>
      <c r="C457" s="34" t="s">
        <v>10</v>
      </c>
      <c r="D457" s="34" t="s">
        <v>704</v>
      </c>
      <c r="F457" s="42">
        <f t="shared" si="0"/>
        <v>1238092</v>
      </c>
    </row>
    <row r="458" spans="1:6" ht="13.5">
      <c r="A458" s="42">
        <v>1238128</v>
      </c>
      <c r="B458" s="34"/>
      <c r="C458" s="34" t="s">
        <v>6</v>
      </c>
      <c r="D458" s="34" t="s">
        <v>705</v>
      </c>
      <c r="F458" s="42">
        <f t="shared" si="0"/>
        <v>1238128</v>
      </c>
    </row>
    <row r="459" spans="1:6" ht="13.5">
      <c r="A459" s="42">
        <v>1238609</v>
      </c>
      <c r="B459" s="34"/>
      <c r="D459" s="34" t="s">
        <v>706</v>
      </c>
      <c r="F459" s="42">
        <f t="shared" si="0"/>
        <v>1238609</v>
      </c>
    </row>
    <row r="460" spans="1:6" ht="13.5">
      <c r="A460" s="42">
        <v>1238605</v>
      </c>
      <c r="B460" s="34"/>
      <c r="C460" s="34" t="s">
        <v>7</v>
      </c>
      <c r="D460" s="34" t="s">
        <v>707</v>
      </c>
      <c r="F460" s="42">
        <f t="shared" si="0"/>
        <v>1238605</v>
      </c>
    </row>
    <row r="461" spans="1:6" ht="13.5">
      <c r="A461" s="42">
        <v>1238480</v>
      </c>
      <c r="B461" s="34"/>
      <c r="C461" s="34" t="s">
        <v>708</v>
      </c>
      <c r="D461" s="34" t="s">
        <v>709</v>
      </c>
      <c r="F461" s="42">
        <f t="shared" si="0"/>
        <v>1238480</v>
      </c>
    </row>
    <row r="462" spans="1:6" ht="13.5">
      <c r="A462" s="42">
        <v>1239651</v>
      </c>
      <c r="B462" s="34"/>
      <c r="D462" s="34" t="s">
        <v>710</v>
      </c>
      <c r="F462" s="42">
        <f t="shared" si="0"/>
        <v>1239651</v>
      </c>
    </row>
    <row r="463" spans="1:6" ht="13.5">
      <c r="A463" s="42">
        <v>1239988</v>
      </c>
      <c r="B463" s="34"/>
      <c r="D463" s="34" t="s">
        <v>711</v>
      </c>
      <c r="F463" s="42">
        <f t="shared" si="0"/>
        <v>1239988</v>
      </c>
    </row>
    <row r="464" spans="1:6" ht="13.5">
      <c r="A464" s="42">
        <v>1239992</v>
      </c>
      <c r="B464" s="34"/>
      <c r="D464" s="34" t="s">
        <v>712</v>
      </c>
      <c r="F464" s="42">
        <f t="shared" si="0"/>
        <v>1239992</v>
      </c>
    </row>
    <row r="465" spans="1:6" ht="13.5">
      <c r="A465" s="42">
        <v>1240180</v>
      </c>
      <c r="B465" s="34"/>
      <c r="D465" s="34" t="s">
        <v>713</v>
      </c>
      <c r="F465" s="42">
        <f t="shared" si="0"/>
        <v>1240180</v>
      </c>
    </row>
    <row r="466" spans="1:6" ht="13.5">
      <c r="A466" s="42">
        <v>1240184</v>
      </c>
      <c r="B466" s="34"/>
      <c r="D466" s="34" t="s">
        <v>714</v>
      </c>
      <c r="F466" s="42">
        <f t="shared" si="0"/>
        <v>1240184</v>
      </c>
    </row>
    <row r="467" spans="1:6" ht="13.5">
      <c r="A467" s="54">
        <v>1240029</v>
      </c>
      <c r="B467" s="34"/>
      <c r="D467" s="34" t="s">
        <v>715</v>
      </c>
      <c r="F467" s="54">
        <f t="shared" si="0"/>
        <v>1240029</v>
      </c>
    </row>
    <row r="468" spans="1:6" ht="13.5">
      <c r="A468" s="54">
        <v>1240032</v>
      </c>
      <c r="B468" s="34"/>
      <c r="D468" s="34" t="s">
        <v>716</v>
      </c>
      <c r="F468" s="54">
        <f t="shared" si="0"/>
        <v>1240032</v>
      </c>
    </row>
    <row r="469" spans="1:6" ht="13.5">
      <c r="A469" s="54">
        <v>1240308</v>
      </c>
      <c r="B469" s="34"/>
      <c r="D469" s="34" t="s">
        <v>717</v>
      </c>
      <c r="F469" s="54">
        <f>A469</f>
        <v>1240308</v>
      </c>
    </row>
    <row r="470" spans="1:6" ht="13.5">
      <c r="A470" s="34"/>
      <c r="B470" s="34"/>
    </row>
    <row r="471" spans="1:6" ht="13.5">
      <c r="A471" s="34"/>
      <c r="B471" s="34"/>
    </row>
    <row r="472" spans="1:6" ht="13.5">
      <c r="A472" s="34"/>
      <c r="B472" s="34"/>
    </row>
    <row r="473" spans="1:6" ht="13.5">
      <c r="A473" s="34"/>
      <c r="B473" s="34"/>
    </row>
    <row r="474" spans="1:6" ht="13.5">
      <c r="A474" s="34"/>
      <c r="B474" s="34"/>
    </row>
    <row r="475" spans="1:6" ht="13.5">
      <c r="A475" s="34"/>
      <c r="B475" s="34"/>
      <c r="F475" s="34" t="s">
        <v>718</v>
      </c>
    </row>
    <row r="476" spans="1:6" ht="13.5">
      <c r="A476" s="34"/>
      <c r="B476" s="34"/>
    </row>
    <row r="477" spans="1:6" ht="13.5">
      <c r="A477" s="34"/>
      <c r="B477" s="34"/>
    </row>
    <row r="478" spans="1:6" ht="13.5">
      <c r="A478" s="34"/>
      <c r="B478" s="34"/>
    </row>
    <row r="479" spans="1:6" ht="13.5">
      <c r="A479" s="34"/>
      <c r="B479" s="34"/>
    </row>
    <row r="480" spans="1:6" ht="13.5">
      <c r="A480" s="34"/>
      <c r="B480" s="34"/>
    </row>
    <row r="481" s="34" customFormat="1" ht="13.5"/>
    <row r="482" s="34" customFormat="1" ht="13.5"/>
    <row r="483" s="34" customFormat="1" ht="13.5"/>
    <row r="484" s="34" customFormat="1" ht="13.5"/>
    <row r="485" s="34" customFormat="1" ht="13.5"/>
    <row r="486" s="34" customFormat="1" ht="13.5"/>
    <row r="487" s="34" customFormat="1" ht="13.5"/>
    <row r="488" s="34" customFormat="1" ht="13.5"/>
    <row r="489" s="34" customFormat="1" ht="13.5"/>
    <row r="490" s="34" customFormat="1" ht="13.5"/>
    <row r="491" s="34" customFormat="1" ht="13.5"/>
    <row r="492" s="34" customFormat="1" ht="13.5"/>
    <row r="493" s="34" customFormat="1" ht="13.5"/>
    <row r="494" s="34" customFormat="1" ht="13.5"/>
    <row r="495" s="34" customFormat="1" ht="13.5"/>
    <row r="496" s="34" customFormat="1" ht="13.5"/>
    <row r="497" s="34" customFormat="1" ht="13.5"/>
    <row r="498" s="34" customFormat="1" ht="13.5"/>
    <row r="499" s="34" customFormat="1" ht="13.5"/>
    <row r="500" s="34" customFormat="1" ht="13.5"/>
    <row r="501" s="34" customFormat="1" ht="13.5"/>
    <row r="502" s="34" customFormat="1" ht="13.5"/>
    <row r="503" s="34" customFormat="1" ht="13.5"/>
    <row r="504" s="34" customFormat="1" ht="13.5"/>
    <row r="505" s="34" customFormat="1" ht="13.5"/>
    <row r="506" s="34" customFormat="1" ht="13.5"/>
    <row r="507" s="34" customFormat="1" ht="13.5"/>
    <row r="508" s="34" customFormat="1" ht="13.5"/>
    <row r="509" s="34" customFormat="1" ht="13.5"/>
    <row r="510" s="34" customFormat="1" ht="13.5"/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137</vt:i4>
      </vt:variant>
    </vt:vector>
  </HeadingPairs>
  <TitlesOfParts>
    <vt:vector size="137" baseType="lpstr">
      <vt:lpstr>0102</vt:lpstr>
      <vt:lpstr>0105</vt:lpstr>
      <vt:lpstr>0106</vt:lpstr>
      <vt:lpstr>0107</vt:lpstr>
      <vt:lpstr>0107 W12</vt:lpstr>
      <vt:lpstr>0108</vt:lpstr>
      <vt:lpstr>0109</vt:lpstr>
      <vt:lpstr>0112</vt:lpstr>
      <vt:lpstr>0113</vt:lpstr>
      <vt:lpstr>0114</vt:lpstr>
      <vt:lpstr>0114 W12</vt:lpstr>
      <vt:lpstr>0115</vt:lpstr>
      <vt:lpstr>0116</vt:lpstr>
      <vt:lpstr>0119</vt:lpstr>
      <vt:lpstr>0120</vt:lpstr>
      <vt:lpstr>0121</vt:lpstr>
      <vt:lpstr>0121 W12</vt:lpstr>
      <vt:lpstr>0122</vt:lpstr>
      <vt:lpstr>0123</vt:lpstr>
      <vt:lpstr>0126</vt:lpstr>
      <vt:lpstr>0127</vt:lpstr>
      <vt:lpstr>0128</vt:lpstr>
      <vt:lpstr>0128 W12</vt:lpstr>
      <vt:lpstr>0129</vt:lpstr>
      <vt:lpstr>0130</vt:lpstr>
      <vt:lpstr>0202</vt:lpstr>
      <vt:lpstr>0203</vt:lpstr>
      <vt:lpstr>0204</vt:lpstr>
      <vt:lpstr>0204 W12</vt:lpstr>
      <vt:lpstr>0205</vt:lpstr>
      <vt:lpstr>0206</vt:lpstr>
      <vt:lpstr>0209</vt:lpstr>
      <vt:lpstr>0210-1</vt:lpstr>
      <vt:lpstr>0211</vt:lpstr>
      <vt:lpstr>0211 W12</vt:lpstr>
      <vt:lpstr>0212</vt:lpstr>
      <vt:lpstr>0212 0223</vt:lpstr>
      <vt:lpstr>0213</vt:lpstr>
      <vt:lpstr>0219</vt:lpstr>
      <vt:lpstr>0219 W12</vt:lpstr>
      <vt:lpstr>0220</vt:lpstr>
      <vt:lpstr>0223</vt:lpstr>
      <vt:lpstr>0224</vt:lpstr>
      <vt:lpstr>0225</vt:lpstr>
      <vt:lpstr>0225 W12</vt:lpstr>
      <vt:lpstr>0226</vt:lpstr>
      <vt:lpstr>0227</vt:lpstr>
      <vt:lpstr>0303</vt:lpstr>
      <vt:lpstr>0304</vt:lpstr>
      <vt:lpstr>0304 W12</vt:lpstr>
      <vt:lpstr>0305</vt:lpstr>
      <vt:lpstr>0306</vt:lpstr>
      <vt:lpstr>0309</vt:lpstr>
      <vt:lpstr>0310</vt:lpstr>
      <vt:lpstr>0310 W12</vt:lpstr>
      <vt:lpstr>0311</vt:lpstr>
      <vt:lpstr>0312</vt:lpstr>
      <vt:lpstr>0313</vt:lpstr>
      <vt:lpstr>0316</vt:lpstr>
      <vt:lpstr>0317</vt:lpstr>
      <vt:lpstr>0318</vt:lpstr>
      <vt:lpstr>0318 W12</vt:lpstr>
      <vt:lpstr>0319</vt:lpstr>
      <vt:lpstr>0320</vt:lpstr>
      <vt:lpstr>0323</vt:lpstr>
      <vt:lpstr>0324</vt:lpstr>
      <vt:lpstr>0325</vt:lpstr>
      <vt:lpstr>0325 W12</vt:lpstr>
      <vt:lpstr>0326</vt:lpstr>
      <vt:lpstr>0327</vt:lpstr>
      <vt:lpstr>0330</vt:lpstr>
      <vt:lpstr>0331</vt:lpstr>
      <vt:lpstr>0401</vt:lpstr>
      <vt:lpstr>0401 W12</vt:lpstr>
      <vt:lpstr>0402</vt:lpstr>
      <vt:lpstr>0403</vt:lpstr>
      <vt:lpstr>0406</vt:lpstr>
      <vt:lpstr>0407</vt:lpstr>
      <vt:lpstr>0408</vt:lpstr>
      <vt:lpstr>0408 W12</vt:lpstr>
      <vt:lpstr>0409</vt:lpstr>
      <vt:lpstr>0410</vt:lpstr>
      <vt:lpstr>0413</vt:lpstr>
      <vt:lpstr>0414</vt:lpstr>
      <vt:lpstr>0415</vt:lpstr>
      <vt:lpstr>0415 W12</vt:lpstr>
      <vt:lpstr>0416</vt:lpstr>
      <vt:lpstr>0420</vt:lpstr>
      <vt:lpstr>0427</vt:lpstr>
      <vt:lpstr>0428</vt:lpstr>
      <vt:lpstr>0429</vt:lpstr>
      <vt:lpstr>0429 W12</vt:lpstr>
      <vt:lpstr>0430</vt:lpstr>
      <vt:lpstr>0506</vt:lpstr>
      <vt:lpstr>0507</vt:lpstr>
      <vt:lpstr>0507 W12</vt:lpstr>
      <vt:lpstr>0508</vt:lpstr>
      <vt:lpstr>0511</vt:lpstr>
      <vt:lpstr>0512</vt:lpstr>
      <vt:lpstr>0513 W12</vt:lpstr>
      <vt:lpstr>0513</vt:lpstr>
      <vt:lpstr>0514</vt:lpstr>
      <vt:lpstr>0515</vt:lpstr>
      <vt:lpstr>0518</vt:lpstr>
      <vt:lpstr>0519</vt:lpstr>
      <vt:lpstr>0520</vt:lpstr>
      <vt:lpstr>0520 W12</vt:lpstr>
      <vt:lpstr>0521</vt:lpstr>
      <vt:lpstr>0522</vt:lpstr>
      <vt:lpstr>0526</vt:lpstr>
      <vt:lpstr>0527</vt:lpstr>
      <vt:lpstr>0527 W12</vt:lpstr>
      <vt:lpstr>0528</vt:lpstr>
      <vt:lpstr>0529</vt:lpstr>
      <vt:lpstr>0601</vt:lpstr>
      <vt:lpstr>0602</vt:lpstr>
      <vt:lpstr>0604</vt:lpstr>
      <vt:lpstr>0605</vt:lpstr>
      <vt:lpstr>0604 W12</vt:lpstr>
      <vt:lpstr>0608</vt:lpstr>
      <vt:lpstr>0609</vt:lpstr>
      <vt:lpstr>0609 W12</vt:lpstr>
      <vt:lpstr>0610</vt:lpstr>
      <vt:lpstr>0610 W12</vt:lpstr>
      <vt:lpstr>0611</vt:lpstr>
      <vt:lpstr>0612</vt:lpstr>
      <vt:lpstr>0615</vt:lpstr>
      <vt:lpstr>0616</vt:lpstr>
      <vt:lpstr>0618</vt:lpstr>
      <vt:lpstr>0618 W12</vt:lpstr>
      <vt:lpstr>0619</vt:lpstr>
      <vt:lpstr>0622</vt:lpstr>
      <vt:lpstr>0623</vt:lpstr>
      <vt:lpstr>0624</vt:lpstr>
      <vt:lpstr>0624 W12</vt:lpstr>
      <vt:lpstr>0625</vt:lpstr>
      <vt:lpstr>모델명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김 예랑</cp:lastModifiedBy>
  <dcterms:created xsi:type="dcterms:W3CDTF">2014-12-25T03:06:00Z</dcterms:created>
  <dcterms:modified xsi:type="dcterms:W3CDTF">2026-06-24T23:57:14Z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D204960B794D4EC9801972A20B5BE380_13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